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los.gomes\Downloads\"/>
    </mc:Choice>
  </mc:AlternateContent>
  <xr:revisionPtr revIDLastSave="0" documentId="13_ncr:1_{100ADE8F-6C20-4E42-B812-8A339C21234E}" xr6:coauthVersionLast="47" xr6:coauthVersionMax="47" xr10:uidLastSave="{00000000-0000-0000-0000-000000000000}"/>
  <bookViews>
    <workbookView xWindow="20370" yWindow="-120" windowWidth="20730" windowHeight="11040" activeTab="1" xr2:uid="{00000000-000D-0000-FFFF-FFFF00000000}"/>
  </bookViews>
  <sheets>
    <sheet name="Plan1" sheetId="1" r:id="rId1"/>
    <sheet name="Plan1 (2)" sheetId="2" r:id="rId2"/>
  </sheets>
  <definedNames>
    <definedName name="_xlnm._FilterDatabase" localSheetId="0" hidden="1">Plan1!$A$4:$U$40</definedName>
    <definedName name="_xlnm._FilterDatabase" localSheetId="1" hidden="1">'Plan1 (2)'!$A$4:$N$18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6" i="2" l="1"/>
  <c r="Q9" i="2"/>
  <c r="Q5" i="2"/>
  <c r="P20" i="2"/>
  <c r="O20" i="2"/>
  <c r="P5" i="2"/>
  <c r="P9" i="2"/>
  <c r="O6" i="2"/>
  <c r="O5" i="2"/>
  <c r="L10" i="2"/>
  <c r="L11" i="2"/>
  <c r="L16" i="2"/>
  <c r="L17" i="2"/>
  <c r="K6" i="2"/>
  <c r="K7" i="2"/>
  <c r="M7" i="2" s="1"/>
  <c r="K8" i="2"/>
  <c r="L8" i="2" s="1"/>
  <c r="K9" i="2"/>
  <c r="K10" i="2"/>
  <c r="M10" i="2" s="1"/>
  <c r="K11" i="2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5" i="2"/>
  <c r="M5" i="2" s="1"/>
  <c r="J19" i="2"/>
  <c r="I19" i="2"/>
  <c r="H19" i="2"/>
  <c r="G19" i="2"/>
  <c r="F19" i="2"/>
  <c r="E19" i="2"/>
  <c r="D19" i="2"/>
  <c r="C19" i="2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C41" i="1"/>
  <c r="S7" i="1"/>
  <c r="S8" i="1"/>
  <c r="S12" i="1"/>
  <c r="S15" i="1"/>
  <c r="S16" i="1"/>
  <c r="S17" i="1"/>
  <c r="S18" i="1"/>
  <c r="S19" i="1"/>
  <c r="S22" i="1"/>
  <c r="S25" i="1"/>
  <c r="S26" i="1"/>
  <c r="S29" i="1"/>
  <c r="S30" i="1"/>
  <c r="S31" i="1"/>
  <c r="S34" i="1"/>
  <c r="S35" i="1"/>
  <c r="S37" i="1"/>
  <c r="S38" i="1"/>
  <c r="S39" i="1"/>
  <c r="S40" i="1"/>
  <c r="R6" i="1"/>
  <c r="S6" i="1" s="1"/>
  <c r="R7" i="1"/>
  <c r="T7" i="1" s="1"/>
  <c r="R8" i="1"/>
  <c r="T8" i="1" s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1" i="1"/>
  <c r="S21" i="1" s="1"/>
  <c r="R22" i="1"/>
  <c r="T22" i="1" s="1"/>
  <c r="R23" i="1"/>
  <c r="T23" i="1" s="1"/>
  <c r="R24" i="1"/>
  <c r="T24" i="1" s="1"/>
  <c r="R25" i="1"/>
  <c r="T25" i="1" s="1"/>
  <c r="R26" i="1"/>
  <c r="T26" i="1" s="1"/>
  <c r="R27" i="1"/>
  <c r="T27" i="1" s="1"/>
  <c r="R28" i="1"/>
  <c r="T28" i="1" s="1"/>
  <c r="R29" i="1"/>
  <c r="T29" i="1" s="1"/>
  <c r="R30" i="1"/>
  <c r="T30" i="1" s="1"/>
  <c r="R31" i="1"/>
  <c r="T31" i="1" s="1"/>
  <c r="R32" i="1"/>
  <c r="T32" i="1" s="1"/>
  <c r="R33" i="1"/>
  <c r="S33" i="1" s="1"/>
  <c r="R34" i="1"/>
  <c r="T34" i="1" s="1"/>
  <c r="R35" i="1"/>
  <c r="T35" i="1" s="1"/>
  <c r="R36" i="1"/>
  <c r="T36" i="1" s="1"/>
  <c r="R37" i="1"/>
  <c r="T37" i="1" s="1"/>
  <c r="R38" i="1"/>
  <c r="T38" i="1" s="1"/>
  <c r="R39" i="1"/>
  <c r="T39" i="1" s="1"/>
  <c r="R40" i="1"/>
  <c r="T40" i="1" s="1"/>
  <c r="R5" i="1"/>
  <c r="T5" i="1" s="1"/>
  <c r="Q20" i="2" l="1"/>
  <c r="L14" i="2"/>
  <c r="L15" i="2"/>
  <c r="L9" i="2"/>
  <c r="N9" i="2" s="1"/>
  <c r="L5" i="2"/>
  <c r="N5" i="2" s="1"/>
  <c r="L13" i="2"/>
  <c r="L7" i="2"/>
  <c r="N7" i="2" s="1"/>
  <c r="L18" i="2"/>
  <c r="L12" i="2"/>
  <c r="N12" i="2" s="1"/>
  <c r="L6" i="2"/>
  <c r="N6" i="2" s="1"/>
  <c r="N8" i="2"/>
  <c r="N11" i="2"/>
  <c r="M11" i="2"/>
  <c r="M6" i="2"/>
  <c r="M9" i="2"/>
  <c r="N13" i="2"/>
  <c r="M8" i="2"/>
  <c r="N10" i="2"/>
  <c r="N16" i="2"/>
  <c r="N18" i="2"/>
  <c r="N15" i="2"/>
  <c r="N17" i="2"/>
  <c r="N14" i="2"/>
  <c r="K19" i="2"/>
  <c r="S27" i="1"/>
  <c r="S9" i="1"/>
  <c r="T33" i="1"/>
  <c r="T21" i="1"/>
  <c r="S32" i="1"/>
  <c r="S20" i="1"/>
  <c r="S14" i="1"/>
  <c r="R41" i="1"/>
  <c r="S13" i="1"/>
  <c r="S36" i="1"/>
  <c r="S24" i="1"/>
  <c r="T6" i="1"/>
  <c r="S23" i="1"/>
  <c r="S11" i="1"/>
  <c r="S28" i="1"/>
  <c r="S10" i="1"/>
  <c r="M19" i="2" l="1"/>
  <c r="N19" i="2"/>
  <c r="T41" i="1"/>
  <c r="U40" i="1"/>
  <c r="U34" i="1"/>
  <c r="U28" i="1"/>
  <c r="U22" i="1"/>
  <c r="U16" i="1"/>
  <c r="U10" i="1"/>
  <c r="U27" i="1"/>
  <c r="U15" i="1"/>
  <c r="U9" i="1"/>
  <c r="U32" i="1"/>
  <c r="U26" i="1"/>
  <c r="U14" i="1"/>
  <c r="U8" i="1"/>
  <c r="U39" i="1"/>
  <c r="U37" i="1"/>
  <c r="U31" i="1"/>
  <c r="U25" i="1"/>
  <c r="U19" i="1"/>
  <c r="U7" i="1"/>
  <c r="U38" i="1"/>
  <c r="U30" i="1"/>
  <c r="U24" i="1"/>
  <c r="U18" i="1"/>
  <c r="U12" i="1"/>
  <c r="U6" i="1"/>
  <c r="S5" i="1"/>
  <c r="U35" i="1"/>
  <c r="U29" i="1"/>
  <c r="U17" i="1"/>
  <c r="U11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5" i="1"/>
  <c r="Q41" i="1" l="1"/>
  <c r="U5" i="1"/>
  <c r="S41" i="1"/>
  <c r="U20" i="1"/>
  <c r="U21" i="1"/>
  <c r="U23" i="1"/>
  <c r="U36" i="1"/>
  <c r="U33" i="1"/>
  <c r="U13" i="1"/>
  <c r="U41" i="1" l="1"/>
</calcChain>
</file>

<file path=xl/sharedStrings.xml><?xml version="1.0" encoding="utf-8"?>
<sst xmlns="http://schemas.openxmlformats.org/spreadsheetml/2006/main" count="136" uniqueCount="63">
  <si>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</si>
  <si>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</si>
  <si>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</si>
  <si>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</si>
  <si>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</si>
  <si>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</si>
  <si>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</si>
  <si>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</si>
  <si>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</si>
  <si>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</si>
  <si>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</si>
  <si>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</si>
  <si>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</si>
  <si>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PRETO</t>
  </si>
  <si>
    <t>PRETO/PINK</t>
  </si>
  <si>
    <t>BRANCO</t>
  </si>
  <si>
    <t>MARINHO</t>
  </si>
  <si>
    <t>PRETO/LARANJA</t>
  </si>
  <si>
    <t>NUDE</t>
  </si>
  <si>
    <t>08700210007</t>
  </si>
  <si>
    <t>08710430306</t>
  </si>
  <si>
    <t>08700500007</t>
  </si>
  <si>
    <t>08700430007</t>
  </si>
  <si>
    <t>08700440007</t>
  </si>
  <si>
    <t>08790520007</t>
  </si>
  <si>
    <t>08790520306</t>
  </si>
  <si>
    <t>08700490007</t>
  </si>
  <si>
    <t>08790530007</t>
  </si>
  <si>
    <t>08700510007</t>
  </si>
  <si>
    <t>08710440306</t>
  </si>
  <si>
    <t>08700490306</t>
  </si>
  <si>
    <t>08700510004</t>
  </si>
  <si>
    <t>08700490004</t>
  </si>
  <si>
    <t>08790530306</t>
  </si>
  <si>
    <t>08790520004</t>
  </si>
  <si>
    <t>08700510306</t>
  </si>
  <si>
    <t>08700210004</t>
  </si>
  <si>
    <t>08790530004</t>
  </si>
  <si>
    <t>08700200007</t>
  </si>
  <si>
    <t>08700210306</t>
  </si>
  <si>
    <t>08700430002</t>
  </si>
  <si>
    <t>08700210230</t>
  </si>
  <si>
    <t>08800900007</t>
  </si>
  <si>
    <t>08800900306</t>
  </si>
  <si>
    <t>08801040007</t>
  </si>
  <si>
    <t>08800990306</t>
  </si>
  <si>
    <t>08811040306</t>
  </si>
  <si>
    <t>08800900004</t>
  </si>
  <si>
    <t>08800980007</t>
  </si>
  <si>
    <t>08801000007</t>
  </si>
  <si>
    <t>08811030306</t>
  </si>
  <si>
    <t>08800980306</t>
  </si>
  <si>
    <t>08801030007</t>
  </si>
  <si>
    <t>08811034005</t>
  </si>
  <si>
    <t>08801000306</t>
  </si>
  <si>
    <t>REFERENCIA</t>
  </si>
  <si>
    <t>COR</t>
  </si>
  <si>
    <t>MÉDIA MESAL</t>
  </si>
  <si>
    <t>ESTOQUE 25/02/2026</t>
  </si>
  <si>
    <t>NECESSIDADE ATÉ 09/2026</t>
  </si>
  <si>
    <t>DATA DE RUPTURA</t>
  </si>
  <si>
    <t>NECESSIDADE DE PRODUÇÃO</t>
  </si>
  <si>
    <t>CONSUMO DIÁRIO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</si>
</sst>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"/>
    <numFmt numFmtId="165" formatCode="_-* #,##0_-;\-* #,##0_-;_-* &quot;-&quot;??_-;_-@_-"/>
  </numFmts>
  <fonts count="10" x14ac:knownFonts="1">
    <font>
      <sz val="11"/>
      <color rgb="FF000000"/>
      <name val="Calibri"/>
    </font>
    <font>
      <b/>
      <sz val="8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/>
    <xf numFmtId="0" fontId="7" fillId="0" borderId="3" applyNumberFormat="0" applyFill="0" applyAlignment="0" applyProtection="0"/>
    <xf numFmtId="0" fontId="6" fillId="0" borderId="2" applyNumberFormat="0" applyFill="0" applyAlignment="0" applyProtection="0"/>
    <xf numFmtId="0" fontId="5" fillId="0" borderId="1" applyNumberFormat="0" applyFill="0" applyAlignment="0" applyProtection="0"/>
    <xf numFmtId="43" fontId="4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4" applyNumberFormat="1" applyFont="1"/>
    <xf numFmtId="14" fontId="0" fillId="0" borderId="0" xfId="0" applyNumberFormat="1"/>
    <xf numFmtId="0" fontId="8" fillId="0" borderId="4" xfId="0" applyFont="1" applyBorder="1"/>
    <xf numFmtId="165" fontId="8" fillId="0" borderId="4" xfId="4" applyNumberFormat="1" applyFont="1" applyBorder="1"/>
    <xf numFmtId="164" fontId="2" fillId="0" borderId="4" xfId="2" applyNumberFormat="1" applyFont="1" applyBorder="1" applyAlignment="1">
      <alignment horizontal="left"/>
    </xf>
    <xf numFmtId="0" fontId="2" fillId="0" borderId="4" xfId="3" applyFont="1" applyBorder="1" applyAlignment="1">
      <alignment horizontal="left"/>
    </xf>
    <xf numFmtId="165" fontId="2" fillId="0" borderId="4" xfId="4" applyNumberFormat="1" applyFont="1" applyBorder="1" applyAlignment="1">
      <alignment horizontal="left"/>
    </xf>
    <xf numFmtId="165" fontId="3" fillId="0" borderId="4" xfId="4" applyNumberFormat="1" applyFont="1" applyBorder="1" applyAlignment="1">
      <alignment horizontal="right"/>
    </xf>
    <xf numFmtId="165" fontId="0" fillId="0" borderId="4" xfId="4" applyNumberFormat="1" applyFont="1" applyBorder="1"/>
    <xf numFmtId="165" fontId="0" fillId="0" borderId="4" xfId="0" applyNumberFormat="1" applyBorder="1"/>
    <xf numFmtId="14" fontId="0" fillId="0" borderId="4" xfId="4" applyNumberFormat="1" applyFont="1" applyBorder="1"/>
    <xf numFmtId="0" fontId="1" fillId="0" borderId="4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5" fontId="8" fillId="0" borderId="4" xfId="4" applyNumberFormat="1" applyFont="1" applyBorder="1" applyAlignment="1">
      <alignment horizontal="center" vertical="center"/>
    </xf>
    <xf numFmtId="165" fontId="1" fillId="0" borderId="4" xfId="4" applyNumberFormat="1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4" xfId="2" applyNumberFormat="1" applyFont="1" applyFill="1" applyBorder="1" applyAlignment="1">
      <alignment horizontal="left"/>
    </xf>
  </cellXfs>
  <cellStyles count="5">
    <cellStyle name="Célula Vinculada" xfId="1" builtinId="24"/>
    <cellStyle name="Normal" xfId="0" builtinId="0"/>
    <cellStyle name="Título 2" xfId="3" builtinId="17"/>
    <cellStyle name="Título 3" xfId="2" builtinId="18"/>
    <cellStyle name="Vírgula" xfId="4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153838</xdr:colOff>
      <xdr:row>0</xdr:row>
      <xdr:rowOff>0</xdr:rowOff>
    </xdr:from>
    <xdr:ext cx="9959329" cy="468013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0D1EFBE-B5E7-2EF7-940C-B0A57D8EFF97}"/>
            </a:ext>
          </a:extLst>
        </xdr:cNvPr>
        <xdr:cNvSpPr/>
      </xdr:nvSpPr>
      <xdr:spPr>
        <a:xfrm>
          <a:off x="4140731" y="0"/>
          <a:ext cx="9959329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400" b="1" cap="none" spc="0">
              <a:ln/>
              <a:solidFill>
                <a:schemeClr val="accent6">
                  <a:lumMod val="75000"/>
                </a:schemeClr>
              </a:solidFill>
              <a:effectLst/>
            </a:rPr>
            <a:t>ANÁLISE</a:t>
          </a:r>
          <a:r>
            <a:rPr lang="pt-BR" sz="2400" b="1" cap="none" spc="0" baseline="0">
              <a:ln/>
              <a:solidFill>
                <a:schemeClr val="accent6">
                  <a:lumMod val="75000"/>
                </a:schemeClr>
              </a:solidFill>
              <a:effectLst/>
            </a:rPr>
            <a:t> VOLTA AS AULAS - NECESSIDADE DE ESTOQUE ATÉ SETEMBRO 2026</a:t>
          </a:r>
          <a:endParaRPr lang="pt-BR" sz="2400" b="1" cap="none" spc="0">
            <a:ln/>
            <a:solidFill>
              <a:schemeClr val="accent6">
                <a:lumMod val="75000"/>
              </a:schemeClr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788743</xdr:colOff>
      <xdr:row>0</xdr:row>
      <xdr:rowOff>142875</xdr:rowOff>
    </xdr:from>
    <xdr:ext cx="5886290" cy="311496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063BE24-08CF-43BC-B981-403559D3DBE0}"/>
            </a:ext>
          </a:extLst>
        </xdr:cNvPr>
        <xdr:cNvSpPr/>
      </xdr:nvSpPr>
      <xdr:spPr>
        <a:xfrm>
          <a:off x="788743" y="142875"/>
          <a:ext cx="5886290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1400" b="1" cap="none" spc="0">
              <a:ln/>
              <a:solidFill>
                <a:schemeClr val="accent6">
                  <a:lumMod val="75000"/>
                </a:schemeClr>
              </a:solidFill>
              <a:effectLst/>
            </a:rPr>
            <a:t>ANÁLISE</a:t>
          </a:r>
          <a:r>
            <a:rPr lang="pt-BR" sz="1400" b="1" cap="none" spc="0" baseline="0">
              <a:ln/>
              <a:solidFill>
                <a:schemeClr val="accent6">
                  <a:lumMod val="75000"/>
                </a:schemeClr>
              </a:solidFill>
              <a:effectLst/>
            </a:rPr>
            <a:t> VOLTA AS AULAS - NECESSIDADE DE ESTOQUE ATÉ SETEMBRO 2026</a:t>
          </a:r>
          <a:endParaRPr lang="pt-BR" sz="1400" b="1" cap="none" spc="0">
            <a:ln/>
            <a:solidFill>
              <a:schemeClr val="accent6">
                <a:lumMod val="75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4:U41"/>
  <sheetViews>
    <sheetView topLeftCell="A25" zoomScaleNormal="100" workbookViewId="0">
      <selection activeCell="L29" sqref="L29"/>
    </sheetView>
  </sheetViews>
  <sheetFormatPr defaultRowHeight="15" x14ac:dyDescent="0.25"/>
  <cols>
    <col min="1" max="1" width="18.42578125" customWidth="1"/>
    <col min="2" max="2" width="13.42578125" bestFit="1" customWidth="1"/>
    <col min="3" max="3" width="36.28515625" style="1" bestFit="1" customWidth="1"/>
    <col min="4" max="16" width="9.140625" style="1"/>
    <col min="17" max="17" width="13.85546875" style="1" customWidth="1"/>
    <col min="18" max="18" width="19.7109375" style="1" bestFit="1" customWidth="1"/>
    <col min="19" max="19" width="24.42578125" bestFit="1" customWidth="1"/>
    <col min="20" max="20" width="17.85546875" style="2" bestFit="1" customWidth="1"/>
    <col min="21" max="21" width="42.85546875" bestFit="1" customWidth="1"/>
  </cols>
  <sheetData>
    <row r="4" spans="1:21" s="17" customFormat="1" x14ac:dyDescent="0.25">
      <c r="A4" s="12" t="s">
        <v>55</v>
      </c>
      <c r="B4" s="13" t="s">
        <v>56</v>
      </c>
      <c r="C4" s="14" t="s">
        <v>58</v>
      </c>
      <c r="D4" s="15" t="s">
        <v>0</v>
      </c>
      <c r="E4" s="15" t="s">
        <v>1</v>
      </c>
      <c r="F4" s="15" t="s">
        <v>2</v>
      </c>
      <c r="G4" s="15" t="s">
        <v>3</v>
      </c>
      <c r="H4" s="15" t="s">
        <v>4</v>
      </c>
      <c r="I4" s="15" t="s">
        <v>5</v>
      </c>
      <c r="J4" s="15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11</v>
      </c>
      <c r="P4" s="15" t="s">
        <v>12</v>
      </c>
      <c r="Q4" s="15" t="s">
        <v>57</v>
      </c>
      <c r="R4" s="15" t="s">
        <v>62</v>
      </c>
      <c r="S4" s="13" t="s">
        <v>59</v>
      </c>
      <c r="T4" s="16" t="s">
        <v>60</v>
      </c>
      <c r="U4" s="13" t="s">
        <v>61</v>
      </c>
    </row>
    <row r="5" spans="1:21" x14ac:dyDescent="0.25">
      <c r="A5" s="5" t="s">
        <v>19</v>
      </c>
      <c r="B5" s="6" t="s">
        <v>13</v>
      </c>
      <c r="C5" s="7">
        <v>8266</v>
      </c>
      <c r="D5" s="8">
        <v>11325</v>
      </c>
      <c r="E5" s="8">
        <v>3777</v>
      </c>
      <c r="F5" s="8">
        <v>600</v>
      </c>
      <c r="G5" s="8">
        <v>5250</v>
      </c>
      <c r="H5" s="8">
        <v>6772</v>
      </c>
      <c r="I5" s="8">
        <v>3405</v>
      </c>
      <c r="J5" s="8">
        <v>2697</v>
      </c>
      <c r="K5" s="8">
        <v>6563</v>
      </c>
      <c r="L5" s="8">
        <v>22259</v>
      </c>
      <c r="M5" s="8">
        <v>9439</v>
      </c>
      <c r="N5" s="8">
        <v>1884</v>
      </c>
      <c r="O5" s="8">
        <v>16502</v>
      </c>
      <c r="P5" s="8">
        <v>90473</v>
      </c>
      <c r="Q5" s="9">
        <f>AVERAGE(D5:O5)</f>
        <v>7539.416666666667</v>
      </c>
      <c r="R5" s="9">
        <f>P5/239</f>
        <v>378.54811715481173</v>
      </c>
      <c r="S5" s="10">
        <f>IF(C5&lt;=0,"",R5*147)</f>
        <v>55646.573221757324</v>
      </c>
      <c r="T5" s="11">
        <f ca="1">IFERROR(IF(OR(C5&lt;=0,R5&lt;=0),"",TODAY()+(C5/R5)),"")</f>
        <v>46119.836061587434</v>
      </c>
      <c r="U5" s="10">
        <f>IF(C5&lt;=0,"",C5-S5)</f>
        <v>-47380.573221757324</v>
      </c>
    </row>
    <row r="6" spans="1:21" x14ac:dyDescent="0.25">
      <c r="A6" s="5" t="s">
        <v>20</v>
      </c>
      <c r="B6" s="6" t="s">
        <v>14</v>
      </c>
      <c r="C6" s="7">
        <v>1932</v>
      </c>
      <c r="D6" s="8">
        <v>785</v>
      </c>
      <c r="E6" s="8">
        <v>414</v>
      </c>
      <c r="F6" s="8">
        <v>264</v>
      </c>
      <c r="G6" s="8">
        <v>609</v>
      </c>
      <c r="H6" s="8">
        <v>448</v>
      </c>
      <c r="I6" s="8">
        <v>2315</v>
      </c>
      <c r="J6" s="8">
        <v>446</v>
      </c>
      <c r="K6" s="8">
        <v>1792</v>
      </c>
      <c r="L6" s="8">
        <v>5337</v>
      </c>
      <c r="M6" s="8">
        <v>381</v>
      </c>
      <c r="N6" s="8">
        <v>999</v>
      </c>
      <c r="O6" s="8">
        <v>1263</v>
      </c>
      <c r="P6" s="8">
        <v>15053</v>
      </c>
      <c r="Q6" s="9">
        <f t="shared" ref="Q6:Q40" si="0">AVERAGE(D6:O6)</f>
        <v>1254.4166666666667</v>
      </c>
      <c r="R6" s="9">
        <f t="shared" ref="R6:R40" si="1">P6/239</f>
        <v>62.98326359832636</v>
      </c>
      <c r="S6" s="10">
        <f t="shared" ref="S6:S40" si="2">IF(C6&lt;=0,"",R6*147)</f>
        <v>9258.5397489539755</v>
      </c>
      <c r="T6" s="11">
        <f t="shared" ref="T6:T40" ca="1" si="3">IFERROR(IF(OR(C6&lt;=0,R6&lt;=0),"",TODAY()+(C6/R6)),"")</f>
        <v>46128.674815651364</v>
      </c>
      <c r="U6" s="10">
        <f t="shared" ref="U6:U40" si="4">IF(C6&lt;=0,"",C6-S6)</f>
        <v>-7326.5397489539755</v>
      </c>
    </row>
    <row r="7" spans="1:21" x14ac:dyDescent="0.25">
      <c r="A7" s="5" t="s">
        <v>21</v>
      </c>
      <c r="B7" s="6" t="s">
        <v>13</v>
      </c>
      <c r="C7" s="7">
        <v>0</v>
      </c>
      <c r="D7" s="9"/>
      <c r="E7" s="9"/>
      <c r="F7" s="9"/>
      <c r="G7" s="9"/>
      <c r="H7" s="9"/>
      <c r="I7" s="9"/>
      <c r="J7" s="9"/>
      <c r="K7" s="9"/>
      <c r="L7" s="8">
        <v>11988</v>
      </c>
      <c r="M7" s="9"/>
      <c r="N7" s="9"/>
      <c r="O7" s="9"/>
      <c r="P7" s="8">
        <v>11988</v>
      </c>
      <c r="Q7" s="9">
        <f t="shared" si="0"/>
        <v>11988</v>
      </c>
      <c r="R7" s="9">
        <f t="shared" si="1"/>
        <v>50.15899581589958</v>
      </c>
      <c r="S7" s="10" t="str">
        <f t="shared" si="2"/>
        <v/>
      </c>
      <c r="T7" s="11" t="str">
        <f t="shared" ca="1" si="3"/>
        <v/>
      </c>
      <c r="U7" s="10" t="str">
        <f t="shared" si="4"/>
        <v/>
      </c>
    </row>
    <row r="8" spans="1:21" x14ac:dyDescent="0.25">
      <c r="A8" s="5" t="s">
        <v>22</v>
      </c>
      <c r="B8" s="6" t="s">
        <v>13</v>
      </c>
      <c r="C8" s="7">
        <v>0</v>
      </c>
      <c r="D8" s="8">
        <v>904</v>
      </c>
      <c r="E8" s="8">
        <v>600</v>
      </c>
      <c r="F8" s="8">
        <v>312</v>
      </c>
      <c r="G8" s="8">
        <v>408</v>
      </c>
      <c r="H8" s="8">
        <v>280</v>
      </c>
      <c r="I8" s="8">
        <v>2046</v>
      </c>
      <c r="J8" s="8">
        <v>871</v>
      </c>
      <c r="K8" s="8">
        <v>216</v>
      </c>
      <c r="L8" s="8">
        <v>3085</v>
      </c>
      <c r="M8" s="8">
        <v>930</v>
      </c>
      <c r="N8" s="8">
        <v>63</v>
      </c>
      <c r="O8" s="8">
        <v>1719</v>
      </c>
      <c r="P8" s="8">
        <v>11434</v>
      </c>
      <c r="Q8" s="9">
        <f t="shared" si="0"/>
        <v>952.83333333333337</v>
      </c>
      <c r="R8" s="9">
        <f t="shared" si="1"/>
        <v>47.84100418410042</v>
      </c>
      <c r="S8" s="10" t="str">
        <f t="shared" si="2"/>
        <v/>
      </c>
      <c r="T8" s="11" t="str">
        <f t="shared" ca="1" si="3"/>
        <v/>
      </c>
      <c r="U8" s="10" t="str">
        <f t="shared" si="4"/>
        <v/>
      </c>
    </row>
    <row r="9" spans="1:21" x14ac:dyDescent="0.25">
      <c r="A9" s="5" t="s">
        <v>23</v>
      </c>
      <c r="B9" s="6" t="s">
        <v>13</v>
      </c>
      <c r="C9" s="7">
        <v>624</v>
      </c>
      <c r="D9" s="8">
        <v>876</v>
      </c>
      <c r="E9" s="8">
        <v>612</v>
      </c>
      <c r="F9" s="8">
        <v>156</v>
      </c>
      <c r="G9" s="8">
        <v>351</v>
      </c>
      <c r="H9" s="8">
        <v>1071</v>
      </c>
      <c r="I9" s="8">
        <v>339</v>
      </c>
      <c r="J9" s="8">
        <v>711</v>
      </c>
      <c r="K9" s="8">
        <v>1374</v>
      </c>
      <c r="L9" s="8">
        <v>4083</v>
      </c>
      <c r="M9" s="8">
        <v>701</v>
      </c>
      <c r="N9" s="8">
        <v>141</v>
      </c>
      <c r="O9" s="8">
        <v>495</v>
      </c>
      <c r="P9" s="8">
        <v>10910</v>
      </c>
      <c r="Q9" s="9">
        <f t="shared" si="0"/>
        <v>909.16666666666663</v>
      </c>
      <c r="R9" s="9">
        <f t="shared" si="1"/>
        <v>45.648535564853553</v>
      </c>
      <c r="S9" s="10">
        <f t="shared" si="2"/>
        <v>6710.3347280334719</v>
      </c>
      <c r="T9" s="11">
        <f t="shared" ca="1" si="3"/>
        <v>46111.669660861597</v>
      </c>
      <c r="U9" s="10">
        <f t="shared" si="4"/>
        <v>-6086.3347280334719</v>
      </c>
    </row>
    <row r="10" spans="1:21" x14ac:dyDescent="0.25">
      <c r="A10" s="5" t="s">
        <v>24</v>
      </c>
      <c r="B10" s="6" t="s">
        <v>13</v>
      </c>
      <c r="C10" s="7">
        <v>4611</v>
      </c>
      <c r="D10" s="9"/>
      <c r="E10" s="9"/>
      <c r="F10" s="9"/>
      <c r="G10" s="9"/>
      <c r="H10" s="9"/>
      <c r="I10" s="9"/>
      <c r="J10" s="9"/>
      <c r="K10" s="9"/>
      <c r="L10" s="9"/>
      <c r="M10" s="8">
        <v>7994</v>
      </c>
      <c r="N10" s="8">
        <v>1541</v>
      </c>
      <c r="O10" s="8">
        <v>735</v>
      </c>
      <c r="P10" s="8">
        <v>10270</v>
      </c>
      <c r="Q10" s="9">
        <f t="shared" si="0"/>
        <v>3423.3333333333335</v>
      </c>
      <c r="R10" s="9">
        <f t="shared" si="1"/>
        <v>42.970711297071126</v>
      </c>
      <c r="S10" s="10">
        <f t="shared" si="2"/>
        <v>6316.6945606694553</v>
      </c>
      <c r="T10" s="11">
        <f t="shared" ca="1" si="3"/>
        <v>46205.305647517038</v>
      </c>
      <c r="U10" s="10">
        <f t="shared" si="4"/>
        <v>-1705.6945606694553</v>
      </c>
    </row>
    <row r="11" spans="1:21" x14ac:dyDescent="0.25">
      <c r="A11" s="5" t="s">
        <v>25</v>
      </c>
      <c r="B11" s="6" t="s">
        <v>14</v>
      </c>
      <c r="C11" s="7">
        <v>402</v>
      </c>
      <c r="D11" s="9"/>
      <c r="E11" s="9"/>
      <c r="F11" s="9"/>
      <c r="G11" s="9"/>
      <c r="H11" s="9"/>
      <c r="I11" s="9"/>
      <c r="J11" s="9"/>
      <c r="K11" s="9"/>
      <c r="L11" s="9"/>
      <c r="M11" s="8">
        <v>1726</v>
      </c>
      <c r="N11" s="8">
        <v>852</v>
      </c>
      <c r="O11" s="8">
        <v>285</v>
      </c>
      <c r="P11" s="8">
        <v>2863</v>
      </c>
      <c r="Q11" s="9">
        <f t="shared" si="0"/>
        <v>954.33333333333337</v>
      </c>
      <c r="R11" s="9">
        <f t="shared" si="1"/>
        <v>11.97907949790795</v>
      </c>
      <c r="S11" s="10">
        <f t="shared" si="2"/>
        <v>1760.9246861924687</v>
      </c>
      <c r="T11" s="11">
        <f t="shared" ca="1" si="3"/>
        <v>46131.558505064619</v>
      </c>
      <c r="U11" s="10">
        <f t="shared" si="4"/>
        <v>-1358.9246861924687</v>
      </c>
    </row>
    <row r="12" spans="1:21" x14ac:dyDescent="0.25">
      <c r="A12" s="5" t="s">
        <v>26</v>
      </c>
      <c r="B12" s="6" t="s">
        <v>13</v>
      </c>
      <c r="C12" s="7">
        <v>0</v>
      </c>
      <c r="D12" s="9"/>
      <c r="E12" s="9"/>
      <c r="F12" s="9"/>
      <c r="G12" s="9"/>
      <c r="H12" s="9"/>
      <c r="I12" s="9"/>
      <c r="J12" s="9"/>
      <c r="K12" s="8">
        <v>243</v>
      </c>
      <c r="L12" s="8">
        <v>1752</v>
      </c>
      <c r="M12" s="8">
        <v>219</v>
      </c>
      <c r="N12" s="8">
        <v>21</v>
      </c>
      <c r="O12" s="8">
        <v>24</v>
      </c>
      <c r="P12" s="8">
        <v>2259</v>
      </c>
      <c r="Q12" s="9">
        <f t="shared" si="0"/>
        <v>451.8</v>
      </c>
      <c r="R12" s="9">
        <f t="shared" si="1"/>
        <v>9.451882845188285</v>
      </c>
      <c r="S12" s="10" t="str">
        <f t="shared" si="2"/>
        <v/>
      </c>
      <c r="T12" s="11" t="str">
        <f t="shared" ca="1" si="3"/>
        <v/>
      </c>
      <c r="U12" s="10" t="str">
        <f t="shared" si="4"/>
        <v/>
      </c>
    </row>
    <row r="13" spans="1:21" x14ac:dyDescent="0.25">
      <c r="A13" s="5" t="s">
        <v>27</v>
      </c>
      <c r="B13" s="6" t="s">
        <v>13</v>
      </c>
      <c r="C13" s="7">
        <v>12</v>
      </c>
      <c r="D13" s="9"/>
      <c r="E13" s="9"/>
      <c r="F13" s="9"/>
      <c r="G13" s="9"/>
      <c r="H13" s="9"/>
      <c r="I13" s="9"/>
      <c r="J13" s="9"/>
      <c r="K13" s="9"/>
      <c r="L13" s="9"/>
      <c r="M13" s="8">
        <v>1737</v>
      </c>
      <c r="N13" s="8">
        <v>468</v>
      </c>
      <c r="O13" s="9"/>
      <c r="P13" s="8">
        <v>2205</v>
      </c>
      <c r="Q13" s="9">
        <f t="shared" si="0"/>
        <v>1102.5</v>
      </c>
      <c r="R13" s="9">
        <f t="shared" si="1"/>
        <v>9.2259414225941416</v>
      </c>
      <c r="S13" s="10">
        <f t="shared" si="2"/>
        <v>1356.2133891213389</v>
      </c>
      <c r="T13" s="11">
        <f t="shared" ca="1" si="3"/>
        <v>46099.300680272107</v>
      </c>
      <c r="U13" s="10">
        <f t="shared" si="4"/>
        <v>-1344.2133891213389</v>
      </c>
    </row>
    <row r="14" spans="1:21" x14ac:dyDescent="0.25">
      <c r="A14" s="5" t="s">
        <v>28</v>
      </c>
      <c r="B14" s="6" t="s">
        <v>13</v>
      </c>
      <c r="C14" s="7">
        <v>12</v>
      </c>
      <c r="D14" s="9"/>
      <c r="E14" s="9"/>
      <c r="F14" s="9"/>
      <c r="G14" s="9"/>
      <c r="H14" s="9"/>
      <c r="I14" s="9"/>
      <c r="J14" s="9"/>
      <c r="K14" s="9"/>
      <c r="L14" s="8">
        <v>1935</v>
      </c>
      <c r="M14" s="8">
        <v>96</v>
      </c>
      <c r="N14" s="9"/>
      <c r="O14" s="8">
        <v>24</v>
      </c>
      <c r="P14" s="8">
        <v>2055</v>
      </c>
      <c r="Q14" s="9">
        <f t="shared" si="0"/>
        <v>685</v>
      </c>
      <c r="R14" s="9">
        <f t="shared" si="1"/>
        <v>8.5983263598326367</v>
      </c>
      <c r="S14" s="10">
        <f t="shared" si="2"/>
        <v>1263.9539748953976</v>
      </c>
      <c r="T14" s="11">
        <f t="shared" ca="1" si="3"/>
        <v>46099.395620437957</v>
      </c>
      <c r="U14" s="10">
        <f t="shared" si="4"/>
        <v>-1251.9539748953976</v>
      </c>
    </row>
    <row r="15" spans="1:21" x14ac:dyDescent="0.25">
      <c r="A15" s="5" t="s">
        <v>29</v>
      </c>
      <c r="B15" s="6" t="s">
        <v>14</v>
      </c>
      <c r="C15" s="7">
        <v>0</v>
      </c>
      <c r="D15" s="8">
        <v>762</v>
      </c>
      <c r="E15" s="8">
        <v>54</v>
      </c>
      <c r="F15" s="9"/>
      <c r="G15" s="8">
        <v>18</v>
      </c>
      <c r="H15" s="8">
        <v>66</v>
      </c>
      <c r="I15" s="8">
        <v>84</v>
      </c>
      <c r="J15" s="8">
        <v>57</v>
      </c>
      <c r="K15" s="8">
        <v>69</v>
      </c>
      <c r="L15" s="8">
        <v>138</v>
      </c>
      <c r="M15" s="8">
        <v>162</v>
      </c>
      <c r="N15" s="8">
        <v>57</v>
      </c>
      <c r="O15" s="8">
        <v>48</v>
      </c>
      <c r="P15" s="8">
        <v>1515</v>
      </c>
      <c r="Q15" s="9">
        <f t="shared" si="0"/>
        <v>137.72727272727272</v>
      </c>
      <c r="R15" s="9">
        <f t="shared" si="1"/>
        <v>6.3389121338912133</v>
      </c>
      <c r="S15" s="10" t="str">
        <f t="shared" si="2"/>
        <v/>
      </c>
      <c r="T15" s="11" t="str">
        <f t="shared" ca="1" si="3"/>
        <v/>
      </c>
      <c r="U15" s="10" t="str">
        <f t="shared" si="4"/>
        <v/>
      </c>
    </row>
    <row r="16" spans="1:21" x14ac:dyDescent="0.25">
      <c r="A16" s="5" t="s">
        <v>30</v>
      </c>
      <c r="B16" s="6" t="s">
        <v>14</v>
      </c>
      <c r="C16" s="7">
        <v>0</v>
      </c>
      <c r="D16" s="9"/>
      <c r="E16" s="9"/>
      <c r="F16" s="9"/>
      <c r="G16" s="9"/>
      <c r="H16" s="9"/>
      <c r="I16" s="9"/>
      <c r="J16" s="9"/>
      <c r="K16" s="8">
        <v>51</v>
      </c>
      <c r="L16" s="8">
        <v>1236</v>
      </c>
      <c r="M16" s="8">
        <v>84</v>
      </c>
      <c r="N16" s="8">
        <v>21</v>
      </c>
      <c r="O16" s="8">
        <v>12</v>
      </c>
      <c r="P16" s="8">
        <v>1404</v>
      </c>
      <c r="Q16" s="9">
        <f t="shared" si="0"/>
        <v>280.8</v>
      </c>
      <c r="R16" s="9">
        <f t="shared" si="1"/>
        <v>5.8744769874476983</v>
      </c>
      <c r="S16" s="10" t="str">
        <f t="shared" si="2"/>
        <v/>
      </c>
      <c r="T16" s="11" t="str">
        <f t="shared" ca="1" si="3"/>
        <v/>
      </c>
      <c r="U16" s="10" t="str">
        <f t="shared" si="4"/>
        <v/>
      </c>
    </row>
    <row r="17" spans="1:21" x14ac:dyDescent="0.25">
      <c r="A17" s="5" t="s">
        <v>31</v>
      </c>
      <c r="B17" s="6" t="s">
        <v>15</v>
      </c>
      <c r="C17" s="7">
        <v>0</v>
      </c>
      <c r="D17" s="9"/>
      <c r="E17" s="9"/>
      <c r="F17" s="9"/>
      <c r="G17" s="9"/>
      <c r="H17" s="9"/>
      <c r="I17" s="9"/>
      <c r="J17" s="9"/>
      <c r="K17" s="9"/>
      <c r="L17" s="9"/>
      <c r="M17" s="8">
        <v>516</v>
      </c>
      <c r="N17" s="9"/>
      <c r="O17" s="9"/>
      <c r="P17" s="8">
        <v>516</v>
      </c>
      <c r="Q17" s="9">
        <f t="shared" si="0"/>
        <v>516</v>
      </c>
      <c r="R17" s="9">
        <f t="shared" si="1"/>
        <v>2.1589958158995817</v>
      </c>
      <c r="S17" s="10" t="str">
        <f t="shared" si="2"/>
        <v/>
      </c>
      <c r="T17" s="11" t="str">
        <f t="shared" ca="1" si="3"/>
        <v/>
      </c>
      <c r="U17" s="10" t="str">
        <f t="shared" si="4"/>
        <v/>
      </c>
    </row>
    <row r="18" spans="1:21" x14ac:dyDescent="0.25">
      <c r="A18" s="5" t="s">
        <v>32</v>
      </c>
      <c r="B18" s="6" t="s">
        <v>15</v>
      </c>
      <c r="C18" s="7">
        <v>0</v>
      </c>
      <c r="D18" s="9"/>
      <c r="E18" s="9"/>
      <c r="F18" s="9"/>
      <c r="G18" s="9"/>
      <c r="H18" s="9"/>
      <c r="I18" s="9"/>
      <c r="J18" s="9"/>
      <c r="K18" s="9"/>
      <c r="L18" s="9"/>
      <c r="M18" s="8">
        <v>504</v>
      </c>
      <c r="N18" s="9"/>
      <c r="O18" s="9"/>
      <c r="P18" s="8">
        <v>504</v>
      </c>
      <c r="Q18" s="9">
        <f t="shared" si="0"/>
        <v>504</v>
      </c>
      <c r="R18" s="9">
        <f t="shared" si="1"/>
        <v>2.1087866108786613</v>
      </c>
      <c r="S18" s="10" t="str">
        <f t="shared" si="2"/>
        <v/>
      </c>
      <c r="T18" s="11" t="str">
        <f t="shared" ca="1" si="3"/>
        <v/>
      </c>
      <c r="U18" s="10" t="str">
        <f t="shared" si="4"/>
        <v/>
      </c>
    </row>
    <row r="19" spans="1:21" x14ac:dyDescent="0.25">
      <c r="A19" s="5" t="s">
        <v>33</v>
      </c>
      <c r="B19" s="6" t="s">
        <v>14</v>
      </c>
      <c r="C19" s="7">
        <v>0</v>
      </c>
      <c r="D19" s="9"/>
      <c r="E19" s="9"/>
      <c r="F19" s="9"/>
      <c r="G19" s="9"/>
      <c r="H19" s="9"/>
      <c r="I19" s="9"/>
      <c r="J19" s="9"/>
      <c r="K19" s="9"/>
      <c r="L19" s="9"/>
      <c r="M19" s="8">
        <v>204</v>
      </c>
      <c r="N19" s="8">
        <v>120</v>
      </c>
      <c r="O19" s="9"/>
      <c r="P19" s="8">
        <v>324</v>
      </c>
      <c r="Q19" s="9">
        <f t="shared" si="0"/>
        <v>162</v>
      </c>
      <c r="R19" s="9">
        <f t="shared" si="1"/>
        <v>1.3556485355648535</v>
      </c>
      <c r="S19" s="10" t="str">
        <f t="shared" si="2"/>
        <v/>
      </c>
      <c r="T19" s="11" t="str">
        <f t="shared" ca="1" si="3"/>
        <v/>
      </c>
      <c r="U19" s="10" t="str">
        <f t="shared" si="4"/>
        <v/>
      </c>
    </row>
    <row r="20" spans="1:21" x14ac:dyDescent="0.25">
      <c r="A20" s="5" t="s">
        <v>34</v>
      </c>
      <c r="B20" s="6" t="s">
        <v>15</v>
      </c>
      <c r="C20" s="7">
        <v>345</v>
      </c>
      <c r="D20" s="9"/>
      <c r="E20" s="9"/>
      <c r="F20" s="9"/>
      <c r="G20" s="9"/>
      <c r="H20" s="9"/>
      <c r="I20" s="9"/>
      <c r="J20" s="9"/>
      <c r="K20" s="9"/>
      <c r="L20" s="9"/>
      <c r="M20" s="8">
        <v>153</v>
      </c>
      <c r="N20" s="8">
        <v>73</v>
      </c>
      <c r="O20" s="8">
        <v>15</v>
      </c>
      <c r="P20" s="8">
        <v>241</v>
      </c>
      <c r="Q20" s="9">
        <f t="shared" si="0"/>
        <v>80.333333333333329</v>
      </c>
      <c r="R20" s="9">
        <f t="shared" si="1"/>
        <v>1.00836820083682</v>
      </c>
      <c r="S20" s="10">
        <f t="shared" si="2"/>
        <v>148.23012552301253</v>
      </c>
      <c r="T20" s="11">
        <f t="shared" ca="1" si="3"/>
        <v>46440.136929460583</v>
      </c>
      <c r="U20" s="10">
        <f t="shared" si="4"/>
        <v>196.76987447698747</v>
      </c>
    </row>
    <row r="21" spans="1:21" x14ac:dyDescent="0.25">
      <c r="A21" s="5" t="s">
        <v>35</v>
      </c>
      <c r="B21" s="6" t="s">
        <v>14</v>
      </c>
      <c r="C21" s="7">
        <v>12</v>
      </c>
      <c r="D21" s="9"/>
      <c r="E21" s="9"/>
      <c r="F21" s="9"/>
      <c r="G21" s="9"/>
      <c r="H21" s="9"/>
      <c r="I21" s="9"/>
      <c r="J21" s="9"/>
      <c r="K21" s="9"/>
      <c r="L21" s="8">
        <v>126</v>
      </c>
      <c r="M21" s="8">
        <v>72</v>
      </c>
      <c r="N21" s="9"/>
      <c r="O21" s="9"/>
      <c r="P21" s="8">
        <v>198</v>
      </c>
      <c r="Q21" s="9">
        <f t="shared" si="0"/>
        <v>99</v>
      </c>
      <c r="R21" s="9">
        <f t="shared" si="1"/>
        <v>0.82845188284518834</v>
      </c>
      <c r="S21" s="10">
        <f t="shared" si="2"/>
        <v>121.78242677824268</v>
      </c>
      <c r="T21" s="11">
        <f t="shared" ca="1" si="3"/>
        <v>46112.484848484848</v>
      </c>
      <c r="U21" s="10">
        <f t="shared" si="4"/>
        <v>-109.78242677824268</v>
      </c>
    </row>
    <row r="22" spans="1:21" x14ac:dyDescent="0.25">
      <c r="A22" s="5" t="s">
        <v>36</v>
      </c>
      <c r="B22" s="6" t="s">
        <v>15</v>
      </c>
      <c r="C22" s="7">
        <v>0</v>
      </c>
      <c r="D22" s="9"/>
      <c r="E22" s="9"/>
      <c r="F22" s="9"/>
      <c r="G22" s="9"/>
      <c r="H22" s="9"/>
      <c r="I22" s="8">
        <v>84</v>
      </c>
      <c r="J22" s="8">
        <v>24</v>
      </c>
      <c r="K22" s="9"/>
      <c r="L22" s="9"/>
      <c r="M22" s="9"/>
      <c r="N22" s="9"/>
      <c r="O22" s="9"/>
      <c r="P22" s="8">
        <v>108</v>
      </c>
      <c r="Q22" s="9">
        <f t="shared" si="0"/>
        <v>54</v>
      </c>
      <c r="R22" s="9">
        <f t="shared" si="1"/>
        <v>0.45188284518828453</v>
      </c>
      <c r="S22" s="10" t="str">
        <f t="shared" si="2"/>
        <v/>
      </c>
      <c r="T22" s="11" t="str">
        <f t="shared" ca="1" si="3"/>
        <v/>
      </c>
      <c r="U22" s="10" t="str">
        <f t="shared" si="4"/>
        <v/>
      </c>
    </row>
    <row r="23" spans="1:21" x14ac:dyDescent="0.25">
      <c r="A23" s="5" t="s">
        <v>37</v>
      </c>
      <c r="B23" s="6" t="s">
        <v>15</v>
      </c>
      <c r="C23" s="7">
        <v>42</v>
      </c>
      <c r="D23" s="9"/>
      <c r="E23" s="9"/>
      <c r="F23" s="9"/>
      <c r="G23" s="9"/>
      <c r="H23" s="9"/>
      <c r="I23" s="9"/>
      <c r="J23" s="9"/>
      <c r="K23" s="9"/>
      <c r="L23" s="9"/>
      <c r="M23" s="8">
        <v>42</v>
      </c>
      <c r="N23" s="8">
        <v>12</v>
      </c>
      <c r="O23" s="9"/>
      <c r="P23" s="8">
        <v>54</v>
      </c>
      <c r="Q23" s="9">
        <f t="shared" si="0"/>
        <v>27</v>
      </c>
      <c r="R23" s="9">
        <f t="shared" si="1"/>
        <v>0.22594142259414227</v>
      </c>
      <c r="S23" s="10">
        <f t="shared" si="2"/>
        <v>33.213389121338913</v>
      </c>
      <c r="T23" s="11">
        <f t="shared" ca="1" si="3"/>
        <v>46283.888888888891</v>
      </c>
      <c r="U23" s="10">
        <f t="shared" si="4"/>
        <v>8.7866108786610866</v>
      </c>
    </row>
    <row r="24" spans="1:21" x14ac:dyDescent="0.25">
      <c r="A24" s="5" t="s">
        <v>38</v>
      </c>
      <c r="B24" s="6" t="s">
        <v>13</v>
      </c>
      <c r="C24" s="7">
        <v>96</v>
      </c>
      <c r="D24" s="9"/>
      <c r="E24" s="9"/>
      <c r="F24" s="9"/>
      <c r="G24" s="9"/>
      <c r="H24" s="9"/>
      <c r="I24" s="9"/>
      <c r="J24" s="9"/>
      <c r="K24" s="9"/>
      <c r="L24" s="9"/>
      <c r="M24" s="8">
        <v>36</v>
      </c>
      <c r="N24" s="9"/>
      <c r="O24" s="9"/>
      <c r="P24" s="8">
        <v>36</v>
      </c>
      <c r="Q24" s="9">
        <f t="shared" si="0"/>
        <v>36</v>
      </c>
      <c r="R24" s="9">
        <f t="shared" si="1"/>
        <v>0.15062761506276151</v>
      </c>
      <c r="S24" s="10">
        <f t="shared" si="2"/>
        <v>22.142259414225943</v>
      </c>
      <c r="T24" s="11">
        <f t="shared" ca="1" si="3"/>
        <v>46735.333333333336</v>
      </c>
      <c r="U24" s="10">
        <f t="shared" si="4"/>
        <v>73.857740585774053</v>
      </c>
    </row>
    <row r="25" spans="1:21" x14ac:dyDescent="0.25">
      <c r="A25" s="5" t="s">
        <v>39</v>
      </c>
      <c r="B25" s="6" t="s">
        <v>14</v>
      </c>
      <c r="C25" s="7">
        <v>0</v>
      </c>
      <c r="D25" s="8">
        <v>22</v>
      </c>
      <c r="E25" s="9"/>
      <c r="F25" s="9"/>
      <c r="G25" s="9"/>
      <c r="H25" s="9"/>
      <c r="I25" s="9"/>
      <c r="J25" s="9"/>
      <c r="K25" s="9"/>
      <c r="L25" s="9"/>
      <c r="M25" s="8">
        <v>8</v>
      </c>
      <c r="N25" s="9"/>
      <c r="O25" s="9"/>
      <c r="P25" s="8">
        <v>30</v>
      </c>
      <c r="Q25" s="9">
        <f t="shared" si="0"/>
        <v>15</v>
      </c>
      <c r="R25" s="9">
        <f t="shared" si="1"/>
        <v>0.12552301255230125</v>
      </c>
      <c r="S25" s="10" t="str">
        <f t="shared" si="2"/>
        <v/>
      </c>
      <c r="T25" s="11" t="str">
        <f t="shared" ca="1" si="3"/>
        <v/>
      </c>
      <c r="U25" s="10" t="str">
        <f t="shared" si="4"/>
        <v/>
      </c>
    </row>
    <row r="26" spans="1:21" x14ac:dyDescent="0.25">
      <c r="A26" s="5" t="s">
        <v>40</v>
      </c>
      <c r="B26" s="6" t="s">
        <v>16</v>
      </c>
      <c r="C26" s="7">
        <v>0</v>
      </c>
      <c r="D26" s="8">
        <v>15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8">
        <v>15</v>
      </c>
      <c r="Q26" s="9">
        <f t="shared" si="0"/>
        <v>15</v>
      </c>
      <c r="R26" s="9">
        <f t="shared" si="1"/>
        <v>6.2761506276150625E-2</v>
      </c>
      <c r="S26" s="10" t="str">
        <f t="shared" si="2"/>
        <v/>
      </c>
      <c r="T26" s="11" t="str">
        <f t="shared" ca="1" si="3"/>
        <v/>
      </c>
      <c r="U26" s="10" t="str">
        <f t="shared" si="4"/>
        <v/>
      </c>
    </row>
    <row r="27" spans="1:21" x14ac:dyDescent="0.25">
      <c r="A27" s="5" t="s">
        <v>41</v>
      </c>
      <c r="B27" s="6" t="s">
        <v>17</v>
      </c>
      <c r="C27" s="7">
        <v>48</v>
      </c>
      <c r="D27" s="9"/>
      <c r="E27" s="9"/>
      <c r="F27" s="9"/>
      <c r="G27" s="9"/>
      <c r="H27" s="9"/>
      <c r="I27" s="9"/>
      <c r="J27" s="9"/>
      <c r="K27" s="9"/>
      <c r="L27" s="9"/>
      <c r="M27" s="8">
        <v>12</v>
      </c>
      <c r="N27" s="9"/>
      <c r="O27" s="9"/>
      <c r="P27" s="8">
        <v>12</v>
      </c>
      <c r="Q27" s="9">
        <f t="shared" si="0"/>
        <v>12</v>
      </c>
      <c r="R27" s="9">
        <f t="shared" si="1"/>
        <v>5.0209205020920501E-2</v>
      </c>
      <c r="S27" s="10">
        <f t="shared" si="2"/>
        <v>7.3807531380753133</v>
      </c>
      <c r="T27" s="11">
        <f t="shared" ca="1" si="3"/>
        <v>47054</v>
      </c>
      <c r="U27" s="10">
        <f t="shared" si="4"/>
        <v>40.619246861924687</v>
      </c>
    </row>
    <row r="28" spans="1:21" x14ac:dyDescent="0.25">
      <c r="A28" s="5" t="s">
        <v>42</v>
      </c>
      <c r="B28" s="6" t="s">
        <v>13</v>
      </c>
      <c r="C28" s="7">
        <v>38912</v>
      </c>
      <c r="D28" s="8">
        <v>4469</v>
      </c>
      <c r="E28" s="8">
        <v>1874</v>
      </c>
      <c r="F28" s="8">
        <v>480</v>
      </c>
      <c r="G28" s="8">
        <v>528</v>
      </c>
      <c r="H28" s="8">
        <v>1728</v>
      </c>
      <c r="I28" s="8">
        <v>1491</v>
      </c>
      <c r="J28" s="8">
        <v>1293</v>
      </c>
      <c r="K28" s="8">
        <v>4194</v>
      </c>
      <c r="L28" s="8">
        <v>6521</v>
      </c>
      <c r="M28" s="8">
        <v>8795</v>
      </c>
      <c r="N28" s="8">
        <v>3409</v>
      </c>
      <c r="O28" s="8">
        <v>6928</v>
      </c>
      <c r="P28" s="8">
        <v>41710</v>
      </c>
      <c r="Q28" s="9">
        <f t="shared" si="0"/>
        <v>3475.8333333333335</v>
      </c>
      <c r="R28" s="9">
        <f t="shared" si="1"/>
        <v>174.51882845188285</v>
      </c>
      <c r="S28" s="10">
        <f t="shared" si="2"/>
        <v>25654.267782426781</v>
      </c>
      <c r="T28" s="11">
        <f t="shared" ca="1" si="3"/>
        <v>46320.967345960198</v>
      </c>
      <c r="U28" s="10">
        <f t="shared" si="4"/>
        <v>13257.732217573219</v>
      </c>
    </row>
    <row r="29" spans="1:21" x14ac:dyDescent="0.25">
      <c r="A29" s="5" t="s">
        <v>43</v>
      </c>
      <c r="B29" s="6" t="s">
        <v>14</v>
      </c>
      <c r="C29" s="7">
        <v>0</v>
      </c>
      <c r="D29" s="8">
        <v>1791</v>
      </c>
      <c r="E29" s="8">
        <v>2091</v>
      </c>
      <c r="F29" s="8">
        <v>84</v>
      </c>
      <c r="G29" s="8">
        <v>390</v>
      </c>
      <c r="H29" s="8">
        <v>1074</v>
      </c>
      <c r="I29" s="8">
        <v>819</v>
      </c>
      <c r="J29" s="8">
        <v>1497</v>
      </c>
      <c r="K29" s="8">
        <v>1695</v>
      </c>
      <c r="L29" s="8">
        <v>3261</v>
      </c>
      <c r="M29" s="8">
        <v>2181</v>
      </c>
      <c r="N29" s="8">
        <v>126</v>
      </c>
      <c r="O29" s="8">
        <v>666</v>
      </c>
      <c r="P29" s="8">
        <v>15675</v>
      </c>
      <c r="Q29" s="9">
        <f t="shared" si="0"/>
        <v>1306.25</v>
      </c>
      <c r="R29" s="9">
        <f t="shared" si="1"/>
        <v>65.5857740585774</v>
      </c>
      <c r="S29" s="10" t="str">
        <f t="shared" si="2"/>
        <v/>
      </c>
      <c r="T29" s="11" t="str">
        <f t="shared" ca="1" si="3"/>
        <v/>
      </c>
      <c r="U29" s="10" t="str">
        <f t="shared" si="4"/>
        <v/>
      </c>
    </row>
    <row r="30" spans="1:21" x14ac:dyDescent="0.25">
      <c r="A30" s="5" t="s">
        <v>44</v>
      </c>
      <c r="B30" s="6" t="s">
        <v>13</v>
      </c>
      <c r="C30" s="7">
        <v>0</v>
      </c>
      <c r="D30" s="8">
        <v>1248</v>
      </c>
      <c r="E30" s="8">
        <v>717</v>
      </c>
      <c r="F30" s="8">
        <v>213</v>
      </c>
      <c r="G30" s="8">
        <v>84</v>
      </c>
      <c r="H30" s="8">
        <v>513</v>
      </c>
      <c r="I30" s="8">
        <v>354</v>
      </c>
      <c r="J30" s="8">
        <v>468</v>
      </c>
      <c r="K30" s="8">
        <v>2664</v>
      </c>
      <c r="L30" s="8">
        <v>1392</v>
      </c>
      <c r="M30" s="8">
        <v>2910</v>
      </c>
      <c r="N30" s="8">
        <v>408</v>
      </c>
      <c r="O30" s="8">
        <v>144</v>
      </c>
      <c r="P30" s="8">
        <v>11115</v>
      </c>
      <c r="Q30" s="9">
        <f t="shared" si="0"/>
        <v>926.25</v>
      </c>
      <c r="R30" s="9">
        <f t="shared" si="1"/>
        <v>46.506276150627613</v>
      </c>
      <c r="S30" s="10" t="str">
        <f t="shared" si="2"/>
        <v/>
      </c>
      <c r="T30" s="11" t="str">
        <f t="shared" ca="1" si="3"/>
        <v/>
      </c>
      <c r="U30" s="10" t="str">
        <f t="shared" si="4"/>
        <v/>
      </c>
    </row>
    <row r="31" spans="1:21" x14ac:dyDescent="0.25">
      <c r="A31" s="5" t="s">
        <v>45</v>
      </c>
      <c r="B31" s="6" t="s">
        <v>14</v>
      </c>
      <c r="C31" s="7">
        <v>0</v>
      </c>
      <c r="D31" s="9"/>
      <c r="E31" s="9"/>
      <c r="F31" s="9"/>
      <c r="G31" s="9"/>
      <c r="H31" s="9"/>
      <c r="I31" s="9"/>
      <c r="J31" s="9"/>
      <c r="K31" s="9"/>
      <c r="L31" s="8">
        <v>2472</v>
      </c>
      <c r="M31" s="9"/>
      <c r="N31" s="9"/>
      <c r="O31" s="9"/>
      <c r="P31" s="8">
        <v>2472</v>
      </c>
      <c r="Q31" s="9">
        <f t="shared" si="0"/>
        <v>2472</v>
      </c>
      <c r="R31" s="9">
        <f t="shared" si="1"/>
        <v>10.343096234309623</v>
      </c>
      <c r="S31" s="10" t="str">
        <f t="shared" si="2"/>
        <v/>
      </c>
      <c r="T31" s="11" t="str">
        <f t="shared" ca="1" si="3"/>
        <v/>
      </c>
      <c r="U31" s="10" t="str">
        <f t="shared" si="4"/>
        <v/>
      </c>
    </row>
    <row r="32" spans="1:21" x14ac:dyDescent="0.25">
      <c r="A32" s="5" t="s">
        <v>46</v>
      </c>
      <c r="B32" s="6" t="s">
        <v>14</v>
      </c>
      <c r="C32" s="7">
        <v>648</v>
      </c>
      <c r="D32" s="8">
        <v>420</v>
      </c>
      <c r="E32" s="8">
        <v>120</v>
      </c>
      <c r="F32" s="8">
        <v>84</v>
      </c>
      <c r="G32" s="8">
        <v>12</v>
      </c>
      <c r="H32" s="8">
        <v>186</v>
      </c>
      <c r="I32" s="8">
        <v>144</v>
      </c>
      <c r="J32" s="8">
        <v>114</v>
      </c>
      <c r="K32" s="8">
        <v>192</v>
      </c>
      <c r="L32" s="8">
        <v>486</v>
      </c>
      <c r="M32" s="8">
        <v>402</v>
      </c>
      <c r="N32" s="8">
        <v>72</v>
      </c>
      <c r="O32" s="9"/>
      <c r="P32" s="8">
        <v>2232</v>
      </c>
      <c r="Q32" s="9">
        <f t="shared" si="0"/>
        <v>202.90909090909091</v>
      </c>
      <c r="R32" s="9">
        <f t="shared" si="1"/>
        <v>9.3389121338912133</v>
      </c>
      <c r="S32" s="10">
        <f t="shared" si="2"/>
        <v>1372.8200836820083</v>
      </c>
      <c r="T32" s="11">
        <f t="shared" ca="1" si="3"/>
        <v>46167.387096774197</v>
      </c>
      <c r="U32" s="10">
        <f t="shared" si="4"/>
        <v>-724.82008368200832</v>
      </c>
    </row>
    <row r="33" spans="1:21" x14ac:dyDescent="0.25">
      <c r="A33" s="5" t="s">
        <v>47</v>
      </c>
      <c r="B33" s="6" t="s">
        <v>15</v>
      </c>
      <c r="C33" s="7">
        <v>192</v>
      </c>
      <c r="D33" s="9"/>
      <c r="E33" s="9"/>
      <c r="F33" s="8">
        <v>30</v>
      </c>
      <c r="G33" s="9"/>
      <c r="H33" s="9"/>
      <c r="I33" s="8">
        <v>48</v>
      </c>
      <c r="J33" s="8">
        <v>96</v>
      </c>
      <c r="K33" s="8">
        <v>264</v>
      </c>
      <c r="L33" s="8">
        <v>312</v>
      </c>
      <c r="M33" s="8">
        <v>204</v>
      </c>
      <c r="N33" s="8">
        <v>120</v>
      </c>
      <c r="O33" s="8">
        <v>216</v>
      </c>
      <c r="P33" s="8">
        <v>1290</v>
      </c>
      <c r="Q33" s="9">
        <f t="shared" si="0"/>
        <v>161.25</v>
      </c>
      <c r="R33" s="9">
        <f t="shared" si="1"/>
        <v>5.3974895397489542</v>
      </c>
      <c r="S33" s="10">
        <f t="shared" si="2"/>
        <v>793.43096234309621</v>
      </c>
      <c r="T33" s="11">
        <f t="shared" ca="1" si="3"/>
        <v>46133.572093023256</v>
      </c>
      <c r="U33" s="10">
        <f t="shared" si="4"/>
        <v>-601.43096234309621</v>
      </c>
    </row>
    <row r="34" spans="1:21" x14ac:dyDescent="0.25">
      <c r="A34" s="5" t="s">
        <v>48</v>
      </c>
      <c r="B34" s="6" t="s">
        <v>13</v>
      </c>
      <c r="C34" s="7">
        <v>0</v>
      </c>
      <c r="D34" s="9"/>
      <c r="E34" s="9"/>
      <c r="F34" s="9"/>
      <c r="G34" s="9"/>
      <c r="H34" s="9"/>
      <c r="I34" s="9"/>
      <c r="J34" s="9"/>
      <c r="K34" s="8">
        <v>147</v>
      </c>
      <c r="L34" s="8">
        <v>447</v>
      </c>
      <c r="M34" s="8">
        <v>12</v>
      </c>
      <c r="N34" s="8">
        <v>24</v>
      </c>
      <c r="O34" s="9"/>
      <c r="P34" s="8">
        <v>630</v>
      </c>
      <c r="Q34" s="9">
        <f t="shared" si="0"/>
        <v>157.5</v>
      </c>
      <c r="R34" s="9">
        <f t="shared" si="1"/>
        <v>2.6359832635983262</v>
      </c>
      <c r="S34" s="10" t="str">
        <f t="shared" si="2"/>
        <v/>
      </c>
      <c r="T34" s="11" t="str">
        <f t="shared" ca="1" si="3"/>
        <v/>
      </c>
      <c r="U34" s="10" t="str">
        <f t="shared" si="4"/>
        <v/>
      </c>
    </row>
    <row r="35" spans="1:21" x14ac:dyDescent="0.25">
      <c r="A35" s="5" t="s">
        <v>49</v>
      </c>
      <c r="B35" s="6" t="s">
        <v>13</v>
      </c>
      <c r="C35" s="7">
        <v>0</v>
      </c>
      <c r="D35" s="9"/>
      <c r="E35" s="9"/>
      <c r="F35" s="9"/>
      <c r="G35" s="9"/>
      <c r="H35" s="9"/>
      <c r="I35" s="9"/>
      <c r="J35" s="9"/>
      <c r="K35" s="9"/>
      <c r="L35" s="8">
        <v>372</v>
      </c>
      <c r="M35" s="8">
        <v>12</v>
      </c>
      <c r="N35" s="9"/>
      <c r="O35" s="9"/>
      <c r="P35" s="8">
        <v>384</v>
      </c>
      <c r="Q35" s="9">
        <f t="shared" si="0"/>
        <v>192</v>
      </c>
      <c r="R35" s="9">
        <f t="shared" si="1"/>
        <v>1.606694560669456</v>
      </c>
      <c r="S35" s="10" t="str">
        <f t="shared" si="2"/>
        <v/>
      </c>
      <c r="T35" s="11" t="str">
        <f t="shared" ca="1" si="3"/>
        <v/>
      </c>
      <c r="U35" s="10" t="str">
        <f t="shared" si="4"/>
        <v/>
      </c>
    </row>
    <row r="36" spans="1:21" x14ac:dyDescent="0.25">
      <c r="A36" s="5" t="s">
        <v>50</v>
      </c>
      <c r="B36" s="6" t="s">
        <v>14</v>
      </c>
      <c r="C36" s="7">
        <v>238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8">
        <v>264</v>
      </c>
      <c r="O36" s="9"/>
      <c r="P36" s="8">
        <v>264</v>
      </c>
      <c r="Q36" s="9">
        <f t="shared" si="0"/>
        <v>264</v>
      </c>
      <c r="R36" s="9">
        <f t="shared" si="1"/>
        <v>1.104602510460251</v>
      </c>
      <c r="S36" s="10">
        <f t="shared" si="2"/>
        <v>162.37656903765691</v>
      </c>
      <c r="T36" s="11">
        <f t="shared" ca="1" si="3"/>
        <v>46313.46212121212</v>
      </c>
      <c r="U36" s="10">
        <f t="shared" si="4"/>
        <v>75.623430962343093</v>
      </c>
    </row>
    <row r="37" spans="1:21" x14ac:dyDescent="0.25">
      <c r="A37" s="5" t="s">
        <v>51</v>
      </c>
      <c r="B37" s="6" t="s">
        <v>14</v>
      </c>
      <c r="C37" s="7">
        <v>0</v>
      </c>
      <c r="D37" s="9"/>
      <c r="E37" s="9"/>
      <c r="F37" s="9"/>
      <c r="G37" s="9"/>
      <c r="H37" s="9"/>
      <c r="I37" s="9"/>
      <c r="J37" s="9"/>
      <c r="K37" s="8">
        <v>84</v>
      </c>
      <c r="L37" s="8">
        <v>81</v>
      </c>
      <c r="M37" s="8">
        <v>42</v>
      </c>
      <c r="N37" s="9"/>
      <c r="O37" s="9"/>
      <c r="P37" s="8">
        <v>207</v>
      </c>
      <c r="Q37" s="9">
        <f t="shared" si="0"/>
        <v>69</v>
      </c>
      <c r="R37" s="9">
        <f t="shared" si="1"/>
        <v>0.86610878661087864</v>
      </c>
      <c r="S37" s="10" t="str">
        <f t="shared" si="2"/>
        <v/>
      </c>
      <c r="T37" s="11" t="str">
        <f t="shared" ca="1" si="3"/>
        <v/>
      </c>
      <c r="U37" s="10" t="str">
        <f t="shared" si="4"/>
        <v/>
      </c>
    </row>
    <row r="38" spans="1:21" x14ac:dyDescent="0.25">
      <c r="A38" s="5" t="s">
        <v>52</v>
      </c>
      <c r="B38" s="6" t="s">
        <v>13</v>
      </c>
      <c r="C38" s="7">
        <v>0</v>
      </c>
      <c r="D38" s="8">
        <v>24</v>
      </c>
      <c r="E38" s="9"/>
      <c r="F38" s="8">
        <v>102</v>
      </c>
      <c r="G38" s="8">
        <v>48</v>
      </c>
      <c r="H38" s="9"/>
      <c r="I38" s="9"/>
      <c r="J38" s="9"/>
      <c r="K38" s="9"/>
      <c r="L38" s="8">
        <v>15</v>
      </c>
      <c r="M38" s="8">
        <v>12</v>
      </c>
      <c r="N38" s="9"/>
      <c r="O38" s="9"/>
      <c r="P38" s="8">
        <v>201</v>
      </c>
      <c r="Q38" s="9">
        <f t="shared" si="0"/>
        <v>40.200000000000003</v>
      </c>
      <c r="R38" s="9">
        <f t="shared" si="1"/>
        <v>0.84100418410041844</v>
      </c>
      <c r="S38" s="10" t="str">
        <f t="shared" si="2"/>
        <v/>
      </c>
      <c r="T38" s="11" t="str">
        <f t="shared" ca="1" si="3"/>
        <v/>
      </c>
      <c r="U38" s="10" t="str">
        <f t="shared" si="4"/>
        <v/>
      </c>
    </row>
    <row r="39" spans="1:21" x14ac:dyDescent="0.25">
      <c r="A39" s="5" t="s">
        <v>53</v>
      </c>
      <c r="B39" s="6" t="s">
        <v>18</v>
      </c>
      <c r="C39" s="7">
        <v>0</v>
      </c>
      <c r="D39" s="8">
        <v>12</v>
      </c>
      <c r="E39" s="9"/>
      <c r="F39" s="9"/>
      <c r="G39" s="9"/>
      <c r="H39" s="8">
        <v>24</v>
      </c>
      <c r="I39" s="9"/>
      <c r="J39" s="9"/>
      <c r="K39" s="9"/>
      <c r="L39" s="9"/>
      <c r="M39" s="9"/>
      <c r="N39" s="9"/>
      <c r="O39" s="9"/>
      <c r="P39" s="8">
        <v>36</v>
      </c>
      <c r="Q39" s="9">
        <f t="shared" si="0"/>
        <v>18</v>
      </c>
      <c r="R39" s="9">
        <f t="shared" si="1"/>
        <v>0.15062761506276151</v>
      </c>
      <c r="S39" s="10" t="str">
        <f t="shared" si="2"/>
        <v/>
      </c>
      <c r="T39" s="11" t="str">
        <f t="shared" ca="1" si="3"/>
        <v/>
      </c>
      <c r="U39" s="10" t="str">
        <f t="shared" si="4"/>
        <v/>
      </c>
    </row>
    <row r="40" spans="1:21" x14ac:dyDescent="0.25">
      <c r="A40" s="5" t="s">
        <v>54</v>
      </c>
      <c r="B40" s="6" t="s">
        <v>14</v>
      </c>
      <c r="C40" s="7">
        <v>0</v>
      </c>
      <c r="D40" s="9"/>
      <c r="E40" s="9"/>
      <c r="F40" s="9"/>
      <c r="G40" s="9"/>
      <c r="H40" s="9"/>
      <c r="I40" s="9"/>
      <c r="J40" s="9"/>
      <c r="K40" s="9"/>
      <c r="L40" s="8">
        <v>12</v>
      </c>
      <c r="M40" s="9"/>
      <c r="N40" s="9"/>
      <c r="O40" s="9"/>
      <c r="P40" s="8">
        <v>12</v>
      </c>
      <c r="Q40" s="9">
        <f t="shared" si="0"/>
        <v>12</v>
      </c>
      <c r="R40" s="9">
        <f t="shared" si="1"/>
        <v>5.0209205020920501E-2</v>
      </c>
      <c r="S40" s="10" t="str">
        <f t="shared" si="2"/>
        <v/>
      </c>
      <c r="T40" s="11" t="str">
        <f t="shared" ca="1" si="3"/>
        <v/>
      </c>
      <c r="U40" s="10" t="str">
        <f t="shared" si="4"/>
        <v/>
      </c>
    </row>
    <row r="41" spans="1:21" x14ac:dyDescent="0.25">
      <c r="A41" s="18" t="s">
        <v>12</v>
      </c>
      <c r="B41" s="3"/>
      <c r="C41" s="4">
        <f>SUM(C5:C40)</f>
        <v>56392</v>
      </c>
      <c r="D41" s="4">
        <f t="shared" ref="D41:T41" si="5">SUM(D5:D40)</f>
        <v>22653</v>
      </c>
      <c r="E41" s="4">
        <f t="shared" si="5"/>
        <v>10259</v>
      </c>
      <c r="F41" s="4">
        <f t="shared" si="5"/>
        <v>2325</v>
      </c>
      <c r="G41" s="4">
        <f t="shared" si="5"/>
        <v>7698</v>
      </c>
      <c r="H41" s="4">
        <f t="shared" si="5"/>
        <v>12162</v>
      </c>
      <c r="I41" s="4">
        <f t="shared" si="5"/>
        <v>11129</v>
      </c>
      <c r="J41" s="4">
        <f t="shared" si="5"/>
        <v>8274</v>
      </c>
      <c r="K41" s="4">
        <f t="shared" si="5"/>
        <v>19548</v>
      </c>
      <c r="L41" s="4">
        <f t="shared" si="5"/>
        <v>67310</v>
      </c>
      <c r="M41" s="4">
        <f t="shared" si="5"/>
        <v>39586</v>
      </c>
      <c r="N41" s="4">
        <f t="shared" si="5"/>
        <v>10675</v>
      </c>
      <c r="O41" s="4">
        <f t="shared" si="5"/>
        <v>29076</v>
      </c>
      <c r="P41" s="4">
        <f t="shared" si="5"/>
        <v>240695</v>
      </c>
      <c r="Q41" s="4">
        <f>AVERAGE(Q5:Q40)</f>
        <v>1124.9125841750838</v>
      </c>
      <c r="R41" s="4">
        <f>AVERAGE(R5:R40)</f>
        <v>27.974779172477909</v>
      </c>
      <c r="S41" s="4">
        <f t="shared" si="5"/>
        <v>110628.87866108786</v>
      </c>
      <c r="T41" s="4">
        <f t="shared" ca="1" si="5"/>
        <v>740456.9736485295</v>
      </c>
      <c r="U41" s="4">
        <f>SUM(U5,U6,U9,U10,U11,U13,U14,U21,U32,U33)</f>
        <v>-67890.267782426759</v>
      </c>
    </row>
  </sheetData>
  <autoFilter ref="A4:U40" xr:uid="{00000000-0001-0000-0000-000000000000}"/>
  <conditionalFormatting sqref="U1:U104857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8" scale="66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A490-579F-4A05-9970-FF948F19CDC5}">
  <sheetPr codeName="Planilha2">
    <pageSetUpPr fitToPage="1"/>
  </sheetPr>
  <dimension ref="A3:Q20"/>
  <sheetViews>
    <sheetView tabSelected="1" zoomScaleNormal="100" workbookViewId="0">
      <selection activeCell="Q9" sqref="Q9"/>
    </sheetView>
  </sheetViews>
  <sheetFormatPr defaultRowHeight="15" x14ac:dyDescent="0.25"/>
  <cols>
    <col min="1" max="1" width="18.42578125" customWidth="1"/>
    <col min="2" max="2" width="13.42578125" bestFit="1" customWidth="1"/>
    <col min="3" max="3" width="36.28515625" style="1" bestFit="1" customWidth="1"/>
    <col min="4" max="10" width="0" style="1" hidden="1" customWidth="1"/>
    <col min="11" max="11" width="9.140625" style="1"/>
    <col min="12" max="12" width="10.5703125" style="1" bestFit="1" customWidth="1"/>
    <col min="13" max="13" width="19.7109375" style="1" hidden="1" customWidth="1"/>
    <col min="14" max="14" width="24.42578125" bestFit="1" customWidth="1"/>
    <col min="15" max="16" width="10.7109375" bestFit="1" customWidth="1"/>
    <col min="17" max="17" width="12.7109375" customWidth="1"/>
  </cols>
  <sheetData>
    <row r="3" spans="1:17" x14ac:dyDescent="0.25">
      <c r="O3" s="2">
        <v>46087</v>
      </c>
      <c r="P3" s="2">
        <v>46092</v>
      </c>
      <c r="Q3" s="2">
        <v>46098</v>
      </c>
    </row>
    <row r="4" spans="1:17" s="17" customFormat="1" x14ac:dyDescent="0.25">
      <c r="A4" s="12" t="s">
        <v>55</v>
      </c>
      <c r="B4" s="13" t="s">
        <v>56</v>
      </c>
      <c r="C4" s="14" t="s">
        <v>58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12</v>
      </c>
      <c r="L4" s="15">
        <v>2026</v>
      </c>
      <c r="M4" s="15" t="s">
        <v>62</v>
      </c>
      <c r="N4" s="13" t="s">
        <v>59</v>
      </c>
    </row>
    <row r="5" spans="1:17" x14ac:dyDescent="0.25">
      <c r="A5" s="5" t="s">
        <v>19</v>
      </c>
      <c r="B5" s="6" t="s">
        <v>13</v>
      </c>
      <c r="C5" s="7">
        <v>8266</v>
      </c>
      <c r="D5" s="8">
        <v>600</v>
      </c>
      <c r="E5" s="8">
        <v>5250</v>
      </c>
      <c r="F5" s="8">
        <v>6772</v>
      </c>
      <c r="G5" s="8">
        <v>3405</v>
      </c>
      <c r="H5" s="8">
        <v>2697</v>
      </c>
      <c r="I5" s="8">
        <v>6563</v>
      </c>
      <c r="J5" s="8">
        <v>22259</v>
      </c>
      <c r="K5" s="8">
        <f t="shared" ref="K5:K18" si="0">SUM(D5:J5)</f>
        <v>47546</v>
      </c>
      <c r="L5" s="8">
        <f>K5*55%</f>
        <v>26150.300000000003</v>
      </c>
      <c r="M5" s="9">
        <f t="shared" ref="M5:M18" si="1">K5/239</f>
        <v>198.93723849372384</v>
      </c>
      <c r="N5" s="10">
        <f>L5-C5</f>
        <v>17884.300000000003</v>
      </c>
      <c r="O5">
        <f>45*12</f>
        <v>540</v>
      </c>
      <c r="P5">
        <f>12*14</f>
        <v>168</v>
      </c>
      <c r="Q5">
        <f>12*30</f>
        <v>360</v>
      </c>
    </row>
    <row r="6" spans="1:17" x14ac:dyDescent="0.25">
      <c r="A6" s="5" t="s">
        <v>20</v>
      </c>
      <c r="B6" s="6" t="s">
        <v>14</v>
      </c>
      <c r="C6" s="7">
        <v>1932</v>
      </c>
      <c r="D6" s="8">
        <v>264</v>
      </c>
      <c r="E6" s="8">
        <v>609</v>
      </c>
      <c r="F6" s="8">
        <v>448</v>
      </c>
      <c r="G6" s="8">
        <v>2315</v>
      </c>
      <c r="H6" s="8">
        <v>446</v>
      </c>
      <c r="I6" s="8">
        <v>1792</v>
      </c>
      <c r="J6" s="8">
        <v>5337</v>
      </c>
      <c r="K6" s="8">
        <f t="shared" si="0"/>
        <v>11211</v>
      </c>
      <c r="L6" s="8">
        <f t="shared" ref="L6:L18" si="2">K6*55%</f>
        <v>6166.05</v>
      </c>
      <c r="M6" s="9">
        <f t="shared" si="1"/>
        <v>46.90794979079498</v>
      </c>
      <c r="N6" s="10">
        <f t="shared" ref="N6:N18" si="3">L6-C6</f>
        <v>4234.05</v>
      </c>
      <c r="O6">
        <f>12*12</f>
        <v>144</v>
      </c>
      <c r="Q6">
        <f>12*21</f>
        <v>252</v>
      </c>
    </row>
    <row r="7" spans="1:17" x14ac:dyDescent="0.25">
      <c r="A7" s="5" t="s">
        <v>21</v>
      </c>
      <c r="B7" s="6" t="s">
        <v>13</v>
      </c>
      <c r="C7" s="7">
        <v>0</v>
      </c>
      <c r="D7" s="9"/>
      <c r="E7" s="9"/>
      <c r="F7" s="9"/>
      <c r="G7" s="9"/>
      <c r="H7" s="9"/>
      <c r="I7" s="9"/>
      <c r="J7" s="8">
        <v>11988</v>
      </c>
      <c r="K7" s="8">
        <f t="shared" si="0"/>
        <v>11988</v>
      </c>
      <c r="L7" s="8">
        <f t="shared" si="2"/>
        <v>6593.4000000000005</v>
      </c>
      <c r="M7" s="9">
        <f t="shared" si="1"/>
        <v>50.15899581589958</v>
      </c>
      <c r="N7" s="10">
        <f t="shared" si="3"/>
        <v>6593.4000000000005</v>
      </c>
    </row>
    <row r="8" spans="1:17" x14ac:dyDescent="0.25">
      <c r="A8" s="5" t="s">
        <v>22</v>
      </c>
      <c r="B8" s="6" t="s">
        <v>13</v>
      </c>
      <c r="C8" s="7">
        <v>0</v>
      </c>
      <c r="D8" s="8">
        <v>312</v>
      </c>
      <c r="E8" s="8">
        <v>408</v>
      </c>
      <c r="F8" s="8">
        <v>280</v>
      </c>
      <c r="G8" s="8">
        <v>2046</v>
      </c>
      <c r="H8" s="8">
        <v>871</v>
      </c>
      <c r="I8" s="8">
        <v>216</v>
      </c>
      <c r="J8" s="8">
        <v>3085</v>
      </c>
      <c r="K8" s="8">
        <f t="shared" si="0"/>
        <v>7218</v>
      </c>
      <c r="L8" s="8">
        <f t="shared" si="2"/>
        <v>3969.9000000000005</v>
      </c>
      <c r="M8" s="9">
        <f t="shared" si="1"/>
        <v>30.200836820083683</v>
      </c>
      <c r="N8" s="10">
        <f t="shared" si="3"/>
        <v>3969.9000000000005</v>
      </c>
    </row>
    <row r="9" spans="1:17" x14ac:dyDescent="0.25">
      <c r="A9" s="5" t="s">
        <v>23</v>
      </c>
      <c r="B9" s="6" t="s">
        <v>13</v>
      </c>
      <c r="C9" s="7">
        <v>624</v>
      </c>
      <c r="D9" s="8">
        <v>156</v>
      </c>
      <c r="E9" s="8">
        <v>351</v>
      </c>
      <c r="F9" s="8">
        <v>1071</v>
      </c>
      <c r="G9" s="8">
        <v>339</v>
      </c>
      <c r="H9" s="8">
        <v>711</v>
      </c>
      <c r="I9" s="8">
        <v>1374</v>
      </c>
      <c r="J9" s="8">
        <v>4083</v>
      </c>
      <c r="K9" s="8">
        <f t="shared" si="0"/>
        <v>8085</v>
      </c>
      <c r="L9" s="8">
        <f t="shared" si="2"/>
        <v>4446.75</v>
      </c>
      <c r="M9" s="9">
        <f t="shared" si="1"/>
        <v>33.828451882845187</v>
      </c>
      <c r="N9" s="10">
        <f t="shared" si="3"/>
        <v>3822.75</v>
      </c>
      <c r="P9">
        <f>12*40</f>
        <v>480</v>
      </c>
      <c r="Q9">
        <f>12*30</f>
        <v>360</v>
      </c>
    </row>
    <row r="10" spans="1:17" x14ac:dyDescent="0.25">
      <c r="A10" s="5" t="s">
        <v>28</v>
      </c>
      <c r="B10" s="6" t="s">
        <v>13</v>
      </c>
      <c r="C10" s="7">
        <v>12</v>
      </c>
      <c r="D10" s="9"/>
      <c r="E10" s="9"/>
      <c r="F10" s="9"/>
      <c r="G10" s="9"/>
      <c r="H10" s="9"/>
      <c r="I10" s="9"/>
      <c r="J10" s="8">
        <v>1935</v>
      </c>
      <c r="K10" s="8">
        <f t="shared" si="0"/>
        <v>1935</v>
      </c>
      <c r="L10" s="8">
        <f t="shared" si="2"/>
        <v>1064.25</v>
      </c>
      <c r="M10" s="9">
        <f t="shared" si="1"/>
        <v>8.0962343096234317</v>
      </c>
      <c r="N10" s="10">
        <f t="shared" si="3"/>
        <v>1052.25</v>
      </c>
    </row>
    <row r="11" spans="1:17" x14ac:dyDescent="0.25">
      <c r="A11" s="5" t="s">
        <v>29</v>
      </c>
      <c r="B11" s="6" t="s">
        <v>14</v>
      </c>
      <c r="C11" s="7">
        <v>0</v>
      </c>
      <c r="D11" s="9"/>
      <c r="E11" s="8">
        <v>18</v>
      </c>
      <c r="F11" s="8">
        <v>66</v>
      </c>
      <c r="G11" s="8">
        <v>84</v>
      </c>
      <c r="H11" s="8">
        <v>57</v>
      </c>
      <c r="I11" s="8">
        <v>69</v>
      </c>
      <c r="J11" s="8">
        <v>138</v>
      </c>
      <c r="K11" s="8">
        <f t="shared" si="0"/>
        <v>432</v>
      </c>
      <c r="L11" s="8">
        <f t="shared" si="2"/>
        <v>237.60000000000002</v>
      </c>
      <c r="M11" s="9">
        <f t="shared" si="1"/>
        <v>1.8075313807531381</v>
      </c>
      <c r="N11" s="10">
        <f t="shared" si="3"/>
        <v>237.60000000000002</v>
      </c>
    </row>
    <row r="12" spans="1:17" x14ac:dyDescent="0.25">
      <c r="A12" s="5" t="s">
        <v>30</v>
      </c>
      <c r="B12" s="6" t="s">
        <v>14</v>
      </c>
      <c r="C12" s="7">
        <v>0</v>
      </c>
      <c r="D12" s="9"/>
      <c r="E12" s="9"/>
      <c r="F12" s="9"/>
      <c r="G12" s="9"/>
      <c r="H12" s="9"/>
      <c r="I12" s="8">
        <v>51</v>
      </c>
      <c r="J12" s="8">
        <v>1236</v>
      </c>
      <c r="K12" s="8">
        <f t="shared" si="0"/>
        <v>1287</v>
      </c>
      <c r="L12" s="8">
        <f t="shared" si="2"/>
        <v>707.85</v>
      </c>
      <c r="M12" s="9">
        <f t="shared" si="1"/>
        <v>5.3849372384937242</v>
      </c>
      <c r="N12" s="10">
        <f t="shared" si="3"/>
        <v>707.85</v>
      </c>
    </row>
    <row r="13" spans="1:17" hidden="1" x14ac:dyDescent="0.25">
      <c r="A13" s="5" t="s">
        <v>31</v>
      </c>
      <c r="B13" s="6" t="s">
        <v>15</v>
      </c>
      <c r="C13" s="7">
        <v>0</v>
      </c>
      <c r="D13" s="9"/>
      <c r="E13" s="9"/>
      <c r="F13" s="9"/>
      <c r="G13" s="9"/>
      <c r="H13" s="9"/>
      <c r="I13" s="9"/>
      <c r="J13" s="9"/>
      <c r="K13" s="8">
        <f t="shared" si="0"/>
        <v>0</v>
      </c>
      <c r="L13" s="8">
        <f t="shared" si="2"/>
        <v>0</v>
      </c>
      <c r="M13" s="9">
        <f t="shared" si="1"/>
        <v>0</v>
      </c>
      <c r="N13" s="10">
        <f t="shared" si="3"/>
        <v>0</v>
      </c>
    </row>
    <row r="14" spans="1:17" hidden="1" x14ac:dyDescent="0.25">
      <c r="A14" s="5" t="s">
        <v>32</v>
      </c>
      <c r="B14" s="6" t="s">
        <v>15</v>
      </c>
      <c r="C14" s="7">
        <v>0</v>
      </c>
      <c r="D14" s="9"/>
      <c r="E14" s="9"/>
      <c r="F14" s="9"/>
      <c r="G14" s="9"/>
      <c r="H14" s="9"/>
      <c r="I14" s="9"/>
      <c r="J14" s="9"/>
      <c r="K14" s="8">
        <f t="shared" si="0"/>
        <v>0</v>
      </c>
      <c r="L14" s="8">
        <f t="shared" si="2"/>
        <v>0</v>
      </c>
      <c r="M14" s="9">
        <f t="shared" si="1"/>
        <v>0</v>
      </c>
      <c r="N14" s="10">
        <f t="shared" si="3"/>
        <v>0</v>
      </c>
    </row>
    <row r="15" spans="1:17" hidden="1" x14ac:dyDescent="0.25">
      <c r="A15" s="5" t="s">
        <v>33</v>
      </c>
      <c r="B15" s="6" t="s">
        <v>14</v>
      </c>
      <c r="C15" s="7">
        <v>0</v>
      </c>
      <c r="D15" s="9"/>
      <c r="E15" s="9"/>
      <c r="F15" s="9"/>
      <c r="G15" s="9"/>
      <c r="H15" s="9"/>
      <c r="I15" s="9"/>
      <c r="J15" s="9"/>
      <c r="K15" s="8">
        <f t="shared" si="0"/>
        <v>0</v>
      </c>
      <c r="L15" s="8">
        <f t="shared" si="2"/>
        <v>0</v>
      </c>
      <c r="M15" s="9">
        <f t="shared" si="1"/>
        <v>0</v>
      </c>
      <c r="N15" s="10">
        <f t="shared" si="3"/>
        <v>0</v>
      </c>
    </row>
    <row r="16" spans="1:17" x14ac:dyDescent="0.25">
      <c r="A16" s="5" t="s">
        <v>43</v>
      </c>
      <c r="B16" s="6" t="s">
        <v>14</v>
      </c>
      <c r="C16" s="7">
        <v>0</v>
      </c>
      <c r="D16" s="8">
        <v>84</v>
      </c>
      <c r="E16" s="8">
        <v>390</v>
      </c>
      <c r="F16" s="8">
        <v>1074</v>
      </c>
      <c r="G16" s="8">
        <v>819</v>
      </c>
      <c r="H16" s="8">
        <v>1497</v>
      </c>
      <c r="I16" s="8">
        <v>1695</v>
      </c>
      <c r="J16" s="8">
        <v>3261</v>
      </c>
      <c r="K16" s="8">
        <f t="shared" si="0"/>
        <v>8820</v>
      </c>
      <c r="L16" s="8">
        <f t="shared" si="2"/>
        <v>4851</v>
      </c>
      <c r="M16" s="9">
        <f t="shared" si="1"/>
        <v>36.903765690376567</v>
      </c>
      <c r="N16" s="10">
        <f t="shared" si="3"/>
        <v>4851</v>
      </c>
    </row>
    <row r="17" spans="1:17" x14ac:dyDescent="0.25">
      <c r="A17" s="5" t="s">
        <v>44</v>
      </c>
      <c r="B17" s="6" t="s">
        <v>13</v>
      </c>
      <c r="C17" s="7">
        <v>0</v>
      </c>
      <c r="D17" s="8">
        <v>213</v>
      </c>
      <c r="E17" s="8">
        <v>84</v>
      </c>
      <c r="F17" s="8">
        <v>513</v>
      </c>
      <c r="G17" s="8">
        <v>354</v>
      </c>
      <c r="H17" s="8">
        <v>468</v>
      </c>
      <c r="I17" s="8">
        <v>2664</v>
      </c>
      <c r="J17" s="8">
        <v>1392</v>
      </c>
      <c r="K17" s="8">
        <f t="shared" si="0"/>
        <v>5688</v>
      </c>
      <c r="L17" s="8">
        <f t="shared" si="2"/>
        <v>3128.4</v>
      </c>
      <c r="M17" s="9">
        <f t="shared" si="1"/>
        <v>23.799163179916317</v>
      </c>
      <c r="N17" s="10">
        <f t="shared" si="3"/>
        <v>3128.4</v>
      </c>
    </row>
    <row r="18" spans="1:17" x14ac:dyDescent="0.25">
      <c r="A18" s="5" t="s">
        <v>45</v>
      </c>
      <c r="B18" s="6" t="s">
        <v>14</v>
      </c>
      <c r="C18" s="7">
        <v>0</v>
      </c>
      <c r="D18" s="9"/>
      <c r="E18" s="9"/>
      <c r="F18" s="9"/>
      <c r="G18" s="9"/>
      <c r="H18" s="9"/>
      <c r="I18" s="9"/>
      <c r="J18" s="8">
        <v>2472</v>
      </c>
      <c r="K18" s="8">
        <f t="shared" si="0"/>
        <v>2472</v>
      </c>
      <c r="L18" s="8">
        <f t="shared" si="2"/>
        <v>1359.6000000000001</v>
      </c>
      <c r="M18" s="9">
        <f t="shared" si="1"/>
        <v>10.343096234309623</v>
      </c>
      <c r="N18" s="10">
        <f t="shared" si="3"/>
        <v>1359.6000000000001</v>
      </c>
    </row>
    <row r="19" spans="1:17" x14ac:dyDescent="0.25">
      <c r="A19" s="18" t="s">
        <v>12</v>
      </c>
      <c r="B19" s="3"/>
      <c r="C19" s="4">
        <f t="shared" ref="C19:K19" si="4">SUM(C5:C18)</f>
        <v>10834</v>
      </c>
      <c r="D19" s="4">
        <f t="shared" si="4"/>
        <v>1629</v>
      </c>
      <c r="E19" s="4">
        <f t="shared" si="4"/>
        <v>7110</v>
      </c>
      <c r="F19" s="4">
        <f t="shared" si="4"/>
        <v>10224</v>
      </c>
      <c r="G19" s="4">
        <f t="shared" si="4"/>
        <v>9362</v>
      </c>
      <c r="H19" s="4">
        <f t="shared" si="4"/>
        <v>6747</v>
      </c>
      <c r="I19" s="4">
        <f t="shared" si="4"/>
        <v>14424</v>
      </c>
      <c r="J19" s="4">
        <f t="shared" si="4"/>
        <v>57186</v>
      </c>
      <c r="K19" s="4">
        <f t="shared" si="4"/>
        <v>106682</v>
      </c>
      <c r="L19" s="4"/>
      <c r="M19" s="4">
        <f>AVERAGE(M5:M18)</f>
        <v>31.883442916915715</v>
      </c>
      <c r="N19" s="4">
        <f>SUM(N5:N18)</f>
        <v>47841.100000000006</v>
      </c>
    </row>
    <row r="20" spans="1:17" x14ac:dyDescent="0.25">
      <c r="O20">
        <f>SUM(O4:O19)</f>
        <v>684</v>
      </c>
      <c r="P20">
        <f t="shared" ref="P20:Q20" si="5">SUM(P4:P19)</f>
        <v>648</v>
      </c>
      <c r="Q20">
        <f t="shared" si="5"/>
        <v>972</v>
      </c>
    </row>
  </sheetData>
  <autoFilter ref="A4:N18" xr:uid="{00000000-0001-0000-0000-000000000000}"/>
  <pageMargins left="0.511811024" right="0.511811024" top="0.78740157499999996" bottom="0.78740157499999996" header="0.31496062000000002" footer="0.31496062000000002"/>
  <pageSetup paperSize="9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carlos.gomes</dc:creator>
  <cp:lastModifiedBy>carlos.gomes</cp:lastModifiedBy>
  <cp:lastPrinted>2026-02-26T18:32:30Z</cp:lastPrinted>
  <dcterms:created xsi:type="dcterms:W3CDTF">2026-02-25T19:25:20Z</dcterms:created>
  <dcterms:modified xsi:type="dcterms:W3CDTF">2026-03-17T16:42:48Z</dcterms:modified>
</cp:coreProperties>
</file>