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s.gomes\Downloads\"/>
    </mc:Choice>
  </mc:AlternateContent>
  <xr:revisionPtr revIDLastSave="0" documentId="13_ncr:1_{99C26B9E-73F6-4B92-9F14-5A0E0014CE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RATIVO VENDAS POR CLIENTE" sheetId="1" r:id="rId1"/>
  </sheets>
  <definedNames>
    <definedName name="_xlnm._FilterDatabase" localSheetId="0" hidden="1">'COMPARATIVO VENDAS POR CLIENTE'!$A$1:$N$6364</definedName>
    <definedName name="_xlnm.Print_Titles" localSheetId="0">'COMPARATIVO VENDAS POR CLIENTE'!$1:$1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2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2" i="1"/>
  <c r="K2" i="1" s="1"/>
  <c r="K3" i="1" l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 s="1"/>
  <c r="K2635" i="1" s="1"/>
  <c r="K2636" i="1" s="1"/>
  <c r="K2637" i="1" s="1"/>
  <c r="K2638" i="1" s="1"/>
  <c r="K2639" i="1" s="1"/>
  <c r="K2640" i="1" s="1"/>
  <c r="K2641" i="1" s="1"/>
  <c r="K2642" i="1" s="1"/>
  <c r="K2643" i="1" s="1"/>
  <c r="K2644" i="1" s="1"/>
  <c r="K2645" i="1" s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K2666" i="1" s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K2688" i="1" s="1"/>
  <c r="K2689" i="1" s="1"/>
  <c r="K2690" i="1" s="1"/>
  <c r="K2691" i="1" s="1"/>
  <c r="K2692" i="1" s="1"/>
  <c r="K2693" i="1" s="1"/>
  <c r="K2694" i="1" s="1"/>
  <c r="K2695" i="1" s="1"/>
  <c r="K2696" i="1" s="1"/>
  <c r="K2697" i="1" s="1"/>
  <c r="K2698" i="1" s="1"/>
  <c r="K2699" i="1" s="1"/>
  <c r="K2700" i="1" s="1"/>
  <c r="K2701" i="1" s="1"/>
  <c r="K2702" i="1" s="1"/>
  <c r="K2703" i="1" s="1"/>
  <c r="K2704" i="1" s="1"/>
  <c r="K2705" i="1" s="1"/>
  <c r="K2706" i="1" s="1"/>
  <c r="K2707" i="1" s="1"/>
  <c r="K2708" i="1" s="1"/>
  <c r="K2709" i="1" s="1"/>
  <c r="K2710" i="1" s="1"/>
  <c r="K2711" i="1" s="1"/>
  <c r="K2712" i="1" s="1"/>
  <c r="K2713" i="1" s="1"/>
  <c r="K2714" i="1" s="1"/>
  <c r="K2715" i="1" s="1"/>
  <c r="K2716" i="1" s="1"/>
  <c r="K2717" i="1" s="1"/>
  <c r="K2718" i="1" s="1"/>
  <c r="K2719" i="1" s="1"/>
  <c r="K2720" i="1" s="1"/>
  <c r="K2721" i="1" s="1"/>
  <c r="K2722" i="1" s="1"/>
  <c r="K2723" i="1" s="1"/>
  <c r="K2724" i="1" s="1"/>
  <c r="K2725" i="1" s="1"/>
  <c r="K2726" i="1" s="1"/>
  <c r="K2727" i="1" s="1"/>
  <c r="K2728" i="1" s="1"/>
  <c r="K2729" i="1" s="1"/>
  <c r="K2730" i="1" s="1"/>
  <c r="K2731" i="1" s="1"/>
  <c r="K2732" i="1" s="1"/>
  <c r="K2733" i="1" s="1"/>
  <c r="K2734" i="1" s="1"/>
  <c r="K2735" i="1" s="1"/>
  <c r="K2736" i="1" s="1"/>
  <c r="K2737" i="1" s="1"/>
  <c r="K2738" i="1" s="1"/>
  <c r="K2739" i="1" s="1"/>
  <c r="K2740" i="1" s="1"/>
  <c r="K2741" i="1" s="1"/>
  <c r="K2742" i="1" s="1"/>
  <c r="K2743" i="1" s="1"/>
  <c r="K2744" i="1" s="1"/>
  <c r="K2745" i="1" s="1"/>
  <c r="K2746" i="1" s="1"/>
  <c r="K2747" i="1" s="1"/>
  <c r="K2748" i="1" s="1"/>
  <c r="K2749" i="1" s="1"/>
  <c r="K2750" i="1" s="1"/>
  <c r="K2751" i="1" s="1"/>
  <c r="K2752" i="1" s="1"/>
  <c r="K2753" i="1" s="1"/>
  <c r="K2754" i="1" s="1"/>
  <c r="K2755" i="1" s="1"/>
  <c r="K2756" i="1" s="1"/>
  <c r="K2757" i="1" s="1"/>
  <c r="K2758" i="1" s="1"/>
  <c r="K2759" i="1" s="1"/>
  <c r="K2760" i="1" s="1"/>
  <c r="K2761" i="1" s="1"/>
  <c r="K2762" i="1" s="1"/>
  <c r="K2763" i="1" s="1"/>
  <c r="K2764" i="1" s="1"/>
  <c r="K2765" i="1" s="1"/>
  <c r="K2766" i="1" s="1"/>
  <c r="K2767" i="1" s="1"/>
  <c r="K2768" i="1" s="1"/>
  <c r="K2769" i="1" s="1"/>
  <c r="K2770" i="1" s="1"/>
  <c r="K2771" i="1" s="1"/>
  <c r="K2772" i="1" s="1"/>
  <c r="K2773" i="1" s="1"/>
  <c r="K2774" i="1" s="1"/>
  <c r="K2775" i="1" s="1"/>
  <c r="K2776" i="1" s="1"/>
  <c r="K2777" i="1" s="1"/>
  <c r="K2778" i="1" s="1"/>
  <c r="K2779" i="1" s="1"/>
  <c r="K2780" i="1" s="1"/>
  <c r="K2781" i="1" s="1"/>
  <c r="K2782" i="1" s="1"/>
  <c r="K2783" i="1" s="1"/>
  <c r="K2784" i="1" s="1"/>
  <c r="K2785" i="1" s="1"/>
  <c r="K2786" i="1" s="1"/>
  <c r="K2787" i="1" s="1"/>
  <c r="K2788" i="1" s="1"/>
  <c r="K2789" i="1" s="1"/>
  <c r="K2790" i="1" s="1"/>
  <c r="K2791" i="1" s="1"/>
  <c r="K2792" i="1" s="1"/>
  <c r="K2793" i="1" s="1"/>
  <c r="K2794" i="1" s="1"/>
  <c r="K2795" i="1" s="1"/>
  <c r="K2796" i="1" s="1"/>
  <c r="K2797" i="1" s="1"/>
  <c r="K2798" i="1" s="1"/>
  <c r="K2799" i="1" s="1"/>
  <c r="K2800" i="1" s="1"/>
  <c r="K2801" i="1" s="1"/>
  <c r="K2802" i="1" s="1"/>
  <c r="K2803" i="1" s="1"/>
  <c r="K2804" i="1" s="1"/>
  <c r="K2805" i="1" s="1"/>
  <c r="K2806" i="1" s="1"/>
  <c r="K2807" i="1" s="1"/>
  <c r="K2808" i="1" s="1"/>
  <c r="K2809" i="1" s="1"/>
  <c r="K2810" i="1" s="1"/>
  <c r="K2811" i="1" s="1"/>
  <c r="K2812" i="1" s="1"/>
  <c r="K2813" i="1" s="1"/>
  <c r="K2814" i="1" s="1"/>
  <c r="K2815" i="1" s="1"/>
  <c r="K2816" i="1" s="1"/>
  <c r="K2817" i="1" s="1"/>
  <c r="K2818" i="1" s="1"/>
  <c r="K2819" i="1" s="1"/>
  <c r="K2820" i="1" s="1"/>
  <c r="K2821" i="1" s="1"/>
  <c r="K2822" i="1" s="1"/>
  <c r="K2823" i="1" s="1"/>
  <c r="K2824" i="1" s="1"/>
  <c r="K2825" i="1" s="1"/>
  <c r="K2826" i="1" s="1"/>
  <c r="K2827" i="1" s="1"/>
  <c r="K2828" i="1" s="1"/>
  <c r="K2829" i="1" s="1"/>
  <c r="K2830" i="1" s="1"/>
  <c r="K2831" i="1" s="1"/>
  <c r="K2832" i="1" s="1"/>
  <c r="K2833" i="1" s="1"/>
  <c r="K2834" i="1" s="1"/>
  <c r="K2835" i="1" s="1"/>
  <c r="K2836" i="1" s="1"/>
  <c r="K2837" i="1" s="1"/>
  <c r="K2838" i="1" s="1"/>
  <c r="K2839" i="1" s="1"/>
  <c r="K2840" i="1" s="1"/>
  <c r="K2841" i="1" s="1"/>
  <c r="K2842" i="1" s="1"/>
  <c r="K2843" i="1" s="1"/>
  <c r="K2844" i="1" s="1"/>
  <c r="K2845" i="1" s="1"/>
  <c r="K2846" i="1" s="1"/>
  <c r="K2847" i="1" s="1"/>
  <c r="K2848" i="1" s="1"/>
  <c r="K2849" i="1" s="1"/>
  <c r="K2850" i="1" s="1"/>
  <c r="K2851" i="1" s="1"/>
  <c r="K2852" i="1" s="1"/>
  <c r="K2853" i="1" s="1"/>
  <c r="K2854" i="1" s="1"/>
  <c r="K2855" i="1" s="1"/>
  <c r="K2856" i="1" s="1"/>
  <c r="K2857" i="1" s="1"/>
  <c r="K2858" i="1" s="1"/>
  <c r="K2859" i="1" s="1"/>
  <c r="K2860" i="1" s="1"/>
  <c r="K2861" i="1" s="1"/>
  <c r="K2862" i="1" s="1"/>
  <c r="K2863" i="1" s="1"/>
  <c r="K2864" i="1" s="1"/>
  <c r="K2865" i="1" s="1"/>
  <c r="K2866" i="1" s="1"/>
  <c r="K2867" i="1" s="1"/>
  <c r="K2868" i="1" s="1"/>
  <c r="K2869" i="1" s="1"/>
  <c r="K2870" i="1" s="1"/>
  <c r="K2871" i="1" s="1"/>
  <c r="K2872" i="1" s="1"/>
  <c r="K2873" i="1" s="1"/>
  <c r="K2874" i="1" s="1"/>
  <c r="K2875" i="1" s="1"/>
  <c r="K2876" i="1" s="1"/>
  <c r="K2877" i="1" s="1"/>
  <c r="K2878" i="1" s="1"/>
  <c r="K2879" i="1" s="1"/>
  <c r="K2880" i="1" s="1"/>
  <c r="K2881" i="1" s="1"/>
  <c r="K2882" i="1" s="1"/>
  <c r="K2883" i="1" s="1"/>
  <c r="K2884" i="1" s="1"/>
  <c r="K2885" i="1" s="1"/>
  <c r="K2886" i="1" s="1"/>
  <c r="K2887" i="1" s="1"/>
  <c r="K2888" i="1" s="1"/>
  <c r="K2889" i="1" s="1"/>
  <c r="K2890" i="1" s="1"/>
  <c r="K2891" i="1" s="1"/>
  <c r="K2892" i="1" s="1"/>
  <c r="K2893" i="1" s="1"/>
  <c r="K2894" i="1" s="1"/>
  <c r="K2895" i="1" s="1"/>
  <c r="K2896" i="1" s="1"/>
  <c r="K2897" i="1" s="1"/>
  <c r="K2898" i="1" s="1"/>
  <c r="K2899" i="1" s="1"/>
  <c r="K2900" i="1" s="1"/>
  <c r="K2901" i="1" s="1"/>
  <c r="K2902" i="1" s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K2918" i="1" s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K2941" i="1" s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K2962" i="1" s="1"/>
  <c r="K2963" i="1" s="1"/>
  <c r="K2964" i="1" s="1"/>
  <c r="K2965" i="1" s="1"/>
  <c r="K2966" i="1" s="1"/>
  <c r="K2967" i="1" s="1"/>
  <c r="K2968" i="1" s="1"/>
  <c r="K2969" i="1" s="1"/>
  <c r="K2970" i="1" s="1"/>
  <c r="K2971" i="1" s="1"/>
  <c r="K2972" i="1" s="1"/>
  <c r="K2973" i="1" s="1"/>
  <c r="K2974" i="1" s="1"/>
  <c r="K2975" i="1" s="1"/>
  <c r="K2976" i="1" s="1"/>
  <c r="K2977" i="1" s="1"/>
  <c r="K2978" i="1" s="1"/>
  <c r="K2979" i="1" s="1"/>
  <c r="K2980" i="1" s="1"/>
  <c r="K2981" i="1" s="1"/>
  <c r="K2982" i="1" s="1"/>
  <c r="K2983" i="1" s="1"/>
  <c r="K2984" i="1" s="1"/>
  <c r="K2985" i="1" s="1"/>
  <c r="K2986" i="1" s="1"/>
  <c r="K2987" i="1" s="1"/>
  <c r="K2988" i="1" s="1"/>
  <c r="K2989" i="1" s="1"/>
  <c r="K2990" i="1" s="1"/>
  <c r="K2991" i="1" s="1"/>
  <c r="K2992" i="1" s="1"/>
  <c r="K2993" i="1" s="1"/>
  <c r="K2994" i="1" s="1"/>
  <c r="K2995" i="1" s="1"/>
  <c r="K2996" i="1" s="1"/>
  <c r="K2997" i="1" s="1"/>
  <c r="K2998" i="1" s="1"/>
  <c r="K2999" i="1" s="1"/>
  <c r="K3000" i="1" s="1"/>
  <c r="K3001" i="1" s="1"/>
  <c r="K3002" i="1" s="1"/>
  <c r="K3003" i="1" s="1"/>
  <c r="K3004" i="1" s="1"/>
  <c r="K3005" i="1" s="1"/>
  <c r="K3006" i="1" s="1"/>
  <c r="K3007" i="1" s="1"/>
  <c r="K3008" i="1" s="1"/>
  <c r="K3009" i="1" s="1"/>
  <c r="K3010" i="1" s="1"/>
  <c r="K3011" i="1" s="1"/>
  <c r="K3012" i="1" s="1"/>
  <c r="K3013" i="1" s="1"/>
  <c r="K3014" i="1" s="1"/>
  <c r="K3015" i="1" s="1"/>
  <c r="K3016" i="1" s="1"/>
  <c r="K3017" i="1" s="1"/>
  <c r="K3018" i="1" s="1"/>
  <c r="K3019" i="1" s="1"/>
  <c r="K3020" i="1" s="1"/>
  <c r="K3021" i="1" s="1"/>
  <c r="K3022" i="1" s="1"/>
  <c r="K3023" i="1" s="1"/>
  <c r="K3024" i="1" s="1"/>
  <c r="K3025" i="1" s="1"/>
  <c r="K3026" i="1" s="1"/>
  <c r="K3027" i="1" s="1"/>
  <c r="K3028" i="1" s="1"/>
  <c r="K3029" i="1" s="1"/>
  <c r="K3030" i="1" s="1"/>
  <c r="K3031" i="1" s="1"/>
  <c r="K3032" i="1" s="1"/>
  <c r="K3033" i="1" s="1"/>
  <c r="K3034" i="1" s="1"/>
  <c r="K3035" i="1" s="1"/>
  <c r="K3036" i="1" s="1"/>
  <c r="K3037" i="1" s="1"/>
  <c r="K3038" i="1" s="1"/>
  <c r="K3039" i="1" s="1"/>
  <c r="K3040" i="1" s="1"/>
  <c r="K3041" i="1" s="1"/>
  <c r="K3042" i="1" s="1"/>
  <c r="K3043" i="1" s="1"/>
  <c r="K3044" i="1" s="1"/>
  <c r="K3045" i="1" s="1"/>
  <c r="K3046" i="1" s="1"/>
  <c r="K3047" i="1" s="1"/>
  <c r="K3048" i="1" s="1"/>
  <c r="K3049" i="1" s="1"/>
  <c r="K3050" i="1" s="1"/>
  <c r="K3051" i="1" s="1"/>
  <c r="K3052" i="1" s="1"/>
  <c r="K3053" i="1" s="1"/>
  <c r="K3054" i="1" s="1"/>
  <c r="K3055" i="1" s="1"/>
  <c r="K3056" i="1" s="1"/>
  <c r="K3057" i="1" s="1"/>
  <c r="K3058" i="1" s="1"/>
  <c r="K3059" i="1" s="1"/>
  <c r="K3060" i="1" s="1"/>
  <c r="K3061" i="1" s="1"/>
  <c r="K3062" i="1" s="1"/>
  <c r="K3063" i="1" s="1"/>
  <c r="K3064" i="1" s="1"/>
  <c r="K3065" i="1" s="1"/>
  <c r="K3066" i="1" s="1"/>
  <c r="K3067" i="1" s="1"/>
  <c r="K3068" i="1" s="1"/>
  <c r="K3069" i="1" s="1"/>
  <c r="K3070" i="1" s="1"/>
  <c r="K3071" i="1" s="1"/>
  <c r="K3072" i="1" s="1"/>
  <c r="K3073" i="1" s="1"/>
  <c r="K3074" i="1" s="1"/>
  <c r="K3075" i="1" s="1"/>
  <c r="K3076" i="1" s="1"/>
  <c r="K3077" i="1" s="1"/>
  <c r="K3078" i="1" s="1"/>
  <c r="K3079" i="1" s="1"/>
  <c r="K3080" i="1" s="1"/>
  <c r="K3081" i="1" s="1"/>
  <c r="K3082" i="1" s="1"/>
  <c r="K3083" i="1" s="1"/>
  <c r="K3084" i="1" s="1"/>
  <c r="K3085" i="1" s="1"/>
  <c r="K3086" i="1" s="1"/>
  <c r="K3087" i="1" s="1"/>
  <c r="K3088" i="1" s="1"/>
  <c r="K3089" i="1" s="1"/>
  <c r="K3090" i="1" s="1"/>
  <c r="K3091" i="1" s="1"/>
  <c r="K3092" i="1" s="1"/>
  <c r="K3093" i="1" s="1"/>
  <c r="K3094" i="1" s="1"/>
  <c r="K3095" i="1" s="1"/>
  <c r="K3096" i="1" s="1"/>
  <c r="K3097" i="1" s="1"/>
  <c r="K3098" i="1" s="1"/>
  <c r="K3099" i="1" s="1"/>
  <c r="K3100" i="1" s="1"/>
  <c r="K3101" i="1" s="1"/>
  <c r="K3102" i="1" s="1"/>
  <c r="K3103" i="1" s="1"/>
  <c r="K3104" i="1" s="1"/>
  <c r="K3105" i="1" s="1"/>
  <c r="K3106" i="1" s="1"/>
  <c r="K3107" i="1" s="1"/>
  <c r="K3108" i="1" s="1"/>
  <c r="K3109" i="1" s="1"/>
  <c r="K3110" i="1" s="1"/>
  <c r="K3111" i="1" s="1"/>
  <c r="K3112" i="1" s="1"/>
  <c r="K3113" i="1" s="1"/>
  <c r="K3114" i="1" s="1"/>
  <c r="K3115" i="1" s="1"/>
  <c r="K3116" i="1" s="1"/>
  <c r="K3117" i="1" s="1"/>
  <c r="K3118" i="1" s="1"/>
  <c r="K3119" i="1" s="1"/>
  <c r="K3120" i="1" s="1"/>
  <c r="K3121" i="1" s="1"/>
  <c r="K3122" i="1" s="1"/>
  <c r="K3123" i="1" s="1"/>
  <c r="K3124" i="1" s="1"/>
  <c r="K3125" i="1" s="1"/>
  <c r="K3126" i="1" s="1"/>
  <c r="K3127" i="1" s="1"/>
  <c r="K3128" i="1" s="1"/>
  <c r="K3129" i="1" s="1"/>
  <c r="K3130" i="1" s="1"/>
  <c r="K3131" i="1" s="1"/>
  <c r="K3132" i="1" s="1"/>
  <c r="K3133" i="1" s="1"/>
  <c r="K3134" i="1" s="1"/>
  <c r="K3135" i="1" s="1"/>
  <c r="K3136" i="1" s="1"/>
  <c r="K3137" i="1" s="1"/>
  <c r="K3138" i="1" s="1"/>
  <c r="K3139" i="1" s="1"/>
  <c r="K3140" i="1" s="1"/>
  <c r="K3141" i="1" s="1"/>
  <c r="K3142" i="1" s="1"/>
  <c r="K3143" i="1" s="1"/>
  <c r="K3144" i="1" s="1"/>
  <c r="K3145" i="1" s="1"/>
  <c r="K3146" i="1" s="1"/>
  <c r="K3147" i="1" s="1"/>
  <c r="K3148" i="1" s="1"/>
  <c r="K3149" i="1" s="1"/>
  <c r="K3150" i="1" s="1"/>
  <c r="K3151" i="1" s="1"/>
  <c r="K3152" i="1" s="1"/>
  <c r="K3153" i="1" s="1"/>
  <c r="K3154" i="1" s="1"/>
  <c r="K3155" i="1" s="1"/>
  <c r="K3156" i="1" s="1"/>
  <c r="K3157" i="1" s="1"/>
  <c r="K3158" i="1" s="1"/>
  <c r="K3159" i="1" s="1"/>
  <c r="K3160" i="1" s="1"/>
  <c r="K3161" i="1" s="1"/>
  <c r="K3162" i="1" s="1"/>
  <c r="K3163" i="1" s="1"/>
  <c r="K3164" i="1" s="1"/>
  <c r="K3165" i="1" s="1"/>
  <c r="K3166" i="1" s="1"/>
  <c r="K3167" i="1" s="1"/>
  <c r="K3168" i="1" s="1"/>
  <c r="K3169" i="1" s="1"/>
  <c r="K3170" i="1" s="1"/>
  <c r="K3171" i="1" s="1"/>
  <c r="K3172" i="1" s="1"/>
  <c r="K3173" i="1" s="1"/>
  <c r="K3174" i="1" s="1"/>
  <c r="K3175" i="1" s="1"/>
  <c r="K3176" i="1" s="1"/>
  <c r="K3177" i="1" s="1"/>
  <c r="K3178" i="1" s="1"/>
  <c r="K3179" i="1" s="1"/>
  <c r="K3180" i="1" s="1"/>
  <c r="K3181" i="1" s="1"/>
  <c r="K3182" i="1" s="1"/>
  <c r="K3183" i="1" s="1"/>
  <c r="K3184" i="1" s="1"/>
  <c r="K3185" i="1" s="1"/>
  <c r="K3186" i="1" s="1"/>
  <c r="K3187" i="1" s="1"/>
  <c r="K3188" i="1" s="1"/>
  <c r="K3189" i="1" s="1"/>
  <c r="K3190" i="1" s="1"/>
  <c r="K3191" i="1" s="1"/>
  <c r="K3192" i="1" s="1"/>
  <c r="K3193" i="1" s="1"/>
  <c r="K3194" i="1" s="1"/>
  <c r="K3195" i="1" s="1"/>
  <c r="K3196" i="1" s="1"/>
  <c r="K3197" i="1" s="1"/>
  <c r="K3198" i="1" s="1"/>
  <c r="K3199" i="1" s="1"/>
  <c r="K3200" i="1" s="1"/>
  <c r="K3201" i="1" s="1"/>
  <c r="K3202" i="1" s="1"/>
  <c r="K3203" i="1" s="1"/>
  <c r="K3204" i="1" s="1"/>
  <c r="K3205" i="1" s="1"/>
  <c r="K3206" i="1" s="1"/>
  <c r="K3207" i="1" s="1"/>
  <c r="K3208" i="1" s="1"/>
  <c r="K3209" i="1" s="1"/>
  <c r="K3210" i="1" s="1"/>
  <c r="K3211" i="1" s="1"/>
  <c r="K3212" i="1" s="1"/>
  <c r="K3213" i="1" s="1"/>
  <c r="K3214" i="1" s="1"/>
  <c r="K3215" i="1" s="1"/>
  <c r="K3216" i="1" s="1"/>
  <c r="K3217" i="1" s="1"/>
  <c r="K3218" i="1" s="1"/>
  <c r="K3219" i="1" s="1"/>
  <c r="K3220" i="1" s="1"/>
  <c r="K3221" i="1" s="1"/>
  <c r="K3222" i="1" s="1"/>
  <c r="K3223" i="1" s="1"/>
  <c r="K3224" i="1" s="1"/>
  <c r="K3225" i="1" s="1"/>
  <c r="K3226" i="1" s="1"/>
  <c r="K3227" i="1" s="1"/>
  <c r="K3228" i="1" s="1"/>
  <c r="K3229" i="1" s="1"/>
  <c r="K3230" i="1" s="1"/>
  <c r="K3231" i="1" s="1"/>
  <c r="K3232" i="1" s="1"/>
  <c r="K3233" i="1" s="1"/>
  <c r="K3234" i="1" s="1"/>
  <c r="K3235" i="1" s="1"/>
  <c r="K3236" i="1" s="1"/>
  <c r="K3237" i="1" s="1"/>
  <c r="K3238" i="1" s="1"/>
  <c r="K3239" i="1" s="1"/>
  <c r="K3240" i="1" s="1"/>
  <c r="K3241" i="1" s="1"/>
  <c r="K3242" i="1" s="1"/>
  <c r="K3243" i="1" s="1"/>
  <c r="K3244" i="1" s="1"/>
  <c r="K3245" i="1" s="1"/>
  <c r="K3246" i="1" s="1"/>
  <c r="K3247" i="1" s="1"/>
  <c r="K3248" i="1" s="1"/>
  <c r="K3249" i="1" s="1"/>
  <c r="K3250" i="1" s="1"/>
  <c r="K3251" i="1" s="1"/>
  <c r="K3252" i="1" s="1"/>
  <c r="K3253" i="1" s="1"/>
  <c r="K3254" i="1" s="1"/>
  <c r="K3255" i="1" s="1"/>
  <c r="K3256" i="1" s="1"/>
  <c r="K3257" i="1" s="1"/>
  <c r="K3258" i="1" s="1"/>
  <c r="K3259" i="1" s="1"/>
  <c r="K3260" i="1" s="1"/>
  <c r="K3261" i="1" s="1"/>
  <c r="K3262" i="1" s="1"/>
  <c r="K3263" i="1" s="1"/>
  <c r="K3264" i="1" s="1"/>
  <c r="K3265" i="1" s="1"/>
  <c r="K3266" i="1" s="1"/>
  <c r="K3267" i="1" s="1"/>
  <c r="K3268" i="1" s="1"/>
  <c r="K3269" i="1" s="1"/>
  <c r="K3270" i="1" s="1"/>
  <c r="K3271" i="1" s="1"/>
  <c r="K3272" i="1" s="1"/>
  <c r="K3273" i="1" s="1"/>
  <c r="K3274" i="1" s="1"/>
  <c r="K3275" i="1" s="1"/>
  <c r="K3276" i="1" s="1"/>
  <c r="K3277" i="1" s="1"/>
  <c r="K3278" i="1" s="1"/>
  <c r="K3279" i="1" s="1"/>
  <c r="K3280" i="1" s="1"/>
  <c r="K3281" i="1" s="1"/>
  <c r="K3282" i="1" s="1"/>
  <c r="K3283" i="1" s="1"/>
  <c r="K3284" i="1" s="1"/>
  <c r="K3285" i="1" s="1"/>
  <c r="K3286" i="1" s="1"/>
  <c r="K3287" i="1" s="1"/>
  <c r="K3288" i="1" s="1"/>
  <c r="K3289" i="1" s="1"/>
  <c r="K3290" i="1" s="1"/>
  <c r="K3291" i="1" s="1"/>
  <c r="K3292" i="1" s="1"/>
  <c r="K3293" i="1" s="1"/>
  <c r="K3294" i="1" s="1"/>
  <c r="K3295" i="1" s="1"/>
  <c r="K3296" i="1" s="1"/>
  <c r="K3297" i="1" s="1"/>
  <c r="K3298" i="1" s="1"/>
  <c r="K3299" i="1" s="1"/>
  <c r="K3300" i="1" s="1"/>
  <c r="K3301" i="1" s="1"/>
  <c r="K3302" i="1" s="1"/>
  <c r="K3303" i="1" s="1"/>
  <c r="K3304" i="1" s="1"/>
  <c r="K3305" i="1" s="1"/>
  <c r="K3306" i="1" s="1"/>
  <c r="K3307" i="1" s="1"/>
  <c r="K3308" i="1" s="1"/>
  <c r="K3309" i="1" s="1"/>
  <c r="K3310" i="1" s="1"/>
  <c r="K3311" i="1" s="1"/>
  <c r="K3312" i="1" s="1"/>
  <c r="K3313" i="1" s="1"/>
  <c r="K3314" i="1" s="1"/>
  <c r="K3315" i="1" s="1"/>
  <c r="K3316" i="1" s="1"/>
  <c r="K3317" i="1" s="1"/>
  <c r="K3318" i="1" s="1"/>
  <c r="K3319" i="1" s="1"/>
  <c r="K3320" i="1" s="1"/>
  <c r="K3321" i="1" s="1"/>
  <c r="K3322" i="1" s="1"/>
  <c r="K3323" i="1" s="1"/>
  <c r="K3324" i="1" s="1"/>
  <c r="K3325" i="1" s="1"/>
  <c r="K3326" i="1" s="1"/>
  <c r="K3327" i="1" s="1"/>
  <c r="K3328" i="1" s="1"/>
  <c r="K3329" i="1" s="1"/>
  <c r="K3330" i="1" s="1"/>
  <c r="K3331" i="1" s="1"/>
  <c r="K3332" i="1" s="1"/>
  <c r="K3333" i="1" s="1"/>
  <c r="K3334" i="1" s="1"/>
  <c r="K3335" i="1" s="1"/>
  <c r="K3336" i="1" s="1"/>
  <c r="K3337" i="1" s="1"/>
  <c r="K3338" i="1" s="1"/>
  <c r="K3339" i="1" s="1"/>
  <c r="K3340" i="1" s="1"/>
  <c r="K3341" i="1" s="1"/>
  <c r="K3342" i="1" s="1"/>
  <c r="K3343" i="1" s="1"/>
  <c r="K3344" i="1" s="1"/>
  <c r="K3345" i="1" s="1"/>
  <c r="K3346" i="1" s="1"/>
  <c r="K3347" i="1" s="1"/>
  <c r="K3348" i="1" s="1"/>
  <c r="K3349" i="1" s="1"/>
  <c r="K3350" i="1" s="1"/>
  <c r="K3351" i="1" s="1"/>
  <c r="K3352" i="1" s="1"/>
  <c r="K3353" i="1" s="1"/>
  <c r="K3354" i="1" s="1"/>
  <c r="K3355" i="1" s="1"/>
  <c r="K3356" i="1" s="1"/>
  <c r="K3357" i="1" s="1"/>
  <c r="K3358" i="1" s="1"/>
  <c r="K3359" i="1" s="1"/>
  <c r="K3360" i="1" s="1"/>
  <c r="K3361" i="1" s="1"/>
  <c r="K3362" i="1" s="1"/>
  <c r="K3363" i="1" s="1"/>
  <c r="K3364" i="1" s="1"/>
  <c r="K3365" i="1" s="1"/>
  <c r="K3366" i="1" s="1"/>
  <c r="K3367" i="1" s="1"/>
  <c r="K3368" i="1" s="1"/>
  <c r="K3369" i="1" s="1"/>
  <c r="K3370" i="1" s="1"/>
  <c r="K3371" i="1" s="1"/>
  <c r="K3372" i="1" s="1"/>
  <c r="K3373" i="1" s="1"/>
  <c r="K3374" i="1" s="1"/>
  <c r="K3375" i="1" s="1"/>
  <c r="K3376" i="1" s="1"/>
  <c r="K3377" i="1" s="1"/>
  <c r="K3378" i="1" s="1"/>
  <c r="K3379" i="1" s="1"/>
  <c r="K3380" i="1" s="1"/>
  <c r="K3381" i="1" s="1"/>
  <c r="K3382" i="1" s="1"/>
  <c r="K3383" i="1" s="1"/>
  <c r="K3384" i="1" s="1"/>
  <c r="K3385" i="1" s="1"/>
  <c r="K3386" i="1" s="1"/>
  <c r="K3387" i="1" s="1"/>
  <c r="K3388" i="1" s="1"/>
  <c r="K3389" i="1" s="1"/>
  <c r="K3390" i="1" s="1"/>
  <c r="K3391" i="1" s="1"/>
  <c r="K3392" i="1" s="1"/>
  <c r="K3393" i="1" s="1"/>
  <c r="K3394" i="1" s="1"/>
  <c r="K3395" i="1" s="1"/>
  <c r="K3396" i="1" s="1"/>
  <c r="K3397" i="1" s="1"/>
  <c r="K3398" i="1" s="1"/>
  <c r="K3399" i="1" s="1"/>
  <c r="K3400" i="1" s="1"/>
  <c r="K3401" i="1" s="1"/>
  <c r="K3402" i="1" s="1"/>
  <c r="K3403" i="1" s="1"/>
  <c r="K3404" i="1" s="1"/>
  <c r="K3405" i="1" s="1"/>
  <c r="K3406" i="1" s="1"/>
  <c r="K3407" i="1" s="1"/>
  <c r="K3408" i="1" s="1"/>
  <c r="K3409" i="1" s="1"/>
  <c r="K3410" i="1" s="1"/>
  <c r="K3411" i="1" s="1"/>
  <c r="K3412" i="1" s="1"/>
  <c r="K3413" i="1" s="1"/>
  <c r="K3414" i="1" s="1"/>
  <c r="K3415" i="1" s="1"/>
  <c r="K3416" i="1" s="1"/>
  <c r="K3417" i="1" s="1"/>
  <c r="K3418" i="1" s="1"/>
  <c r="K3419" i="1" s="1"/>
  <c r="K3420" i="1" s="1"/>
  <c r="K3421" i="1" s="1"/>
  <c r="K3422" i="1" s="1"/>
  <c r="K3423" i="1" s="1"/>
  <c r="K3424" i="1" s="1"/>
  <c r="K3425" i="1" s="1"/>
  <c r="K3426" i="1" s="1"/>
  <c r="K3427" i="1" s="1"/>
  <c r="K3428" i="1" s="1"/>
  <c r="K3429" i="1" s="1"/>
  <c r="K3430" i="1" s="1"/>
  <c r="K3431" i="1" s="1"/>
  <c r="K3432" i="1" s="1"/>
  <c r="K3433" i="1" s="1"/>
  <c r="K3434" i="1" s="1"/>
  <c r="K3435" i="1" s="1"/>
  <c r="K3436" i="1" s="1"/>
  <c r="K3437" i="1" s="1"/>
  <c r="K3438" i="1" s="1"/>
  <c r="K3439" i="1" s="1"/>
  <c r="K3440" i="1" s="1"/>
  <c r="K3441" i="1" s="1"/>
  <c r="K3442" i="1" s="1"/>
  <c r="K3443" i="1" s="1"/>
  <c r="K3444" i="1" s="1"/>
  <c r="K3445" i="1" s="1"/>
  <c r="K3446" i="1" s="1"/>
  <c r="K3447" i="1" s="1"/>
  <c r="K3448" i="1" s="1"/>
  <c r="K3449" i="1" s="1"/>
  <c r="K3450" i="1" s="1"/>
  <c r="K3451" i="1" s="1"/>
  <c r="K3452" i="1" s="1"/>
  <c r="K3453" i="1" s="1"/>
  <c r="K3454" i="1" s="1"/>
  <c r="K3455" i="1" s="1"/>
  <c r="K3456" i="1" s="1"/>
  <c r="K3457" i="1" s="1"/>
  <c r="K3458" i="1" s="1"/>
  <c r="K3459" i="1" s="1"/>
  <c r="K3460" i="1" s="1"/>
  <c r="K3461" i="1" s="1"/>
  <c r="K3462" i="1" s="1"/>
  <c r="K3463" i="1" s="1"/>
  <c r="K3464" i="1" s="1"/>
  <c r="K3465" i="1" s="1"/>
  <c r="K3466" i="1" s="1"/>
  <c r="K3467" i="1" s="1"/>
  <c r="K3468" i="1" s="1"/>
  <c r="K3469" i="1" s="1"/>
  <c r="K3470" i="1" s="1"/>
  <c r="K3471" i="1" s="1"/>
  <c r="K3472" i="1" s="1"/>
  <c r="K3473" i="1" s="1"/>
  <c r="K3474" i="1" s="1"/>
  <c r="K3475" i="1" s="1"/>
  <c r="K3476" i="1" s="1"/>
  <c r="K3477" i="1" s="1"/>
  <c r="K3478" i="1" s="1"/>
  <c r="K3479" i="1" s="1"/>
  <c r="K3480" i="1" s="1"/>
  <c r="K3481" i="1" s="1"/>
  <c r="K3482" i="1" s="1"/>
  <c r="K3483" i="1" s="1"/>
  <c r="K3484" i="1" s="1"/>
  <c r="K3485" i="1" s="1"/>
  <c r="K3486" i="1" s="1"/>
  <c r="K3487" i="1" s="1"/>
  <c r="K3488" i="1" s="1"/>
  <c r="K3489" i="1" s="1"/>
  <c r="K3490" i="1" s="1"/>
  <c r="K3491" i="1" s="1"/>
  <c r="K3492" i="1" s="1"/>
  <c r="K3493" i="1" s="1"/>
  <c r="K3494" i="1" s="1"/>
  <c r="K3495" i="1" s="1"/>
  <c r="K3496" i="1" s="1"/>
  <c r="K3497" i="1" s="1"/>
  <c r="K3498" i="1" s="1"/>
  <c r="K3499" i="1" s="1"/>
  <c r="K3500" i="1" s="1"/>
  <c r="K3501" i="1" s="1"/>
  <c r="K3502" i="1" s="1"/>
  <c r="K3503" i="1" s="1"/>
  <c r="K3504" i="1" s="1"/>
  <c r="K3505" i="1" s="1"/>
  <c r="K3506" i="1" s="1"/>
  <c r="K3507" i="1" s="1"/>
  <c r="K3508" i="1" s="1"/>
  <c r="K3509" i="1" s="1"/>
  <c r="K3510" i="1" s="1"/>
  <c r="K3511" i="1" s="1"/>
  <c r="K3512" i="1" s="1"/>
  <c r="K3513" i="1" s="1"/>
  <c r="K3514" i="1" s="1"/>
  <c r="K3515" i="1" s="1"/>
  <c r="K3516" i="1" s="1"/>
  <c r="K3517" i="1" s="1"/>
  <c r="K3518" i="1" s="1"/>
  <c r="K3519" i="1" s="1"/>
  <c r="K3520" i="1" s="1"/>
  <c r="K3521" i="1" s="1"/>
  <c r="K3522" i="1" s="1"/>
  <c r="K3523" i="1" s="1"/>
  <c r="K3524" i="1" s="1"/>
  <c r="K3525" i="1" s="1"/>
  <c r="K3526" i="1" s="1"/>
  <c r="K3527" i="1" s="1"/>
  <c r="K3528" i="1" s="1"/>
  <c r="K3529" i="1" s="1"/>
  <c r="K3530" i="1" s="1"/>
  <c r="K3531" i="1" s="1"/>
  <c r="K3532" i="1" s="1"/>
  <c r="K3533" i="1" s="1"/>
  <c r="K3534" i="1" s="1"/>
  <c r="K3535" i="1" s="1"/>
  <c r="K3536" i="1" s="1"/>
  <c r="K3537" i="1" s="1"/>
  <c r="K3538" i="1" s="1"/>
  <c r="K3539" i="1" s="1"/>
  <c r="K3540" i="1" s="1"/>
  <c r="K3541" i="1" s="1"/>
  <c r="K3542" i="1" s="1"/>
  <c r="K3543" i="1" s="1"/>
  <c r="K3544" i="1" s="1"/>
  <c r="K3545" i="1" s="1"/>
  <c r="K3546" i="1" s="1"/>
  <c r="K3547" i="1" s="1"/>
  <c r="K3548" i="1" s="1"/>
  <c r="K3549" i="1" s="1"/>
  <c r="K3550" i="1" s="1"/>
  <c r="K3551" i="1" s="1"/>
  <c r="K3552" i="1" s="1"/>
  <c r="K3553" i="1" s="1"/>
  <c r="K3554" i="1" s="1"/>
  <c r="K3555" i="1" s="1"/>
  <c r="K3556" i="1" s="1"/>
  <c r="K3557" i="1" s="1"/>
  <c r="K3558" i="1" s="1"/>
  <c r="K3559" i="1" s="1"/>
  <c r="K3560" i="1" s="1"/>
  <c r="K3561" i="1" s="1"/>
  <c r="K3562" i="1" s="1"/>
  <c r="K3563" i="1" s="1"/>
  <c r="K3564" i="1" s="1"/>
  <c r="K3565" i="1" s="1"/>
  <c r="K3566" i="1" s="1"/>
  <c r="K3567" i="1" s="1"/>
  <c r="K3568" i="1" s="1"/>
  <c r="K3569" i="1" s="1"/>
  <c r="K3570" i="1" s="1"/>
  <c r="K3571" i="1" s="1"/>
  <c r="K3572" i="1" s="1"/>
  <c r="K3573" i="1" s="1"/>
  <c r="K3574" i="1" s="1"/>
  <c r="K3575" i="1" s="1"/>
  <c r="K3576" i="1" s="1"/>
  <c r="K3577" i="1" s="1"/>
  <c r="K3578" i="1" s="1"/>
  <c r="K3579" i="1" s="1"/>
  <c r="K3580" i="1" s="1"/>
  <c r="K3581" i="1" s="1"/>
  <c r="K3582" i="1" s="1"/>
  <c r="K3583" i="1" s="1"/>
  <c r="K3584" i="1" s="1"/>
  <c r="K3585" i="1" s="1"/>
  <c r="K3586" i="1" s="1"/>
  <c r="K3587" i="1" s="1"/>
  <c r="K3588" i="1" s="1"/>
  <c r="K3589" i="1" s="1"/>
  <c r="K3590" i="1" s="1"/>
  <c r="K3591" i="1" s="1"/>
  <c r="K3592" i="1" s="1"/>
  <c r="K3593" i="1" s="1"/>
  <c r="K3594" i="1" s="1"/>
  <c r="K3595" i="1" s="1"/>
  <c r="K3596" i="1" s="1"/>
  <c r="K3597" i="1" s="1"/>
  <c r="K3598" i="1" s="1"/>
  <c r="K3599" i="1" s="1"/>
  <c r="K3600" i="1" s="1"/>
  <c r="K3601" i="1" s="1"/>
  <c r="K3602" i="1" s="1"/>
  <c r="K3603" i="1" s="1"/>
  <c r="K3604" i="1" s="1"/>
  <c r="K3605" i="1" s="1"/>
  <c r="K3606" i="1" s="1"/>
  <c r="K3607" i="1" s="1"/>
  <c r="K3608" i="1" s="1"/>
  <c r="K3609" i="1" s="1"/>
  <c r="K3610" i="1" s="1"/>
  <c r="K3611" i="1" s="1"/>
  <c r="K3612" i="1" s="1"/>
  <c r="K3613" i="1" s="1"/>
  <c r="K3614" i="1" s="1"/>
  <c r="K3615" i="1" s="1"/>
  <c r="K3616" i="1" s="1"/>
  <c r="K3617" i="1" s="1"/>
  <c r="K3618" i="1" s="1"/>
  <c r="K3619" i="1" s="1"/>
  <c r="K3620" i="1" s="1"/>
  <c r="K3621" i="1" s="1"/>
  <c r="K3622" i="1" s="1"/>
  <c r="K3623" i="1" s="1"/>
  <c r="K3624" i="1" s="1"/>
  <c r="K3625" i="1" s="1"/>
  <c r="K3626" i="1" s="1"/>
  <c r="K3627" i="1" s="1"/>
  <c r="K3628" i="1" s="1"/>
  <c r="K3629" i="1" s="1"/>
  <c r="K3630" i="1" s="1"/>
  <c r="K3631" i="1" s="1"/>
  <c r="K3632" i="1" s="1"/>
  <c r="K3633" i="1" s="1"/>
  <c r="K3634" i="1" s="1"/>
  <c r="K3635" i="1" s="1"/>
  <c r="K3636" i="1" s="1"/>
  <c r="K3637" i="1" s="1"/>
  <c r="K3638" i="1" s="1"/>
  <c r="K3639" i="1" s="1"/>
  <c r="K3640" i="1" s="1"/>
  <c r="K3641" i="1" s="1"/>
  <c r="K3642" i="1" s="1"/>
  <c r="K3643" i="1" s="1"/>
  <c r="K3644" i="1" s="1"/>
  <c r="K3645" i="1" s="1"/>
  <c r="K3646" i="1" s="1"/>
  <c r="K3647" i="1" s="1"/>
  <c r="K3648" i="1" s="1"/>
  <c r="K3649" i="1" s="1"/>
  <c r="K3650" i="1" s="1"/>
  <c r="K3651" i="1" s="1"/>
  <c r="K3652" i="1" s="1"/>
  <c r="K3653" i="1" s="1"/>
  <c r="K3654" i="1" s="1"/>
  <c r="K3655" i="1" s="1"/>
  <c r="K3656" i="1" s="1"/>
  <c r="K3657" i="1" s="1"/>
  <c r="K3658" i="1" s="1"/>
  <c r="K3659" i="1" s="1"/>
  <c r="K3660" i="1" s="1"/>
  <c r="K3661" i="1" s="1"/>
  <c r="K3662" i="1" s="1"/>
  <c r="K3663" i="1" s="1"/>
  <c r="K3664" i="1" s="1"/>
  <c r="K3665" i="1" s="1"/>
  <c r="K3666" i="1" s="1"/>
  <c r="K3667" i="1" s="1"/>
  <c r="K3668" i="1" s="1"/>
  <c r="K3669" i="1" s="1"/>
  <c r="K3670" i="1" s="1"/>
  <c r="K3671" i="1" s="1"/>
  <c r="K3672" i="1" s="1"/>
  <c r="K3673" i="1" s="1"/>
  <c r="K3674" i="1" s="1"/>
  <c r="K3675" i="1" s="1"/>
  <c r="K3676" i="1" s="1"/>
  <c r="K3677" i="1" s="1"/>
  <c r="K3678" i="1" s="1"/>
  <c r="K3679" i="1" s="1"/>
  <c r="K3680" i="1" s="1"/>
  <c r="K3681" i="1" s="1"/>
  <c r="K3682" i="1" s="1"/>
  <c r="K3683" i="1" s="1"/>
  <c r="K3684" i="1" s="1"/>
  <c r="K3685" i="1" s="1"/>
  <c r="K3686" i="1" s="1"/>
  <c r="K3687" i="1" s="1"/>
  <c r="K3688" i="1" s="1"/>
  <c r="K3689" i="1" s="1"/>
  <c r="K3690" i="1" s="1"/>
  <c r="K3691" i="1" s="1"/>
  <c r="K3692" i="1" s="1"/>
  <c r="K3693" i="1" s="1"/>
  <c r="K3694" i="1" s="1"/>
  <c r="K3695" i="1" s="1"/>
  <c r="K3696" i="1" s="1"/>
  <c r="K3697" i="1" s="1"/>
  <c r="K3698" i="1" s="1"/>
  <c r="K3699" i="1" s="1"/>
  <c r="K3700" i="1" s="1"/>
  <c r="K3701" i="1" s="1"/>
  <c r="K3702" i="1" s="1"/>
  <c r="K3703" i="1" s="1"/>
  <c r="K3704" i="1" s="1"/>
  <c r="K3705" i="1" s="1"/>
  <c r="K3706" i="1" s="1"/>
  <c r="K3707" i="1" s="1"/>
  <c r="K3708" i="1" s="1"/>
  <c r="K3709" i="1" s="1"/>
  <c r="K3710" i="1" s="1"/>
  <c r="K3711" i="1" s="1"/>
  <c r="K3712" i="1" s="1"/>
  <c r="K3713" i="1" s="1"/>
  <c r="K3714" i="1" s="1"/>
  <c r="K3715" i="1" s="1"/>
  <c r="K3716" i="1" s="1"/>
  <c r="K3717" i="1" s="1"/>
  <c r="K3718" i="1" s="1"/>
  <c r="K3719" i="1" s="1"/>
  <c r="K3720" i="1" s="1"/>
  <c r="K3721" i="1" s="1"/>
  <c r="K3722" i="1" s="1"/>
  <c r="K3723" i="1" s="1"/>
  <c r="K3724" i="1" s="1"/>
  <c r="K3725" i="1" s="1"/>
  <c r="K3726" i="1" s="1"/>
  <c r="K3727" i="1" s="1"/>
  <c r="K3728" i="1" s="1"/>
  <c r="K3729" i="1" s="1"/>
  <c r="K3730" i="1" s="1"/>
  <c r="K3731" i="1" s="1"/>
  <c r="K3732" i="1" s="1"/>
  <c r="K3733" i="1" s="1"/>
  <c r="K3734" i="1" s="1"/>
  <c r="K3735" i="1" s="1"/>
  <c r="K3736" i="1" s="1"/>
  <c r="K3737" i="1" s="1"/>
  <c r="K3738" i="1" s="1"/>
  <c r="K3739" i="1" s="1"/>
  <c r="K3740" i="1" s="1"/>
  <c r="K3741" i="1" s="1"/>
  <c r="K3742" i="1" s="1"/>
  <c r="K3743" i="1" s="1"/>
  <c r="K3744" i="1" s="1"/>
  <c r="K3745" i="1" s="1"/>
  <c r="K3746" i="1" s="1"/>
  <c r="K3747" i="1" s="1"/>
  <c r="K3748" i="1" s="1"/>
  <c r="K3749" i="1" s="1"/>
  <c r="K3750" i="1" s="1"/>
  <c r="K3751" i="1" s="1"/>
  <c r="K3752" i="1" s="1"/>
  <c r="K3753" i="1" s="1"/>
  <c r="K3754" i="1" s="1"/>
  <c r="K3755" i="1" s="1"/>
  <c r="K3756" i="1" s="1"/>
  <c r="K3757" i="1" s="1"/>
  <c r="K3758" i="1" s="1"/>
  <c r="K3759" i="1" s="1"/>
  <c r="K3760" i="1" s="1"/>
  <c r="K3761" i="1" s="1"/>
  <c r="K3762" i="1" s="1"/>
  <c r="K3763" i="1" s="1"/>
  <c r="K3764" i="1" s="1"/>
  <c r="K3765" i="1" s="1"/>
  <c r="K3766" i="1" s="1"/>
  <c r="K3767" i="1" s="1"/>
  <c r="K3768" i="1" s="1"/>
  <c r="K3769" i="1" s="1"/>
  <c r="K3770" i="1" s="1"/>
  <c r="K3771" i="1" s="1"/>
  <c r="K3772" i="1" s="1"/>
  <c r="K3773" i="1" s="1"/>
  <c r="K3774" i="1" s="1"/>
  <c r="K3775" i="1" s="1"/>
  <c r="K3776" i="1" s="1"/>
  <c r="K3777" i="1" s="1"/>
  <c r="K3778" i="1" s="1"/>
  <c r="K3779" i="1" s="1"/>
  <c r="K3780" i="1" s="1"/>
  <c r="K3781" i="1" s="1"/>
  <c r="K3782" i="1" s="1"/>
  <c r="K3783" i="1" s="1"/>
  <c r="K3784" i="1" s="1"/>
  <c r="K3785" i="1" s="1"/>
  <c r="K3786" i="1" s="1"/>
  <c r="K3787" i="1" s="1"/>
  <c r="K3788" i="1" s="1"/>
  <c r="K3789" i="1" s="1"/>
  <c r="K3790" i="1" s="1"/>
  <c r="K3791" i="1" s="1"/>
  <c r="K3792" i="1" s="1"/>
  <c r="K3793" i="1" s="1"/>
  <c r="K3794" i="1" s="1"/>
  <c r="K3795" i="1" s="1"/>
  <c r="K3796" i="1" s="1"/>
  <c r="K3797" i="1" s="1"/>
  <c r="K3798" i="1" s="1"/>
  <c r="K3799" i="1" s="1"/>
  <c r="K3800" i="1" s="1"/>
  <c r="K3801" i="1" s="1"/>
  <c r="K3802" i="1" s="1"/>
  <c r="K3803" i="1" s="1"/>
  <c r="K3804" i="1" s="1"/>
  <c r="K3805" i="1" s="1"/>
  <c r="K3806" i="1" s="1"/>
  <c r="K3807" i="1" s="1"/>
  <c r="K3808" i="1" s="1"/>
  <c r="K3809" i="1" s="1"/>
  <c r="K3810" i="1" s="1"/>
  <c r="K3811" i="1" s="1"/>
  <c r="K3812" i="1" s="1"/>
  <c r="K3813" i="1" s="1"/>
  <c r="K3814" i="1" s="1"/>
  <c r="K3815" i="1" s="1"/>
  <c r="K3816" i="1" s="1"/>
  <c r="K3817" i="1" s="1"/>
  <c r="K3818" i="1" s="1"/>
  <c r="K3819" i="1" s="1"/>
  <c r="K3820" i="1" s="1"/>
  <c r="K3821" i="1" s="1"/>
  <c r="K3822" i="1" s="1"/>
  <c r="K3823" i="1" s="1"/>
  <c r="K3824" i="1" s="1"/>
  <c r="K3825" i="1" s="1"/>
  <c r="K3826" i="1" s="1"/>
  <c r="K3827" i="1" s="1"/>
  <c r="K3828" i="1" s="1"/>
  <c r="K3829" i="1" s="1"/>
  <c r="K3830" i="1" s="1"/>
  <c r="K3831" i="1" s="1"/>
  <c r="K3832" i="1" s="1"/>
  <c r="K3833" i="1" s="1"/>
  <c r="K3834" i="1" s="1"/>
  <c r="K3835" i="1" s="1"/>
  <c r="K3836" i="1" s="1"/>
  <c r="K3837" i="1" s="1"/>
  <c r="K3838" i="1" s="1"/>
  <c r="K3839" i="1" s="1"/>
  <c r="K3840" i="1" s="1"/>
  <c r="K3841" i="1" s="1"/>
  <c r="K3842" i="1" s="1"/>
  <c r="K3843" i="1" s="1"/>
  <c r="K3844" i="1" s="1"/>
  <c r="K3845" i="1" s="1"/>
  <c r="K3846" i="1" s="1"/>
  <c r="K3847" i="1" s="1"/>
  <c r="K3848" i="1" s="1"/>
  <c r="K3849" i="1" s="1"/>
  <c r="K3850" i="1" s="1"/>
  <c r="K3851" i="1" s="1"/>
  <c r="K3852" i="1" s="1"/>
  <c r="K3853" i="1" s="1"/>
  <c r="K3854" i="1" s="1"/>
  <c r="K3855" i="1" s="1"/>
  <c r="K3856" i="1" s="1"/>
  <c r="K3857" i="1" s="1"/>
  <c r="K3858" i="1" s="1"/>
  <c r="K3859" i="1" s="1"/>
  <c r="K3860" i="1" s="1"/>
  <c r="K3861" i="1" s="1"/>
  <c r="K3862" i="1" s="1"/>
  <c r="K3863" i="1" s="1"/>
  <c r="K3864" i="1" s="1"/>
  <c r="K3865" i="1" s="1"/>
  <c r="K3866" i="1" s="1"/>
  <c r="K3867" i="1" s="1"/>
  <c r="K3868" i="1" s="1"/>
  <c r="K3869" i="1" s="1"/>
  <c r="K3870" i="1" s="1"/>
  <c r="K3871" i="1" s="1"/>
  <c r="K3872" i="1" s="1"/>
  <c r="K3873" i="1" s="1"/>
  <c r="K3874" i="1" s="1"/>
  <c r="K3875" i="1" s="1"/>
  <c r="K3876" i="1" s="1"/>
  <c r="K3877" i="1" s="1"/>
  <c r="K3878" i="1" s="1"/>
  <c r="K3879" i="1" s="1"/>
  <c r="K3880" i="1" s="1"/>
  <c r="K3881" i="1" s="1"/>
  <c r="K3882" i="1" s="1"/>
  <c r="K3883" i="1" s="1"/>
  <c r="K3884" i="1" s="1"/>
  <c r="K3885" i="1" s="1"/>
  <c r="K3886" i="1" s="1"/>
  <c r="K3887" i="1" s="1"/>
  <c r="K3888" i="1" s="1"/>
  <c r="K3889" i="1" s="1"/>
  <c r="K3890" i="1" s="1"/>
  <c r="K3891" i="1" s="1"/>
  <c r="K3892" i="1" s="1"/>
  <c r="K3893" i="1" s="1"/>
  <c r="K3894" i="1" s="1"/>
  <c r="K3895" i="1" s="1"/>
  <c r="K3896" i="1" s="1"/>
  <c r="K3897" i="1" s="1"/>
  <c r="K3898" i="1" s="1"/>
  <c r="K3899" i="1" s="1"/>
  <c r="K3900" i="1" s="1"/>
  <c r="K3901" i="1" s="1"/>
  <c r="K3902" i="1" s="1"/>
  <c r="K3903" i="1" s="1"/>
  <c r="K3904" i="1" s="1"/>
  <c r="K3905" i="1" s="1"/>
  <c r="K3906" i="1" s="1"/>
  <c r="K3907" i="1" s="1"/>
  <c r="K3908" i="1" s="1"/>
  <c r="K3909" i="1" s="1"/>
  <c r="K3910" i="1" s="1"/>
  <c r="K3911" i="1" s="1"/>
  <c r="K3912" i="1" s="1"/>
  <c r="K3913" i="1" s="1"/>
  <c r="K3914" i="1" s="1"/>
  <c r="K3915" i="1" s="1"/>
  <c r="K3916" i="1" s="1"/>
  <c r="K3917" i="1" s="1"/>
  <c r="K3918" i="1" s="1"/>
  <c r="K3919" i="1" s="1"/>
  <c r="K3920" i="1" s="1"/>
  <c r="K3921" i="1" s="1"/>
  <c r="K3922" i="1" s="1"/>
  <c r="K3923" i="1" s="1"/>
  <c r="K3924" i="1" s="1"/>
  <c r="K3925" i="1" s="1"/>
  <c r="K3926" i="1" s="1"/>
  <c r="K3927" i="1" s="1"/>
  <c r="K3928" i="1" s="1"/>
  <c r="K3929" i="1" s="1"/>
  <c r="K3930" i="1" s="1"/>
  <c r="K3931" i="1" s="1"/>
  <c r="K3932" i="1" s="1"/>
  <c r="K3933" i="1" s="1"/>
  <c r="K3934" i="1" s="1"/>
  <c r="K3935" i="1" s="1"/>
  <c r="K3936" i="1" s="1"/>
  <c r="K3937" i="1" s="1"/>
  <c r="K3938" i="1" s="1"/>
  <c r="K3939" i="1" s="1"/>
  <c r="K3940" i="1" s="1"/>
  <c r="K3941" i="1" s="1"/>
  <c r="K3942" i="1" s="1"/>
  <c r="K3943" i="1" s="1"/>
  <c r="K3944" i="1" s="1"/>
  <c r="K3945" i="1" s="1"/>
  <c r="K3946" i="1" s="1"/>
  <c r="K3947" i="1" s="1"/>
  <c r="K3948" i="1" s="1"/>
  <c r="K3949" i="1" s="1"/>
  <c r="K3950" i="1" s="1"/>
  <c r="K3951" i="1" s="1"/>
  <c r="K3952" i="1" s="1"/>
  <c r="K3953" i="1" s="1"/>
  <c r="K3954" i="1" s="1"/>
  <c r="K3955" i="1" s="1"/>
  <c r="K3956" i="1" s="1"/>
  <c r="K3957" i="1" s="1"/>
  <c r="K3958" i="1" s="1"/>
  <c r="K3959" i="1" s="1"/>
  <c r="K3960" i="1" s="1"/>
  <c r="K3961" i="1" s="1"/>
  <c r="K3962" i="1" s="1"/>
  <c r="K3963" i="1" s="1"/>
  <c r="K3964" i="1" s="1"/>
  <c r="K3965" i="1" s="1"/>
  <c r="K3966" i="1" s="1"/>
  <c r="K3967" i="1" s="1"/>
  <c r="K3968" i="1" s="1"/>
  <c r="K3969" i="1" s="1"/>
  <c r="K3970" i="1" s="1"/>
  <c r="K3971" i="1" s="1"/>
  <c r="K3972" i="1" s="1"/>
  <c r="K3973" i="1" s="1"/>
  <c r="K3974" i="1" s="1"/>
  <c r="K3975" i="1" s="1"/>
  <c r="K3976" i="1" s="1"/>
  <c r="K3977" i="1" s="1"/>
  <c r="K3978" i="1" s="1"/>
  <c r="K3979" i="1" s="1"/>
  <c r="K3980" i="1" s="1"/>
  <c r="K3981" i="1" s="1"/>
  <c r="K3982" i="1" s="1"/>
  <c r="K3983" i="1" s="1"/>
  <c r="K3984" i="1" s="1"/>
  <c r="K3985" i="1" s="1"/>
  <c r="K3986" i="1" s="1"/>
  <c r="K3987" i="1" s="1"/>
  <c r="K3988" i="1" s="1"/>
  <c r="K3989" i="1" s="1"/>
  <c r="K3990" i="1" s="1"/>
  <c r="K3991" i="1" s="1"/>
  <c r="K3992" i="1" s="1"/>
  <c r="K3993" i="1" s="1"/>
  <c r="K3994" i="1" s="1"/>
  <c r="K3995" i="1" s="1"/>
  <c r="K3996" i="1" s="1"/>
  <c r="K3997" i="1" s="1"/>
  <c r="K3998" i="1" s="1"/>
  <c r="K3999" i="1" s="1"/>
  <c r="K4000" i="1" s="1"/>
  <c r="K4001" i="1" s="1"/>
  <c r="K4002" i="1" s="1"/>
  <c r="K4003" i="1" s="1"/>
  <c r="K4004" i="1" s="1"/>
  <c r="K4005" i="1" s="1"/>
  <c r="K4006" i="1" s="1"/>
  <c r="K4007" i="1" s="1"/>
  <c r="K4008" i="1" s="1"/>
  <c r="K4009" i="1" s="1"/>
  <c r="K4010" i="1" s="1"/>
  <c r="K4011" i="1" s="1"/>
  <c r="K4012" i="1" s="1"/>
  <c r="K4013" i="1" s="1"/>
  <c r="K4014" i="1" s="1"/>
  <c r="K4015" i="1" s="1"/>
  <c r="K4016" i="1" s="1"/>
  <c r="K4017" i="1" s="1"/>
  <c r="K4018" i="1" s="1"/>
  <c r="K4019" i="1" s="1"/>
  <c r="K4020" i="1" s="1"/>
  <c r="K4021" i="1" s="1"/>
  <c r="K4022" i="1" s="1"/>
  <c r="K4023" i="1" s="1"/>
  <c r="K4024" i="1" s="1"/>
  <c r="K4025" i="1" s="1"/>
  <c r="K4026" i="1" s="1"/>
  <c r="K4027" i="1" s="1"/>
  <c r="K4028" i="1" s="1"/>
  <c r="K4029" i="1" s="1"/>
  <c r="K4030" i="1" s="1"/>
  <c r="K4031" i="1" s="1"/>
  <c r="K4032" i="1" s="1"/>
  <c r="K4033" i="1" s="1"/>
  <c r="K4034" i="1" s="1"/>
  <c r="K4035" i="1" s="1"/>
  <c r="K4036" i="1" s="1"/>
  <c r="K4037" i="1" s="1"/>
  <c r="K4038" i="1" s="1"/>
  <c r="K4039" i="1" s="1"/>
  <c r="K4040" i="1" s="1"/>
  <c r="K4041" i="1" s="1"/>
  <c r="K4042" i="1" s="1"/>
  <c r="K4043" i="1" s="1"/>
  <c r="K4044" i="1" s="1"/>
  <c r="K4045" i="1" s="1"/>
  <c r="K4046" i="1" s="1"/>
  <c r="K4047" i="1" s="1"/>
  <c r="K4048" i="1" s="1"/>
  <c r="K4049" i="1" s="1"/>
  <c r="K4050" i="1" s="1"/>
  <c r="K4051" i="1" s="1"/>
  <c r="K4052" i="1" s="1"/>
  <c r="K4053" i="1" s="1"/>
  <c r="K4054" i="1" s="1"/>
  <c r="K4055" i="1" s="1"/>
  <c r="K4056" i="1" s="1"/>
  <c r="K4057" i="1" s="1"/>
  <c r="K4058" i="1" s="1"/>
  <c r="K4059" i="1" s="1"/>
  <c r="K4060" i="1" s="1"/>
  <c r="K4061" i="1" s="1"/>
  <c r="K4062" i="1" s="1"/>
  <c r="K4063" i="1" s="1"/>
  <c r="K4064" i="1" s="1"/>
  <c r="K4065" i="1" s="1"/>
  <c r="K4066" i="1" s="1"/>
  <c r="K4067" i="1" s="1"/>
  <c r="K4068" i="1" s="1"/>
  <c r="K4069" i="1" s="1"/>
  <c r="K4070" i="1" s="1"/>
  <c r="K4071" i="1" s="1"/>
  <c r="K4072" i="1" s="1"/>
  <c r="K4073" i="1" s="1"/>
  <c r="K4074" i="1" s="1"/>
  <c r="K4075" i="1" s="1"/>
  <c r="K4076" i="1" s="1"/>
  <c r="K4077" i="1" s="1"/>
  <c r="K4078" i="1" s="1"/>
  <c r="K4079" i="1" s="1"/>
  <c r="K4080" i="1" s="1"/>
  <c r="K4081" i="1" s="1"/>
  <c r="K4082" i="1" s="1"/>
  <c r="K4083" i="1" s="1"/>
  <c r="K4084" i="1" s="1"/>
  <c r="K4085" i="1" s="1"/>
  <c r="K4086" i="1" s="1"/>
  <c r="K4087" i="1" s="1"/>
  <c r="K4088" i="1" s="1"/>
  <c r="K4089" i="1" s="1"/>
  <c r="K4090" i="1" s="1"/>
  <c r="K4091" i="1" s="1"/>
  <c r="K4092" i="1" s="1"/>
  <c r="K4093" i="1" s="1"/>
  <c r="K4094" i="1" s="1"/>
  <c r="K4095" i="1" s="1"/>
  <c r="K4096" i="1" s="1"/>
  <c r="K4097" i="1" s="1"/>
  <c r="K4098" i="1" s="1"/>
  <c r="K4099" i="1" s="1"/>
  <c r="K4100" i="1" s="1"/>
  <c r="K4101" i="1" s="1"/>
  <c r="K4102" i="1" s="1"/>
  <c r="K4103" i="1" s="1"/>
  <c r="K4104" i="1" s="1"/>
  <c r="K4105" i="1" s="1"/>
  <c r="K4106" i="1" s="1"/>
  <c r="K4107" i="1" s="1"/>
  <c r="K4108" i="1" s="1"/>
  <c r="K4109" i="1" s="1"/>
  <c r="K4110" i="1" s="1"/>
  <c r="K4111" i="1" s="1"/>
  <c r="K4112" i="1" s="1"/>
  <c r="K4113" i="1" s="1"/>
  <c r="K4114" i="1" s="1"/>
  <c r="K4115" i="1" s="1"/>
  <c r="K4116" i="1" s="1"/>
  <c r="K4117" i="1" s="1"/>
  <c r="K4118" i="1" s="1"/>
  <c r="K4119" i="1" s="1"/>
  <c r="K4120" i="1" s="1"/>
  <c r="K4121" i="1" s="1"/>
  <c r="K4122" i="1" s="1"/>
  <c r="K4123" i="1" s="1"/>
  <c r="K4124" i="1" s="1"/>
  <c r="K4125" i="1" s="1"/>
  <c r="K4126" i="1" s="1"/>
  <c r="K4127" i="1" s="1"/>
  <c r="K4128" i="1" s="1"/>
  <c r="K4129" i="1" s="1"/>
  <c r="K4130" i="1" s="1"/>
  <c r="K4131" i="1" s="1"/>
  <c r="K4132" i="1" s="1"/>
  <c r="K4133" i="1" s="1"/>
  <c r="K4134" i="1" s="1"/>
  <c r="K4135" i="1" s="1"/>
  <c r="K4136" i="1" s="1"/>
  <c r="K4137" i="1" s="1"/>
  <c r="K4138" i="1" s="1"/>
  <c r="K4139" i="1" s="1"/>
  <c r="K4140" i="1" s="1"/>
  <c r="K4141" i="1" s="1"/>
  <c r="K4142" i="1" s="1"/>
  <c r="K4143" i="1" s="1"/>
  <c r="K4144" i="1" s="1"/>
  <c r="K4145" i="1" s="1"/>
  <c r="K4146" i="1" s="1"/>
  <c r="K4147" i="1" s="1"/>
  <c r="K4148" i="1" s="1"/>
  <c r="K4149" i="1" s="1"/>
  <c r="K4150" i="1" s="1"/>
  <c r="K4151" i="1" s="1"/>
  <c r="K4152" i="1" s="1"/>
  <c r="K4153" i="1" s="1"/>
  <c r="K4154" i="1" s="1"/>
  <c r="K4155" i="1" s="1"/>
  <c r="K4156" i="1" s="1"/>
  <c r="K4157" i="1" s="1"/>
  <c r="K4158" i="1" s="1"/>
  <c r="K4159" i="1" s="1"/>
  <c r="K4160" i="1" s="1"/>
  <c r="K4161" i="1" s="1"/>
  <c r="K4162" i="1" s="1"/>
  <c r="K4163" i="1" s="1"/>
  <c r="K4164" i="1" s="1"/>
  <c r="K4165" i="1" s="1"/>
  <c r="K4166" i="1" s="1"/>
  <c r="K4167" i="1" s="1"/>
  <c r="K4168" i="1" s="1"/>
  <c r="K4169" i="1" s="1"/>
  <c r="K4170" i="1" s="1"/>
  <c r="K4171" i="1" s="1"/>
  <c r="K4172" i="1" s="1"/>
  <c r="K4173" i="1" s="1"/>
  <c r="K4174" i="1" s="1"/>
  <c r="K4175" i="1" s="1"/>
  <c r="K4176" i="1" s="1"/>
  <c r="K4177" i="1" s="1"/>
  <c r="K4178" i="1" s="1"/>
  <c r="K4179" i="1" s="1"/>
  <c r="K4180" i="1" s="1"/>
  <c r="K4181" i="1" s="1"/>
  <c r="K4182" i="1" s="1"/>
  <c r="K4183" i="1" s="1"/>
  <c r="K4184" i="1" s="1"/>
  <c r="K4185" i="1" s="1"/>
  <c r="K4186" i="1" s="1"/>
  <c r="K4187" i="1" s="1"/>
  <c r="K4188" i="1" s="1"/>
  <c r="K4189" i="1" s="1"/>
  <c r="K4190" i="1" s="1"/>
  <c r="K4191" i="1" s="1"/>
  <c r="K4192" i="1" s="1"/>
  <c r="K4193" i="1" s="1"/>
  <c r="K4194" i="1" s="1"/>
  <c r="K4195" i="1" s="1"/>
  <c r="K4196" i="1" s="1"/>
  <c r="K4197" i="1" s="1"/>
  <c r="K4198" i="1" s="1"/>
  <c r="K4199" i="1" s="1"/>
  <c r="K4200" i="1" s="1"/>
  <c r="K4201" i="1" s="1"/>
  <c r="K4202" i="1" s="1"/>
  <c r="K4203" i="1" s="1"/>
  <c r="K4204" i="1" s="1"/>
  <c r="K4205" i="1" s="1"/>
  <c r="K4206" i="1" s="1"/>
  <c r="K4207" i="1" s="1"/>
  <c r="K4208" i="1" s="1"/>
  <c r="K4209" i="1" s="1"/>
  <c r="K4210" i="1" s="1"/>
  <c r="K4211" i="1" s="1"/>
  <c r="K4212" i="1" s="1"/>
  <c r="K4213" i="1" s="1"/>
  <c r="K4214" i="1" s="1"/>
  <c r="K4215" i="1" s="1"/>
  <c r="K4216" i="1" s="1"/>
  <c r="K4217" i="1" s="1"/>
  <c r="K4218" i="1" s="1"/>
  <c r="K4219" i="1" s="1"/>
  <c r="K4220" i="1" s="1"/>
  <c r="K4221" i="1" s="1"/>
  <c r="K4222" i="1" s="1"/>
  <c r="K4223" i="1" s="1"/>
  <c r="K4224" i="1" s="1"/>
  <c r="K4225" i="1" s="1"/>
  <c r="K4226" i="1" s="1"/>
  <c r="K4227" i="1" s="1"/>
  <c r="K4228" i="1" s="1"/>
  <c r="K4229" i="1" s="1"/>
  <c r="K4230" i="1" s="1"/>
  <c r="K4231" i="1" s="1"/>
  <c r="K4232" i="1" s="1"/>
  <c r="K4233" i="1" s="1"/>
  <c r="K4234" i="1" s="1"/>
  <c r="K4235" i="1" s="1"/>
  <c r="K4236" i="1" s="1"/>
  <c r="K4237" i="1" s="1"/>
  <c r="K4238" i="1" s="1"/>
  <c r="K4239" i="1" s="1"/>
  <c r="K4240" i="1" s="1"/>
  <c r="K4241" i="1" s="1"/>
  <c r="K4242" i="1" s="1"/>
  <c r="K4243" i="1" s="1"/>
  <c r="K4244" i="1" s="1"/>
  <c r="K4245" i="1" s="1"/>
  <c r="K4246" i="1" s="1"/>
  <c r="K4247" i="1" s="1"/>
  <c r="K4248" i="1" s="1"/>
  <c r="K4249" i="1" s="1"/>
  <c r="K4250" i="1" s="1"/>
  <c r="K4251" i="1" s="1"/>
  <c r="K4252" i="1" s="1"/>
  <c r="K4253" i="1" s="1"/>
  <c r="K4254" i="1" s="1"/>
  <c r="K4255" i="1" s="1"/>
  <c r="K4256" i="1" s="1"/>
  <c r="K4257" i="1" s="1"/>
  <c r="K4258" i="1" s="1"/>
  <c r="K4259" i="1" s="1"/>
  <c r="K4260" i="1" s="1"/>
  <c r="K4261" i="1" s="1"/>
  <c r="K4262" i="1" s="1"/>
  <c r="K4263" i="1" s="1"/>
  <c r="K4264" i="1" s="1"/>
  <c r="K4265" i="1" s="1"/>
  <c r="K4266" i="1" s="1"/>
  <c r="K4267" i="1" s="1"/>
  <c r="K4268" i="1" s="1"/>
  <c r="K4269" i="1" s="1"/>
  <c r="K4270" i="1" s="1"/>
  <c r="K4271" i="1" s="1"/>
  <c r="K4272" i="1" s="1"/>
  <c r="K4273" i="1" s="1"/>
  <c r="K4274" i="1" s="1"/>
  <c r="K4275" i="1" s="1"/>
  <c r="K4276" i="1" s="1"/>
  <c r="K4277" i="1" s="1"/>
  <c r="K4278" i="1" s="1"/>
  <c r="K4279" i="1" s="1"/>
  <c r="K4280" i="1" s="1"/>
  <c r="K4281" i="1" s="1"/>
  <c r="K4282" i="1" s="1"/>
  <c r="K4283" i="1" s="1"/>
  <c r="K4284" i="1" s="1"/>
  <c r="K4285" i="1" s="1"/>
  <c r="K4286" i="1" s="1"/>
  <c r="K4287" i="1" s="1"/>
  <c r="K4288" i="1" s="1"/>
  <c r="K4289" i="1" s="1"/>
  <c r="K4290" i="1" s="1"/>
  <c r="K4291" i="1" s="1"/>
  <c r="K4292" i="1" s="1"/>
  <c r="K4293" i="1" s="1"/>
  <c r="K4294" i="1" s="1"/>
  <c r="K4295" i="1" s="1"/>
  <c r="K4296" i="1" s="1"/>
  <c r="K4297" i="1" s="1"/>
  <c r="K4298" i="1" s="1"/>
  <c r="K4299" i="1" s="1"/>
  <c r="K4300" i="1" s="1"/>
  <c r="K4301" i="1" s="1"/>
  <c r="K4302" i="1" s="1"/>
  <c r="K4303" i="1" s="1"/>
  <c r="K4304" i="1" s="1"/>
  <c r="K4305" i="1" s="1"/>
  <c r="K4306" i="1" s="1"/>
  <c r="K4307" i="1" s="1"/>
  <c r="K4308" i="1" s="1"/>
  <c r="K4309" i="1" s="1"/>
  <c r="K4310" i="1" s="1"/>
  <c r="K4311" i="1" s="1"/>
  <c r="K4312" i="1" s="1"/>
  <c r="K4313" i="1" s="1"/>
  <c r="K4314" i="1" s="1"/>
  <c r="K4315" i="1" s="1"/>
  <c r="K4316" i="1" s="1"/>
  <c r="K4317" i="1" s="1"/>
  <c r="K4318" i="1" s="1"/>
  <c r="K4319" i="1" s="1"/>
  <c r="K4320" i="1" s="1"/>
  <c r="K4321" i="1" s="1"/>
  <c r="K4322" i="1" s="1"/>
  <c r="K4323" i="1" s="1"/>
  <c r="K4324" i="1" s="1"/>
  <c r="K4325" i="1" s="1"/>
  <c r="K4326" i="1" s="1"/>
  <c r="K4327" i="1" s="1"/>
  <c r="K4328" i="1" s="1"/>
  <c r="K4329" i="1" s="1"/>
  <c r="K4330" i="1" s="1"/>
  <c r="K4331" i="1" s="1"/>
  <c r="K4332" i="1" s="1"/>
  <c r="K4333" i="1" s="1"/>
  <c r="K4334" i="1" s="1"/>
  <c r="K4335" i="1" s="1"/>
  <c r="K4336" i="1" s="1"/>
  <c r="K4337" i="1" s="1"/>
  <c r="K4338" i="1" s="1"/>
  <c r="K4339" i="1" s="1"/>
  <c r="K4340" i="1" s="1"/>
  <c r="K4341" i="1" s="1"/>
  <c r="K4342" i="1" s="1"/>
  <c r="K4343" i="1" s="1"/>
  <c r="K4344" i="1" s="1"/>
  <c r="K4345" i="1" s="1"/>
  <c r="K4346" i="1" s="1"/>
  <c r="K4347" i="1" s="1"/>
  <c r="K4348" i="1" s="1"/>
  <c r="K4349" i="1" s="1"/>
  <c r="K4350" i="1" s="1"/>
  <c r="K4351" i="1" s="1"/>
  <c r="K4352" i="1" s="1"/>
  <c r="K4353" i="1" s="1"/>
  <c r="K4354" i="1" s="1"/>
  <c r="K4355" i="1" s="1"/>
  <c r="K4356" i="1" s="1"/>
  <c r="K4357" i="1" s="1"/>
  <c r="K4358" i="1" s="1"/>
  <c r="K4359" i="1" s="1"/>
  <c r="K4360" i="1" s="1"/>
  <c r="K4361" i="1" s="1"/>
  <c r="K4362" i="1" s="1"/>
  <c r="K4363" i="1" s="1"/>
  <c r="K4364" i="1" s="1"/>
  <c r="K4365" i="1" s="1"/>
  <c r="K4366" i="1" s="1"/>
  <c r="K4367" i="1" s="1"/>
  <c r="K4368" i="1" s="1"/>
  <c r="K4369" i="1" s="1"/>
  <c r="K4370" i="1" s="1"/>
  <c r="K4371" i="1" s="1"/>
  <c r="K4372" i="1" s="1"/>
  <c r="K4373" i="1" s="1"/>
  <c r="K4374" i="1" s="1"/>
  <c r="K4375" i="1" s="1"/>
  <c r="K4376" i="1" s="1"/>
  <c r="K4377" i="1" s="1"/>
  <c r="K4378" i="1" s="1"/>
  <c r="K4379" i="1" s="1"/>
  <c r="K4380" i="1" s="1"/>
  <c r="K4381" i="1" s="1"/>
  <c r="K4382" i="1" s="1"/>
  <c r="K4383" i="1" s="1"/>
  <c r="K4384" i="1" s="1"/>
  <c r="K4385" i="1" s="1"/>
  <c r="K4386" i="1" s="1"/>
  <c r="K4387" i="1" s="1"/>
  <c r="K4388" i="1" s="1"/>
  <c r="K4389" i="1" s="1"/>
  <c r="K4390" i="1" s="1"/>
  <c r="K4391" i="1" s="1"/>
  <c r="K4392" i="1" s="1"/>
  <c r="K4393" i="1" s="1"/>
  <c r="K4394" i="1" s="1"/>
  <c r="K4395" i="1" s="1"/>
  <c r="K4396" i="1" s="1"/>
  <c r="K4397" i="1" s="1"/>
  <c r="K4398" i="1" s="1"/>
  <c r="K4399" i="1" s="1"/>
  <c r="K4400" i="1" s="1"/>
  <c r="K4401" i="1" s="1"/>
  <c r="K4402" i="1" s="1"/>
  <c r="K4403" i="1" s="1"/>
  <c r="K4404" i="1" s="1"/>
  <c r="K4405" i="1" s="1"/>
  <c r="K4406" i="1" s="1"/>
  <c r="K4407" i="1" s="1"/>
  <c r="K4408" i="1" s="1"/>
  <c r="K4409" i="1" s="1"/>
  <c r="K4410" i="1" s="1"/>
  <c r="K4411" i="1" s="1"/>
  <c r="K4412" i="1" s="1"/>
  <c r="K4413" i="1" s="1"/>
  <c r="K4414" i="1" s="1"/>
  <c r="K4415" i="1" s="1"/>
  <c r="K4416" i="1" s="1"/>
  <c r="K4417" i="1" s="1"/>
  <c r="K4418" i="1" s="1"/>
  <c r="K4419" i="1" s="1"/>
  <c r="K4420" i="1" s="1"/>
  <c r="K4421" i="1" s="1"/>
  <c r="K4422" i="1" s="1"/>
  <c r="K4423" i="1" s="1"/>
  <c r="K4424" i="1" s="1"/>
  <c r="K4425" i="1" s="1"/>
  <c r="K4426" i="1" s="1"/>
  <c r="K4427" i="1" s="1"/>
  <c r="K4428" i="1" s="1"/>
  <c r="K4429" i="1" s="1"/>
  <c r="K4430" i="1" s="1"/>
  <c r="K4431" i="1" s="1"/>
  <c r="K4432" i="1" s="1"/>
  <c r="K4433" i="1" s="1"/>
  <c r="K4434" i="1" s="1"/>
  <c r="K4435" i="1" s="1"/>
  <c r="K4436" i="1" s="1"/>
  <c r="K4437" i="1" s="1"/>
  <c r="K4438" i="1" s="1"/>
  <c r="K4439" i="1" s="1"/>
  <c r="K4440" i="1" s="1"/>
  <c r="K4441" i="1" s="1"/>
  <c r="K4442" i="1" s="1"/>
  <c r="K4443" i="1" s="1"/>
  <c r="K4444" i="1" s="1"/>
  <c r="K4445" i="1" s="1"/>
  <c r="K4446" i="1" s="1"/>
  <c r="K4447" i="1" s="1"/>
  <c r="K4448" i="1" s="1"/>
  <c r="K4449" i="1" s="1"/>
  <c r="K4450" i="1" s="1"/>
  <c r="K4451" i="1" s="1"/>
  <c r="K4452" i="1" s="1"/>
  <c r="K4453" i="1" s="1"/>
  <c r="K4454" i="1" s="1"/>
  <c r="K4455" i="1" s="1"/>
  <c r="K4456" i="1" s="1"/>
  <c r="K4457" i="1" s="1"/>
  <c r="K4458" i="1" s="1"/>
  <c r="K4459" i="1" s="1"/>
  <c r="K4460" i="1" s="1"/>
  <c r="K4461" i="1" s="1"/>
  <c r="K4462" i="1" s="1"/>
  <c r="K4463" i="1" s="1"/>
  <c r="K4464" i="1" s="1"/>
  <c r="K4465" i="1" s="1"/>
  <c r="K4466" i="1" s="1"/>
  <c r="K4467" i="1" s="1"/>
  <c r="K4468" i="1" s="1"/>
  <c r="K4469" i="1" s="1"/>
  <c r="K4470" i="1" s="1"/>
  <c r="K4471" i="1" s="1"/>
  <c r="K4472" i="1" s="1"/>
  <c r="K4473" i="1" s="1"/>
  <c r="K4474" i="1" s="1"/>
  <c r="K4475" i="1" s="1"/>
  <c r="K4476" i="1" s="1"/>
  <c r="K4477" i="1" s="1"/>
  <c r="K4478" i="1" s="1"/>
  <c r="K4479" i="1" s="1"/>
  <c r="K4480" i="1" s="1"/>
  <c r="K4481" i="1" s="1"/>
  <c r="K4482" i="1" s="1"/>
  <c r="K4483" i="1" s="1"/>
  <c r="K4484" i="1" s="1"/>
  <c r="K4485" i="1" s="1"/>
  <c r="K4486" i="1" s="1"/>
  <c r="K4487" i="1" s="1"/>
  <c r="K4488" i="1" s="1"/>
  <c r="K4489" i="1" s="1"/>
  <c r="K4490" i="1" s="1"/>
  <c r="K4491" i="1" s="1"/>
  <c r="K4492" i="1" s="1"/>
  <c r="K4493" i="1" s="1"/>
  <c r="K4494" i="1" s="1"/>
  <c r="K4495" i="1" s="1"/>
  <c r="K4496" i="1" s="1"/>
  <c r="K4497" i="1" s="1"/>
  <c r="K4498" i="1" s="1"/>
  <c r="K4499" i="1" s="1"/>
  <c r="K4500" i="1" s="1"/>
  <c r="K4501" i="1" s="1"/>
  <c r="K4502" i="1" s="1"/>
  <c r="K4503" i="1" s="1"/>
  <c r="K4504" i="1" s="1"/>
  <c r="K4505" i="1" s="1"/>
  <c r="K4506" i="1" s="1"/>
  <c r="K4507" i="1" s="1"/>
  <c r="K4508" i="1" s="1"/>
  <c r="K4509" i="1" s="1"/>
  <c r="K4510" i="1" s="1"/>
  <c r="K4511" i="1" s="1"/>
  <c r="K4512" i="1" s="1"/>
  <c r="K4513" i="1" s="1"/>
  <c r="K4514" i="1" s="1"/>
  <c r="K4515" i="1" s="1"/>
  <c r="K4516" i="1" s="1"/>
  <c r="K4517" i="1" s="1"/>
  <c r="K4518" i="1" s="1"/>
  <c r="K4519" i="1" s="1"/>
  <c r="K4520" i="1" s="1"/>
  <c r="K4521" i="1" s="1"/>
  <c r="K4522" i="1" s="1"/>
  <c r="K4523" i="1" s="1"/>
  <c r="K4524" i="1" s="1"/>
  <c r="K4525" i="1" s="1"/>
  <c r="K4526" i="1" s="1"/>
  <c r="K4527" i="1" s="1"/>
  <c r="K4528" i="1" s="1"/>
  <c r="K4529" i="1" s="1"/>
  <c r="K4530" i="1" s="1"/>
  <c r="K4531" i="1" s="1"/>
  <c r="K4532" i="1" s="1"/>
  <c r="K4533" i="1" s="1"/>
  <c r="K4534" i="1" s="1"/>
  <c r="K4535" i="1" s="1"/>
  <c r="K4536" i="1" s="1"/>
  <c r="K4537" i="1" s="1"/>
  <c r="K4538" i="1" s="1"/>
  <c r="K4539" i="1" s="1"/>
  <c r="K4540" i="1" s="1"/>
  <c r="K4541" i="1" s="1"/>
  <c r="K4542" i="1" s="1"/>
  <c r="K4543" i="1" s="1"/>
  <c r="K4544" i="1" s="1"/>
  <c r="K4545" i="1" s="1"/>
  <c r="K4546" i="1" s="1"/>
  <c r="K4547" i="1" s="1"/>
  <c r="K4548" i="1" s="1"/>
  <c r="K4549" i="1" s="1"/>
  <c r="K4550" i="1" s="1"/>
  <c r="K4551" i="1" s="1"/>
  <c r="K4552" i="1" s="1"/>
  <c r="K4553" i="1" s="1"/>
  <c r="K4554" i="1" s="1"/>
  <c r="K4555" i="1" s="1"/>
  <c r="K4556" i="1" s="1"/>
  <c r="K4557" i="1" s="1"/>
  <c r="K4558" i="1" s="1"/>
  <c r="K4559" i="1" s="1"/>
  <c r="K4560" i="1" s="1"/>
  <c r="K4561" i="1" s="1"/>
  <c r="K4562" i="1" s="1"/>
  <c r="K4563" i="1" s="1"/>
  <c r="K4564" i="1" s="1"/>
  <c r="K4565" i="1" s="1"/>
  <c r="K4566" i="1" s="1"/>
  <c r="K4567" i="1" s="1"/>
  <c r="K4568" i="1" s="1"/>
  <c r="K4569" i="1" s="1"/>
  <c r="K4570" i="1" s="1"/>
  <c r="K4571" i="1" s="1"/>
  <c r="K4572" i="1" s="1"/>
  <c r="K4573" i="1" s="1"/>
  <c r="K4574" i="1" s="1"/>
  <c r="K4575" i="1" s="1"/>
  <c r="K4576" i="1" s="1"/>
  <c r="K4577" i="1" s="1"/>
  <c r="K4578" i="1" s="1"/>
  <c r="K4579" i="1" s="1"/>
  <c r="K4580" i="1" s="1"/>
  <c r="K4581" i="1" s="1"/>
  <c r="K4582" i="1" s="1"/>
  <c r="K4583" i="1" s="1"/>
  <c r="K4584" i="1" s="1"/>
  <c r="K4585" i="1" s="1"/>
  <c r="K4586" i="1" s="1"/>
  <c r="K4587" i="1" s="1"/>
  <c r="K4588" i="1" s="1"/>
  <c r="K4589" i="1" s="1"/>
  <c r="K4590" i="1" s="1"/>
  <c r="K4591" i="1" s="1"/>
  <c r="K4592" i="1" s="1"/>
  <c r="K4593" i="1" s="1"/>
  <c r="K4594" i="1" s="1"/>
  <c r="K4595" i="1" s="1"/>
  <c r="K4596" i="1" s="1"/>
  <c r="K4597" i="1" s="1"/>
  <c r="K4598" i="1" s="1"/>
  <c r="K4599" i="1" s="1"/>
  <c r="K4600" i="1" s="1"/>
  <c r="K4601" i="1" s="1"/>
  <c r="K4602" i="1" s="1"/>
  <c r="K4603" i="1" s="1"/>
  <c r="K4604" i="1" s="1"/>
  <c r="K4605" i="1" s="1"/>
  <c r="K4606" i="1" s="1"/>
  <c r="K4607" i="1" s="1"/>
  <c r="K4608" i="1" s="1"/>
  <c r="K4609" i="1" s="1"/>
  <c r="K4610" i="1" s="1"/>
  <c r="K4611" i="1" s="1"/>
  <c r="K4612" i="1" s="1"/>
  <c r="K4613" i="1" s="1"/>
  <c r="K4614" i="1" s="1"/>
  <c r="K4615" i="1" s="1"/>
  <c r="K4616" i="1" s="1"/>
  <c r="K4617" i="1" s="1"/>
  <c r="K4618" i="1" s="1"/>
  <c r="K4619" i="1" s="1"/>
  <c r="K4620" i="1" s="1"/>
  <c r="K4621" i="1" s="1"/>
  <c r="K4622" i="1" s="1"/>
  <c r="K4623" i="1" s="1"/>
  <c r="K4624" i="1" s="1"/>
  <c r="K4625" i="1" s="1"/>
  <c r="K4626" i="1" s="1"/>
  <c r="K4627" i="1" s="1"/>
  <c r="K4628" i="1" s="1"/>
  <c r="K4629" i="1" s="1"/>
  <c r="K4630" i="1" s="1"/>
  <c r="K4631" i="1" s="1"/>
  <c r="K4632" i="1" s="1"/>
  <c r="K4633" i="1" s="1"/>
  <c r="K4634" i="1" s="1"/>
  <c r="K4635" i="1" s="1"/>
  <c r="K4636" i="1" s="1"/>
  <c r="K4637" i="1" s="1"/>
  <c r="K4638" i="1" s="1"/>
  <c r="K4639" i="1" s="1"/>
  <c r="K4640" i="1" s="1"/>
  <c r="K4641" i="1" s="1"/>
  <c r="K4642" i="1" s="1"/>
  <c r="K4643" i="1" s="1"/>
  <c r="K4644" i="1" s="1"/>
  <c r="K4645" i="1" s="1"/>
  <c r="K4646" i="1" s="1"/>
  <c r="K4647" i="1" s="1"/>
  <c r="K4648" i="1" s="1"/>
  <c r="K4649" i="1" s="1"/>
  <c r="K4650" i="1" s="1"/>
  <c r="K4651" i="1" s="1"/>
  <c r="K4652" i="1" s="1"/>
  <c r="K4653" i="1" s="1"/>
  <c r="K4654" i="1" s="1"/>
  <c r="K4655" i="1" s="1"/>
  <c r="K4656" i="1" s="1"/>
  <c r="K4657" i="1" s="1"/>
  <c r="K4658" i="1" s="1"/>
  <c r="K4659" i="1" s="1"/>
  <c r="K4660" i="1" s="1"/>
  <c r="K4661" i="1" s="1"/>
  <c r="K4662" i="1" s="1"/>
  <c r="K4663" i="1" s="1"/>
  <c r="K4664" i="1" s="1"/>
  <c r="K4665" i="1" s="1"/>
  <c r="K4666" i="1" s="1"/>
  <c r="K4667" i="1" s="1"/>
  <c r="K4668" i="1" s="1"/>
  <c r="K4669" i="1" s="1"/>
  <c r="K4670" i="1" s="1"/>
  <c r="K4671" i="1" s="1"/>
  <c r="K4672" i="1" s="1"/>
  <c r="K4673" i="1" s="1"/>
  <c r="K4674" i="1" s="1"/>
  <c r="K4675" i="1" s="1"/>
  <c r="K4676" i="1" s="1"/>
  <c r="K4677" i="1" s="1"/>
  <c r="K4678" i="1" s="1"/>
  <c r="K4679" i="1" s="1"/>
  <c r="K4680" i="1" s="1"/>
  <c r="K4681" i="1" s="1"/>
  <c r="K4682" i="1" s="1"/>
  <c r="K4683" i="1" s="1"/>
  <c r="K4684" i="1" s="1"/>
  <c r="K4685" i="1" s="1"/>
  <c r="K4686" i="1" s="1"/>
  <c r="K4687" i="1" s="1"/>
  <c r="K4688" i="1" s="1"/>
  <c r="K4689" i="1" s="1"/>
  <c r="K4690" i="1" s="1"/>
  <c r="K4691" i="1" s="1"/>
  <c r="K4692" i="1" s="1"/>
  <c r="K4693" i="1" s="1"/>
  <c r="K4694" i="1" s="1"/>
  <c r="K4695" i="1" s="1"/>
  <c r="K4696" i="1" s="1"/>
  <c r="K4697" i="1" s="1"/>
  <c r="K4698" i="1" s="1"/>
  <c r="K4699" i="1" s="1"/>
  <c r="K4700" i="1" s="1"/>
  <c r="K4701" i="1" s="1"/>
  <c r="K4702" i="1" s="1"/>
  <c r="K4703" i="1" s="1"/>
  <c r="K4704" i="1" s="1"/>
  <c r="K4705" i="1" s="1"/>
  <c r="K4706" i="1" s="1"/>
  <c r="K4707" i="1" s="1"/>
  <c r="K4708" i="1" s="1"/>
  <c r="K4709" i="1" s="1"/>
  <c r="K4710" i="1" s="1"/>
  <c r="K4711" i="1" s="1"/>
  <c r="K4712" i="1" s="1"/>
  <c r="K4713" i="1" s="1"/>
  <c r="K4714" i="1" s="1"/>
  <c r="K4715" i="1" s="1"/>
  <c r="K4716" i="1" s="1"/>
  <c r="K4717" i="1" s="1"/>
  <c r="K4718" i="1" s="1"/>
  <c r="K4719" i="1" s="1"/>
  <c r="K4720" i="1" s="1"/>
  <c r="K4721" i="1" s="1"/>
  <c r="K4722" i="1" s="1"/>
  <c r="K4723" i="1" s="1"/>
  <c r="K4724" i="1" s="1"/>
  <c r="K4725" i="1" s="1"/>
  <c r="K4726" i="1" s="1"/>
  <c r="K4727" i="1" s="1"/>
  <c r="K4728" i="1" s="1"/>
  <c r="K4729" i="1" s="1"/>
  <c r="K4730" i="1" s="1"/>
  <c r="K4731" i="1" s="1"/>
  <c r="K4732" i="1" s="1"/>
  <c r="K4733" i="1" s="1"/>
  <c r="K4734" i="1" s="1"/>
  <c r="K4735" i="1" s="1"/>
  <c r="K4736" i="1" s="1"/>
  <c r="K4737" i="1" s="1"/>
  <c r="K4738" i="1" s="1"/>
  <c r="K4739" i="1" s="1"/>
  <c r="K4740" i="1" s="1"/>
  <c r="K4741" i="1" s="1"/>
  <c r="K4742" i="1" s="1"/>
  <c r="K4743" i="1" s="1"/>
  <c r="K4744" i="1" s="1"/>
  <c r="K4745" i="1" s="1"/>
  <c r="K4746" i="1" s="1"/>
  <c r="K4747" i="1" s="1"/>
  <c r="K4748" i="1" s="1"/>
  <c r="K4749" i="1" s="1"/>
  <c r="K4750" i="1" s="1"/>
  <c r="K4751" i="1" s="1"/>
  <c r="K4752" i="1" s="1"/>
  <c r="K4753" i="1" s="1"/>
  <c r="K4754" i="1" s="1"/>
  <c r="K4755" i="1" s="1"/>
  <c r="K4756" i="1" s="1"/>
  <c r="K4757" i="1" s="1"/>
  <c r="K4758" i="1" s="1"/>
  <c r="K4759" i="1" s="1"/>
  <c r="K4760" i="1" s="1"/>
  <c r="K4761" i="1" s="1"/>
  <c r="K4762" i="1" s="1"/>
  <c r="K4763" i="1" s="1"/>
  <c r="K4764" i="1" s="1"/>
  <c r="K4765" i="1" s="1"/>
  <c r="K4766" i="1" s="1"/>
  <c r="K4767" i="1" s="1"/>
  <c r="K4768" i="1" s="1"/>
  <c r="K4769" i="1" s="1"/>
  <c r="K4770" i="1" s="1"/>
  <c r="K4771" i="1" s="1"/>
  <c r="K4772" i="1" s="1"/>
  <c r="K4773" i="1" s="1"/>
  <c r="K4774" i="1" s="1"/>
  <c r="K4775" i="1" s="1"/>
  <c r="K4776" i="1" s="1"/>
  <c r="K4777" i="1" s="1"/>
  <c r="K4778" i="1" s="1"/>
  <c r="K4779" i="1" s="1"/>
  <c r="K4780" i="1" s="1"/>
  <c r="K4781" i="1" s="1"/>
  <c r="K4782" i="1" s="1"/>
  <c r="K4783" i="1" s="1"/>
  <c r="K4784" i="1" s="1"/>
  <c r="K4785" i="1" s="1"/>
  <c r="K4786" i="1" s="1"/>
  <c r="K4787" i="1" s="1"/>
  <c r="K4788" i="1" s="1"/>
  <c r="K4789" i="1" s="1"/>
  <c r="K4790" i="1" s="1"/>
  <c r="K4791" i="1" s="1"/>
  <c r="K4792" i="1" s="1"/>
  <c r="K4793" i="1" s="1"/>
  <c r="K4794" i="1" s="1"/>
  <c r="K4795" i="1" s="1"/>
  <c r="K4796" i="1" s="1"/>
  <c r="K4797" i="1" s="1"/>
  <c r="K4798" i="1" s="1"/>
  <c r="K4799" i="1" s="1"/>
  <c r="K4800" i="1" s="1"/>
  <c r="K4801" i="1" s="1"/>
  <c r="K4802" i="1" s="1"/>
  <c r="K4803" i="1" s="1"/>
  <c r="K4804" i="1" s="1"/>
  <c r="K4805" i="1" s="1"/>
  <c r="K4806" i="1" s="1"/>
  <c r="K4807" i="1" s="1"/>
  <c r="K4808" i="1" s="1"/>
  <c r="K4809" i="1" s="1"/>
  <c r="K4810" i="1" s="1"/>
  <c r="K4811" i="1" s="1"/>
  <c r="K4812" i="1" s="1"/>
  <c r="K4813" i="1" s="1"/>
  <c r="K4814" i="1" s="1"/>
  <c r="K4815" i="1" s="1"/>
  <c r="K4816" i="1" s="1"/>
  <c r="K4817" i="1" s="1"/>
  <c r="K4818" i="1" s="1"/>
  <c r="K4819" i="1" s="1"/>
  <c r="K4820" i="1" s="1"/>
  <c r="K4821" i="1" s="1"/>
  <c r="K4822" i="1" s="1"/>
  <c r="K4823" i="1" s="1"/>
  <c r="K4824" i="1" s="1"/>
  <c r="K4825" i="1" s="1"/>
  <c r="K4826" i="1" s="1"/>
  <c r="K4827" i="1" s="1"/>
  <c r="K4828" i="1" s="1"/>
  <c r="K4829" i="1" s="1"/>
  <c r="K4830" i="1" s="1"/>
  <c r="K4831" i="1" s="1"/>
  <c r="K4832" i="1" s="1"/>
  <c r="K4833" i="1" s="1"/>
  <c r="K4834" i="1" s="1"/>
  <c r="K4835" i="1" s="1"/>
  <c r="K4836" i="1" s="1"/>
  <c r="K4837" i="1" s="1"/>
  <c r="K4838" i="1" s="1"/>
  <c r="K4839" i="1" s="1"/>
  <c r="K4840" i="1" s="1"/>
  <c r="K4841" i="1" s="1"/>
  <c r="K4842" i="1" s="1"/>
  <c r="K4843" i="1" s="1"/>
  <c r="K4844" i="1" s="1"/>
  <c r="K4845" i="1" s="1"/>
  <c r="K4846" i="1" s="1"/>
  <c r="K4847" i="1" s="1"/>
  <c r="K4848" i="1" s="1"/>
  <c r="K4849" i="1" s="1"/>
  <c r="K4850" i="1" s="1"/>
  <c r="K4851" i="1" s="1"/>
  <c r="K4852" i="1" s="1"/>
  <c r="K4853" i="1" s="1"/>
  <c r="K4854" i="1" s="1"/>
  <c r="K4855" i="1" s="1"/>
  <c r="K4856" i="1" s="1"/>
  <c r="K4857" i="1" s="1"/>
  <c r="K4858" i="1" s="1"/>
  <c r="K4859" i="1" s="1"/>
  <c r="K4860" i="1" s="1"/>
  <c r="K4861" i="1" s="1"/>
  <c r="K4862" i="1" s="1"/>
  <c r="K4863" i="1" s="1"/>
  <c r="K4864" i="1" s="1"/>
  <c r="K4865" i="1" s="1"/>
  <c r="K4866" i="1" s="1"/>
  <c r="K4867" i="1" s="1"/>
  <c r="K4868" i="1" s="1"/>
  <c r="K4869" i="1" s="1"/>
  <c r="K4870" i="1" s="1"/>
  <c r="K4871" i="1" s="1"/>
  <c r="K4872" i="1" s="1"/>
  <c r="K4873" i="1" s="1"/>
  <c r="K4874" i="1" s="1"/>
  <c r="K4875" i="1" s="1"/>
  <c r="K4876" i="1" s="1"/>
  <c r="K4877" i="1" s="1"/>
  <c r="K4878" i="1" s="1"/>
  <c r="K4879" i="1" s="1"/>
  <c r="K4880" i="1" s="1"/>
  <c r="K4881" i="1" s="1"/>
  <c r="K4882" i="1" s="1"/>
  <c r="K4883" i="1" s="1"/>
  <c r="K4884" i="1" s="1"/>
  <c r="K4885" i="1" s="1"/>
  <c r="K4886" i="1" s="1"/>
  <c r="K4887" i="1" s="1"/>
  <c r="K4888" i="1" s="1"/>
  <c r="K4889" i="1" s="1"/>
  <c r="K4890" i="1" s="1"/>
  <c r="K4891" i="1" s="1"/>
  <c r="K4892" i="1" s="1"/>
  <c r="K4893" i="1" s="1"/>
  <c r="K4894" i="1" s="1"/>
  <c r="K4895" i="1" s="1"/>
  <c r="K4896" i="1" s="1"/>
  <c r="K4897" i="1" s="1"/>
  <c r="K4898" i="1" s="1"/>
  <c r="K4899" i="1" s="1"/>
  <c r="K4900" i="1" s="1"/>
  <c r="K4901" i="1" s="1"/>
  <c r="K4902" i="1" s="1"/>
  <c r="K4903" i="1" s="1"/>
  <c r="K4904" i="1" s="1"/>
  <c r="K4905" i="1" s="1"/>
  <c r="K4906" i="1" s="1"/>
  <c r="K4907" i="1" s="1"/>
  <c r="K4908" i="1" s="1"/>
  <c r="K4909" i="1" s="1"/>
  <c r="K4910" i="1" s="1"/>
  <c r="K4911" i="1" s="1"/>
  <c r="K4912" i="1" s="1"/>
  <c r="K4913" i="1" s="1"/>
  <c r="K4914" i="1" s="1"/>
  <c r="K4915" i="1" s="1"/>
  <c r="K4916" i="1" s="1"/>
  <c r="K4917" i="1" s="1"/>
  <c r="K4918" i="1" s="1"/>
  <c r="K4919" i="1" s="1"/>
  <c r="K4920" i="1" s="1"/>
  <c r="K4921" i="1" s="1"/>
  <c r="K4922" i="1" s="1"/>
  <c r="K4923" i="1" s="1"/>
  <c r="K4924" i="1" s="1"/>
  <c r="K4925" i="1" s="1"/>
  <c r="K4926" i="1" s="1"/>
  <c r="K4927" i="1" s="1"/>
  <c r="K4928" i="1" s="1"/>
  <c r="K4929" i="1" s="1"/>
  <c r="K4930" i="1" s="1"/>
  <c r="K4931" i="1" s="1"/>
  <c r="K4932" i="1" s="1"/>
  <c r="K4933" i="1" s="1"/>
  <c r="K4934" i="1" s="1"/>
  <c r="K4935" i="1" s="1"/>
  <c r="K4936" i="1" s="1"/>
  <c r="K4937" i="1" s="1"/>
  <c r="K4938" i="1" s="1"/>
  <c r="K4939" i="1" s="1"/>
  <c r="K4940" i="1" s="1"/>
  <c r="K4941" i="1" s="1"/>
  <c r="K4942" i="1" s="1"/>
  <c r="K4943" i="1" s="1"/>
  <c r="K4944" i="1" s="1"/>
  <c r="K4945" i="1" s="1"/>
  <c r="K4946" i="1" s="1"/>
  <c r="K4947" i="1" s="1"/>
  <c r="K4948" i="1" s="1"/>
  <c r="K4949" i="1" s="1"/>
  <c r="K4950" i="1" s="1"/>
  <c r="K4951" i="1" s="1"/>
  <c r="K4952" i="1" s="1"/>
  <c r="K4953" i="1" s="1"/>
  <c r="K4954" i="1" s="1"/>
  <c r="K4955" i="1" s="1"/>
  <c r="K4956" i="1" s="1"/>
  <c r="K4957" i="1" s="1"/>
  <c r="K4958" i="1" s="1"/>
  <c r="K4959" i="1" s="1"/>
  <c r="K4960" i="1" s="1"/>
  <c r="K4961" i="1" s="1"/>
  <c r="K4962" i="1" s="1"/>
  <c r="K4963" i="1" s="1"/>
  <c r="K4964" i="1" s="1"/>
  <c r="K4965" i="1" s="1"/>
  <c r="K4966" i="1" s="1"/>
  <c r="K4967" i="1" s="1"/>
  <c r="K4968" i="1" s="1"/>
  <c r="K4969" i="1" s="1"/>
  <c r="K4970" i="1" s="1"/>
  <c r="K4971" i="1" s="1"/>
  <c r="K4972" i="1" s="1"/>
  <c r="K4973" i="1" s="1"/>
  <c r="K4974" i="1" s="1"/>
  <c r="K4975" i="1" s="1"/>
  <c r="K4976" i="1" s="1"/>
  <c r="K4977" i="1" s="1"/>
  <c r="K4978" i="1" s="1"/>
  <c r="K4979" i="1" s="1"/>
  <c r="K4980" i="1" s="1"/>
  <c r="K4981" i="1" s="1"/>
  <c r="K4982" i="1" s="1"/>
  <c r="K4983" i="1" s="1"/>
  <c r="K4984" i="1" s="1"/>
  <c r="K4985" i="1" s="1"/>
  <c r="K4986" i="1" s="1"/>
  <c r="K4987" i="1" s="1"/>
  <c r="K4988" i="1" s="1"/>
  <c r="K4989" i="1" s="1"/>
  <c r="K4990" i="1" s="1"/>
  <c r="K4991" i="1" s="1"/>
  <c r="K4992" i="1" s="1"/>
  <c r="K4993" i="1" s="1"/>
  <c r="K4994" i="1" s="1"/>
  <c r="K4995" i="1" s="1"/>
  <c r="K4996" i="1" s="1"/>
  <c r="K4997" i="1" s="1"/>
  <c r="K4998" i="1" s="1"/>
  <c r="K4999" i="1" s="1"/>
  <c r="K5000" i="1" s="1"/>
  <c r="K5001" i="1" s="1"/>
  <c r="K5002" i="1" s="1"/>
  <c r="K5003" i="1" s="1"/>
  <c r="K5004" i="1" s="1"/>
  <c r="K5005" i="1" s="1"/>
  <c r="K5006" i="1" s="1"/>
  <c r="K5007" i="1" s="1"/>
  <c r="K5008" i="1" s="1"/>
  <c r="K5009" i="1" s="1"/>
  <c r="K5010" i="1" s="1"/>
  <c r="K5011" i="1" s="1"/>
  <c r="K5012" i="1" s="1"/>
  <c r="K5013" i="1" s="1"/>
  <c r="K5014" i="1" s="1"/>
  <c r="K5015" i="1" s="1"/>
  <c r="K5016" i="1" s="1"/>
  <c r="K5017" i="1" s="1"/>
  <c r="K5018" i="1" s="1"/>
  <c r="K5019" i="1" s="1"/>
  <c r="K5020" i="1" s="1"/>
  <c r="K5021" i="1" s="1"/>
  <c r="K5022" i="1" s="1"/>
  <c r="K5023" i="1" s="1"/>
  <c r="K5024" i="1" s="1"/>
  <c r="K5025" i="1" s="1"/>
  <c r="K5026" i="1" s="1"/>
  <c r="K5027" i="1" s="1"/>
  <c r="K5028" i="1" s="1"/>
  <c r="K5029" i="1" s="1"/>
  <c r="K5030" i="1" s="1"/>
  <c r="K5031" i="1" s="1"/>
  <c r="K5032" i="1" s="1"/>
  <c r="K5033" i="1" s="1"/>
  <c r="K5034" i="1" s="1"/>
  <c r="K5035" i="1" s="1"/>
  <c r="K5036" i="1" s="1"/>
  <c r="K5037" i="1" s="1"/>
  <c r="K5038" i="1" s="1"/>
  <c r="K5039" i="1" s="1"/>
  <c r="K5040" i="1" s="1"/>
  <c r="K5041" i="1" s="1"/>
  <c r="K5042" i="1" s="1"/>
  <c r="K5043" i="1" s="1"/>
  <c r="K5044" i="1" s="1"/>
  <c r="K5045" i="1" s="1"/>
  <c r="K5046" i="1" s="1"/>
  <c r="K5047" i="1" s="1"/>
  <c r="K5048" i="1" s="1"/>
  <c r="K5049" i="1" s="1"/>
  <c r="K5050" i="1" s="1"/>
  <c r="K5051" i="1" s="1"/>
  <c r="K5052" i="1" s="1"/>
  <c r="K5053" i="1" s="1"/>
  <c r="K5054" i="1" s="1"/>
  <c r="K5055" i="1" s="1"/>
  <c r="K5056" i="1" s="1"/>
  <c r="K5057" i="1" s="1"/>
  <c r="K5058" i="1" s="1"/>
  <c r="K5059" i="1" s="1"/>
  <c r="K5060" i="1" s="1"/>
  <c r="K5061" i="1" s="1"/>
  <c r="K5062" i="1" s="1"/>
  <c r="K5063" i="1" s="1"/>
  <c r="K5064" i="1" s="1"/>
  <c r="K5065" i="1" s="1"/>
  <c r="K5066" i="1" s="1"/>
  <c r="K5067" i="1" s="1"/>
  <c r="K5068" i="1" s="1"/>
  <c r="K5069" i="1" s="1"/>
  <c r="K5070" i="1" s="1"/>
  <c r="K5071" i="1" s="1"/>
  <c r="K5072" i="1" s="1"/>
  <c r="K5073" i="1" s="1"/>
  <c r="K5074" i="1" s="1"/>
  <c r="K5075" i="1" s="1"/>
  <c r="K5076" i="1" s="1"/>
  <c r="K5077" i="1" s="1"/>
  <c r="K5078" i="1" s="1"/>
  <c r="K5079" i="1" s="1"/>
  <c r="K5080" i="1" s="1"/>
  <c r="K5081" i="1" s="1"/>
  <c r="K5082" i="1" s="1"/>
  <c r="K5083" i="1" s="1"/>
  <c r="K5084" i="1" s="1"/>
  <c r="K5085" i="1" s="1"/>
  <c r="K5086" i="1" s="1"/>
  <c r="K5087" i="1" s="1"/>
  <c r="K5088" i="1" s="1"/>
  <c r="K5089" i="1" s="1"/>
  <c r="K5090" i="1" s="1"/>
  <c r="K5091" i="1" s="1"/>
  <c r="K5092" i="1" s="1"/>
  <c r="K5093" i="1" s="1"/>
  <c r="K5094" i="1" s="1"/>
  <c r="K5095" i="1" s="1"/>
  <c r="K5096" i="1" s="1"/>
  <c r="K5097" i="1" s="1"/>
  <c r="K5098" i="1" s="1"/>
  <c r="K5099" i="1" s="1"/>
  <c r="K5100" i="1" s="1"/>
  <c r="K5101" i="1" s="1"/>
  <c r="K5102" i="1" s="1"/>
  <c r="K5103" i="1" s="1"/>
  <c r="K5104" i="1" s="1"/>
  <c r="K5105" i="1" s="1"/>
  <c r="K5106" i="1" s="1"/>
  <c r="K5107" i="1" s="1"/>
  <c r="K5108" i="1" s="1"/>
  <c r="K5109" i="1" s="1"/>
  <c r="K5110" i="1" s="1"/>
  <c r="K5111" i="1" s="1"/>
  <c r="K5112" i="1" s="1"/>
  <c r="K5113" i="1" s="1"/>
  <c r="K5114" i="1" s="1"/>
  <c r="K5115" i="1" s="1"/>
  <c r="K5116" i="1" s="1"/>
  <c r="K5117" i="1" s="1"/>
  <c r="K5118" i="1" s="1"/>
  <c r="K5119" i="1" s="1"/>
  <c r="K5120" i="1" s="1"/>
  <c r="K5121" i="1" s="1"/>
  <c r="K5122" i="1" s="1"/>
  <c r="K5123" i="1" s="1"/>
  <c r="K5124" i="1" s="1"/>
  <c r="K5125" i="1" s="1"/>
  <c r="K5126" i="1" s="1"/>
  <c r="K5127" i="1" s="1"/>
  <c r="K5128" i="1" s="1"/>
  <c r="K5129" i="1" s="1"/>
  <c r="K5130" i="1" s="1"/>
  <c r="K5131" i="1" s="1"/>
  <c r="K5132" i="1" s="1"/>
  <c r="K5133" i="1" s="1"/>
  <c r="K5134" i="1" s="1"/>
  <c r="K5135" i="1" s="1"/>
  <c r="K5136" i="1" s="1"/>
  <c r="K5137" i="1" s="1"/>
  <c r="K5138" i="1" s="1"/>
  <c r="K5139" i="1" s="1"/>
  <c r="K5140" i="1" s="1"/>
  <c r="K5141" i="1" s="1"/>
  <c r="K5142" i="1" s="1"/>
  <c r="K5143" i="1" s="1"/>
  <c r="K5144" i="1" s="1"/>
  <c r="K5145" i="1" s="1"/>
  <c r="K5146" i="1" s="1"/>
  <c r="K5147" i="1" s="1"/>
  <c r="K5148" i="1" s="1"/>
  <c r="K5149" i="1" s="1"/>
  <c r="K5150" i="1" s="1"/>
  <c r="K5151" i="1" s="1"/>
  <c r="K5152" i="1" s="1"/>
  <c r="K5153" i="1" s="1"/>
  <c r="K5154" i="1" s="1"/>
  <c r="K5155" i="1" s="1"/>
  <c r="K5156" i="1" s="1"/>
  <c r="K5157" i="1" s="1"/>
  <c r="K5158" i="1" s="1"/>
  <c r="K5159" i="1" s="1"/>
  <c r="K5160" i="1" s="1"/>
  <c r="K5161" i="1" s="1"/>
  <c r="K5162" i="1" s="1"/>
  <c r="K5163" i="1" s="1"/>
  <c r="K5164" i="1" s="1"/>
  <c r="K5165" i="1" s="1"/>
  <c r="K5166" i="1" s="1"/>
  <c r="K5167" i="1" s="1"/>
  <c r="K5168" i="1" s="1"/>
  <c r="K5169" i="1" s="1"/>
  <c r="K5170" i="1" s="1"/>
  <c r="K5171" i="1" s="1"/>
  <c r="K5172" i="1" s="1"/>
  <c r="K5173" i="1" s="1"/>
  <c r="K5174" i="1" s="1"/>
  <c r="K5175" i="1" s="1"/>
  <c r="K5176" i="1" s="1"/>
  <c r="K5177" i="1" s="1"/>
  <c r="K5178" i="1" s="1"/>
  <c r="K5179" i="1" s="1"/>
  <c r="K5180" i="1" s="1"/>
  <c r="K5181" i="1" s="1"/>
  <c r="K5182" i="1" s="1"/>
  <c r="K5183" i="1" s="1"/>
  <c r="K5184" i="1" s="1"/>
  <c r="K5185" i="1" s="1"/>
  <c r="K5186" i="1" s="1"/>
  <c r="K5187" i="1" s="1"/>
  <c r="K5188" i="1" s="1"/>
  <c r="K5189" i="1" s="1"/>
  <c r="K5190" i="1" s="1"/>
  <c r="K5191" i="1" s="1"/>
  <c r="K5192" i="1" s="1"/>
  <c r="K5193" i="1" s="1"/>
  <c r="K5194" i="1" s="1"/>
  <c r="K5195" i="1" s="1"/>
  <c r="K5196" i="1" s="1"/>
  <c r="K5197" i="1" s="1"/>
  <c r="K5198" i="1" s="1"/>
  <c r="K5199" i="1" s="1"/>
  <c r="K5200" i="1" s="1"/>
  <c r="K5201" i="1" s="1"/>
  <c r="K5202" i="1" s="1"/>
  <c r="K5203" i="1" s="1"/>
  <c r="K5204" i="1" s="1"/>
  <c r="K5205" i="1" s="1"/>
  <c r="K5206" i="1" s="1"/>
  <c r="K5207" i="1" s="1"/>
  <c r="K5208" i="1" s="1"/>
  <c r="K5209" i="1" s="1"/>
  <c r="K5210" i="1" s="1"/>
  <c r="K5211" i="1" s="1"/>
  <c r="K5212" i="1" s="1"/>
  <c r="K5213" i="1" s="1"/>
  <c r="K5214" i="1" s="1"/>
  <c r="K5215" i="1" s="1"/>
  <c r="K5216" i="1" s="1"/>
  <c r="K5217" i="1" s="1"/>
  <c r="K5218" i="1" s="1"/>
  <c r="K5219" i="1" s="1"/>
  <c r="K5220" i="1" s="1"/>
  <c r="K5221" i="1" s="1"/>
  <c r="K5222" i="1" s="1"/>
  <c r="K5223" i="1" s="1"/>
  <c r="K5224" i="1" s="1"/>
  <c r="K5225" i="1" s="1"/>
  <c r="K5226" i="1" s="1"/>
  <c r="K5227" i="1" s="1"/>
  <c r="K5228" i="1" s="1"/>
  <c r="K5229" i="1" s="1"/>
  <c r="K5230" i="1" s="1"/>
  <c r="K5231" i="1" s="1"/>
  <c r="K5232" i="1" s="1"/>
  <c r="K5233" i="1" s="1"/>
  <c r="K5234" i="1" s="1"/>
  <c r="K5235" i="1" s="1"/>
  <c r="K5236" i="1" s="1"/>
  <c r="K5237" i="1" s="1"/>
  <c r="K5238" i="1" s="1"/>
  <c r="K5239" i="1" s="1"/>
  <c r="K5240" i="1" s="1"/>
  <c r="K5241" i="1" s="1"/>
  <c r="K5242" i="1" s="1"/>
  <c r="K5243" i="1" s="1"/>
  <c r="K5244" i="1" s="1"/>
  <c r="K5245" i="1" s="1"/>
  <c r="K5246" i="1" s="1"/>
  <c r="K5247" i="1" s="1"/>
  <c r="K5248" i="1" s="1"/>
  <c r="K5249" i="1" s="1"/>
  <c r="K5250" i="1" s="1"/>
  <c r="K5251" i="1" s="1"/>
  <c r="K5252" i="1" s="1"/>
  <c r="K5253" i="1" s="1"/>
  <c r="K5254" i="1" s="1"/>
  <c r="K5255" i="1" s="1"/>
  <c r="K5256" i="1" s="1"/>
  <c r="K5257" i="1" s="1"/>
  <c r="K5258" i="1" s="1"/>
  <c r="K5259" i="1" s="1"/>
  <c r="K5260" i="1" s="1"/>
  <c r="K5261" i="1" s="1"/>
  <c r="K5262" i="1" s="1"/>
  <c r="K5263" i="1" s="1"/>
  <c r="K5264" i="1" s="1"/>
  <c r="K5265" i="1" s="1"/>
  <c r="K5266" i="1" s="1"/>
  <c r="K5267" i="1" s="1"/>
  <c r="K5268" i="1" s="1"/>
  <c r="K5269" i="1" s="1"/>
  <c r="K5270" i="1" s="1"/>
  <c r="K5271" i="1" s="1"/>
  <c r="K5272" i="1" s="1"/>
  <c r="K5273" i="1" s="1"/>
  <c r="K5274" i="1" s="1"/>
  <c r="K5275" i="1" s="1"/>
  <c r="K5276" i="1" s="1"/>
  <c r="K5277" i="1" s="1"/>
  <c r="K5278" i="1" s="1"/>
  <c r="K5279" i="1" s="1"/>
  <c r="K5280" i="1" s="1"/>
  <c r="K5281" i="1" s="1"/>
  <c r="K5282" i="1" s="1"/>
  <c r="K5283" i="1" s="1"/>
  <c r="K5284" i="1" s="1"/>
  <c r="K5285" i="1" s="1"/>
  <c r="K5286" i="1" s="1"/>
  <c r="K5287" i="1" s="1"/>
  <c r="K5288" i="1" s="1"/>
  <c r="K5289" i="1" s="1"/>
  <c r="K5290" i="1" s="1"/>
  <c r="K5291" i="1" s="1"/>
  <c r="K5292" i="1" s="1"/>
  <c r="K5293" i="1" s="1"/>
  <c r="K5294" i="1" s="1"/>
  <c r="K5295" i="1" s="1"/>
  <c r="K5296" i="1" s="1"/>
  <c r="K5297" i="1" s="1"/>
  <c r="K5298" i="1" s="1"/>
  <c r="K5299" i="1" s="1"/>
  <c r="K5300" i="1" s="1"/>
  <c r="K5301" i="1" s="1"/>
  <c r="K5302" i="1" s="1"/>
  <c r="K5303" i="1" s="1"/>
  <c r="K5304" i="1" s="1"/>
  <c r="K5305" i="1" s="1"/>
  <c r="K5306" i="1" s="1"/>
  <c r="K5307" i="1" s="1"/>
  <c r="K5308" i="1" s="1"/>
  <c r="K5309" i="1" s="1"/>
  <c r="K5310" i="1" s="1"/>
  <c r="K5311" i="1" s="1"/>
  <c r="K5312" i="1" s="1"/>
  <c r="K5313" i="1" s="1"/>
  <c r="K5314" i="1" s="1"/>
  <c r="K5315" i="1" s="1"/>
  <c r="K5316" i="1" s="1"/>
  <c r="K5317" i="1" s="1"/>
  <c r="K5318" i="1" s="1"/>
  <c r="K5319" i="1" s="1"/>
  <c r="K5320" i="1" s="1"/>
  <c r="K5321" i="1" s="1"/>
  <c r="K5322" i="1" s="1"/>
  <c r="K5323" i="1" s="1"/>
  <c r="K5324" i="1" s="1"/>
  <c r="K5325" i="1" s="1"/>
  <c r="K5326" i="1" s="1"/>
  <c r="K5327" i="1" s="1"/>
  <c r="K5328" i="1" s="1"/>
  <c r="K5329" i="1" s="1"/>
  <c r="K5330" i="1" s="1"/>
  <c r="K5331" i="1" s="1"/>
  <c r="K5332" i="1" s="1"/>
  <c r="K5333" i="1" s="1"/>
  <c r="K5334" i="1" s="1"/>
  <c r="K5335" i="1" s="1"/>
  <c r="K5336" i="1" s="1"/>
  <c r="K5337" i="1" s="1"/>
  <c r="K5338" i="1" s="1"/>
  <c r="K5339" i="1" s="1"/>
  <c r="K5340" i="1" s="1"/>
  <c r="K5341" i="1" s="1"/>
  <c r="K5342" i="1" s="1"/>
  <c r="K5343" i="1" s="1"/>
  <c r="K5344" i="1" s="1"/>
  <c r="K5345" i="1" s="1"/>
  <c r="K5346" i="1" s="1"/>
  <c r="K5347" i="1" s="1"/>
  <c r="K5348" i="1" s="1"/>
  <c r="K5349" i="1" s="1"/>
  <c r="K5350" i="1" s="1"/>
  <c r="K5351" i="1" s="1"/>
  <c r="K5352" i="1" s="1"/>
  <c r="K5353" i="1" s="1"/>
  <c r="K5354" i="1" s="1"/>
  <c r="K5355" i="1" s="1"/>
  <c r="K5356" i="1" s="1"/>
  <c r="K5357" i="1" s="1"/>
  <c r="K5358" i="1" s="1"/>
  <c r="K5359" i="1" s="1"/>
  <c r="K5360" i="1" s="1"/>
  <c r="K5361" i="1" s="1"/>
  <c r="K5362" i="1" s="1"/>
  <c r="K5363" i="1" s="1"/>
  <c r="K5364" i="1" s="1"/>
  <c r="K5365" i="1" s="1"/>
  <c r="K5366" i="1" s="1"/>
  <c r="K5367" i="1" s="1"/>
  <c r="K5368" i="1" s="1"/>
  <c r="K5369" i="1" s="1"/>
  <c r="K5370" i="1" s="1"/>
  <c r="K5371" i="1" s="1"/>
  <c r="K5372" i="1" s="1"/>
  <c r="K5373" i="1" s="1"/>
  <c r="K5374" i="1" s="1"/>
  <c r="K5375" i="1" s="1"/>
  <c r="K5376" i="1" s="1"/>
  <c r="K5377" i="1" s="1"/>
  <c r="K5378" i="1" s="1"/>
  <c r="K5379" i="1" s="1"/>
  <c r="K5380" i="1" s="1"/>
  <c r="K5381" i="1" s="1"/>
  <c r="K5382" i="1" s="1"/>
  <c r="K5383" i="1" s="1"/>
  <c r="K5384" i="1" s="1"/>
  <c r="K5385" i="1" s="1"/>
  <c r="K5386" i="1" s="1"/>
  <c r="K5387" i="1" s="1"/>
  <c r="K5388" i="1" s="1"/>
  <c r="K5389" i="1" s="1"/>
  <c r="K5390" i="1" s="1"/>
  <c r="K5391" i="1" s="1"/>
  <c r="K5392" i="1" s="1"/>
  <c r="K5393" i="1" s="1"/>
  <c r="K5394" i="1" s="1"/>
  <c r="K5395" i="1" s="1"/>
  <c r="K5396" i="1" s="1"/>
  <c r="K5397" i="1" s="1"/>
  <c r="K5398" i="1" s="1"/>
  <c r="K5399" i="1" s="1"/>
  <c r="K5400" i="1" s="1"/>
  <c r="K5401" i="1" s="1"/>
  <c r="K5402" i="1" s="1"/>
  <c r="K5403" i="1" s="1"/>
  <c r="K5404" i="1" s="1"/>
  <c r="K5405" i="1" s="1"/>
  <c r="K5406" i="1" s="1"/>
  <c r="K5407" i="1" s="1"/>
  <c r="K5408" i="1" s="1"/>
  <c r="K5409" i="1" s="1"/>
  <c r="K5410" i="1" s="1"/>
  <c r="K5411" i="1" s="1"/>
  <c r="K5412" i="1" s="1"/>
  <c r="K5413" i="1" s="1"/>
  <c r="K5414" i="1" s="1"/>
  <c r="K5415" i="1" s="1"/>
  <c r="K5416" i="1" s="1"/>
  <c r="K5417" i="1" s="1"/>
  <c r="K5418" i="1" s="1"/>
  <c r="K5419" i="1" s="1"/>
  <c r="K5420" i="1" s="1"/>
  <c r="K5421" i="1" s="1"/>
  <c r="K5422" i="1" s="1"/>
  <c r="K5423" i="1" s="1"/>
  <c r="K5424" i="1" s="1"/>
  <c r="K5425" i="1" s="1"/>
  <c r="K5426" i="1" s="1"/>
  <c r="K5427" i="1" s="1"/>
  <c r="K5428" i="1" s="1"/>
  <c r="K5429" i="1" s="1"/>
  <c r="K5430" i="1" s="1"/>
  <c r="K5431" i="1" s="1"/>
  <c r="K5432" i="1" s="1"/>
  <c r="K5433" i="1" s="1"/>
  <c r="K5434" i="1" s="1"/>
  <c r="K5435" i="1" s="1"/>
  <c r="K5436" i="1" s="1"/>
  <c r="K5437" i="1" s="1"/>
  <c r="K5438" i="1" s="1"/>
  <c r="K5439" i="1" s="1"/>
  <c r="K5440" i="1" s="1"/>
  <c r="K5441" i="1" s="1"/>
  <c r="K5442" i="1" s="1"/>
  <c r="K5443" i="1" s="1"/>
  <c r="K5444" i="1" s="1"/>
  <c r="K5445" i="1" s="1"/>
  <c r="K5446" i="1" s="1"/>
  <c r="K5447" i="1" s="1"/>
  <c r="K5448" i="1" s="1"/>
  <c r="K5449" i="1" s="1"/>
  <c r="K5450" i="1" s="1"/>
  <c r="K5451" i="1" s="1"/>
  <c r="K5452" i="1" s="1"/>
  <c r="K5453" i="1" s="1"/>
  <c r="K5454" i="1" s="1"/>
  <c r="K5455" i="1" s="1"/>
  <c r="K5456" i="1" s="1"/>
  <c r="K5457" i="1" s="1"/>
  <c r="K5458" i="1" s="1"/>
  <c r="K5459" i="1" s="1"/>
  <c r="K5460" i="1" s="1"/>
  <c r="K5461" i="1" s="1"/>
  <c r="K5462" i="1" s="1"/>
  <c r="K5463" i="1" s="1"/>
  <c r="K5464" i="1" s="1"/>
  <c r="K5465" i="1" s="1"/>
  <c r="K5466" i="1" s="1"/>
  <c r="K5467" i="1" s="1"/>
  <c r="K5468" i="1" s="1"/>
  <c r="K5469" i="1" s="1"/>
  <c r="K5470" i="1" s="1"/>
  <c r="K5471" i="1" s="1"/>
  <c r="K5472" i="1" s="1"/>
  <c r="K5473" i="1" s="1"/>
  <c r="K5474" i="1" s="1"/>
  <c r="K5475" i="1" s="1"/>
  <c r="K5476" i="1" s="1"/>
  <c r="K5477" i="1" s="1"/>
  <c r="K5478" i="1" s="1"/>
  <c r="K5479" i="1" s="1"/>
  <c r="K5480" i="1" s="1"/>
  <c r="K5481" i="1" s="1"/>
  <c r="K5482" i="1" s="1"/>
  <c r="K5483" i="1" s="1"/>
  <c r="K5484" i="1" s="1"/>
  <c r="K5485" i="1" s="1"/>
  <c r="K5486" i="1" s="1"/>
  <c r="K5487" i="1" s="1"/>
  <c r="K5488" i="1" s="1"/>
  <c r="K5489" i="1" s="1"/>
  <c r="K5490" i="1" s="1"/>
  <c r="K5491" i="1" s="1"/>
  <c r="K5492" i="1" s="1"/>
  <c r="K5493" i="1" s="1"/>
  <c r="K5494" i="1" s="1"/>
  <c r="K5495" i="1" s="1"/>
  <c r="K5496" i="1" s="1"/>
  <c r="K5497" i="1" s="1"/>
  <c r="K5498" i="1" s="1"/>
  <c r="K5499" i="1" s="1"/>
  <c r="K5500" i="1" s="1"/>
  <c r="K5501" i="1" s="1"/>
  <c r="K5502" i="1" s="1"/>
  <c r="K5503" i="1" s="1"/>
  <c r="K5504" i="1" s="1"/>
  <c r="K5505" i="1" s="1"/>
  <c r="K5506" i="1" s="1"/>
  <c r="K5507" i="1" s="1"/>
  <c r="K5508" i="1" s="1"/>
  <c r="K5509" i="1" s="1"/>
  <c r="K5510" i="1" s="1"/>
  <c r="K5511" i="1" s="1"/>
  <c r="K5512" i="1" s="1"/>
  <c r="K5513" i="1" s="1"/>
  <c r="K5514" i="1" s="1"/>
  <c r="K5515" i="1" s="1"/>
  <c r="K5516" i="1" s="1"/>
  <c r="K5517" i="1" s="1"/>
  <c r="K5518" i="1" s="1"/>
  <c r="K5519" i="1" s="1"/>
  <c r="K5520" i="1" s="1"/>
  <c r="K5521" i="1" s="1"/>
  <c r="K5522" i="1" s="1"/>
  <c r="K5523" i="1" s="1"/>
  <c r="K5524" i="1" s="1"/>
  <c r="K5525" i="1" s="1"/>
  <c r="K5526" i="1" s="1"/>
  <c r="K5527" i="1" s="1"/>
  <c r="K5528" i="1" s="1"/>
  <c r="K5529" i="1" s="1"/>
  <c r="K5530" i="1" s="1"/>
  <c r="K5531" i="1" s="1"/>
  <c r="K5532" i="1" s="1"/>
  <c r="K5533" i="1" s="1"/>
  <c r="K5534" i="1" s="1"/>
  <c r="K5535" i="1" s="1"/>
  <c r="K5536" i="1" s="1"/>
  <c r="K5537" i="1" s="1"/>
  <c r="K5538" i="1" s="1"/>
  <c r="K5539" i="1" s="1"/>
  <c r="K5540" i="1" s="1"/>
  <c r="K5541" i="1" s="1"/>
  <c r="K5542" i="1" s="1"/>
  <c r="K5543" i="1" s="1"/>
  <c r="K5544" i="1" s="1"/>
  <c r="K5545" i="1" s="1"/>
  <c r="K5546" i="1" s="1"/>
  <c r="K5547" i="1" s="1"/>
  <c r="K5548" i="1" s="1"/>
  <c r="K5549" i="1" s="1"/>
  <c r="K5550" i="1" s="1"/>
  <c r="K5551" i="1" s="1"/>
  <c r="K5552" i="1" s="1"/>
  <c r="K5553" i="1" s="1"/>
  <c r="K5554" i="1" s="1"/>
  <c r="K5555" i="1" s="1"/>
  <c r="K5556" i="1" s="1"/>
  <c r="K5557" i="1" s="1"/>
  <c r="K5558" i="1" s="1"/>
  <c r="K5559" i="1" s="1"/>
  <c r="K5560" i="1" s="1"/>
  <c r="K5561" i="1" s="1"/>
  <c r="K5562" i="1" s="1"/>
  <c r="K5563" i="1" s="1"/>
  <c r="K5564" i="1" s="1"/>
  <c r="K5565" i="1" s="1"/>
  <c r="K5566" i="1" s="1"/>
  <c r="K5567" i="1" s="1"/>
  <c r="K5568" i="1" s="1"/>
  <c r="K5569" i="1" s="1"/>
  <c r="K5570" i="1" s="1"/>
  <c r="K5571" i="1" s="1"/>
  <c r="K5572" i="1" s="1"/>
  <c r="K5573" i="1" s="1"/>
  <c r="K5574" i="1" s="1"/>
  <c r="K5575" i="1" s="1"/>
  <c r="K5576" i="1" s="1"/>
  <c r="K5577" i="1" s="1"/>
  <c r="K5578" i="1" s="1"/>
  <c r="K5579" i="1" s="1"/>
  <c r="K5580" i="1" s="1"/>
  <c r="K5581" i="1" s="1"/>
  <c r="K5582" i="1" s="1"/>
  <c r="K5583" i="1" s="1"/>
  <c r="K5584" i="1" s="1"/>
  <c r="K5585" i="1" s="1"/>
  <c r="K5586" i="1" s="1"/>
  <c r="K5587" i="1" s="1"/>
  <c r="K5588" i="1" s="1"/>
  <c r="K5589" i="1" s="1"/>
  <c r="K5590" i="1" s="1"/>
  <c r="K5591" i="1" s="1"/>
  <c r="K5592" i="1" s="1"/>
  <c r="K5593" i="1" s="1"/>
  <c r="K5594" i="1" s="1"/>
  <c r="K5595" i="1" s="1"/>
  <c r="K5596" i="1" s="1"/>
  <c r="K5597" i="1" s="1"/>
  <c r="K5598" i="1" s="1"/>
  <c r="K5599" i="1" s="1"/>
  <c r="K5600" i="1" s="1"/>
  <c r="K5601" i="1" s="1"/>
  <c r="K5602" i="1" s="1"/>
  <c r="K5603" i="1" s="1"/>
  <c r="K5604" i="1" s="1"/>
  <c r="K5605" i="1" s="1"/>
  <c r="K5606" i="1" s="1"/>
  <c r="K5607" i="1" s="1"/>
  <c r="K5608" i="1" s="1"/>
  <c r="K5609" i="1" s="1"/>
  <c r="K5610" i="1" s="1"/>
  <c r="K5611" i="1" s="1"/>
  <c r="K5612" i="1" s="1"/>
  <c r="K5613" i="1" s="1"/>
  <c r="K5614" i="1" s="1"/>
  <c r="K5615" i="1" s="1"/>
  <c r="K5616" i="1" s="1"/>
  <c r="K5617" i="1" s="1"/>
  <c r="K5618" i="1" s="1"/>
  <c r="K5619" i="1" s="1"/>
  <c r="K5620" i="1" s="1"/>
  <c r="K5621" i="1" s="1"/>
  <c r="K5622" i="1" s="1"/>
  <c r="K5623" i="1" s="1"/>
  <c r="K5624" i="1" s="1"/>
  <c r="K5625" i="1" s="1"/>
  <c r="K5626" i="1" s="1"/>
  <c r="K5627" i="1" s="1"/>
  <c r="K5628" i="1" s="1"/>
  <c r="K5629" i="1" s="1"/>
  <c r="K5630" i="1" s="1"/>
  <c r="K5631" i="1" s="1"/>
  <c r="K5632" i="1" s="1"/>
  <c r="K5633" i="1" s="1"/>
  <c r="K5634" i="1" s="1"/>
  <c r="K5635" i="1" s="1"/>
  <c r="K5636" i="1" s="1"/>
  <c r="K5637" i="1" s="1"/>
  <c r="K5638" i="1" s="1"/>
  <c r="K5639" i="1" s="1"/>
  <c r="K5640" i="1" s="1"/>
  <c r="K5641" i="1" s="1"/>
  <c r="K5642" i="1" s="1"/>
  <c r="K5643" i="1" s="1"/>
  <c r="K5644" i="1" s="1"/>
  <c r="K5645" i="1" s="1"/>
  <c r="K5646" i="1" s="1"/>
  <c r="K5647" i="1" s="1"/>
  <c r="K5648" i="1" s="1"/>
  <c r="K5649" i="1" s="1"/>
  <c r="K5650" i="1" s="1"/>
  <c r="K5651" i="1" s="1"/>
  <c r="K5652" i="1" s="1"/>
  <c r="K5653" i="1" s="1"/>
  <c r="K5654" i="1" s="1"/>
  <c r="K5655" i="1" s="1"/>
  <c r="K5656" i="1" s="1"/>
  <c r="K5657" i="1" s="1"/>
  <c r="K5658" i="1" s="1"/>
  <c r="K5659" i="1" s="1"/>
  <c r="K5660" i="1" s="1"/>
  <c r="K5661" i="1" s="1"/>
  <c r="K5662" i="1" s="1"/>
  <c r="K5663" i="1" s="1"/>
  <c r="K5664" i="1" s="1"/>
  <c r="K5665" i="1" s="1"/>
  <c r="K5666" i="1" s="1"/>
  <c r="K5667" i="1" s="1"/>
  <c r="K5668" i="1" s="1"/>
  <c r="K5669" i="1" s="1"/>
  <c r="K5670" i="1" s="1"/>
  <c r="K5671" i="1" s="1"/>
  <c r="K5672" i="1" s="1"/>
  <c r="K5673" i="1" s="1"/>
  <c r="K5674" i="1" s="1"/>
  <c r="K5675" i="1" s="1"/>
  <c r="K5676" i="1" s="1"/>
  <c r="K5677" i="1" s="1"/>
  <c r="K5678" i="1" s="1"/>
  <c r="K5679" i="1" s="1"/>
  <c r="K5680" i="1" s="1"/>
  <c r="K5681" i="1" s="1"/>
  <c r="K5682" i="1" s="1"/>
  <c r="K5683" i="1" s="1"/>
  <c r="K5684" i="1" s="1"/>
  <c r="K5685" i="1" s="1"/>
  <c r="K5686" i="1" s="1"/>
  <c r="K5687" i="1" s="1"/>
  <c r="K5688" i="1" s="1"/>
  <c r="K5689" i="1" s="1"/>
  <c r="K5690" i="1" s="1"/>
  <c r="K5691" i="1" s="1"/>
  <c r="K5692" i="1" s="1"/>
  <c r="K5693" i="1" s="1"/>
  <c r="K5694" i="1" s="1"/>
  <c r="K5695" i="1" s="1"/>
  <c r="K5696" i="1" s="1"/>
  <c r="K5697" i="1" s="1"/>
  <c r="K5698" i="1" s="1"/>
  <c r="K5699" i="1" s="1"/>
  <c r="K5700" i="1" s="1"/>
  <c r="K5701" i="1" s="1"/>
  <c r="K5702" i="1" s="1"/>
  <c r="K5703" i="1" s="1"/>
  <c r="K5704" i="1" s="1"/>
  <c r="K5705" i="1" s="1"/>
  <c r="K5706" i="1" s="1"/>
  <c r="K5707" i="1" s="1"/>
  <c r="K5708" i="1" s="1"/>
  <c r="K5709" i="1" s="1"/>
  <c r="K5710" i="1" s="1"/>
  <c r="K5711" i="1" s="1"/>
  <c r="K5712" i="1" s="1"/>
  <c r="K5713" i="1" s="1"/>
  <c r="K5714" i="1" s="1"/>
  <c r="K5715" i="1" s="1"/>
  <c r="K5716" i="1" s="1"/>
  <c r="K5717" i="1" s="1"/>
  <c r="K5718" i="1" s="1"/>
  <c r="K5719" i="1" s="1"/>
  <c r="K5720" i="1" s="1"/>
  <c r="K5721" i="1" s="1"/>
  <c r="K5722" i="1" s="1"/>
  <c r="K5723" i="1" s="1"/>
  <c r="K5724" i="1" s="1"/>
  <c r="K5725" i="1" s="1"/>
  <c r="K5726" i="1" s="1"/>
  <c r="K5727" i="1" s="1"/>
  <c r="K5728" i="1" s="1"/>
  <c r="K5729" i="1" s="1"/>
  <c r="K5730" i="1" s="1"/>
  <c r="K5731" i="1" s="1"/>
  <c r="K5732" i="1" s="1"/>
  <c r="K5733" i="1" s="1"/>
  <c r="K5734" i="1" s="1"/>
  <c r="K5735" i="1" s="1"/>
  <c r="K5736" i="1" s="1"/>
  <c r="K5737" i="1" s="1"/>
  <c r="K5738" i="1" s="1"/>
  <c r="K5739" i="1" s="1"/>
  <c r="K5740" i="1" s="1"/>
  <c r="K5741" i="1" s="1"/>
  <c r="K5742" i="1" s="1"/>
  <c r="K5743" i="1" s="1"/>
  <c r="K5744" i="1" s="1"/>
  <c r="K5745" i="1" s="1"/>
  <c r="K5746" i="1" s="1"/>
  <c r="K5747" i="1" s="1"/>
  <c r="K5748" i="1" s="1"/>
  <c r="K5749" i="1" s="1"/>
  <c r="K5750" i="1" s="1"/>
  <c r="K5751" i="1" s="1"/>
  <c r="K5752" i="1" s="1"/>
  <c r="K5753" i="1" s="1"/>
  <c r="K5754" i="1" s="1"/>
  <c r="K5755" i="1" s="1"/>
  <c r="K5756" i="1" s="1"/>
  <c r="K5757" i="1" s="1"/>
  <c r="K5758" i="1" s="1"/>
  <c r="K5759" i="1" s="1"/>
  <c r="K5760" i="1" s="1"/>
  <c r="K5761" i="1" s="1"/>
  <c r="K5762" i="1" s="1"/>
  <c r="K5763" i="1" s="1"/>
  <c r="K5764" i="1" s="1"/>
  <c r="K5765" i="1" s="1"/>
  <c r="K5766" i="1" s="1"/>
  <c r="K5767" i="1" s="1"/>
  <c r="K5768" i="1" s="1"/>
  <c r="K5769" i="1" s="1"/>
  <c r="K5770" i="1" s="1"/>
  <c r="K5771" i="1" s="1"/>
  <c r="K5772" i="1" s="1"/>
  <c r="K5773" i="1" s="1"/>
  <c r="K5774" i="1" s="1"/>
  <c r="K5775" i="1" s="1"/>
  <c r="K5776" i="1" s="1"/>
  <c r="K5777" i="1" s="1"/>
  <c r="K5778" i="1" s="1"/>
  <c r="K5779" i="1" s="1"/>
  <c r="K5780" i="1" s="1"/>
  <c r="K5781" i="1" s="1"/>
  <c r="K5782" i="1" s="1"/>
  <c r="K5783" i="1" s="1"/>
  <c r="K5784" i="1" s="1"/>
  <c r="K5785" i="1" s="1"/>
  <c r="K5786" i="1" s="1"/>
  <c r="K5787" i="1" s="1"/>
  <c r="K5788" i="1" s="1"/>
  <c r="K5789" i="1" s="1"/>
  <c r="K5790" i="1" s="1"/>
  <c r="K5791" i="1" s="1"/>
  <c r="K5792" i="1" s="1"/>
  <c r="K5793" i="1" s="1"/>
  <c r="K5794" i="1" s="1"/>
  <c r="K5795" i="1" s="1"/>
  <c r="K5796" i="1" s="1"/>
  <c r="K5797" i="1" s="1"/>
  <c r="K5798" i="1" s="1"/>
  <c r="K5799" i="1" s="1"/>
  <c r="K5800" i="1" s="1"/>
  <c r="K5801" i="1" s="1"/>
  <c r="K5802" i="1" s="1"/>
  <c r="K5803" i="1" s="1"/>
  <c r="K5804" i="1" s="1"/>
  <c r="K5805" i="1" s="1"/>
  <c r="K5806" i="1" s="1"/>
  <c r="K5807" i="1" s="1"/>
  <c r="K5808" i="1" s="1"/>
  <c r="K5809" i="1" s="1"/>
  <c r="K5810" i="1" s="1"/>
  <c r="K5811" i="1" s="1"/>
  <c r="K5812" i="1" s="1"/>
  <c r="K5813" i="1" s="1"/>
  <c r="K5814" i="1" s="1"/>
  <c r="K5815" i="1" s="1"/>
  <c r="K5816" i="1" s="1"/>
  <c r="K5817" i="1" s="1"/>
  <c r="K5818" i="1" s="1"/>
  <c r="K5819" i="1" s="1"/>
  <c r="K5820" i="1" s="1"/>
  <c r="K5821" i="1" s="1"/>
  <c r="K5822" i="1" s="1"/>
  <c r="K5823" i="1" s="1"/>
  <c r="K5824" i="1" s="1"/>
  <c r="K5825" i="1" s="1"/>
  <c r="K5826" i="1" s="1"/>
  <c r="K5827" i="1" s="1"/>
  <c r="K5828" i="1" s="1"/>
  <c r="K5829" i="1" s="1"/>
  <c r="K5830" i="1" s="1"/>
  <c r="K5831" i="1" s="1"/>
  <c r="K5832" i="1" s="1"/>
  <c r="K5833" i="1" s="1"/>
  <c r="K5834" i="1" s="1"/>
  <c r="K5835" i="1" s="1"/>
  <c r="K5836" i="1" s="1"/>
  <c r="K5837" i="1" s="1"/>
  <c r="K5838" i="1" s="1"/>
  <c r="K5839" i="1" s="1"/>
  <c r="K5840" i="1" s="1"/>
  <c r="K5841" i="1" s="1"/>
  <c r="K5842" i="1" s="1"/>
  <c r="K5843" i="1" s="1"/>
  <c r="K5844" i="1" s="1"/>
  <c r="K5845" i="1" s="1"/>
  <c r="K5846" i="1" s="1"/>
  <c r="K5847" i="1" s="1"/>
  <c r="K5848" i="1" s="1"/>
  <c r="K5849" i="1" s="1"/>
  <c r="K5850" i="1" s="1"/>
  <c r="K5851" i="1" s="1"/>
  <c r="K5852" i="1" s="1"/>
  <c r="K5853" i="1" s="1"/>
  <c r="K5854" i="1" s="1"/>
  <c r="K5855" i="1" s="1"/>
  <c r="K5856" i="1" s="1"/>
  <c r="K5857" i="1" s="1"/>
  <c r="K5858" i="1" s="1"/>
  <c r="K5859" i="1" s="1"/>
  <c r="K5860" i="1" s="1"/>
  <c r="K5861" i="1" s="1"/>
  <c r="K5862" i="1" s="1"/>
  <c r="K5863" i="1" s="1"/>
  <c r="K5864" i="1" s="1"/>
  <c r="K5865" i="1" s="1"/>
  <c r="K5866" i="1" s="1"/>
  <c r="K5867" i="1" s="1"/>
  <c r="K5868" i="1" s="1"/>
  <c r="K5869" i="1" s="1"/>
  <c r="K5870" i="1" s="1"/>
  <c r="K5871" i="1" s="1"/>
  <c r="K5872" i="1" s="1"/>
  <c r="K5873" i="1" s="1"/>
  <c r="K5874" i="1" s="1"/>
  <c r="K5875" i="1" s="1"/>
  <c r="K5876" i="1" s="1"/>
  <c r="K5877" i="1" s="1"/>
  <c r="K5878" i="1" s="1"/>
  <c r="K5879" i="1" s="1"/>
  <c r="K5880" i="1" s="1"/>
  <c r="K5881" i="1" s="1"/>
  <c r="K5882" i="1" s="1"/>
  <c r="K5883" i="1" s="1"/>
  <c r="K5884" i="1" s="1"/>
  <c r="K5885" i="1" s="1"/>
  <c r="K5886" i="1" s="1"/>
  <c r="K5887" i="1" s="1"/>
  <c r="K5888" i="1" s="1"/>
  <c r="K5889" i="1" s="1"/>
  <c r="K5890" i="1" s="1"/>
  <c r="K5891" i="1" s="1"/>
  <c r="K5892" i="1" s="1"/>
  <c r="K5893" i="1" s="1"/>
  <c r="K5894" i="1" s="1"/>
  <c r="K5895" i="1" s="1"/>
  <c r="K5896" i="1" s="1"/>
  <c r="K5897" i="1" s="1"/>
  <c r="K5898" i="1" s="1"/>
  <c r="K5899" i="1" s="1"/>
  <c r="K5900" i="1" s="1"/>
  <c r="K5901" i="1" s="1"/>
  <c r="K5902" i="1" s="1"/>
  <c r="K5903" i="1" s="1"/>
  <c r="K5904" i="1" s="1"/>
  <c r="K5905" i="1" s="1"/>
  <c r="K5906" i="1" s="1"/>
  <c r="K5907" i="1" s="1"/>
  <c r="K5908" i="1" s="1"/>
  <c r="K5909" i="1" s="1"/>
  <c r="K5910" i="1" s="1"/>
  <c r="K5911" i="1" s="1"/>
  <c r="K5912" i="1" s="1"/>
  <c r="K5913" i="1" s="1"/>
  <c r="K5914" i="1" s="1"/>
  <c r="K5915" i="1" s="1"/>
  <c r="K5916" i="1" s="1"/>
  <c r="K5917" i="1" s="1"/>
  <c r="K5918" i="1" s="1"/>
  <c r="K5919" i="1" s="1"/>
  <c r="K5920" i="1" s="1"/>
  <c r="K5921" i="1" s="1"/>
  <c r="K5922" i="1" s="1"/>
  <c r="K5923" i="1" s="1"/>
  <c r="K5924" i="1" s="1"/>
  <c r="K5925" i="1" s="1"/>
  <c r="K5926" i="1" s="1"/>
  <c r="K5927" i="1" s="1"/>
  <c r="K5928" i="1" s="1"/>
  <c r="K5929" i="1" s="1"/>
  <c r="K5930" i="1" s="1"/>
  <c r="K5931" i="1" s="1"/>
  <c r="K5932" i="1" s="1"/>
  <c r="K5933" i="1" s="1"/>
  <c r="K5934" i="1" s="1"/>
  <c r="K5935" i="1" s="1"/>
  <c r="K5936" i="1" s="1"/>
  <c r="K5937" i="1" s="1"/>
  <c r="K5938" i="1" s="1"/>
  <c r="K5939" i="1" s="1"/>
  <c r="K5940" i="1" s="1"/>
  <c r="K5941" i="1" s="1"/>
  <c r="K5942" i="1" s="1"/>
  <c r="K5943" i="1" s="1"/>
  <c r="K5944" i="1" s="1"/>
  <c r="K5945" i="1" s="1"/>
  <c r="K5946" i="1" s="1"/>
  <c r="K5947" i="1" s="1"/>
  <c r="K5948" i="1" s="1"/>
  <c r="K5949" i="1" s="1"/>
  <c r="K5950" i="1" s="1"/>
  <c r="K5951" i="1" s="1"/>
  <c r="K5952" i="1" s="1"/>
  <c r="K5953" i="1" s="1"/>
  <c r="K5954" i="1" s="1"/>
  <c r="K5955" i="1" s="1"/>
  <c r="K5956" i="1" s="1"/>
  <c r="K5957" i="1" s="1"/>
  <c r="K5958" i="1" s="1"/>
  <c r="K5959" i="1" s="1"/>
  <c r="K5960" i="1" s="1"/>
  <c r="K5961" i="1" s="1"/>
  <c r="K5962" i="1" s="1"/>
  <c r="K5963" i="1" s="1"/>
  <c r="K5964" i="1" s="1"/>
  <c r="K5965" i="1" s="1"/>
  <c r="K5966" i="1" s="1"/>
  <c r="K5967" i="1" s="1"/>
  <c r="K5968" i="1" s="1"/>
  <c r="K5969" i="1" s="1"/>
  <c r="K5970" i="1" s="1"/>
  <c r="K5971" i="1" s="1"/>
  <c r="K5972" i="1" s="1"/>
  <c r="K5973" i="1" s="1"/>
  <c r="K5974" i="1" s="1"/>
  <c r="K5975" i="1" s="1"/>
  <c r="K5976" i="1" s="1"/>
  <c r="K5977" i="1" s="1"/>
  <c r="K5978" i="1" s="1"/>
  <c r="K5979" i="1" s="1"/>
  <c r="K5980" i="1" s="1"/>
  <c r="K5981" i="1" s="1"/>
  <c r="K5982" i="1" s="1"/>
  <c r="K5983" i="1" s="1"/>
  <c r="K5984" i="1" s="1"/>
  <c r="K5985" i="1" s="1"/>
  <c r="K5986" i="1" s="1"/>
  <c r="K5987" i="1" s="1"/>
  <c r="K5988" i="1" s="1"/>
  <c r="K5989" i="1" s="1"/>
  <c r="K5990" i="1" s="1"/>
  <c r="K5991" i="1" s="1"/>
  <c r="K5992" i="1" s="1"/>
  <c r="K5993" i="1" s="1"/>
  <c r="K5994" i="1" s="1"/>
  <c r="K5995" i="1" s="1"/>
  <c r="K5996" i="1" s="1"/>
  <c r="K5997" i="1" s="1"/>
  <c r="K5998" i="1" s="1"/>
  <c r="K5999" i="1" s="1"/>
  <c r="K6000" i="1" s="1"/>
  <c r="K6001" i="1" s="1"/>
  <c r="K6002" i="1" s="1"/>
  <c r="K6003" i="1" s="1"/>
  <c r="K6004" i="1" s="1"/>
  <c r="K6005" i="1" s="1"/>
  <c r="K6006" i="1" s="1"/>
  <c r="K6007" i="1" s="1"/>
  <c r="K6008" i="1" s="1"/>
  <c r="K6009" i="1" s="1"/>
  <c r="K6010" i="1" s="1"/>
  <c r="K6011" i="1" s="1"/>
  <c r="K6012" i="1" s="1"/>
  <c r="K6013" i="1" s="1"/>
  <c r="K6014" i="1" s="1"/>
  <c r="K6015" i="1" s="1"/>
  <c r="K6016" i="1" s="1"/>
  <c r="K6017" i="1" s="1"/>
  <c r="K6018" i="1" s="1"/>
  <c r="K6019" i="1" s="1"/>
  <c r="K6020" i="1" s="1"/>
  <c r="K6021" i="1" s="1"/>
  <c r="K6022" i="1" s="1"/>
  <c r="K6023" i="1" s="1"/>
  <c r="K6024" i="1" s="1"/>
  <c r="K6025" i="1" s="1"/>
  <c r="K6026" i="1" s="1"/>
  <c r="K6027" i="1" s="1"/>
  <c r="K6028" i="1" s="1"/>
  <c r="K6029" i="1" s="1"/>
  <c r="K6030" i="1" s="1"/>
  <c r="K6031" i="1" s="1"/>
  <c r="K6032" i="1" s="1"/>
  <c r="K6033" i="1" s="1"/>
  <c r="K6034" i="1" s="1"/>
  <c r="K6035" i="1" s="1"/>
  <c r="K6036" i="1" s="1"/>
  <c r="K6037" i="1" s="1"/>
  <c r="K6038" i="1" s="1"/>
  <c r="K6039" i="1" s="1"/>
  <c r="K6040" i="1" s="1"/>
  <c r="K6041" i="1" s="1"/>
  <c r="K6042" i="1" s="1"/>
  <c r="K6043" i="1" s="1"/>
  <c r="K6044" i="1" s="1"/>
  <c r="K6045" i="1" s="1"/>
  <c r="K6046" i="1" s="1"/>
  <c r="K6047" i="1" s="1"/>
  <c r="K6048" i="1" s="1"/>
  <c r="K6049" i="1" s="1"/>
  <c r="K6050" i="1" s="1"/>
  <c r="K6051" i="1" s="1"/>
  <c r="K6052" i="1" s="1"/>
  <c r="K6053" i="1" s="1"/>
  <c r="K6054" i="1" s="1"/>
  <c r="K6055" i="1" s="1"/>
  <c r="K6056" i="1" s="1"/>
  <c r="K6057" i="1" s="1"/>
  <c r="K6058" i="1" s="1"/>
  <c r="K6059" i="1" s="1"/>
  <c r="K6060" i="1" s="1"/>
  <c r="K6061" i="1" s="1"/>
  <c r="K6062" i="1" s="1"/>
  <c r="K6063" i="1" s="1"/>
  <c r="K6064" i="1" s="1"/>
  <c r="K6065" i="1" s="1"/>
  <c r="K6066" i="1" s="1"/>
  <c r="K6067" i="1" s="1"/>
  <c r="K6068" i="1" s="1"/>
  <c r="K6069" i="1" s="1"/>
  <c r="K6070" i="1" s="1"/>
  <c r="K6071" i="1" s="1"/>
  <c r="K6072" i="1" s="1"/>
  <c r="K6073" i="1" s="1"/>
  <c r="K6074" i="1" s="1"/>
  <c r="K6075" i="1" s="1"/>
  <c r="K6076" i="1" s="1"/>
  <c r="K6077" i="1" s="1"/>
  <c r="K6078" i="1" s="1"/>
  <c r="K6079" i="1" s="1"/>
  <c r="K6080" i="1" s="1"/>
  <c r="K6081" i="1" s="1"/>
  <c r="K6082" i="1" s="1"/>
  <c r="K6083" i="1" s="1"/>
  <c r="K6084" i="1" s="1"/>
  <c r="K6085" i="1" s="1"/>
  <c r="K6086" i="1" s="1"/>
  <c r="K6087" i="1" s="1"/>
  <c r="K6088" i="1" s="1"/>
  <c r="K6089" i="1" s="1"/>
  <c r="K6090" i="1" s="1"/>
  <c r="K6091" i="1" s="1"/>
  <c r="K6092" i="1" s="1"/>
  <c r="K6093" i="1" s="1"/>
  <c r="K6094" i="1" s="1"/>
  <c r="K6095" i="1" s="1"/>
  <c r="K6096" i="1" s="1"/>
  <c r="K6097" i="1" s="1"/>
  <c r="K6098" i="1" s="1"/>
  <c r="K6099" i="1" s="1"/>
  <c r="K6100" i="1" s="1"/>
  <c r="K6101" i="1" s="1"/>
  <c r="K6102" i="1" s="1"/>
  <c r="K6103" i="1" s="1"/>
  <c r="K6104" i="1" s="1"/>
  <c r="K6105" i="1" s="1"/>
  <c r="K6106" i="1" s="1"/>
  <c r="K6107" i="1" s="1"/>
  <c r="K6108" i="1" s="1"/>
  <c r="K6109" i="1" s="1"/>
  <c r="K6110" i="1" s="1"/>
  <c r="K6111" i="1" s="1"/>
  <c r="K6112" i="1" s="1"/>
  <c r="K6113" i="1" s="1"/>
  <c r="K6114" i="1" s="1"/>
  <c r="K6115" i="1" s="1"/>
  <c r="K6116" i="1" s="1"/>
  <c r="K6117" i="1" s="1"/>
  <c r="K6118" i="1" s="1"/>
  <c r="K6119" i="1" s="1"/>
  <c r="K6120" i="1" s="1"/>
  <c r="K6121" i="1" s="1"/>
  <c r="K6122" i="1" s="1"/>
  <c r="K6123" i="1" s="1"/>
  <c r="K6124" i="1" s="1"/>
  <c r="K6125" i="1" s="1"/>
  <c r="K6126" i="1" s="1"/>
  <c r="K6127" i="1" s="1"/>
  <c r="K6128" i="1" s="1"/>
  <c r="K6129" i="1" s="1"/>
  <c r="K6130" i="1" s="1"/>
  <c r="K6131" i="1" s="1"/>
  <c r="K6132" i="1" s="1"/>
  <c r="K6133" i="1" s="1"/>
  <c r="K6134" i="1" s="1"/>
  <c r="K6135" i="1" s="1"/>
  <c r="K6136" i="1" s="1"/>
  <c r="K6137" i="1" s="1"/>
  <c r="K6138" i="1" s="1"/>
  <c r="K6139" i="1" s="1"/>
  <c r="K6140" i="1" s="1"/>
  <c r="K6141" i="1" s="1"/>
  <c r="K6142" i="1" s="1"/>
  <c r="K6143" i="1" s="1"/>
  <c r="K6144" i="1" s="1"/>
  <c r="K6145" i="1" s="1"/>
  <c r="K6146" i="1" s="1"/>
  <c r="K6147" i="1" s="1"/>
  <c r="K6148" i="1" s="1"/>
  <c r="K6149" i="1" s="1"/>
  <c r="K6150" i="1" s="1"/>
  <c r="K6151" i="1" s="1"/>
  <c r="K6152" i="1" s="1"/>
  <c r="K6153" i="1" s="1"/>
  <c r="K6154" i="1" s="1"/>
  <c r="K6155" i="1" s="1"/>
  <c r="K6156" i="1" s="1"/>
  <c r="K6157" i="1" s="1"/>
  <c r="K6158" i="1" s="1"/>
  <c r="K6159" i="1" s="1"/>
  <c r="K6160" i="1" s="1"/>
  <c r="K6161" i="1" s="1"/>
  <c r="K6162" i="1" s="1"/>
  <c r="K6163" i="1" s="1"/>
  <c r="K6164" i="1" s="1"/>
  <c r="K6165" i="1" s="1"/>
  <c r="K6166" i="1" s="1"/>
  <c r="K6167" i="1" s="1"/>
  <c r="K6168" i="1" s="1"/>
  <c r="K6169" i="1" s="1"/>
  <c r="K6170" i="1" s="1"/>
  <c r="K6171" i="1" s="1"/>
  <c r="K6172" i="1" s="1"/>
  <c r="K6173" i="1" s="1"/>
  <c r="K6174" i="1" s="1"/>
  <c r="K6175" i="1" s="1"/>
  <c r="K6176" i="1" s="1"/>
  <c r="K6177" i="1" s="1"/>
  <c r="K6178" i="1" s="1"/>
  <c r="K6179" i="1" s="1"/>
  <c r="K6180" i="1" s="1"/>
  <c r="K6181" i="1" s="1"/>
  <c r="K6182" i="1" s="1"/>
  <c r="K6183" i="1" s="1"/>
  <c r="K6184" i="1" s="1"/>
  <c r="K6185" i="1" s="1"/>
  <c r="K6186" i="1" s="1"/>
  <c r="K6187" i="1" s="1"/>
  <c r="K6188" i="1" s="1"/>
  <c r="K6189" i="1" s="1"/>
  <c r="K6190" i="1" s="1"/>
  <c r="K6191" i="1" s="1"/>
  <c r="K6192" i="1" s="1"/>
  <c r="K6193" i="1" s="1"/>
  <c r="K6194" i="1" s="1"/>
  <c r="K6195" i="1" s="1"/>
  <c r="K6196" i="1" s="1"/>
  <c r="K6197" i="1" s="1"/>
  <c r="K6198" i="1" s="1"/>
  <c r="K6199" i="1" s="1"/>
  <c r="K6200" i="1" s="1"/>
  <c r="K6201" i="1" s="1"/>
  <c r="K6202" i="1" s="1"/>
  <c r="K6203" i="1" s="1"/>
  <c r="K6204" i="1" s="1"/>
  <c r="K6205" i="1" s="1"/>
  <c r="K6206" i="1" s="1"/>
  <c r="K6207" i="1" s="1"/>
  <c r="K6208" i="1" s="1"/>
  <c r="K6209" i="1" s="1"/>
  <c r="K6210" i="1" s="1"/>
  <c r="K6211" i="1" s="1"/>
  <c r="K6212" i="1" s="1"/>
  <c r="K6213" i="1" s="1"/>
  <c r="K6214" i="1" s="1"/>
  <c r="K6215" i="1" s="1"/>
  <c r="K6216" i="1" s="1"/>
  <c r="K6217" i="1" s="1"/>
  <c r="K6218" i="1" s="1"/>
  <c r="K6219" i="1" s="1"/>
  <c r="K6220" i="1" s="1"/>
  <c r="K6221" i="1" s="1"/>
  <c r="K6222" i="1" s="1"/>
  <c r="K6223" i="1" s="1"/>
  <c r="K6224" i="1" s="1"/>
  <c r="K6225" i="1" s="1"/>
  <c r="K6226" i="1" s="1"/>
  <c r="K6227" i="1" s="1"/>
  <c r="K6228" i="1" s="1"/>
  <c r="K6229" i="1" s="1"/>
  <c r="K6230" i="1" s="1"/>
  <c r="K6231" i="1" s="1"/>
  <c r="K6232" i="1" s="1"/>
  <c r="K6233" i="1" s="1"/>
  <c r="K6234" i="1" s="1"/>
  <c r="K6235" i="1" s="1"/>
  <c r="K6236" i="1" s="1"/>
  <c r="K6237" i="1" s="1"/>
  <c r="K6238" i="1" s="1"/>
  <c r="K6239" i="1" s="1"/>
  <c r="K6240" i="1" s="1"/>
  <c r="K6241" i="1" s="1"/>
  <c r="K6242" i="1" s="1"/>
  <c r="K6243" i="1" s="1"/>
  <c r="K6244" i="1" s="1"/>
  <c r="K6245" i="1" s="1"/>
  <c r="K6246" i="1" s="1"/>
  <c r="K6247" i="1" s="1"/>
  <c r="K6248" i="1" s="1"/>
  <c r="K6249" i="1" s="1"/>
  <c r="K6250" i="1" s="1"/>
  <c r="K6251" i="1" s="1"/>
  <c r="K6252" i="1" s="1"/>
  <c r="K6253" i="1" s="1"/>
  <c r="K6254" i="1" s="1"/>
  <c r="K6255" i="1" s="1"/>
  <c r="K6256" i="1" s="1"/>
  <c r="K6257" i="1" s="1"/>
  <c r="K6258" i="1" s="1"/>
  <c r="K6259" i="1" s="1"/>
  <c r="K6260" i="1" s="1"/>
  <c r="K6261" i="1" s="1"/>
  <c r="K6262" i="1" s="1"/>
  <c r="K6263" i="1" s="1"/>
  <c r="K6264" i="1" s="1"/>
  <c r="K6265" i="1" s="1"/>
  <c r="K6266" i="1" s="1"/>
  <c r="K6267" i="1" s="1"/>
  <c r="K6268" i="1" s="1"/>
  <c r="K6269" i="1" s="1"/>
  <c r="K6270" i="1" s="1"/>
  <c r="K6271" i="1" s="1"/>
  <c r="K6272" i="1" s="1"/>
  <c r="K6273" i="1" s="1"/>
  <c r="K6274" i="1" s="1"/>
  <c r="K6275" i="1" s="1"/>
  <c r="K6276" i="1" s="1"/>
  <c r="K6277" i="1" s="1"/>
  <c r="K6278" i="1" s="1"/>
  <c r="K6279" i="1" s="1"/>
  <c r="K6280" i="1" s="1"/>
  <c r="K6281" i="1" s="1"/>
  <c r="K6282" i="1" s="1"/>
  <c r="K6283" i="1" s="1"/>
  <c r="K6284" i="1" s="1"/>
  <c r="K6285" i="1" s="1"/>
  <c r="K6286" i="1" s="1"/>
  <c r="K6287" i="1" s="1"/>
  <c r="K6288" i="1" s="1"/>
  <c r="K6289" i="1" s="1"/>
  <c r="K6290" i="1" s="1"/>
  <c r="K6291" i="1" s="1"/>
  <c r="K6292" i="1" s="1"/>
  <c r="K6293" i="1" s="1"/>
  <c r="K6294" i="1" s="1"/>
  <c r="K6295" i="1" s="1"/>
  <c r="K6296" i="1" s="1"/>
  <c r="K6297" i="1" s="1"/>
  <c r="K6298" i="1" s="1"/>
  <c r="K6299" i="1" s="1"/>
  <c r="K6300" i="1" s="1"/>
  <c r="K6301" i="1" s="1"/>
  <c r="K6302" i="1" s="1"/>
  <c r="K6303" i="1" s="1"/>
  <c r="K6304" i="1" s="1"/>
  <c r="K6305" i="1" s="1"/>
  <c r="K6306" i="1" s="1"/>
  <c r="K6307" i="1" s="1"/>
  <c r="K6308" i="1" s="1"/>
  <c r="K6309" i="1" s="1"/>
  <c r="K6310" i="1" s="1"/>
  <c r="K6311" i="1" s="1"/>
  <c r="K6312" i="1" s="1"/>
  <c r="K6313" i="1" s="1"/>
  <c r="K6314" i="1" s="1"/>
  <c r="K6315" i="1" s="1"/>
  <c r="K6316" i="1" s="1"/>
  <c r="K6317" i="1" s="1"/>
  <c r="K6318" i="1" s="1"/>
  <c r="K6319" i="1" s="1"/>
  <c r="K6320" i="1" s="1"/>
  <c r="K6321" i="1" s="1"/>
  <c r="K6322" i="1" s="1"/>
  <c r="K6323" i="1" s="1"/>
  <c r="K6324" i="1" s="1"/>
  <c r="K6325" i="1" s="1"/>
  <c r="K6326" i="1" s="1"/>
  <c r="K6327" i="1" s="1"/>
  <c r="K6328" i="1" s="1"/>
  <c r="K6329" i="1" s="1"/>
  <c r="K6330" i="1" s="1"/>
  <c r="K6331" i="1" s="1"/>
  <c r="K6332" i="1" s="1"/>
  <c r="K6333" i="1" s="1"/>
  <c r="K6334" i="1" s="1"/>
  <c r="K6335" i="1" s="1"/>
  <c r="K6336" i="1" s="1"/>
  <c r="K6337" i="1" s="1"/>
  <c r="K6338" i="1" s="1"/>
  <c r="K6339" i="1" s="1"/>
  <c r="K6340" i="1" s="1"/>
  <c r="K6341" i="1" s="1"/>
  <c r="K6342" i="1" s="1"/>
  <c r="K6343" i="1" s="1"/>
  <c r="K6344" i="1" s="1"/>
  <c r="K6345" i="1" s="1"/>
  <c r="K6346" i="1" s="1"/>
  <c r="K6347" i="1" s="1"/>
  <c r="K6348" i="1" s="1"/>
  <c r="K6349" i="1" s="1"/>
  <c r="K6350" i="1" s="1"/>
  <c r="K6351" i="1" s="1"/>
  <c r="K6352" i="1" s="1"/>
  <c r="K6353" i="1" s="1"/>
  <c r="K6354" i="1" s="1"/>
  <c r="K6355" i="1" s="1"/>
  <c r="K6356" i="1" s="1"/>
  <c r="K6357" i="1" s="1"/>
  <c r="K6358" i="1" s="1"/>
  <c r="K6359" i="1" s="1"/>
  <c r="K6360" i="1" s="1"/>
  <c r="K6361" i="1" s="1"/>
  <c r="K6362" i="1" s="1"/>
  <c r="K6363" i="1" s="1"/>
</calcChain>
</file>

<file path=xl/sharedStrings.xml><?xml version="1.0" encoding="utf-8"?>
<sst xmlns="http://schemas.openxmlformats.org/spreadsheetml/2006/main" count="34525" uniqueCount="7531">
  <si>
    <t>Codigo Grupo Cliente</t>
  </si>
  <si>
    <t>Grupo Cliente</t>
  </si>
  <si>
    <t>Representante Carteira</t>
  </si>
  <si>
    <t>Supervisor</t>
  </si>
  <si>
    <t>NÃO INFORMADO</t>
  </si>
  <si>
    <t>LINS FERRAO ARTS DO VEST LTDA</t>
  </si>
  <si>
    <t>74 IRMAOS PAGNONCELLI REPRESENTACOES LTDA</t>
  </si>
  <si>
    <t>SUL</t>
  </si>
  <si>
    <t>IG COMERCIO DE CALCADOS LTDA ME</t>
  </si>
  <si>
    <t>J2 SILVEIRA COM DE REPRESENTAÇÃO ME</t>
  </si>
  <si>
    <t>CENTRO OESTE</t>
  </si>
  <si>
    <t>DIGOS ONLINE COMERCIO VAREJISTA DE MERCADORIAS LTDA</t>
  </si>
  <si>
    <t>282 NRIZZO REPRESENTACOES PROMOCOES E INTERMEDIACO</t>
  </si>
  <si>
    <t>SPC</t>
  </si>
  <si>
    <t>COMERCIAL OBADIAS LTDA</t>
  </si>
  <si>
    <t>208 R A MIRANDA REPRESENTAÇÇÕES ME</t>
  </si>
  <si>
    <t>NORTE / NORDESTE</t>
  </si>
  <si>
    <t>M T NOGUEIRA CALCADOS</t>
  </si>
  <si>
    <t>15 J. JIREH REP. - AM/RR</t>
  </si>
  <si>
    <t>BRUNO PERALTA PERES COMÉRCIO DE CALCADOS</t>
  </si>
  <si>
    <t>93 FIGUEIREDO &amp; LOPES LTDA ME</t>
  </si>
  <si>
    <t>COMERCIAL DE CONFECCOES AMAZONAS LTDA.</t>
  </si>
  <si>
    <t>CALCADOS GEVAERD LTDA.</t>
  </si>
  <si>
    <t>45 AME REPRESENTAÇÃO COMERCIAL DE MERCADORIAS LTDA</t>
  </si>
  <si>
    <t>R. T. NOGUEIRA - CALCADOS ME</t>
  </si>
  <si>
    <t xml:space="preserve"> J M DO VALE COMERCIO DE CALCADOS</t>
  </si>
  <si>
    <t>39 C A VELOSO REPRESENTAÇÕES</t>
  </si>
  <si>
    <t>JOAO IZOLAN E CIA LTDA</t>
  </si>
  <si>
    <t>LOJA CENCI  COM DE CONFECCOES E CALCADOS</t>
  </si>
  <si>
    <t>I R S COMERCIO DE CALCADOS</t>
  </si>
  <si>
    <t>OMAR COMERCIO DE CALCADOS LTDA</t>
  </si>
  <si>
    <t>CASA DA ECONOMIA COMERCIO DE CONFECCOES LTDA</t>
  </si>
  <si>
    <t>M A MOHAMMED TAWEEL</t>
  </si>
  <si>
    <t>E P DE SOUZA DOS REIS</t>
  </si>
  <si>
    <t>53 ODELON P. DA SILVA REPRESENTAÇOES LTDA ME</t>
  </si>
  <si>
    <t>SERGIO BASSANI</t>
  </si>
  <si>
    <t>335 OLE GESTAO COMERCIAL E ADMINISTRATIVA LTDA</t>
  </si>
  <si>
    <t>HELTON MENDES SILVA COMERCIO</t>
  </si>
  <si>
    <t>IT COUGO</t>
  </si>
  <si>
    <t>43.831.763 OSWALDO SUGUYAMA TADA</t>
  </si>
  <si>
    <t>264 ALINE MOURE ROSABONI</t>
  </si>
  <si>
    <t>SPI</t>
  </si>
  <si>
    <t>LOPES PREMIUM LTDA</t>
  </si>
  <si>
    <t>LIZOMAR BEZERRA DE SOUSA - ME</t>
  </si>
  <si>
    <t>143 MARCELO SOROCABA REPRESENTAÇÕES COMERCIAL LTDA</t>
  </si>
  <si>
    <t>COM CONF LA POPINA LTDA</t>
  </si>
  <si>
    <t>LILAC ESPORTES LTDA</t>
  </si>
  <si>
    <t>MARIA NAZARE PEREIRA LOIOLA ALMEIDA</t>
  </si>
  <si>
    <t>61 EDMAR FERREIRA LIMA E CIA LTDA ME</t>
  </si>
  <si>
    <t>REM</t>
  </si>
  <si>
    <t>CALCADOS E CONFECCOES SAO LUIZ LTDA ME</t>
  </si>
  <si>
    <t>M I ZABAD</t>
  </si>
  <si>
    <t>231 T COLARES</t>
  </si>
  <si>
    <t>MARIO HENRIQUE MEDEIROS DE LIMA</t>
  </si>
  <si>
    <t>34 FABRICIO FERNANDES GRAMA REPRESENTAÇÕES COMERCI</t>
  </si>
  <si>
    <t xml:space="preserve"> DISTRIBUIDORA VIEIRA DE CALCADOS LIMITADA</t>
  </si>
  <si>
    <t>PRISCILLA M V ALVES COMERCIO DE ARTIGOS DO VESTUARIO ME</t>
  </si>
  <si>
    <t>292 VICTOR DIAS ALVES SERVIÇOS E REPRESENTAÇÕES ME</t>
  </si>
  <si>
    <t>NINA LU KIDS VESTUARIO LTDA</t>
  </si>
  <si>
    <t>P M DA SILVA COMÉRCIO DE IMP. E EXP. EPP</t>
  </si>
  <si>
    <t>BRILHUS CALCADOS E ACESSORIOS LTDA</t>
  </si>
  <si>
    <t>11 GEORGE BORGES REPRESENTACOES EIRELI - ME</t>
  </si>
  <si>
    <t>MAGAZINE SANTA CATARINA LTDA EM RECUP JUDICIAL</t>
  </si>
  <si>
    <t>315 LAINO REPRESENTACOES</t>
  </si>
  <si>
    <t>SERGIO LUIZ CORRÊA</t>
  </si>
  <si>
    <t>P.I. YAMAUCHI</t>
  </si>
  <si>
    <t>197 FABRICIO RIZZATO RODRIGUES</t>
  </si>
  <si>
    <t>EVA LÚCIA M GUTERRES</t>
  </si>
  <si>
    <t>EDIVANIA LOURIVAL DA SILVA FARIAS- EPP</t>
  </si>
  <si>
    <t>240 RAMON MAIA DE LIMA</t>
  </si>
  <si>
    <t>ARENA COM VAREJISTA DE CALCADOS E ARTIGOS ESPORTIVOS LTDA</t>
  </si>
  <si>
    <t>EDVALDO CARLOS TOGNI</t>
  </si>
  <si>
    <t>19 HAMILTON BIRIGUI REPRES. LTDA</t>
  </si>
  <si>
    <t>CALCADOS SOLANGE LTDA.</t>
  </si>
  <si>
    <t>178 EMERSON SGOBBI-NORTE/PR</t>
  </si>
  <si>
    <t>ELIDA CALCADOS LTDA ME</t>
  </si>
  <si>
    <t>CASA ARANTES LTDA</t>
  </si>
  <si>
    <t>KIPASSO CALCADOS E CONFECCOES LTDA - EPP</t>
  </si>
  <si>
    <t>317 GESTTO BRANDS REPRESENTACOES LTDA</t>
  </si>
  <si>
    <t>MOUBELLE LTDA</t>
  </si>
  <si>
    <t>LORAN DA SILVA SANTOS REPRESENTAÇÕES EIRELI</t>
  </si>
  <si>
    <t>BUSCAPE IN REPRESENTACOES COMERCIAIS LTDA</t>
  </si>
  <si>
    <t>371 TSTH 1 990 SAMUEL REPRESENTANTE COMERCIAL LTDA</t>
  </si>
  <si>
    <t>IWANKO &amp; CIA. LTDA.</t>
  </si>
  <si>
    <t>KATIA REGINA MILESKI DA LUZ</t>
  </si>
  <si>
    <t>CLAUDIA ZANETTI CALIANI</t>
  </si>
  <si>
    <t>NETE E SIL COMERCIO DE CALCADOS LTDA</t>
  </si>
  <si>
    <t>23 OLIVEN REPRESENTAÇÃO COML. LTDA ME</t>
  </si>
  <si>
    <t>SAKURA PRESENTES EIRELLI</t>
  </si>
  <si>
    <t>A. LIMA DE OLIVEIRA - ME</t>
  </si>
  <si>
    <t>J RILDO FARIAS</t>
  </si>
  <si>
    <t>217 PHC REPRESENTACAO</t>
  </si>
  <si>
    <t>REAL MAKRO CALCADOS LTDA LJ 6060</t>
  </si>
  <si>
    <t>GIRAFA'S SAPATARIA INFANTIL LTDA - ME</t>
  </si>
  <si>
    <t>CLUBE LOU ACESSORIOS PRA VESTUARIO LTDA</t>
  </si>
  <si>
    <t>EVERTON LUCAS PUTTI LTDA</t>
  </si>
  <si>
    <t>187 BACH REPRESENTAÇÕES LTDA</t>
  </si>
  <si>
    <t>TRONCO  CANTO LTDA</t>
  </si>
  <si>
    <t>J. OLIVEIRA SILVA CALÇADOS</t>
  </si>
  <si>
    <t>D &amp; L CONFECÇÕES LTDA</t>
  </si>
  <si>
    <t>327 BOLA REPRESENTACOES COMERCIAIS</t>
  </si>
  <si>
    <t>D4M SPORTS LTDA</t>
  </si>
  <si>
    <t>B F MOREIRA - MERCEARIA</t>
  </si>
  <si>
    <t>SOBRE SALTO COMERCIO VAREJISTA DE CALCADOS LTDA</t>
  </si>
  <si>
    <t>218 FABIANO LEDUR REPRESENTACOES LTDA</t>
  </si>
  <si>
    <t>COMERCIAL DE CEREAIS BLUM LTDA</t>
  </si>
  <si>
    <t>M. A. M. SOUZA FEITOSA - ME</t>
  </si>
  <si>
    <t>JM SOARES VESTUARIO ME</t>
  </si>
  <si>
    <t>SAPATARIA WAGNER LTDA.</t>
  </si>
  <si>
    <t>J.DE SOUZA DIAS GUTIERREZ</t>
  </si>
  <si>
    <t>VAREJAO DOS CALCADOS</t>
  </si>
  <si>
    <t>299 REPRESENTACOES JAMIR MACIEL ASSIS LTDA</t>
  </si>
  <si>
    <t>RUMO CALCADOS E CONFECCOES LTDA.</t>
  </si>
  <si>
    <t>LUCAS JOSE DE OLIVEIRA CALÇADOS</t>
  </si>
  <si>
    <t>JOSE NUNES FARIA</t>
  </si>
  <si>
    <t>297 REPRESENTACAO JONATAS LTDA</t>
  </si>
  <si>
    <t>MAJU KIDS ROUPAS E ACESSORIOS INFANTIS LTDA.</t>
  </si>
  <si>
    <t>J F BARROS ME</t>
  </si>
  <si>
    <t>TRAJETON MAGAZINE LTDA</t>
  </si>
  <si>
    <t>LOJA KANTIAN LTDA</t>
  </si>
  <si>
    <t>SAPATARIA CAXIENSE LTDA</t>
  </si>
  <si>
    <t>CHAO DE ESTRELAS LTDA</t>
  </si>
  <si>
    <t>F ALVES GONÇALVES ME</t>
  </si>
  <si>
    <t>LUIZ PIRES DE ALMEIDA ME</t>
  </si>
  <si>
    <t>MARIA SILVANA DA SILVA VARANIS</t>
  </si>
  <si>
    <t>267 F N CAMPELO REPRESENTACOES LTDA ­ ME</t>
  </si>
  <si>
    <t>COMERCIAL PASCHOAL MACATUBA LTDA-EPP</t>
  </si>
  <si>
    <t>GIL MOSCIATI COMERCIO DE CALCADOS LTDA</t>
  </si>
  <si>
    <t>MAURO TAMBOSI  CIA LTDA</t>
  </si>
  <si>
    <t>RS 10 CALCADOS EIRELI ME</t>
  </si>
  <si>
    <t>MARLI  A M RORATO - CONFECCOES</t>
  </si>
  <si>
    <t>ZENILDE COM CALC LTDA ME</t>
  </si>
  <si>
    <t>MELO &amp; MELO LTDA</t>
  </si>
  <si>
    <t>SAPATARIA FINEZZE LTDA ME</t>
  </si>
  <si>
    <t>JULIANA DALPONTE MATTIOLI MARCATTO VESTUARIO</t>
  </si>
  <si>
    <t>TEREZA SANTACROCE ALVES - ME</t>
  </si>
  <si>
    <t>321 EBA REPRESENTANTES COMERCIAIS LTDA</t>
  </si>
  <si>
    <t>M.A.ARAUJO E GOMES - ME</t>
  </si>
  <si>
    <t xml:space="preserve"> MARIA ELIZA GUILHERME SAITO &amp; CIA LTDA - EPP</t>
  </si>
  <si>
    <t>CLAUDIA SPINI ARANTES SILVA ME-</t>
  </si>
  <si>
    <t>JUCILENE PEREIRA DA SILVA 02535547481</t>
  </si>
  <si>
    <t>DOM STORE LTDA</t>
  </si>
  <si>
    <t>GISLEIDE WOLTER</t>
  </si>
  <si>
    <t>LIMENDES CALCADOS LTDA</t>
  </si>
  <si>
    <t>DILMA SOUZA DE OLIVEIRA</t>
  </si>
  <si>
    <t>194 WALLACE SHOES REPRESENTAÇOES</t>
  </si>
  <si>
    <t>SOMAVILA &amp; NOBRE LTDA</t>
  </si>
  <si>
    <t>G. M. ABREU LTDA</t>
  </si>
  <si>
    <t>R. I. DE SOUZA SANTOS</t>
  </si>
  <si>
    <t>273 GLAUCIANE APARECIDA BERNARDES</t>
  </si>
  <si>
    <t>SUZANA RIBAS &amp; CIA LTDA.</t>
  </si>
  <si>
    <t>SOL BRILHANTE CALCADOS LTDA</t>
  </si>
  <si>
    <t>ANELICE DOMINGOS</t>
  </si>
  <si>
    <t>JOAO MARCOLINO COSTA TECIDOS LTDA</t>
  </si>
  <si>
    <t>DORA BABY E KIDS LTDA ME</t>
  </si>
  <si>
    <t>JUMBO CALCADOS LTDA</t>
  </si>
  <si>
    <t>LOJAS 2A LTDA</t>
  </si>
  <si>
    <t>MARIA ROSANNA ARAOZ LOJA</t>
  </si>
  <si>
    <t>CALCADOS TUTIPE LTDA ME</t>
  </si>
  <si>
    <t>CALCADOS TANAKA LTDA</t>
  </si>
  <si>
    <t>ABU &amp; CIA LTDA ME</t>
  </si>
  <si>
    <t>SAPATARIA CAETES LTDA - EPP</t>
  </si>
  <si>
    <t>CASA REGINA LTDA</t>
  </si>
  <si>
    <t>CONFECÇÕES E CALÇADOS FABIO &amp; JUNIOR LTDA - EPP</t>
  </si>
  <si>
    <t>AMARILDO BRAMBILLA CALCADOS-ME</t>
  </si>
  <si>
    <t>BERNARDES COMERCIO E CIA LTDA ME</t>
  </si>
  <si>
    <t>41.648.376 THIAGO DA SILVA LEAL</t>
  </si>
  <si>
    <t>R C CAVALCANTE PRESENTES</t>
  </si>
  <si>
    <t>ATHAIDE ALVES RABELO LIMA</t>
  </si>
  <si>
    <t>WALTER EUGENIO FERREIRA PEREIRA</t>
  </si>
  <si>
    <t>MARLY GARCIA DE OLVEIRA PALHARES</t>
  </si>
  <si>
    <t>FRANZ &amp; FERNANDES LTDA</t>
  </si>
  <si>
    <t>J. P. CALCADOS LTDA</t>
  </si>
  <si>
    <t>M. M. DE CARVALHO</t>
  </si>
  <si>
    <t>232 G L PEREIRA PINHEIRO</t>
  </si>
  <si>
    <t>MARIONICE GONCALVES ZANIN VIEIRA</t>
  </si>
  <si>
    <t>WALDIR DANTAS ARAUJO</t>
  </si>
  <si>
    <t>ARV MODAS LTDA</t>
  </si>
  <si>
    <t>41 R.C.ROTHEMBERGER REPRES. LTDA</t>
  </si>
  <si>
    <t>SEBASTIAO CARLOS PIM</t>
  </si>
  <si>
    <t>TATO CALCADOS LTDA EPP</t>
  </si>
  <si>
    <t>RCE CALCADOS EIRELI ME</t>
  </si>
  <si>
    <t>A DOS SANTOS MELLEIRO LTDA</t>
  </si>
  <si>
    <t>ESPACO DA MODA VESTUARIOS LTDA</t>
  </si>
  <si>
    <t>38 MCM CALCADOS VESTUARIO E TEXTIL LTDA ME</t>
  </si>
  <si>
    <t>STAROSKY CONFECCOES LTDA</t>
  </si>
  <si>
    <t>NIVALDO MORENO</t>
  </si>
  <si>
    <t>NOIA CALCADOS - EIRELI - EPP</t>
  </si>
  <si>
    <t>MAURICIO ANTONIO VALENTE - ME</t>
  </si>
  <si>
    <t>CALCADOS ROSANA MARIA LTDA.</t>
  </si>
  <si>
    <t>21.360.285 JAQUELINE FRANGIOZA PRIMO</t>
  </si>
  <si>
    <t>LIVIA CALCADOS E ACESSORIOS EIRELI - EPP</t>
  </si>
  <si>
    <t>J W LIMA SILVA</t>
  </si>
  <si>
    <t>MODINHA CALCADOS LTDA</t>
  </si>
  <si>
    <t>31 MARCOS VINICIO REPRES. LTDA</t>
  </si>
  <si>
    <t>CALCADOS MARISTELA LTDA</t>
  </si>
  <si>
    <t>EXCLUSIVO CALCADOS LTDA EPP</t>
  </si>
  <si>
    <t>ANDREIA E VIVIANE COMERCIO DE CONFECCOES</t>
  </si>
  <si>
    <t>ELISANGELA DE F DE A REDONDO ME</t>
  </si>
  <si>
    <t>MILENE CALCADOS LTDA</t>
  </si>
  <si>
    <t>VALDUIR ANTONIO BALESTRIN</t>
  </si>
  <si>
    <t>COMERCIO DE CAL E CONF DA NORA LTDA</t>
  </si>
  <si>
    <t>337 - D SOBRAL DA SILVA REPRESENTACOES</t>
  </si>
  <si>
    <t>ANTONIO CARLOS BARIZON</t>
  </si>
  <si>
    <t>APARECIDA DE FATIMA MENDES RIBEIRO-ME</t>
  </si>
  <si>
    <t>MALVINA CALCADOS LTDA</t>
  </si>
  <si>
    <t>A ISETE R DOS SANTOS ME</t>
  </si>
  <si>
    <t>GARDENIA M A DE OLIVEIRA COMERCIO</t>
  </si>
  <si>
    <t>MARIA BARBOSA DE LIMA</t>
  </si>
  <si>
    <t>SPORT CENTER C.MOTA LTDA</t>
  </si>
  <si>
    <t>COMERCIAL SAO LUIZ LTDA.</t>
  </si>
  <si>
    <t>FERJU INDUSTRIA E COM DO VESTUARIO LTDA</t>
  </si>
  <si>
    <t>RAFIC YOUSSEF EL MOUALLEM &amp; CIA LTDA.</t>
  </si>
  <si>
    <t>A. S. AREVALO</t>
  </si>
  <si>
    <t>LOJA CRISTIANTEX LTDA.</t>
  </si>
  <si>
    <t>328 FELIPE REPRESENTACOES LTDA</t>
  </si>
  <si>
    <t>SHOPINTIMO COMERCIO E VAREJISTA LTDA</t>
  </si>
  <si>
    <t>A CRIATIVA LTDA</t>
  </si>
  <si>
    <t>320 LT SHOES REPRESENTACOES LTDA</t>
  </si>
  <si>
    <t>MAGAZINE IARA AMARAL LTDA ME</t>
  </si>
  <si>
    <t>TAVEIRA &amp; COUTO LTDA</t>
  </si>
  <si>
    <t>MIL PES CALCADOS DE FARTURA LTDA ME</t>
  </si>
  <si>
    <t>COSTA E SERRA LTDA</t>
  </si>
  <si>
    <t>LILAC MODAS COMERCIO LTDA</t>
  </si>
  <si>
    <t>MARILIA OLIVEIRA VARGAS</t>
  </si>
  <si>
    <t>CHIRLANE CORDEIRO DA ROCHA MENDES EIRELI</t>
  </si>
  <si>
    <t>PE DE ANJO CALCADOS LTDA - ME</t>
  </si>
  <si>
    <t>NELI DE ALCÂNTARA</t>
  </si>
  <si>
    <t>PAULO CESAR RIBEIRO FORTES</t>
  </si>
  <si>
    <t>VIA BUZIOS COMERCIO DE CALCADOS E COSMETICOS LTDA</t>
  </si>
  <si>
    <t>A N SOUZA VESTUARIO LTDA ME</t>
  </si>
  <si>
    <t>A. V. PEGORARO CALCADOS LTDA.</t>
  </si>
  <si>
    <t>CONFECCOES E ENXOVAIS HALLIN LTDA</t>
  </si>
  <si>
    <t>AQUARIUS COMERCIO DE CALCADOS LTDA</t>
  </si>
  <si>
    <t>REBECA COMERCIO DE CALCADOS E CONFECCOES EIRELI</t>
  </si>
  <si>
    <t>CLAUDIO CARDOSO TOLFO ME</t>
  </si>
  <si>
    <t>ALDOVANIO CALEGARI ME</t>
  </si>
  <si>
    <t>MARCELA GOMES BARBOSA ME</t>
  </si>
  <si>
    <t>EDIMILSON F DOS SANTOS - ME</t>
  </si>
  <si>
    <t>COMERCIO DE CONFECÇOES LA POPITA MODAS LTDA-ME</t>
  </si>
  <si>
    <t>Z. P. FEIJO</t>
  </si>
  <si>
    <t>IRMAOS SENRA LTDA</t>
  </si>
  <si>
    <t>ASS DE AQUINO ME</t>
  </si>
  <si>
    <t>BERLATO E BERLATO CALCADOS DE SJCAMPOS LTDA</t>
  </si>
  <si>
    <t>DOCE MEL BOUTIQUE COMERCIAL LTDA</t>
  </si>
  <si>
    <t>ODAVIAS FERNANDES DA SILVA - ME</t>
  </si>
  <si>
    <t>MARILIA TECIDOS LTDA</t>
  </si>
  <si>
    <t>316 LC REPRESENTAÇÕES COMERCIAIS LTDA</t>
  </si>
  <si>
    <t>CALCADOS PRADO DE ITAPORANGA LTDA</t>
  </si>
  <si>
    <t>SANDRO PEREIRA DA SILVA</t>
  </si>
  <si>
    <t>R A COMERCIO DE ROUPAS LTDA</t>
  </si>
  <si>
    <t>167 C ANDRADE REP. - ES</t>
  </si>
  <si>
    <t>HIRLE &amp; SOUSA COMERCIO DE CALCADOS E VESTUARIO LTDA. - ME</t>
  </si>
  <si>
    <t>PRISCILA CARDOSO DE LIMA MELO &amp; CIA LTDA</t>
  </si>
  <si>
    <t>PANDALE COMERCIO DE ARTIGOS INFANTIS EIRELLI</t>
  </si>
  <si>
    <t>VALQUIRIA LEVANDOSKI TAMPAROVSKI</t>
  </si>
  <si>
    <t>ADRIA CALCADOS LTDA</t>
  </si>
  <si>
    <t>ELIANE ZILLI CRUZ</t>
  </si>
  <si>
    <t>LUMINAR CALCADOS LTDA</t>
  </si>
  <si>
    <t>RONALDO LEITE DE SOUSA</t>
  </si>
  <si>
    <t>ANTONIO MARTINS FARIAS</t>
  </si>
  <si>
    <t>ANA M FAIER BENATTI</t>
  </si>
  <si>
    <t>AIKIFOFO COM. OU CONFECCOES LTDA</t>
  </si>
  <si>
    <t>V P SILVA FILHO CONFECCOES</t>
  </si>
  <si>
    <t>EDVALDO CEZAR ANDRADE-ME</t>
  </si>
  <si>
    <t>F. M. V. COMERCIO DE CALCADOS LTDA</t>
  </si>
  <si>
    <t>270 JACK REPRESENTACOES LTDA</t>
  </si>
  <si>
    <t>FEIRAO DOS CALCADOS EIRELI MR</t>
  </si>
  <si>
    <t>J. P. RODRIGUES LTDA.</t>
  </si>
  <si>
    <t>NINA SPORT COMÉRCIO DE CONFECCOES LTDA</t>
  </si>
  <si>
    <t>KHALIL AL JAWABRI</t>
  </si>
  <si>
    <t>DIOGENES AZEVEDO.</t>
  </si>
  <si>
    <t>JEANE GOMES DA SILVA E CIA LTDA</t>
  </si>
  <si>
    <t>LAYLANNA CALCADOS E ENXOVAIS EIRELI</t>
  </si>
  <si>
    <t>INDUSTRIA E COMERCIO DE CONFECCOES SPEGUEM LTDA</t>
  </si>
  <si>
    <t>JUVENTUDE MODAS LTDA.</t>
  </si>
  <si>
    <t>K M CALCADOS LTDA</t>
  </si>
  <si>
    <t>RAQUISLAMELE COMERCIO DE CALCADOS LTDA ME</t>
  </si>
  <si>
    <t>HELENA DOMICIANO FERNANDES - ME</t>
  </si>
  <si>
    <t>HELO BABY MODA INFANTIL LTDA</t>
  </si>
  <si>
    <t>MEGA LOJA CASTELINHO DO BEBÊ EIRELLI</t>
  </si>
  <si>
    <t>GUILHERME P ROUPAS E ACESSORIOS LTDA</t>
  </si>
  <si>
    <t>ANA PAULA CATELAN DO NASCIMENTO</t>
  </si>
  <si>
    <t>ALINE DE CASSIA DA SILVA DURAES ME</t>
  </si>
  <si>
    <t>JULIA BABY MODA INFANTIL LTDA</t>
  </si>
  <si>
    <t>LONGATO &amp; LONGATO LTDA</t>
  </si>
  <si>
    <t>RIBEIRO &amp; FONTANA R LTDA</t>
  </si>
  <si>
    <t>BOUTIQUE KARINA LTDA.</t>
  </si>
  <si>
    <t>DTALLY MODAS LTDA ME</t>
  </si>
  <si>
    <t>SOLO CALCADOS E VESTUARIO LTDA ME</t>
  </si>
  <si>
    <t>SONIA M BAIROS E CIA LTDA</t>
  </si>
  <si>
    <t>CARISMA A.D.D.CALC. E CONF. LTDA</t>
  </si>
  <si>
    <t>M &amp; S CALCADOS LTDA</t>
  </si>
  <si>
    <t>302 F&amp;R REPRESENTAÇÕES LTDA</t>
  </si>
  <si>
    <t>LOJA DE CONFECÇÕES BERTHE LTDA</t>
  </si>
  <si>
    <t>ALMANARA MAGAZINE LTDA.</t>
  </si>
  <si>
    <t>JANEIT BITAR ME</t>
  </si>
  <si>
    <t>TERRITORIUN CALCADOS LTDA</t>
  </si>
  <si>
    <t>CARLA IRAIR FERRARI</t>
  </si>
  <si>
    <t>WALBSON RODRIGUES DA SILVA ME</t>
  </si>
  <si>
    <t>REDE UNIAO DE LOJISTAS DO VESTUARIO E CALCADOS LTDA</t>
  </si>
  <si>
    <t>V.J.ARMARINHOS LTDA</t>
  </si>
  <si>
    <t>CHINELARIA PARQUE LTDA</t>
  </si>
  <si>
    <t>PREDI COMERCIAL SOSSAI LTDA</t>
  </si>
  <si>
    <t>MATOS E ZANINETI LTDA ME</t>
  </si>
  <si>
    <t>GIBI KIDS LTDA</t>
  </si>
  <si>
    <t>MARINES BARBIERO MOGNON</t>
  </si>
  <si>
    <t>PERES &amp; VIDEIRA LTDA</t>
  </si>
  <si>
    <t>ABEL ROLIM PINHEIRO NETO ME</t>
  </si>
  <si>
    <t>B A DAS CHAGAS</t>
  </si>
  <si>
    <t>MARIANGELA PEREIRA MENDES DA CRUZ &amp; CIA. LTDA</t>
  </si>
  <si>
    <t>UDERLANDIA ARAUJO DE SOUZA</t>
  </si>
  <si>
    <t>INDUSTRIA E COMERCIO STAR LTDA</t>
  </si>
  <si>
    <t>SAPATARIA CARAZZA LTDA</t>
  </si>
  <si>
    <t>MARIA DE F. P. M. DENARDI</t>
  </si>
  <si>
    <t>ELTON AQUILAS</t>
  </si>
  <si>
    <t>A A CARNEIRO</t>
  </si>
  <si>
    <t>ADRIANE V G BURGIN &amp; CIA LTDA</t>
  </si>
  <si>
    <t>IVANA CALCADOS &amp; CIA LTDA-EPP</t>
  </si>
  <si>
    <t>ELSON MARCOS OLIVEIRA CIA LTDA</t>
  </si>
  <si>
    <t>MARCIA TANIA DIAS FREITAS</t>
  </si>
  <si>
    <t>MAGAZINE GATA SAFIRA LTDA</t>
  </si>
  <si>
    <t>MMC COMERCIO DE CALCADOS E ROUPAS LTDA</t>
  </si>
  <si>
    <t>LP MAGAZINE LTDA</t>
  </si>
  <si>
    <t>J.L. MOREIRA ARAUJO</t>
  </si>
  <si>
    <t>NADIA MARIA RENDA</t>
  </si>
  <si>
    <t>RAQUEL FASHION LTDA</t>
  </si>
  <si>
    <t>MERCADAO CALCANDO O PE LTDA</t>
  </si>
  <si>
    <t>ALESSANDRA MORASSUTTI TURY ME</t>
  </si>
  <si>
    <t>MARIA MARGARETE LACOWICZ KRAUTLER CIA LTDA</t>
  </si>
  <si>
    <t>STELA APARECIDA SCHIMIDBERGER</t>
  </si>
  <si>
    <t>MISS DO PE COMERCIO VAREJISTA DE CALCADOS LTDA</t>
  </si>
  <si>
    <t>COMERCIO DE CALCADOS NOSSA SENHORA DA GLORIA LTDA</t>
  </si>
  <si>
    <t>NAIRA REGINA DE MORAES</t>
  </si>
  <si>
    <t>CLUB KIDS INDÚSTRIA E COMÉRCIO DE CONFECÇÕES LTDA</t>
  </si>
  <si>
    <t>IMPERIO MODAS GUAICARA ARTIGOS DO VESTUARIO LTDA</t>
  </si>
  <si>
    <t>SANDRA MARA PROCOPIO MOURA</t>
  </si>
  <si>
    <t>PEDRO ROMANICHEN</t>
  </si>
  <si>
    <t>FLORISBELO CAMPOS VERDE JUNIOR-ME</t>
  </si>
  <si>
    <t>KRINSKI DOS SANTOS COMERCIO DE CALCADOS E CONFECCOES LTDA - ME</t>
  </si>
  <si>
    <t>J C FERNANDES ELETRODOMESTICOS</t>
  </si>
  <si>
    <t>VICALVI COMERCIO DE CALCADOS LTDA</t>
  </si>
  <si>
    <t>KRAUTLERE CIA LTDA ME</t>
  </si>
  <si>
    <t>GIAN PAVANI BARBOZA</t>
  </si>
  <si>
    <t>MARCILEIA APARECIDA DAS NEVES TEDESCHI ME</t>
  </si>
  <si>
    <t>DAPPER CALCADOS E CONFECÇOES LTDA ME</t>
  </si>
  <si>
    <t>REKINTE SAPATOS LTDA</t>
  </si>
  <si>
    <t>ANARA JULIANA DE MOURA PEREIRA</t>
  </si>
  <si>
    <t>PITER ESPORTES LTDA</t>
  </si>
  <si>
    <t>A CRUZEIRENSE MATRIZ LTDA</t>
  </si>
  <si>
    <t>LEONARDO DIAS NOVAES 89610563287</t>
  </si>
  <si>
    <t>IVANILDO AMORIM SILVA SIMPLES-PE</t>
  </si>
  <si>
    <t>J. E. C. SILVEIRA LTDA</t>
  </si>
  <si>
    <t>CANFOR TECIDOS LTDA</t>
  </si>
  <si>
    <t>KARUFA CONFEC LTDA</t>
  </si>
  <si>
    <t>KAMIKAZE ARTIGOS INFANTIS LTDA.</t>
  </si>
  <si>
    <t>RITA MARQUES FIGUEIREDO QUEIROZ</t>
  </si>
  <si>
    <t>MARCOS JUNIO ESPINDOLA SOUZA 48193134877</t>
  </si>
  <si>
    <t>NERCI FERREIRA ME</t>
  </si>
  <si>
    <t>MERCIA FUDIKO TONYAMA YAMASHITA ME</t>
  </si>
  <si>
    <t>HASSAN CALCADOS LTDA</t>
  </si>
  <si>
    <t>MINE LOJA TRES IRMAOS LTDA EPP</t>
  </si>
  <si>
    <t>CENTRO COMERCIAL CORREIA PINTO LTDA</t>
  </si>
  <si>
    <t>BABY KIDS COMERCIO INFANTIL LTDA</t>
  </si>
  <si>
    <t>FELIPE FERREIRA CALCADOS E ACESSORIOS LTDA</t>
  </si>
  <si>
    <t>ISABEL MARIA SILVA CALCADOS ME</t>
  </si>
  <si>
    <t>OUTLET INFANTIL BAZAR CHIC LTDA</t>
  </si>
  <si>
    <t>LUCIANE BOGAJO VISNADI 33762779821</t>
  </si>
  <si>
    <t>LOJA DE CALCADOS VANILMA LTDA</t>
  </si>
  <si>
    <t>FATIMA M. ANZOLIM</t>
  </si>
  <si>
    <t>ZILU BRAMBILA CALCADOS E CONFECCOES LTDA</t>
  </si>
  <si>
    <t>MARIA MIRIAN L SANTOS BARROS</t>
  </si>
  <si>
    <t>COMERCIO DE CONFECCOES TEIXEIRA SOARES LTDA</t>
  </si>
  <si>
    <t>LEUGIM MAGAZINE</t>
  </si>
  <si>
    <t>SERGIO LEONEL DE MELO</t>
  </si>
  <si>
    <t>M R S DOS SANTOS - ME</t>
  </si>
  <si>
    <t>DALTON LUIZ SOARES PINTO</t>
  </si>
  <si>
    <t>LENARRAY MODAS LTDA-EPP</t>
  </si>
  <si>
    <t>BELEZE &amp; BALIEGO COMERCIO DE CALCADOS LTDA</t>
  </si>
  <si>
    <t>JULIANO MILLEO KRUBNIKI &amp; CIA. LTDA.</t>
  </si>
  <si>
    <t>CASTRO E CARDOSO LTDA ME</t>
  </si>
  <si>
    <t>COMERCIAL DE CALCADOS CINDERELA LTDA-ME</t>
  </si>
  <si>
    <t>MARINA COMERCIO DE CALCADOS E CONFECCOES LTDA</t>
  </si>
  <si>
    <t>HUGO FLORES DIAZ</t>
  </si>
  <si>
    <t>RONALDO SERODIO &amp; CIA LTDA.</t>
  </si>
  <si>
    <t>CONCEITO MODA LTDA</t>
  </si>
  <si>
    <t>ATITUDE LTDA</t>
  </si>
  <si>
    <t>GILBERTO VIEIRA DA SILVA</t>
  </si>
  <si>
    <t>ESPORTE SHOW EIRELI</t>
  </si>
  <si>
    <t>VANESSA SIBALDO FERREIRA ME</t>
  </si>
  <si>
    <t>FLAVIANO TAVARES DE OLIVEIRA ME</t>
  </si>
  <si>
    <t>SAMIR R. OTMAN EIRELLI</t>
  </si>
  <si>
    <t>TO NA MODA CONFECCOES E CALÇADOS LTDA</t>
  </si>
  <si>
    <t>SURF NEWS LTDA</t>
  </si>
  <si>
    <t>THESA SCHIAVON CALCADOS &amp; ACESSORIOS LTDA</t>
  </si>
  <si>
    <t>SAPATARIA BIRNI LTDA</t>
  </si>
  <si>
    <t>BERNADETE MARIA DA SILVA</t>
  </si>
  <si>
    <t>LUZIA ANTONIO MAGALHAES SILVA ME</t>
  </si>
  <si>
    <t>L. DE ALMEIDA FIRMINO ME</t>
  </si>
  <si>
    <t>GADAN CALCADOS LTDA</t>
  </si>
  <si>
    <t>DIMIRIM ROUPAS E ACESSORIOS LTDA</t>
  </si>
  <si>
    <t>BILAL MAHAMAD HASAN ME</t>
  </si>
  <si>
    <t>SALU CALCADOS E ESPORTES LTDA</t>
  </si>
  <si>
    <t>MARLETE DE PINHO PASSOS</t>
  </si>
  <si>
    <t>FURLAN MAGAZINE LTDA.ME</t>
  </si>
  <si>
    <t>D.S. DE FREITAS  COMERCIO EPP</t>
  </si>
  <si>
    <t>ELLEN C A TURCI E CIA LTDA</t>
  </si>
  <si>
    <t>KEILE APARECIDA GOMES DA SILVA</t>
  </si>
  <si>
    <t>ANTONIA LUCIVANDIA DE ALENCAR</t>
  </si>
  <si>
    <t>F. W. COMERCIO DE CALCADOS LTDA.</t>
  </si>
  <si>
    <t>ALOIZIO E HELOIZA COMERCIO LTDA</t>
  </si>
  <si>
    <t>EDUARDO NUNES DE LIMA</t>
  </si>
  <si>
    <t>IVANILDA BARBOSA DE ALEXANDRIA</t>
  </si>
  <si>
    <t>ANTONIO APRIGIO PEREIRA</t>
  </si>
  <si>
    <t>JACY CORTAZIO JUNIOR 12256717798</t>
  </si>
  <si>
    <t>BABY KIDS CALCADOS E ARTIGOS DO VESTUARIO LTDA ME</t>
  </si>
  <si>
    <t>ESTER M G ZANINI</t>
  </si>
  <si>
    <t>PEQUENINOS COMERCIO DE ROUPAS INFANTIS EIRELI</t>
  </si>
  <si>
    <t>CAMPOS E CAMPOS COMÉRCIO DE ROUPAS</t>
  </si>
  <si>
    <t>MICHELE ALINE TAVARES</t>
  </si>
  <si>
    <t>COMERCIAL SERTA LTDA</t>
  </si>
  <si>
    <t>CHIC CALCADOS DE TAGUAI LTDA-ME</t>
  </si>
  <si>
    <t>VIP CALCADOS EIRELI</t>
  </si>
  <si>
    <t>CONFECCOES NAZARI LTDA ME</t>
  </si>
  <si>
    <t>PIZZATTO CALCADOS LTDA ME</t>
  </si>
  <si>
    <t>GENTE MIUDA COMERCIO DA CALCADOS LTDA - ME</t>
  </si>
  <si>
    <t>HAIZA CALCADOS LTDA</t>
  </si>
  <si>
    <t>LM MARTINS COM DE CONF LTDA</t>
  </si>
  <si>
    <t>MODAS TARDELLI LTDA ME</t>
  </si>
  <si>
    <t>MAGAZINE TOCANTINS LTDA</t>
  </si>
  <si>
    <t>MALHARIA ZANCHETA LTDA ME</t>
  </si>
  <si>
    <t>STYLLUS KIDS CALCADOS E CONFECCOES</t>
  </si>
  <si>
    <t>J. G. FIALHO DA SILVA - ME.</t>
  </si>
  <si>
    <t>GKL VESTUARIOS LTDA ME</t>
  </si>
  <si>
    <t>99R COMERCIO DE PRODUTOS ORIGINAIS LTDA</t>
  </si>
  <si>
    <t>JOSE ROBERTO CIRIACO TAVARES</t>
  </si>
  <si>
    <t>MORANGUINHO MODA INFANTIL LTDA EPP</t>
  </si>
  <si>
    <t>JOAO ROSA DA SILVA &amp; CIA LTDA.</t>
  </si>
  <si>
    <t>J CRISTOVAO DE ARAUJO</t>
  </si>
  <si>
    <t>GARRIDO COMERCIO DE ROUPAS INFANTIS EIRELLI</t>
  </si>
  <si>
    <t>CLAUDIA DE CARVALHO AGUIAR LTDA</t>
  </si>
  <si>
    <t>VALDENES APARECIDO GOMES 11002369614</t>
  </si>
  <si>
    <t>INFANCI BABY EIRELI - ME</t>
  </si>
  <si>
    <t>A YROSHIMA DE S TATIKAWA</t>
  </si>
  <si>
    <t>R R VIEIRA COMERCIO</t>
  </si>
  <si>
    <t>CELIO CAETANO SCUSEL E CIA LTDA</t>
  </si>
  <si>
    <t>JOAO DEODATO DE A. FILHO ME</t>
  </si>
  <si>
    <t>JAMALITO CONFECCOES LTDA ME</t>
  </si>
  <si>
    <t>A. A. DE MESQUITA SANTOS OLIVEIRA LTDA</t>
  </si>
  <si>
    <t>L P P DE LIMA</t>
  </si>
  <si>
    <t>ADEMAR COZER</t>
  </si>
  <si>
    <t>CICERA FERNANDA DE SOUZA SILVA 05441640596</t>
  </si>
  <si>
    <t>40.738.340 IDEIZE MARIA DE SANTANA SANTOS</t>
  </si>
  <si>
    <t>DP CALÇADOS LTDA</t>
  </si>
  <si>
    <t>ROSELI APARECIDA PIRES OLHEIRO ME</t>
  </si>
  <si>
    <t>PUPPI &amp; CIA. LTDA.</t>
  </si>
  <si>
    <t>JAQUELINE BEZERRA DA SILVA</t>
  </si>
  <si>
    <t>RIVIAN KARINA SCALCO ME</t>
  </si>
  <si>
    <t>ALKANCE CALCADOS E MALHAS LTDA</t>
  </si>
  <si>
    <t>MAURICIO ANTONIO DE CARVALHO ARRAIS CALCADOS ME</t>
  </si>
  <si>
    <t>KALCE E VESTE COM D CAL E CONF LTDA</t>
  </si>
  <si>
    <t>REIS CALCADOS LTDA</t>
  </si>
  <si>
    <t>PES E PE CALCADOS LTDA</t>
  </si>
  <si>
    <t>R FIN BRASIL COMERCIO DE COMBUSTIVEIS UNIPESSOAL LTDA</t>
  </si>
  <si>
    <t>WENZEL &amp; WENZEL LTDA</t>
  </si>
  <si>
    <t>LUCAS E BARBOSA CALCADOS E ACESSORIOS LTDA</t>
  </si>
  <si>
    <t>JAMILE MEGIAS DA CRUZ</t>
  </si>
  <si>
    <t>SAPO SAPECA MODAS LTDA EPP</t>
  </si>
  <si>
    <t>ROBSON DE JESUS N. MARINHO</t>
  </si>
  <si>
    <t>MARIA DO SOCORRO DE MACEDO SILVA</t>
  </si>
  <si>
    <t>JOSE FROTA ARAUJO</t>
  </si>
  <si>
    <t>CINDERELA CALCADOS TUPA LTDA EPP</t>
  </si>
  <si>
    <t>A D CALCADOS E ROUPAS LTDA</t>
  </si>
  <si>
    <t>R M G LIMA &amp; CIA LTDA</t>
  </si>
  <si>
    <t>CATARINA S E SILVA</t>
  </si>
  <si>
    <t>MEILA MARTINEZ ROCHA ME</t>
  </si>
  <si>
    <t>MARIA ELI TEREZINHA FRANCISCO ME</t>
  </si>
  <si>
    <t>BOM JARDIM VAR.CALC.LTDA</t>
  </si>
  <si>
    <t>LIMA E GABACLIA LTDA</t>
  </si>
  <si>
    <t>VALPORTO COMÉRCIO VAREJISTA DE CALÇADOS LTDA</t>
  </si>
  <si>
    <t>PRISCILA MADRUGA GUTERRES</t>
  </si>
  <si>
    <t>LUIZ DONIZETTI BRAZ &amp; CIA LTDA-ME</t>
  </si>
  <si>
    <t>SEBASTIAO DIAS BELICIO  ME</t>
  </si>
  <si>
    <t>JOSE LEAO DE OLIVEIRA &amp; CIA LTDA - ME</t>
  </si>
  <si>
    <t>LOJAS ALVORADA LTDA.</t>
  </si>
  <si>
    <t>ARLETE ROSSETTO COMERCIO DE VESTUARIO LTDA</t>
  </si>
  <si>
    <t>JACI DUARTE COSTA</t>
  </si>
  <si>
    <t>45.313.040 ISRAEL MENDES SOUSA</t>
  </si>
  <si>
    <t>NIPPON-MAGAZINE E CONFECCOES LTDA</t>
  </si>
  <si>
    <t>E F GONCALVES CALCADOS EIRELI</t>
  </si>
  <si>
    <t>MAIS CALÇADOS LTDA</t>
  </si>
  <si>
    <t>PAULO S.A. ORTIGOZA &amp; IRMAOS LTDA</t>
  </si>
  <si>
    <t>MARIA ANTONIA MODAS LTDA - ME</t>
  </si>
  <si>
    <t>JOVINA ATUAL LTDA</t>
  </si>
  <si>
    <t>DIGITTAL E ACONCHEGO LTDA</t>
  </si>
  <si>
    <t>SILVA E BARBOSA LTDA</t>
  </si>
  <si>
    <t>R. A. DE AGUIAR &amp; CIA. LTDA - ME</t>
  </si>
  <si>
    <t>SANTANA CALCADOS DE RANCHARIA LTDA-EPP</t>
  </si>
  <si>
    <t>MARIA DA CONCEICAO ALMEIDA SANTOS CARVALHO</t>
  </si>
  <si>
    <t>NOVAL JOSE DO NASCIMENTO</t>
  </si>
  <si>
    <t>R. M. RIBEIRO &amp; B. RIBEIRO LTDA</t>
  </si>
  <si>
    <t>JOSEFA PEDRO DA SILVA</t>
  </si>
  <si>
    <t>RR KIDS COMERCIO DE CALCADOS LTDA</t>
  </si>
  <si>
    <t>CONFECCOES P Z LTDA ME</t>
  </si>
  <si>
    <t>CLAUDIA HELENA PAULINO</t>
  </si>
  <si>
    <t>KARINE SOARES DA SILVA E CIA LTDA</t>
  </si>
  <si>
    <t>DS COM DE ALIMENTOS E VESTS LTDA</t>
  </si>
  <si>
    <t>HALI COMERCIO DE CALCADOS LTDA</t>
  </si>
  <si>
    <t>MONICA JEREMIAS ME</t>
  </si>
  <si>
    <t>TAIS DO NASCIMENTO GAMA BARBOSA</t>
  </si>
  <si>
    <t>JOSE JUNIOR DA CUNHA</t>
  </si>
  <si>
    <t>JOSE AMERICO SIMEONI - ME</t>
  </si>
  <si>
    <t>J. COSTA LIMA COMERCIO</t>
  </si>
  <si>
    <t>CINTIA MARIA ALVES FACUNDO</t>
  </si>
  <si>
    <t>CALCADOS E CONFECCOES PLANETA EIRELI</t>
  </si>
  <si>
    <t>M DEUSALINA S DE OLIVEIRA ME</t>
  </si>
  <si>
    <t>J CRISTINA PERES PEREIRA &amp; CIA LTDA</t>
  </si>
  <si>
    <t>SILVA E MARIA LEMOS LTDA</t>
  </si>
  <si>
    <t>L NASCIMENTO DE ALMEIDA BARBOSA EIRELI</t>
  </si>
  <si>
    <t>301 JRM VELOSO REPRESENTAÇÕES DE CALÇADOS LTDA</t>
  </si>
  <si>
    <t>LIJAFRAN CALCADOS E CONFECCOES</t>
  </si>
  <si>
    <t>SILVA &amp; SILVA GOLD RIVER LTDA - ME</t>
  </si>
  <si>
    <t>CHINELARIA PRIME CALCADOS LTDA</t>
  </si>
  <si>
    <t>DENILSON FERREIRA CARNEIRO ME</t>
  </si>
  <si>
    <t>MARIA ALICE SILVA ARAGUACU</t>
  </si>
  <si>
    <t>JOSE ROBERVAL PEREIRA NASCIMENTO ME</t>
  </si>
  <si>
    <t>RUSSELANDE FERREIRA SCALCO CALCADOS LTDA ME</t>
  </si>
  <si>
    <t>CACAU COMERCIAL LTDA</t>
  </si>
  <si>
    <t>ILMA NESI KRUGER LTDA</t>
  </si>
  <si>
    <t>SAMIL COMERCIO DE CALÇADOS E ACESSÓRIOS LTDA</t>
  </si>
  <si>
    <t>54.763.001 FERNANDA ROCHA SCHLEMPER</t>
  </si>
  <si>
    <t>334 ALINE MOURE ROSABONI</t>
  </si>
  <si>
    <t>WALTER ANGELO FRIZZO DE MENDONCA ME</t>
  </si>
  <si>
    <t>FABIO SCUSSIATTO &amp; CIA LTDA</t>
  </si>
  <si>
    <t>ACM COMERCIO DE CALCADOS LTDA</t>
  </si>
  <si>
    <t>TAYNARA CALÇADOS LTDA</t>
  </si>
  <si>
    <t>CYMIRAMIS GARRIDO OLIVEIRA</t>
  </si>
  <si>
    <t>MARCOS ROBERTO FRANCO &amp; CIA LTDA EPP</t>
  </si>
  <si>
    <t>CARLENE ALVES PEREIRA SILVA</t>
  </si>
  <si>
    <t>LOJA AZUL E ROSA LTDA ME</t>
  </si>
  <si>
    <t>MOBILE ENTREGAS SERVICOS E LOGISTICA LTDA</t>
  </si>
  <si>
    <t>COMERCIAL SOSSAI LTDA</t>
  </si>
  <si>
    <t>IZABEL CRISTINA DA SILVA PEREIRA</t>
  </si>
  <si>
    <t>S S DE LIMA MELO LTDA.</t>
  </si>
  <si>
    <t>ALESSANDRA CALCADOS LTDA</t>
  </si>
  <si>
    <t>MARIO TECIDOS E CONFECÇÕES LTDA</t>
  </si>
  <si>
    <t>E.L. DE ABREU</t>
  </si>
  <si>
    <t>CALCE 3 FRONTEIRAS COMERCIO DE CALCADOS LTDA</t>
  </si>
  <si>
    <t>CALCADOS E CONFECCOES MANO LTDA</t>
  </si>
  <si>
    <t>J. F. PEREIRA &amp; CIA. LTDA.</t>
  </si>
  <si>
    <t>LOJA DE ROUPAS VARUNA LTDA</t>
  </si>
  <si>
    <t>CLAJU-ARTIGOS DO VESTUARIO LTDA</t>
  </si>
  <si>
    <t>ELAINE OLIVEIRA RODRIGO COSTA CONFECCOES ME</t>
  </si>
  <si>
    <t>S.DE CASTRO ME</t>
  </si>
  <si>
    <t>EVOLUTION ECOMMERCE LTDA</t>
  </si>
  <si>
    <t>BABY BRINK LTDA</t>
  </si>
  <si>
    <t>HANNA FORTUNATO COMERCIO DE ROUPAS E ACESSORIOS EIRELI</t>
  </si>
  <si>
    <t>SILVA CALCADOS LTDA</t>
  </si>
  <si>
    <t>CHIK CALCADOS DE PARAGUACU LTDA</t>
  </si>
  <si>
    <t>LILIANE CENEDELLA MOLINA CUSTODIO - ME</t>
  </si>
  <si>
    <t>ERNESTO GUIMARES &amp; FILHOS LTDA</t>
  </si>
  <si>
    <t>J &amp; SIQUEIRA CALCADOS E CONFECCOES LTDA ME</t>
  </si>
  <si>
    <t>L J COMERCIO DE CALCADOS LTDA</t>
  </si>
  <si>
    <t>MARIA LEONICE FERREIRA DA CUNHA</t>
  </si>
  <si>
    <t>RODRIGO CALCADOS LTDA ME</t>
  </si>
  <si>
    <t>TODA BELLA LTDA ME</t>
  </si>
  <si>
    <t>FP BABY LTDA</t>
  </si>
  <si>
    <t>M. M. TEIXEIRAM. M. TEIXEIRA</t>
  </si>
  <si>
    <t>BAZIA &amp; QUADROS LTDA</t>
  </si>
  <si>
    <t>R. TANAKA &amp; CIA LTDA</t>
  </si>
  <si>
    <t>MARIA DA CRUZ SILVA DE PATAIBA</t>
  </si>
  <si>
    <t>FABIANO SIMEONI</t>
  </si>
  <si>
    <t>VELOSO COMERCIO DE VESTUARIO LTDA</t>
  </si>
  <si>
    <t>R T SARAIVA ME</t>
  </si>
  <si>
    <t>AUGUSTO LANGER CONFECCOES LTDA - ME</t>
  </si>
  <si>
    <t>COM DE CONF E CALC ARNDT</t>
  </si>
  <si>
    <t>MARCIO PAULO SANTELLI</t>
  </si>
  <si>
    <t>VALERIA TOMASI KOTZ</t>
  </si>
  <si>
    <t>OTMAN &amp; OTMAN</t>
  </si>
  <si>
    <t>MARCIA IVANIA DA SILVA MARINHO</t>
  </si>
  <si>
    <t>SIRLEI MEZENCIO DA SILVA CALCADOS ME</t>
  </si>
  <si>
    <t>C P DA SILVA MODA KIDS</t>
  </si>
  <si>
    <t>JANETE PINHEIRO</t>
  </si>
  <si>
    <t>REQUINTE CALCADOS COMERCIO LTDA</t>
  </si>
  <si>
    <t>VBR COMERCIO DE PRODUTOS INFANTIS LTDA</t>
  </si>
  <si>
    <t>DIMAR CALCADOS LTDA</t>
  </si>
  <si>
    <t>FELLINI E FERRARI LTDA</t>
  </si>
  <si>
    <t>ACAPULCO CALCADOS LTDA-ME</t>
  </si>
  <si>
    <t>DAMIANA S ALVES REIS ME</t>
  </si>
  <si>
    <t>IRONI CARDOSO E FILHOS LTDA-ME</t>
  </si>
  <si>
    <t>MASCARELLO &amp; TOFFOLI CONF LTDA-ME</t>
  </si>
  <si>
    <t>COMERCIO DE CONFECCOES REGIS LTDA</t>
  </si>
  <si>
    <t>KI BARATO CALCADOS LTDA</t>
  </si>
  <si>
    <t>VILA MALVINA LTDA.</t>
  </si>
  <si>
    <t>ALICE APARECIDA DE LIMA DE SOUZA</t>
  </si>
  <si>
    <t>MARIA VALDEILDA SOBRAL DE ALMEIDA LTDA</t>
  </si>
  <si>
    <t>E DE SOUZA GALVAO</t>
  </si>
  <si>
    <t>LOURIVAL MALAGUTTI</t>
  </si>
  <si>
    <t>SHOW CENTER MODAS LTDA</t>
  </si>
  <si>
    <t>REGIANE CRISTINA BACELLAR</t>
  </si>
  <si>
    <t>MARICELIA S SANTOS BALAO MAGICO KIDS &amp; TEEN</t>
  </si>
  <si>
    <t>ZEINA M. EL GADBAN-ME</t>
  </si>
  <si>
    <t>CARLOS DEUSDADO CALCADOS E CONFECCOES LTDA</t>
  </si>
  <si>
    <t>331 RODRIGO MOURA REPRESENTACOES DE CALCADOS LTDA</t>
  </si>
  <si>
    <t>COMERCIO DE CALCADOS KIST LTDA</t>
  </si>
  <si>
    <t>JOAO RODOLFO APARECIDO ARAUJO DE SOUZA CALCADOS</t>
  </si>
  <si>
    <t>ZENAIDE M. MODAS LTDA</t>
  </si>
  <si>
    <t>DISTRIB WILSON DE CALCADOS LT</t>
  </si>
  <si>
    <t>AMANDA MODAS E BAZAR LTDA</t>
  </si>
  <si>
    <t>P.C. DE LIMA MELO EPP</t>
  </si>
  <si>
    <t>EDVALDO JOSE PEREIRA DOS SANTOS EPP</t>
  </si>
  <si>
    <t>CONCEIÇÃO APARECIDA MENDES ME</t>
  </si>
  <si>
    <t>A DE MESQUITA CUNHA VALE ME</t>
  </si>
  <si>
    <t>REIVAX CALCADOS LTDA.</t>
  </si>
  <si>
    <t>K DE CASTRO VIANA</t>
  </si>
  <si>
    <t>MILITAO  RODRIGUES MILITAO CALCADOS LTDA</t>
  </si>
  <si>
    <t>JANINE PRANDO DUARTE</t>
  </si>
  <si>
    <t>HOUSE &amp; KIDS LTDA</t>
  </si>
  <si>
    <t>AELITTA MARILAC FERREIRA E SILVA COMERCIO LTDA</t>
  </si>
  <si>
    <t>COMERCIAL M DE ARAGUARI LTDA - ME</t>
  </si>
  <si>
    <t>A. M. BEZERRA TEIXEIRA</t>
  </si>
  <si>
    <t>NINNA BV COM INFANTIL LTDA</t>
  </si>
  <si>
    <t>COMERCIO DE CALCADOS A PRINCIPAL LTDA</t>
  </si>
  <si>
    <t>ELIETE IBARRA GONSALVES</t>
  </si>
  <si>
    <t>M.M JACOB MAGAZINE LTDA M.E</t>
  </si>
  <si>
    <t>JOSE PAULO FERREIRA ALBUQUERQUE</t>
  </si>
  <si>
    <t>PAULO DONIZETTI DA SILVA BIRITIBA MIRIM</t>
  </si>
  <si>
    <t>J.L. MASSARO EPP</t>
  </si>
  <si>
    <t>MEIRA BARROS &amp; CIA LTDA</t>
  </si>
  <si>
    <t>JOSE DAS GRACAS PEREIRA ME</t>
  </si>
  <si>
    <t>52.526.609 PABLO RABIER DE SA MATOS</t>
  </si>
  <si>
    <t>51.586.968 NORALI SARA MAMANI CHOQUE</t>
  </si>
  <si>
    <t>CARDOSO SOARES COMERCIO DE CALCADOS LTDA</t>
  </si>
  <si>
    <t>LOJA H.G. ARTIGOS ESPORTIVOS LTDA</t>
  </si>
  <si>
    <t>E. DE LIMA SOUZA</t>
  </si>
  <si>
    <t>53.310.031 CARLA REIS BARRETO</t>
  </si>
  <si>
    <t>11.260.491 AURINO SANTOS DA SILVA</t>
  </si>
  <si>
    <t>PRISCILA FRANCENER &amp; CIA LTDA</t>
  </si>
  <si>
    <t>CLARA LEIDA RODRIGUES CASTRO</t>
  </si>
  <si>
    <t>LOJA MARANATA KIDS LTDA</t>
  </si>
  <si>
    <t>SANTOS E ROCHA COMERCIO E PRESTACAO DE SERVICOS LTDA</t>
  </si>
  <si>
    <t>AGULHAS NEGRAS COMERCIO E CONFECCOES LTDA</t>
  </si>
  <si>
    <t>COMERCIAL CORREA E SILVANO LTDA</t>
  </si>
  <si>
    <t>ELAINE PAULA DA SILVA MATEUS</t>
  </si>
  <si>
    <t>J V DO NASCIMENTO</t>
  </si>
  <si>
    <t>NEUZA PEDRO MALVEZZI</t>
  </si>
  <si>
    <t>MARIAH BONITA MODAS LTDA ME</t>
  </si>
  <si>
    <t>PE CHIQUE EIRELI ME</t>
  </si>
  <si>
    <t>MAE CORUJA CALCADOS E ACESSORIOS LTDA</t>
  </si>
  <si>
    <t>IPIRANGA CALCADOS LTDA.</t>
  </si>
  <si>
    <t>SOARES MOVEIS E UTILIDADES LTDA</t>
  </si>
  <si>
    <t>CARAZZA CALCADOS LTDA</t>
  </si>
  <si>
    <t>LEANDRO OTAVIO DE ANDRADE CARVALHO ME</t>
  </si>
  <si>
    <t>YUMI CALCADOS LTDA</t>
  </si>
  <si>
    <t>CLECI BERNARDO BOHN CHAPOVAL</t>
  </si>
  <si>
    <t>IRACY PEDRO DA COSTA</t>
  </si>
  <si>
    <t>M C DOS SANTOS CALDAS - ME</t>
  </si>
  <si>
    <t>GILMAR DIETTRICH CONFEC LTDA</t>
  </si>
  <si>
    <t>ADRIANA CALÇADOS LTDA</t>
  </si>
  <si>
    <t>OZIEL PEREIRA COSTA</t>
  </si>
  <si>
    <t>LNL CALCADOS, RELOJOARIA E CHAVEIROS LTDA</t>
  </si>
  <si>
    <t>LOPES COMERCIO DE CALCADOS TAIUVA LTDA.</t>
  </si>
  <si>
    <t>COMERCIAL KEKEI LTDA</t>
  </si>
  <si>
    <t>F. ANTONIO DE CARVALHO -ME</t>
  </si>
  <si>
    <t>TOMAZEL CALC. E ART. ESP.LTDA</t>
  </si>
  <si>
    <t>RENE F DE ARAUJO</t>
  </si>
  <si>
    <t>GHANEN ABDEL JAWAD SAFA</t>
  </si>
  <si>
    <t>JOSE VIEIRA FILHO VALPARAISO</t>
  </si>
  <si>
    <t>KAMEL MAGAZINE PRACA LTDA</t>
  </si>
  <si>
    <t>BELISSIMA COMERCIO DE CALCADOS E CONFECCOES LTDA</t>
  </si>
  <si>
    <t>MANIA MODAS LTDA.</t>
  </si>
  <si>
    <t>NENAVIT CONFECCOES LTDA</t>
  </si>
  <si>
    <t>CHAIANE DA SILVA VALMORBIDA 04457068993</t>
  </si>
  <si>
    <t>SOLANGE MARIA AMANCIO</t>
  </si>
  <si>
    <t>MARIA B. TRENTO E CIA LTDA.</t>
  </si>
  <si>
    <t>EMILIA SARAIVA DE MATOS DA CRUZ</t>
  </si>
  <si>
    <t>LESPORT ARTIGOS ESPORTIVOSLTDA</t>
  </si>
  <si>
    <t>R.R.PEREIRA COM.DE CALC. ART. ESP. VEST.</t>
  </si>
  <si>
    <t>FERNANDES &amp; GAIST LTDA</t>
  </si>
  <si>
    <t>STYLE CALCADOS E SKATE SHOP</t>
  </si>
  <si>
    <t>HORIZON MULTIMARCAS LTDA</t>
  </si>
  <si>
    <t>SIMONE CALCADOS LTDA</t>
  </si>
  <si>
    <t>CALCADOS ITAPARICA LTDA</t>
  </si>
  <si>
    <t>BE-A-BA MODA INFANTIL-ME</t>
  </si>
  <si>
    <t>SOUZA SANTOS COM DE CALCADOS LTDA</t>
  </si>
  <si>
    <t>PEDRO MARTELOZO</t>
  </si>
  <si>
    <t>CALCADOS E CONF. JANING LTDA</t>
  </si>
  <si>
    <t>MEGGA MANIA BANDEIRANTES LTDA</t>
  </si>
  <si>
    <t>ED MODAS LTDA</t>
  </si>
  <si>
    <t>LILIAN DO PARAISO &amp; CIA LTDA</t>
  </si>
  <si>
    <t>C &amp; E WEBER CALCADOS LTDA</t>
  </si>
  <si>
    <t>PAULO CESAR NUNES ME</t>
  </si>
  <si>
    <t>SHALUNA CALCADOS LTDA</t>
  </si>
  <si>
    <t>J S GUERRA</t>
  </si>
  <si>
    <t>SAMEA KARINE DOS SANTOS FEITOSA - ME</t>
  </si>
  <si>
    <t>NEIVA INES OBERHERR</t>
  </si>
  <si>
    <t>ALEXANDRE BENICIO DE LIMA</t>
  </si>
  <si>
    <t>TERNURA CALCADOS E BOLSAS LTDA.</t>
  </si>
  <si>
    <t>LAERCIO QUINTINO PARAGUASSU</t>
  </si>
  <si>
    <t>THAIS CAMILE FROZZA ME</t>
  </si>
  <si>
    <t>MARUGAL COM CALC E ART ESP LTDA-ME</t>
  </si>
  <si>
    <t>SAMANTA KIDS LTDA</t>
  </si>
  <si>
    <t>EDUARDO MAGAZINE LTDA</t>
  </si>
  <si>
    <t>H. B. DOS SANTOS BARBOSA EPP</t>
  </si>
  <si>
    <t>GUIMMI CALCADOS LTDA</t>
  </si>
  <si>
    <t>31.070.137 MILENA BRANDINE GARCIA NAVARRO</t>
  </si>
  <si>
    <t>COMÉRCIO DE CALÇADOS VÁRZEA BRUMADO LTDA</t>
  </si>
  <si>
    <t>R. MENDES DE LIMA</t>
  </si>
  <si>
    <t>ROSANGELA CUSTODIO DOS SANTOS NASCIMENTO</t>
  </si>
  <si>
    <t>ALAN JOSE DO NASCIMENTO DA SILVA</t>
  </si>
  <si>
    <t>PASSITA CALCADOS LTDA</t>
  </si>
  <si>
    <t>MELO MENDES COMERCIAL DE CALCADOS E CONFECCOES LTDA - ME</t>
  </si>
  <si>
    <t>MIRIAM MODAS INFANTIL LTDA ME</t>
  </si>
  <si>
    <t>ANDRADE  KLIPPEL LTDA</t>
  </si>
  <si>
    <t>BUTIQUE RECANTO DA MODA LTDA</t>
  </si>
  <si>
    <t>MARCIEL DOS REIS ESPORTES</t>
  </si>
  <si>
    <t>RAFAELA OVANDO JARA LTDA</t>
  </si>
  <si>
    <t>S. ALVES DA SILVA CALCADOS</t>
  </si>
  <si>
    <t>HELIO GOMES DE AMORIM &amp; CIA LTDA</t>
  </si>
  <si>
    <t>SHOPPING CALCADOS DE GUAIRA LTDA.ME</t>
  </si>
  <si>
    <t>GESON E JULIANA SECCHIM ME EPPE</t>
  </si>
  <si>
    <t>COMERCIO DE CALÇADOS AMIRA LTDA</t>
  </si>
  <si>
    <t>DELCIO OSCAR MAGALHAES</t>
  </si>
  <si>
    <t>52.315.931 JULIANA APARECIDA DOS SANTOS</t>
  </si>
  <si>
    <t>LUNAIR COMERCIO DE CALCADOS LTDA</t>
  </si>
  <si>
    <t>M.I.C. LIMA E CIA. LTDA - E PP</t>
  </si>
  <si>
    <t>VEST BEM CONFEC KIDS LTDA</t>
  </si>
  <si>
    <t>BV COMERCIO DE CALCADOS LTDA</t>
  </si>
  <si>
    <t>PIMPOLHA ENXOVAIS BEBE LTDA</t>
  </si>
  <si>
    <t>329 KEF REPRESENTACOES COMERCIAIS LTDA</t>
  </si>
  <si>
    <t>HIPER LOCAL MODAS DE MORRINHOS LTDA - EPP</t>
  </si>
  <si>
    <t>L.F. SCHALLENBERGER ME</t>
  </si>
  <si>
    <t>LAURA CALCADOS LTDA</t>
  </si>
  <si>
    <t>SIMONE SILVA DE ALMEIDA SOUSA</t>
  </si>
  <si>
    <t>FRANCIS PAULO SARTORATO LOPES-ME</t>
  </si>
  <si>
    <t>JDMM COMERCIO DE CALCADOS LTDA</t>
  </si>
  <si>
    <t>OLIVEIRA FARIA &amp; FARIA LTDA.</t>
  </si>
  <si>
    <t>MODA E CALCE ANSILIERO LTDA ME</t>
  </si>
  <si>
    <t>MOOD COMÉRCIO DE CALÇADOS E CONFECÇÕES LTDA</t>
  </si>
  <si>
    <t>CLODOALDO GADELHA DE SOUZA</t>
  </si>
  <si>
    <t>JOSE CARLOS COSTA</t>
  </si>
  <si>
    <t>SILVIA MARIA FIORUCI 27773750890</t>
  </si>
  <si>
    <t>ANA LUCIA GUIMARAES SILVA ME</t>
  </si>
  <si>
    <t>COMERCIAL DA FABRICAS DE CALCADOS LTDA</t>
  </si>
  <si>
    <t>RAMI CALCADOS LTDA</t>
  </si>
  <si>
    <t>CALCADOS DELMO LTDA</t>
  </si>
  <si>
    <t>OLIVEIRA DO CARMO LTDA</t>
  </si>
  <si>
    <t>LIDIA SILVA E MARINA LTDA</t>
  </si>
  <si>
    <t>TEIXEIRA E BALDUINO LTDA-ME</t>
  </si>
  <si>
    <t>DESTAK CALCADOS LTDA</t>
  </si>
  <si>
    <t>JUPH COMERCIO DE ROUPAS LTDA</t>
  </si>
  <si>
    <t>M S TEIXEIRA DE SOUZA EIRELI</t>
  </si>
  <si>
    <t>DADALAIT COMERCIAL LTDA</t>
  </si>
  <si>
    <t>ALINE ALVES JOVEM AMARAL</t>
  </si>
  <si>
    <t>BRANFAELA CONFECÇÕES LTDA</t>
  </si>
  <si>
    <t>DANIELA PELATTI ARAUJO CALCADOS E VESTUARIO LTDA</t>
  </si>
  <si>
    <t>N G LINHARES COSTA</t>
  </si>
  <si>
    <t>B. D. O. CHAVES</t>
  </si>
  <si>
    <t>PERFUMARIA E MAGAZINE VILA PRADO LTDA</t>
  </si>
  <si>
    <t>M.J. MIRANDA CONFECCOES LTDA</t>
  </si>
  <si>
    <t>D PANIZ ARTIGOS DO VESTUARIO LTDA</t>
  </si>
  <si>
    <t>A. B. CARMINETI &amp; CIA. LTDA.EPP</t>
  </si>
  <si>
    <t>KITY COMERCIO DE CALCADOS LTDA</t>
  </si>
  <si>
    <t>DAVID DONATO DE SOUZA CONFECCOES - ME</t>
  </si>
  <si>
    <t>CONFECCOES JAVANESA LTDA.</t>
  </si>
  <si>
    <t>GIBRAN KOBO AMARI EIRELI</t>
  </si>
  <si>
    <t>TEDESCO CALCADOS LTDA</t>
  </si>
  <si>
    <t>M  C  DE FARIA CONFECCOES ME</t>
  </si>
  <si>
    <t>ADELCTA CONFECCOES LTDA</t>
  </si>
  <si>
    <t>NILSSEIA FERREIRA MAIA</t>
  </si>
  <si>
    <t>SAPATARIA QUIMBER COMERCIO DE CALCADOS LTDA</t>
  </si>
  <si>
    <t>G7K CALCADOS INFANTIS LTDA</t>
  </si>
  <si>
    <t>VOLMAR LUIZ NOVELLO</t>
  </si>
  <si>
    <t>JK COM DE CALCADOS LTDA ME</t>
  </si>
  <si>
    <t>R M MAGALHAES - COMERCIO</t>
  </si>
  <si>
    <t>A IDEAL MODAS LTDA</t>
  </si>
  <si>
    <t>TOZATO E ARPINI LTDA</t>
  </si>
  <si>
    <t>R A DE AGUIAR E SILVA COMERCIO LTDA ME</t>
  </si>
  <si>
    <t>NESSA COMERCIO DE ROUPAS LTDA</t>
  </si>
  <si>
    <t>COMERCIAL DE CALCADOS ALVES DE MOURA LTDA</t>
  </si>
  <si>
    <t>MODINHA DOS PÉS CAL EIRELI</t>
  </si>
  <si>
    <t>FINAMOR BABY COM VAR DE ROUPAS ME LTDA</t>
  </si>
  <si>
    <t>M&amp;P ROUPAS E CALCADOS LTDA</t>
  </si>
  <si>
    <t>SAKATA COM. DE ROUPAS FEITAS LTDA.</t>
  </si>
  <si>
    <t>T DOS S FREITAS COMERCIO LTDA</t>
  </si>
  <si>
    <t>MELIANE DA SILVA MARQUES EIRELI</t>
  </si>
  <si>
    <t>MARIA APARECIDA GAMA CARVALHO ME</t>
  </si>
  <si>
    <t>CENTRAL SPORT CALCADOS LTDA</t>
  </si>
  <si>
    <t>SIL CALCADOS LTDA</t>
  </si>
  <si>
    <t>H R LEANDRO VARIEDADES</t>
  </si>
  <si>
    <t>CASA DANTAS COMERCIAL DE CALCADOS LTDA - ME</t>
  </si>
  <si>
    <t>PAULO VINICIUS CALCADOS EIRELI</t>
  </si>
  <si>
    <t>GUIGUITATA MODA INFANTIL E JUVENIL LTDA</t>
  </si>
  <si>
    <t>EBERTON MARCOS DOS SANTOS</t>
  </si>
  <si>
    <t>JOELMA F DA SILVA</t>
  </si>
  <si>
    <t>LOJA DE CALC E CONF ADRI LTDA</t>
  </si>
  <si>
    <t>LUCILENE GOMES FERREIRA 33635609153</t>
  </si>
  <si>
    <t>ARAFET NASSER SALEH HASSAN THALJI</t>
  </si>
  <si>
    <t>V O DE ALMEIDA-ME</t>
  </si>
  <si>
    <t>LOJA DE CONFECCOES LEWI LTDA ME</t>
  </si>
  <si>
    <t>EVERALDO VIANA MOTENEGRO</t>
  </si>
  <si>
    <t>EDISON DE AGUIAR MACHADO</t>
  </si>
  <si>
    <t>MARIA CECILIA SOUTIER</t>
  </si>
  <si>
    <t>HELK KIDS LTDA.</t>
  </si>
  <si>
    <t>CALCADOS MIRANDA LTDA.</t>
  </si>
  <si>
    <t>R A CORDEIRO ME</t>
  </si>
  <si>
    <t>PINGUIM KIDS MODA INFANTO JUVENIL EIRELI</t>
  </si>
  <si>
    <t>MALU MAGAZINE COMERCIAL LTDA  ME</t>
  </si>
  <si>
    <t>ROSENICE DOS SANTOS FERREIRA ME</t>
  </si>
  <si>
    <t>NOVOPORTO CALCADOS LTDA</t>
  </si>
  <si>
    <t>SUELY RIBEIRO BARBOSA ROSSI 10283634863</t>
  </si>
  <si>
    <t>VANIA M. DE ARAUJO</t>
  </si>
  <si>
    <t>IBRAIM AHMAD</t>
  </si>
  <si>
    <t>HERMINIA DOMINGOS BRAIT WOLFF LTDA</t>
  </si>
  <si>
    <t>NINA CALCADOS LTDA</t>
  </si>
  <si>
    <t>EDSON DORNELAS DE ARAUJO</t>
  </si>
  <si>
    <t>MENDES E NASCIMENTO LTDA</t>
  </si>
  <si>
    <t>EME JOTA CALCADOS LTDA</t>
  </si>
  <si>
    <t>R LINHARES COMERCIO LTDA</t>
  </si>
  <si>
    <t>LIDIANE TREVISOL ROBAINO LTDA</t>
  </si>
  <si>
    <t>MARCELO MARQUES DO AMARAL</t>
  </si>
  <si>
    <t>VGMDJ COM DE CALCADOS E VEST EIRELI</t>
  </si>
  <si>
    <t>SHOPPING 10 LTDA</t>
  </si>
  <si>
    <t>36.745.435 SIMONE APARECIDA DOS SANTOS LENHARDT</t>
  </si>
  <si>
    <t>SONIA AP. BERGAMINI SCHIAVON</t>
  </si>
  <si>
    <t>E FARIAS DE SOUZA ME</t>
  </si>
  <si>
    <t>LOJA ELIANE MELO LTDA- ME</t>
  </si>
  <si>
    <t>A Z G LOBATO COMERCIO DE CALCADOS LTDA</t>
  </si>
  <si>
    <t>DIAS E ARAUJO LTDA ME</t>
  </si>
  <si>
    <t>FERNANDO HENRIQUE DA SILVA COSTA 38370683827</t>
  </si>
  <si>
    <t>YNAI &amp; PERES LTDA.</t>
  </si>
  <si>
    <t>ROVENIA CALCADOS LTDA</t>
  </si>
  <si>
    <t>ADOLETA COMERCIO E CIA LTDA ME</t>
  </si>
  <si>
    <t>NEW CONCEPT STORE COMERCIO VAREJISTA DE CALCADOS LTDA</t>
  </si>
  <si>
    <t>G. P. E  SOUSA  LTDA</t>
  </si>
  <si>
    <t>G. CARLOS TEIXEIRA DE ARAUJO LTDA</t>
  </si>
  <si>
    <t>BATISTA &amp; NODIMATU LTDA</t>
  </si>
  <si>
    <t>TERCARIOL COMERCIO DE CALCADOS LTDA</t>
  </si>
  <si>
    <t>EMERSON SOUSA CAVALCANTE</t>
  </si>
  <si>
    <t>SALVATICO LTDA</t>
  </si>
  <si>
    <t>EDUARDO EL A.SALLUM ME</t>
  </si>
  <si>
    <t>TOLEDO &amp; ROCHA COMERCIO DE CONFECCOES LTDA</t>
  </si>
  <si>
    <t>COMERCIAL SOUZA RODRIGUES LTDA</t>
  </si>
  <si>
    <t>L. L. A. DA CRUZ</t>
  </si>
  <si>
    <t>DASLI COMERCIO DE CALCADOS LTDA</t>
  </si>
  <si>
    <t>ANTENADINHOS CALCADOS LTDA</t>
  </si>
  <si>
    <t>M A FIGUEIRA COMERCIO DE ROUPAS E ACESSORIOS</t>
  </si>
  <si>
    <t>DERRARA CALCADOS E ACESSORIOS LTDA</t>
  </si>
  <si>
    <t>CHIK CALCADOS DE QUATA LTDA.</t>
  </si>
  <si>
    <t>SINTIA MELO DE OLIVEIRA NOGUEIRA &amp; CIA LTDA ME</t>
  </si>
  <si>
    <t>BRASIL CALCADOS E BOLSAS LTDA</t>
  </si>
  <si>
    <t>BRASIL CALCADOS LTDA</t>
  </si>
  <si>
    <t>MANZINI &amp; MANZINI - MODA INFANTIL LTDA</t>
  </si>
  <si>
    <t>M DAS G S DA GAMA</t>
  </si>
  <si>
    <t>LUIZA DORIS CASAGRANDE LOPES</t>
  </si>
  <si>
    <t>CELIA CRISTINA DA SILVA COSTA</t>
  </si>
  <si>
    <t>MANGILI &amp; ALLONSO LTDA</t>
  </si>
  <si>
    <t>BORGES COMERCIO VAREJISTA LTDA</t>
  </si>
  <si>
    <t>RIAD OSAMA MAHMOUD KRAJAH</t>
  </si>
  <si>
    <t>IMPERIO CALCADOS E ACESSORIOS LTDA ME</t>
  </si>
  <si>
    <t>MARIA INETE DA COSTA 05328528697</t>
  </si>
  <si>
    <t>CARMONA BOLSAS E CALCADOS LTDA</t>
  </si>
  <si>
    <t>ENCANTO CALCADOS E ACESSORIOS INFANTIS LTDA</t>
  </si>
  <si>
    <t>NATHALIA BRASIL DE CASTRO 12886126721</t>
  </si>
  <si>
    <t>ANDREIA DE S. MELO - CALCADOS EIRELI</t>
  </si>
  <si>
    <t>COSTA E TAVARES LTDA.</t>
  </si>
  <si>
    <t>KUELHOS SAPATOS</t>
  </si>
  <si>
    <t>MAISA OURIVES BUENO 06340585922</t>
  </si>
  <si>
    <t>GANDU CALCADOS LTDA</t>
  </si>
  <si>
    <t>CALCE SHOW LTDA</t>
  </si>
  <si>
    <t>ALEXANDRE FLORES BATISTA &amp; CIA LTDA</t>
  </si>
  <si>
    <t>GIRO CALCADOS LTDA.</t>
  </si>
  <si>
    <t>ALINE MARTINS ARANTES ME</t>
  </si>
  <si>
    <t>INFANTE CHIC MODA INFANTIL LTDA</t>
  </si>
  <si>
    <t>ARIELA DORNELLES</t>
  </si>
  <si>
    <t>51.344.085 GINA JONASSON MOUSQUER CAPELIN</t>
  </si>
  <si>
    <t>CD MEGA MAGAZINE LTDA</t>
  </si>
  <si>
    <t>FML COMERCIO DO VESTUARIO LTDA ME</t>
  </si>
  <si>
    <t>OSANA ANA DE LIRA GARRIDO ME</t>
  </si>
  <si>
    <t>JOSE PAULO NOGUEIRA QUADROS ME</t>
  </si>
  <si>
    <t>RUDIMAR BORGHETTI ME</t>
  </si>
  <si>
    <t>M F DOS SANTOS</t>
  </si>
  <si>
    <t>FLAVIANE FOCHESATO</t>
  </si>
  <si>
    <t>MAGAZINE MARTINENSE LTDA.ME</t>
  </si>
  <si>
    <t>IROMAR ALVES DOS SANTOS CALCADOS ME</t>
  </si>
  <si>
    <t>BAZAR DOLORES LTDA</t>
  </si>
  <si>
    <t>AFTDS COM.E REPRES.DE CALÇ. LTDA</t>
  </si>
  <si>
    <t>M. M. PINOTTI EIRELI</t>
  </si>
  <si>
    <t>FRANCISCO JOSE DE OLIVEIRA</t>
  </si>
  <si>
    <t>MATIAS &amp; SILVA CALCADOS LTDA</t>
  </si>
  <si>
    <t>R S SILVEIRA ME</t>
  </si>
  <si>
    <t>BAHIA CALCADOS LTDA</t>
  </si>
  <si>
    <t>FRANCISCO MORALES E CIA LTDA</t>
  </si>
  <si>
    <t>L F COMERCIO DE ARTIGOS DO VESTUARIO LTDA</t>
  </si>
  <si>
    <t>P DE OLIVEIRA LEMOS LTDA</t>
  </si>
  <si>
    <t>BARAO CALCADOS DE GARCA LTDA-ME</t>
  </si>
  <si>
    <t>DORIVA SIVERIS</t>
  </si>
  <si>
    <t>GINO CHAMORRO FILHO</t>
  </si>
  <si>
    <t>ABRAO MACHADO DE SOUZA RIO PRETO ME</t>
  </si>
  <si>
    <t>VERDE E BRANCO JUNIOR CONFECCOES LTDA</t>
  </si>
  <si>
    <t>MANOEL MACHADO DOS SANTOS E CIA. LTDA.</t>
  </si>
  <si>
    <t>J.L. URQUIZA - CALCADOS</t>
  </si>
  <si>
    <t>ANNE COMERCIO DE ARMARINHO LTDA ME</t>
  </si>
  <si>
    <t>ROBERTO HAAS CONFECCOES ME</t>
  </si>
  <si>
    <t>BUZETTI &amp; RODRIGUES BUZETTI LTDA-EPP</t>
  </si>
  <si>
    <t>ROSILENE P. OLIVEIRA</t>
  </si>
  <si>
    <t>COOPER - COMERCIO DE CALCADOS, CONFECCOES E ACESSORIOS LTDA</t>
  </si>
  <si>
    <t>S M B LOPES COMERCIO DE CONFECCOES</t>
  </si>
  <si>
    <t>F. J. CALCADOS E ACESSORIOS LTDA</t>
  </si>
  <si>
    <t>VISUELLI COMERCIO DE CALCADOS LTDA</t>
  </si>
  <si>
    <t>MARIA APARECIDA DE MIRANDA CPF 97660248634 ME - ME</t>
  </si>
  <si>
    <t>ANTONIA SHEYLA LINHARES EPP</t>
  </si>
  <si>
    <t>R. BANDEIRA LOIOLA</t>
  </si>
  <si>
    <t>PRAZERES COMERCIO DE CALCADOS LTDA</t>
  </si>
  <si>
    <t>ZILMA S DE LIMA</t>
  </si>
  <si>
    <t>TINIM CONFECCOES LTDA</t>
  </si>
  <si>
    <t>CONFECCOES GARTAU LTDA ME</t>
  </si>
  <si>
    <t>ENCANTO KIDS LTDA</t>
  </si>
  <si>
    <t>LEONARDO ANDRADE SILVA CALCADOS ME</t>
  </si>
  <si>
    <t>ARAUJO E CARNEIRO COMERCIO E SERVICOS LTDA</t>
  </si>
  <si>
    <t>EMANOEL DOMINGOS GUIMARAES - ME</t>
  </si>
  <si>
    <t>BARCELOS E DIAS CALCADOS LTDA</t>
  </si>
  <si>
    <t>TANIA DE FÁTIMA BASAGLIA MAZZIEIRO-ME</t>
  </si>
  <si>
    <t>FAMA CALCADOS E ACESSORIOS LTDA.-ME</t>
  </si>
  <si>
    <t>TALLITA DIANNE ALVES FREIRE ME</t>
  </si>
  <si>
    <t>VÍVIAN DO AMARAL CANDEMIL</t>
  </si>
  <si>
    <t>IL DE OLIVEIRA CALÇADOS</t>
  </si>
  <si>
    <t>RUBENS BASSO VALOTTA</t>
  </si>
  <si>
    <t>JOSIMAR ALVES PEREIRA ME</t>
  </si>
  <si>
    <t>CAMILA BRUNA DE OLIVEIRA SANTOS</t>
  </si>
  <si>
    <t>DANUBIA PEDREIRA SANTOS VIAJANTE 03479778550</t>
  </si>
  <si>
    <t>LOJA LUNKES LTDA</t>
  </si>
  <si>
    <t>SOLANGE FERREIRA NUNES &amp; CIA LTDA</t>
  </si>
  <si>
    <t>MIKAELI R M TEIXEIRA</t>
  </si>
  <si>
    <t>CALCADOS RIBEIRO LTDA.</t>
  </si>
  <si>
    <t>VC CALCADOS E CONFECCOES LTDA ME</t>
  </si>
  <si>
    <t>YOUSHOES COMERCIO DE CALCADOS E ACESSORIOS LTDA</t>
  </si>
  <si>
    <t>QUELLI ANE DE LIMA BASEGGIO</t>
  </si>
  <si>
    <t>LOJA ZANCAN LTDA</t>
  </si>
  <si>
    <t>CURIONI &amp; CARDOSO LTDA ME</t>
  </si>
  <si>
    <t>CLENIA COIMBRA SOARES GUSMAO ME</t>
  </si>
  <si>
    <t>CALSOLARI S. GOBBO LTDA</t>
  </si>
  <si>
    <t>SQUISATTI &amp; SQUISATTI LTDA - EPP</t>
  </si>
  <si>
    <t>M R NEVES DE OLIVEIRA ME</t>
  </si>
  <si>
    <t>LUIZ GONZAGA GOMES DA SILVA 12632864100</t>
  </si>
  <si>
    <t>RENATO ANTONIO DE CAMARGO FILHO - COMERCIO DE CALCADOS E ROUPAS</t>
  </si>
  <si>
    <t>GHEYRLLANY CONFECCOES LTDA</t>
  </si>
  <si>
    <t>C.R.G INDUSTRIA E CONFECCOES LTDA</t>
  </si>
  <si>
    <t>SK COMERCIO DE CALCADOS LTDA</t>
  </si>
  <si>
    <t>17.631.851 MARIA ELIZANGELA DA MOTA SANTOS</t>
  </si>
  <si>
    <t>MARIA JANAINA CARVALHO DA SILVA ALVES ME</t>
  </si>
  <si>
    <t>A. B. GUERRA JUNIOR</t>
  </si>
  <si>
    <t>DE PAULA ARMARINHOS E VARIEDADES LTDA</t>
  </si>
  <si>
    <t>MARIA DA CONCEICAO SILVA ROCHA ME</t>
  </si>
  <si>
    <t>JOWI CALCADOS E ACESSORIOS LTDA.</t>
  </si>
  <si>
    <t>CALCE BELLA CALCADOS E ACESSORIOS LTDA</t>
  </si>
  <si>
    <t>CATICIA APARECIDA RODRIGUES MARIA ME</t>
  </si>
  <si>
    <t>N T NOGUEIRA CALCADOS</t>
  </si>
  <si>
    <t>KARINE &amp; MILTON LTDA</t>
  </si>
  <si>
    <t>TAUFICA HASSAN ZAKICHBLI ME</t>
  </si>
  <si>
    <t>FERRI-S.M ARCANJO VESTUARIO LTDA ME</t>
  </si>
  <si>
    <t>CANTINHO BIJOUTERIAS LTDA</t>
  </si>
  <si>
    <t>LUCIENE PRETTI PESSOA ME</t>
  </si>
  <si>
    <t>RENATA PANDOLFO ME</t>
  </si>
  <si>
    <t>COMERCIAL DALRI EIRELI</t>
  </si>
  <si>
    <t>KAPIVA CALCADOS LTDA</t>
  </si>
  <si>
    <t>CONFECOES GOBBI</t>
  </si>
  <si>
    <t>55.943.493 JAIVISON SANTOS DA SILVA</t>
  </si>
  <si>
    <t>ANACALCE LTDA</t>
  </si>
  <si>
    <t>33.320.651 PAULA REGIANI FONTANA MOTA</t>
  </si>
  <si>
    <t>MAETESON CALCADOS EIRELI</t>
  </si>
  <si>
    <t>JOAO ATADEU MADUREIRA</t>
  </si>
  <si>
    <t>CONSTANCIO E PALLASSINI CALCADOS E ACESS.LTDA</t>
  </si>
  <si>
    <t>FONSECA LIMA CALCADOS LTDA</t>
  </si>
  <si>
    <t>A.F. CORREA E CIA LTDA.</t>
  </si>
  <si>
    <t>MARIA DA LUZ CARVALHO LEAL ME</t>
  </si>
  <si>
    <t>IVONETE MARIA DALMOLIN ME</t>
  </si>
  <si>
    <t>ELIANE DE OLIVEIRA ARAUJO</t>
  </si>
  <si>
    <t>SANTOS &amp; LEITAO COMERCIO E SERVICOS LTDA</t>
  </si>
  <si>
    <t>NORTE MAGAZINE COMERCIO DE ARTIGOS DO VESTUARIO LTDA.</t>
  </si>
  <si>
    <t>DO RE MI MOD KIDS LTDA</t>
  </si>
  <si>
    <t>P DA C XAVIER</t>
  </si>
  <si>
    <t>MARIA VILMA TENORIO ME</t>
  </si>
  <si>
    <t>M. L. B. FONTES</t>
  </si>
  <si>
    <t>FLAVEL CONFECCOES LTDA</t>
  </si>
  <si>
    <t>PARANA CALCADOS LTDA</t>
  </si>
  <si>
    <t>ANA PAULA ANDRADE FREITAS</t>
  </si>
  <si>
    <t>MARIA CLARA LEOTTE BERSCH</t>
  </si>
  <si>
    <t>A L DA SILVA CALCADOS</t>
  </si>
  <si>
    <t>KARLA KARMINETE FERREIRA LEAL LTDA</t>
  </si>
  <si>
    <t>MULLER COM DE CALCADOS LTDA</t>
  </si>
  <si>
    <t>NOVA MUNDIAL CENTER LTDA-EPP</t>
  </si>
  <si>
    <t>ENCANTO CONFECCOES LTDA</t>
  </si>
  <si>
    <t>ANILTON TONANI ME</t>
  </si>
  <si>
    <t>SANDRA M DE OLIVEIRA TAVEIRA EPP</t>
  </si>
  <si>
    <t>EDIVALDO FERNANDES RIBAS - ME</t>
  </si>
  <si>
    <t>MARIA LUIZA CHECHI MOCCHETTI ME</t>
  </si>
  <si>
    <t>C S VIEIRA MODA INFANTIL</t>
  </si>
  <si>
    <t>58.216.899 DEISE CHEROBIN DETOGNI</t>
  </si>
  <si>
    <t>THIAGO FERNANDES CALCADOS - ME</t>
  </si>
  <si>
    <t>VIGU MODAS COMERCIO DE CONFC</t>
  </si>
  <si>
    <t>B L DA CUNHA LTDA</t>
  </si>
  <si>
    <t>IRIS SOUSA RAMOS SIMPLES PE</t>
  </si>
  <si>
    <t>BENEDUZI E JACHETTI COM DE CONFEC LTDA</t>
  </si>
  <si>
    <t>IDALINA STRELOW ME</t>
  </si>
  <si>
    <t>BLUE E PINK MOVEIS E MODAS LTDA</t>
  </si>
  <si>
    <t>TALENTO'S CALCADOS E CONFECCOES LTDA.</t>
  </si>
  <si>
    <t>ADRIANO BRITO DINIZ</t>
  </si>
  <si>
    <t>LARISSA S B NASCIMENTO</t>
  </si>
  <si>
    <t>RAJOS COMERCIO DE CALCADOS E ACESSORIOS LTDA</t>
  </si>
  <si>
    <t>PATRICIA HENRIQUE MIRANDA</t>
  </si>
  <si>
    <t>FEIRAO DAS FABRICAS LTDA</t>
  </si>
  <si>
    <t>PRISCILA MAGAZINE LTDA</t>
  </si>
  <si>
    <t>AGLIATI MODA E BAZAR LTDA</t>
  </si>
  <si>
    <t>NELDA KLEIN MICHEL</t>
  </si>
  <si>
    <t>TOP CINDERELA CALCADOS LTDA EPP</t>
  </si>
  <si>
    <t>BARRETO &amp; SOUZA CALCADOS LTDA</t>
  </si>
  <si>
    <t xml:space="preserve">SOPHIA KIDS LTDA	</t>
  </si>
  <si>
    <t>IRLA MARIA DE SOUSA CALCADOS ME</t>
  </si>
  <si>
    <t>A BEJORELLI CONFECCOES E CALCADOS LTDA</t>
  </si>
  <si>
    <t>MARI CALCADOS ITAPEVA LTDA ME</t>
  </si>
  <si>
    <t>CLICIANE DE SOUZA COSTA FARIAS</t>
  </si>
  <si>
    <t>BRUNA MICHELE RIBEIRO GOMES ME</t>
  </si>
  <si>
    <t>GREICI KELLI HOLSBACK DE BRITO ME</t>
  </si>
  <si>
    <t>CONFCCOES E CALCADOS ORIXIMINA LTDA</t>
  </si>
  <si>
    <t>CENTER KENNEDY COMERCIO LTDA</t>
  </si>
  <si>
    <t>ROSIMERE CANUTO DANTAS DE SOUZA - ME</t>
  </si>
  <si>
    <t>INACIELE PASSOS SILVA ME</t>
  </si>
  <si>
    <t>37.718.032 LIDIANE RODRIGUES GARCIA</t>
  </si>
  <si>
    <t>M V PEREIRA DE SOUZA ME</t>
  </si>
  <si>
    <t>ROSILENE TERESINHA MORATELLI EIRELI</t>
  </si>
  <si>
    <t>MARIA DALVA DE JESUS DOS SANTOS</t>
  </si>
  <si>
    <t>CASA DE CALCADOS GONCALVES</t>
  </si>
  <si>
    <t>ROSIMERE FONSECA CARVALHO RIBEIRO 10608678775</t>
  </si>
  <si>
    <t>D TERRA CALCADOS LTDA - ME</t>
  </si>
  <si>
    <t>CLAUDIANE L DE AGUIAR</t>
  </si>
  <si>
    <t>JESSICA RAFAELA DA SILVA</t>
  </si>
  <si>
    <t>GEOVANA TOME RODRIGUES</t>
  </si>
  <si>
    <t>AM BANDEIRA ME</t>
  </si>
  <si>
    <t>GIACOMINI &amp; BRANCALIONE LTDA ME</t>
  </si>
  <si>
    <t>ANTONIA CLEIRE BARBOSA PEREIRA DE SOUSA</t>
  </si>
  <si>
    <t>DIVINA RITA MOREIRA CARNEIRO</t>
  </si>
  <si>
    <t>K &amp; D COMERCIO DE CALCADOS E MATERIAIS  ESPORTIVOS LTDA EPP</t>
  </si>
  <si>
    <t>VAREJISTA DO BRASIL LTDA</t>
  </si>
  <si>
    <t>LI ANGELA COMERCIO DE CALCADOS LTDA</t>
  </si>
  <si>
    <t>EVANEIDE DOS SANTOS SILVA CARVALHO EIRELI</t>
  </si>
  <si>
    <t>MARLI ILZE FERENSOVICZ</t>
  </si>
  <si>
    <t>ORGANIZACAO COSTA E OLIVEIRA LTDA ME</t>
  </si>
  <si>
    <t>ELLEGANCE MODAS LTDA</t>
  </si>
  <si>
    <t>COMERCIO DE CALCADOS ROLOFF LTDA</t>
  </si>
  <si>
    <t>AYENE CALCADOS INFANTIS LTDA</t>
  </si>
  <si>
    <t>MARIA APARECIDA DE SOUZA SILVA</t>
  </si>
  <si>
    <t>SOUBER CALCADOS LTDA</t>
  </si>
  <si>
    <t>AMADEU MALVEZZI NETO</t>
  </si>
  <si>
    <t>COMERCIO DE CALCADOS S.S. LTDA</t>
  </si>
  <si>
    <t>SILVIA SEVERINO PEREIRA ROCHA ME</t>
  </si>
  <si>
    <t>SYMBRA COMERCIO DE SAPATOS E ARTIGOS DE VESTUARIO LTDA</t>
  </si>
  <si>
    <t>MARIA JOSE BARBOSA LIMA</t>
  </si>
  <si>
    <t>VESTIARIO COMERCIO DE ROUPAS E CALCADOS LTDA</t>
  </si>
  <si>
    <t>I. &amp; I. SALVADOR CALCADOS LTDA</t>
  </si>
  <si>
    <t>N P SARDINHA ME</t>
  </si>
  <si>
    <t>JOSEANE SANTOS CARDOSO COMERCIO LTDA</t>
  </si>
  <si>
    <t>CLAUDIA HERNANDEZ SANTINATO BASSIQUETE - ME</t>
  </si>
  <si>
    <t>ELAINE CRISTINA ROCHA</t>
  </si>
  <si>
    <t>CLEIDE APARECIDA BERTOLI</t>
  </si>
  <si>
    <t>IDEK COMERCIO LTDA</t>
  </si>
  <si>
    <t>VERA ANTONIA PERINI ALCANTARA</t>
  </si>
  <si>
    <t>EVA CUEVA</t>
  </si>
  <si>
    <t>LEONARDO ANDRADE &amp; CIA LTDA ME</t>
  </si>
  <si>
    <t>LOJA DRIMAU CALCADOS E CONFECCOES LTDA</t>
  </si>
  <si>
    <t>ELZA ARANTES</t>
  </si>
  <si>
    <t>PONTA PE CALCADOS LTDA.</t>
  </si>
  <si>
    <t>EUCLIDES ALVES DE SOUZA CALCADOS</t>
  </si>
  <si>
    <t>R.M.O.SALES DE CARVALHO</t>
  </si>
  <si>
    <t>GILBERTO CEZAR SILVEIRA - ME</t>
  </si>
  <si>
    <t>ELENALVA PAIXAO BATISTA 03806721548</t>
  </si>
  <si>
    <t>SAMPAZONES COMERCIO DE CALCADOS LTDA ME</t>
  </si>
  <si>
    <t>J G SILVA ALVES CALCADOS</t>
  </si>
  <si>
    <t>VALDEREZ DO SANTOS CARDOSO</t>
  </si>
  <si>
    <t>LOJA BICALHO LTDA</t>
  </si>
  <si>
    <t>PARAISO INFANTIL COM. DE ROUPAS LTDA</t>
  </si>
  <si>
    <t>PESSORRUSSO E PESSORRUSSO LTDA.-ME.</t>
  </si>
  <si>
    <t>ELIZETE SCHEMEKEL ME</t>
  </si>
  <si>
    <t>MAGALHAES CALCADOS E ESPORTES LTDA</t>
  </si>
  <si>
    <t>SANTOS E CORREA LTDA</t>
  </si>
  <si>
    <t>GREBA COMERCIO DE CALCADOS E CONFECCOES LTDA. - ME</t>
  </si>
  <si>
    <t>F. A. OLIVEIRA COMERCIO DE ROUPAS LTDA - EPP</t>
  </si>
  <si>
    <t>NAVIRAI CALCADOS LTDA</t>
  </si>
  <si>
    <t>PE KENTE KIDS LTDA</t>
  </si>
  <si>
    <t>EVERALDO DE MELO LIMA</t>
  </si>
  <si>
    <t>CHAMELIAN COM DE CALCADOS EIRELLI-EPP</t>
  </si>
  <si>
    <t>MULEKADA BRASIL PRODUTOS INFANTIS LTDA ME</t>
  </si>
  <si>
    <t>IMPERIO DA MODA FOZ LTDA</t>
  </si>
  <si>
    <t>ARF SERVICOS E COMERCIO DE ARTIGOS INFANTIS LTDA</t>
  </si>
  <si>
    <t>MIX DO VINTE LTDA</t>
  </si>
  <si>
    <t>VALDIR ROBERTO MENIS - EPP</t>
  </si>
  <si>
    <t>GICELMAS KIDS LTDA</t>
  </si>
  <si>
    <t>MANA CALCADOS LTDA</t>
  </si>
  <si>
    <t>DENIS FERNANDO MANZOLI - ME</t>
  </si>
  <si>
    <t>SONIA MARIA CASTIGLIONI GOBBI</t>
  </si>
  <si>
    <t>M C COMERCIO VAREJISTA DE ROUPAS LTDA</t>
  </si>
  <si>
    <t>CASA PARANA LTDA.</t>
  </si>
  <si>
    <t>BRUNA SIQUEIRA LEITE DA SILVA</t>
  </si>
  <si>
    <t>A KASPER &amp; CIA LTDA</t>
  </si>
  <si>
    <t>POLIS &amp; PESSUTTI LTDA</t>
  </si>
  <si>
    <t>REDE MAIS CALCADOS</t>
  </si>
  <si>
    <t>RG VESTUARIOS LTDA</t>
  </si>
  <si>
    <t>R H LUCAS</t>
  </si>
  <si>
    <t>SIVALDO BEZERRA DE LIMA</t>
  </si>
  <si>
    <t>REQUINTE BABY LTDA</t>
  </si>
  <si>
    <t>MARIA DA GLORIA DOS SANTOS CAMPANHA</t>
  </si>
  <si>
    <t>GRAZI PRIMEIROS PASSOS LTDA</t>
  </si>
  <si>
    <t>MARLY APARECIDA PEREIRA DOS SANTOS</t>
  </si>
  <si>
    <t>SOUZA E ARAUJO COMERCIO DE CALCADOS E ARTIGOS ESPORTIVOS LTDA</t>
  </si>
  <si>
    <t>FENIX CALÇADOS E ROUPAS LTDA</t>
  </si>
  <si>
    <t>AGITO CALCADOS UNIPESSOAL LTDA</t>
  </si>
  <si>
    <t>CECILIA KIDS EMPREENDIMENTOS LTDA - ME</t>
  </si>
  <si>
    <t>INES BESEN ME</t>
  </si>
  <si>
    <t>EDLAYN MARIA ASSUNCAO VASCONCELOS TAVARES - ME</t>
  </si>
  <si>
    <t>GONCALVES GARCIA OLIVEIRA LTDA</t>
  </si>
  <si>
    <t>GUILHERME JOSE TRAPEL KUHN</t>
  </si>
  <si>
    <t>EMANUEL DE SOUSA GADELHA - ME</t>
  </si>
  <si>
    <t>VIDA LIVRE - COMERCIO DE CALCADOS E ARTIGOS ESPORTIVOS LTDA ME</t>
  </si>
  <si>
    <t>CRIATIVA MODAS LTDA</t>
  </si>
  <si>
    <t>COMERCIAL QUEIROZ E GUIMARAES</t>
  </si>
  <si>
    <t>RITA DE CASSIA CAETANO</t>
  </si>
  <si>
    <t>DB ENCOMENDAS COMERCIAL LTDA</t>
  </si>
  <si>
    <t>ROSELI APARECIDA BAZZANA</t>
  </si>
  <si>
    <t>RONILDO FERNANDES SANTOS CIA LTDA</t>
  </si>
  <si>
    <t>LUCIENE M. DA SILVA MEE</t>
  </si>
  <si>
    <t>NELSI MARIA FUCILINI MACIEL</t>
  </si>
  <si>
    <t>RIVIA AMORIM CALCADOS LTDA</t>
  </si>
  <si>
    <t>DAIANA LORENZON MARCHEZAN</t>
  </si>
  <si>
    <t>MUNDO INFANTIL LTDA</t>
  </si>
  <si>
    <t>CELIA CALCADOS LTDA</t>
  </si>
  <si>
    <t>ELIETE L DA SILVA</t>
  </si>
  <si>
    <t>J. D. ZIMMER E CIA LTDA</t>
  </si>
  <si>
    <t>GESLAIANE CARLA FARIAS DOS SANTOS SILVA</t>
  </si>
  <si>
    <t>ADRIANO AIRES DA SILVA</t>
  </si>
  <si>
    <t>ORLEI BROGNOLI DAROS ME</t>
  </si>
  <si>
    <t>MONICA GOMES DIAS -ME</t>
  </si>
  <si>
    <t>PAULO MACK ROSENDO DE ARAUJO</t>
  </si>
  <si>
    <t>29.295.396 ELIZAMA MARTINS DA SILVA</t>
  </si>
  <si>
    <t>DOUGLAS GANDOLF LTDA</t>
  </si>
  <si>
    <t>KARINE MARA DOS SANTOS CORNETIONI</t>
  </si>
  <si>
    <t>T B DO C SILVA CALCADOS E CONFECCOES</t>
  </si>
  <si>
    <t>G C HELKER</t>
  </si>
  <si>
    <t>CONSTRUCOES LM LTDA</t>
  </si>
  <si>
    <t>MARIAS KIDS LTDA</t>
  </si>
  <si>
    <t>VESPA MODAS E CONFECCOES LTDA</t>
  </si>
  <si>
    <t>CALCE BEM COM DE CALCADOS EIRELI</t>
  </si>
  <si>
    <t>CALC VICAL LTDA ME</t>
  </si>
  <si>
    <t>A CLAUDIA LTDA</t>
  </si>
  <si>
    <t>J G CONFECCOES LTDA</t>
  </si>
  <si>
    <t>CHEIRINHO MAGAZINE LTDA</t>
  </si>
  <si>
    <t>GUIMEL COMERCIO DE MODAS EIRELI ME</t>
  </si>
  <si>
    <t>CELSO PINTO-EPP</t>
  </si>
  <si>
    <t>CGM - TECIDOS E CONFECCOES LTDA</t>
  </si>
  <si>
    <t>SEVERIANO &amp; GASPARELO LTDA</t>
  </si>
  <si>
    <t>MUNDO BABY COMERCIAL LTDA ME</t>
  </si>
  <si>
    <t>CRIACOES LEITE E LAUAR LTDA</t>
  </si>
  <si>
    <t>LA HAMESTER COMERCIO DE CALCADOS EIRELI EPP</t>
  </si>
  <si>
    <t>COUTINHO &amp; ARAUJO LTDA</t>
  </si>
  <si>
    <t>VIA MAGAZINE COMERCIO DE CONFECCOES E CALCADOS LTDA - ME</t>
  </si>
  <si>
    <t>JEANNE TEXEIRA VARAO ME</t>
  </si>
  <si>
    <t>GISLENE SANTIAGO LIMA DE BRITO</t>
  </si>
  <si>
    <t>VALERIA CALCADOS LTDA</t>
  </si>
  <si>
    <t>COMERCIAL DE CALCADOS BOM CONSELHO LTDA</t>
  </si>
  <si>
    <t>AMILCAR V ZANGEROLAMI &amp; CIA LTDA EPP</t>
  </si>
  <si>
    <t>COMVACAL COMERCIO VAREJISTA DE CALCADOS LTDA EPP</t>
  </si>
  <si>
    <t>GS EITABEBE LTDA</t>
  </si>
  <si>
    <t>LOJA BARRETO DE DEPARTAMENTO LTDA</t>
  </si>
  <si>
    <t>E BENTO DA SILVA</t>
  </si>
  <si>
    <t>A  REGINA F DE OLIVEIRA</t>
  </si>
  <si>
    <t>INFANT COMERCIO DE ARTIGOS DO VESTUARIO EIRELI ME</t>
  </si>
  <si>
    <t>R A A  SANTOS URANO E CIA  LTDA ME</t>
  </si>
  <si>
    <t>IVETE MARIA DE OLIVEIRA FAVALI - ME</t>
  </si>
  <si>
    <t>RUBENS DE SOUZA MACHADO</t>
  </si>
  <si>
    <t>UMUARAMA CALCADOS LTDA</t>
  </si>
  <si>
    <t>NOVIDADE CONCEITO COMERCIAL DE CALÇADOS LTDA</t>
  </si>
  <si>
    <t>R. FERNANDES DA SILVA SOUSA-ME</t>
  </si>
  <si>
    <t>J.B. COMERCIO DE CONFECCOES &amp; VARIEDADES LTDA</t>
  </si>
  <si>
    <t>VAREJAO DAS FABRICAS CALCADOS E ACESSORIOS LTDA</t>
  </si>
  <si>
    <t>MALHAS ZEN LTDA</t>
  </si>
  <si>
    <t>2M CALC E CONF LTDA ME</t>
  </si>
  <si>
    <t>SK SOL KIDS LTDA - ME</t>
  </si>
  <si>
    <t>ELO CALCADOS LTDA</t>
  </si>
  <si>
    <t>A. TEODORO FARIA</t>
  </si>
  <si>
    <t>SHOW PE CALCADOS LTDA</t>
  </si>
  <si>
    <t>21.311.157 WAGNER SVERZUT</t>
  </si>
  <si>
    <t>G ALVES CALÇADOS LTDA</t>
  </si>
  <si>
    <t>PIQUE PEGA CALCADOS LTDA</t>
  </si>
  <si>
    <t>D A SHOES CALCADOS E ACESSORIOS LTDA</t>
  </si>
  <si>
    <t>PISE LEVE COM DE CALCADOS LTDA</t>
  </si>
  <si>
    <t>ERCA DE QUADROS DA SILVA ME</t>
  </si>
  <si>
    <t>SOCIAL CALCADOS DE PATROCNIO LTDA ME</t>
  </si>
  <si>
    <t>ARTUR COMERCIO DE ARTIGOS ESPORTIVOS EIRELI - EPP</t>
  </si>
  <si>
    <t>GISMAR RITA DA SILVA</t>
  </si>
  <si>
    <t>LO CALCADOS LTDA</t>
  </si>
  <si>
    <t>PISA LEVE CALCADOS E ACESSÓRIOS EIRELI</t>
  </si>
  <si>
    <t>SONALLY SANTANA SILVA MARCELO 01516624602</t>
  </si>
  <si>
    <t>W. E. MULLER CARVALHO COMERCIO DE CALCADOS LTDA</t>
  </si>
  <si>
    <t>57.102.199 KAMYLEE FIGUEIRO DE SOUZA</t>
  </si>
  <si>
    <t>G M ZACHI E CIA LTDA ME</t>
  </si>
  <si>
    <t>GILMARA ALVES DE SANTANA ME</t>
  </si>
  <si>
    <t>LILIANE COMERCIO DE COSMETICOS LTDA</t>
  </si>
  <si>
    <t>LOPES &amp; ALVES CALCADOS LTDA - ME</t>
  </si>
  <si>
    <t>LEILA OLIVEIRA HILGERT</t>
  </si>
  <si>
    <t>WELLINGTON RAMOS DOS SANTOS 04192628570</t>
  </si>
  <si>
    <t>BOSSANELI E SOUZA LTDA</t>
  </si>
  <si>
    <t>KARINA KWASNEY SCHRAMM</t>
  </si>
  <si>
    <t>CONFECÇÕES M.BABY LTDA EPP</t>
  </si>
  <si>
    <t>ELOY CONFECCOES LTDA. - ME</t>
  </si>
  <si>
    <t>RONALDO DE V SILVA CALCADOS ME</t>
  </si>
  <si>
    <t>HEDILAINE DA SILVA CARVALHO</t>
  </si>
  <si>
    <t>J B M MARQUES JUNIOR LTDA</t>
  </si>
  <si>
    <t>RODRIGUES E ARAGON COMERCIO LTDA</t>
  </si>
  <si>
    <t>GURTLER &amp; CIA LTDA</t>
  </si>
  <si>
    <t>RAFAEL LOURENCO DE OLIVEIRA</t>
  </si>
  <si>
    <t>TAFNER RDC LTDA</t>
  </si>
  <si>
    <t>N. T. DE CASTRO BRITO LTDA</t>
  </si>
  <si>
    <t>B &amp; B COMÉRCIO DE CALCADOS LTDA</t>
  </si>
  <si>
    <t>CALCART COMERCIO DE CALCADOS LTDA</t>
  </si>
  <si>
    <t>LUCIMAR NUNES BICHUETTE INACIO - ME</t>
  </si>
  <si>
    <t>ANTONIO CARLOS VIEIRA DE SOUZA JUNIOR ME</t>
  </si>
  <si>
    <t>COMERCIO DE CALCADOS LTDA</t>
  </si>
  <si>
    <t>CATARIN &amp; MELO LTDA - ME</t>
  </si>
  <si>
    <t>CALCADOS DANUBIO DE JAU LTDA</t>
  </si>
  <si>
    <t>LC MOREIRA DA SILVA</t>
  </si>
  <si>
    <t>ATREVIDINHA BOUTIQUE CONFECCOES LTDA</t>
  </si>
  <si>
    <t>LANZA &amp; CIA. LTDA.</t>
  </si>
  <si>
    <t>S R SALES FERREIRA CALCADOS</t>
  </si>
  <si>
    <t>VILMA BARDINI ME</t>
  </si>
  <si>
    <t>A B IZEPE E CIA LTDA</t>
  </si>
  <si>
    <t>GUSTAVO DOS SANTOS RECEPUTI</t>
  </si>
  <si>
    <t>MARCIO IZIDORO LUDWIG</t>
  </si>
  <si>
    <t>E.C.M. SILVA &amp; CIA LTDA - ME</t>
  </si>
  <si>
    <t>A P R CARVALHO  LTDA</t>
  </si>
  <si>
    <t>AIRTON DALL ONGARO ME</t>
  </si>
  <si>
    <t>VISUAL CALCADOS LTDA</t>
  </si>
  <si>
    <t>V G FERREIRA</t>
  </si>
  <si>
    <t>MAGAZINE AQUARELA LTDA</t>
  </si>
  <si>
    <t>PAULA STEFANNI NOGUEIRA LEITE EIRELI</t>
  </si>
  <si>
    <t>R. N. F. SANTOS</t>
  </si>
  <si>
    <t>IVONALDO CESAR BARROS</t>
  </si>
  <si>
    <t>46.572.919 MARIA TERESA SILVEIRA SOUSA</t>
  </si>
  <si>
    <t>BALLERINA CALCADOS LTDA - ME</t>
  </si>
  <si>
    <t>NEIVANIR LAUTHARTH ROSSINI ME</t>
  </si>
  <si>
    <t>INDIANARA SILVA DOS SANTOS CRUZ</t>
  </si>
  <si>
    <t>MARIA VILMA CESTARI ME</t>
  </si>
  <si>
    <t>DQN COMERCIAL LTDA</t>
  </si>
  <si>
    <t>CAMARGO E MACEDO LTDA</t>
  </si>
  <si>
    <t>52.265.772 RONALDO CESAR SOARES DA SILVA</t>
  </si>
  <si>
    <t>P S A NASCIMENTO CALCADOS E REPRESENTACOES LTDA</t>
  </si>
  <si>
    <t>ARRASE COMERCIO DE CALCADOS LTDA</t>
  </si>
  <si>
    <t>E.F. DE ASSUNÇÃO COMERCIO VAREJISTA DE CALÇADOS</t>
  </si>
  <si>
    <t>N LIMA CORDEIRO MEE</t>
  </si>
  <si>
    <t>GUSTAVO DE PASCULE -ME</t>
  </si>
  <si>
    <t>ALVARO PROENCA DE ARRUDA NETO LTDA</t>
  </si>
  <si>
    <t>53.336.744 FRANCISCO GUSTAVO TORRES</t>
  </si>
  <si>
    <t>SANDRA TEIXEIRA DE SOUZA NUNES</t>
  </si>
  <si>
    <t>DIANA MERCIA RAMOS AIRES SOUZA</t>
  </si>
  <si>
    <t>M.C DE OLIVEIRA SCARPINI ME</t>
  </si>
  <si>
    <t>J. F. BICA LTDA</t>
  </si>
  <si>
    <t>MAURÍCIO BONATTI</t>
  </si>
  <si>
    <t>M A L DOS SANTOS E CIA LTDA</t>
  </si>
  <si>
    <t>M V DE CARVALHO MAGALHAES DIOGENES ME</t>
  </si>
  <si>
    <t>60.508.812 LARISSA AMORIM DE SOUZA SANTOS</t>
  </si>
  <si>
    <t>LUPE KIDS LTDA</t>
  </si>
  <si>
    <t>EDINELMA MARIA SOUSA DE ALMEIDA</t>
  </si>
  <si>
    <t>LOJA X LTDA</t>
  </si>
  <si>
    <t>HARBOR COMERCIO DE CALÇADOS LTDA</t>
  </si>
  <si>
    <t>SAPATARIA SANTO ANTONIO NEVES PAULISTA LTDA</t>
  </si>
  <si>
    <t>K.DO S. M DA ROCHA DA SILVA</t>
  </si>
  <si>
    <t>RONALDO SEBASTIAO DE CARVALHO</t>
  </si>
  <si>
    <t>SAMIA KAREN BRANDAO DE SOUZA</t>
  </si>
  <si>
    <t>MONTANARI  CIA LTDA ME</t>
  </si>
  <si>
    <t>EVERALDO KOVALSKI</t>
  </si>
  <si>
    <t>J  F COMERCIO DE CALCADOS LTDA</t>
  </si>
  <si>
    <t>LUCI DE FATIMA SOUSA FARIA E CIA LTDA</t>
  </si>
  <si>
    <t>JANEJU COM DE CALCADOS LTDA</t>
  </si>
  <si>
    <t>GIOVANI DOMINIQUINI</t>
  </si>
  <si>
    <t>NANE &amp; NINI CONFECCOES LTDA</t>
  </si>
  <si>
    <t>CASA DE TECIDOS NICODEMO LTDA</t>
  </si>
  <si>
    <t>IARGAS E CIA LTDA</t>
  </si>
  <si>
    <t>SOUSA CONFECCOES LTDA</t>
  </si>
  <si>
    <t>LORENA DUARTE BATISTA ME</t>
  </si>
  <si>
    <t>F. PRETTO COMERCIO</t>
  </si>
  <si>
    <t>SERGIO DE LIRA RAMOS ME</t>
  </si>
  <si>
    <t>ACZA SONY D B PAIVA COMÉRCIO</t>
  </si>
  <si>
    <t>ALEXANDRE CARVALHO DOS SANTOS</t>
  </si>
  <si>
    <t>PILAR CALCADOS ACESSÓRIOS LTDA</t>
  </si>
  <si>
    <t>RAVELLE  TECIDOS</t>
  </si>
  <si>
    <t>MARGARIDA MARIA AMARAL SANTOS &amp; CIA LTDA - EPP</t>
  </si>
  <si>
    <t>A. DONATILHO DOS SANTOS</t>
  </si>
  <si>
    <t>Z DA SILVA MACHADO - ME</t>
  </si>
  <si>
    <t>DANIELE COSTA FERREIRA 37343121839</t>
  </si>
  <si>
    <t>DALVA DA SILVA MODANESE</t>
  </si>
  <si>
    <t>CARLOS ARTIGOS ESPORTIVOS LTDA EPP</t>
  </si>
  <si>
    <t>CASA PEPE DE CALÇADOS LTDA</t>
  </si>
  <si>
    <t>MARTIELI REAL WEBER</t>
  </si>
  <si>
    <t>SAPATARIA LEAO LTDA</t>
  </si>
  <si>
    <t>PEREIRA BRITO E FEITOSA LTDA</t>
  </si>
  <si>
    <t>PINHEIRO CALÇADOS E ACESSORIOS LTDA</t>
  </si>
  <si>
    <t>CALCE SHOES LTDA - ME</t>
  </si>
  <si>
    <t>LANE MARCI JESUS DE CAMARGO</t>
  </si>
  <si>
    <t>ROSA LINA DE SOUSA DUARTE 30093354827</t>
  </si>
  <si>
    <t>MARIA GERALDA GANZERT</t>
  </si>
  <si>
    <t>CGR ARCO-IRIS CONFECCOES E CALCADOS LTDA</t>
  </si>
  <si>
    <t>JOANA ARAUJO DE PAULA</t>
  </si>
  <si>
    <t>NEW STAR CALCADOS LTDA</t>
  </si>
  <si>
    <t>GENAINA MARTINS ROSA</t>
  </si>
  <si>
    <t>KATYA SORAYA M. DA SILVA</t>
  </si>
  <si>
    <t>STATUS MODAS COMERCIO DE ARTIGOS DO VESTUARIO LTDA.</t>
  </si>
  <si>
    <t>COMERCIO DE MÓVEIS SANTA FE LTDA EPP</t>
  </si>
  <si>
    <t>AMANDA GIRARDI - COMERCIO LTDA</t>
  </si>
  <si>
    <t>D FRANCISCA E FILHOS CALÇADOS</t>
  </si>
  <si>
    <t>MARIA VILMA DE ALENCAR PEREIRA OLIVEIRA</t>
  </si>
  <si>
    <t>EDELEUSA MARIA ZANOTTO SFOGGIA</t>
  </si>
  <si>
    <t>CIDINHA CALCADOS</t>
  </si>
  <si>
    <t>MARIA DE LOURDES PEREIRA BARBOSA</t>
  </si>
  <si>
    <t>AGP COMERCIO E CONFECCOES LTDA ME</t>
  </si>
  <si>
    <t>COMERCIAL DE ARMARINHOS SALETTE LTDA</t>
  </si>
  <si>
    <t>M. M. PEREIRA CRUZ CARDOSO</t>
  </si>
  <si>
    <t>SMANIOTTO E FILHOS LTDA</t>
  </si>
  <si>
    <t>LNC COMERCIAL DE CALCADOS LTDA</t>
  </si>
  <si>
    <t>JOSE ANTONIO DE ALMEIDA ARMARINHOS ME</t>
  </si>
  <si>
    <t>J A F DE LIMA LTDA</t>
  </si>
  <si>
    <t>C L DE ALMEIDA &amp; CIA LTDA</t>
  </si>
  <si>
    <t>A. A. NUNES LIMA</t>
  </si>
  <si>
    <t>LANNA MODAS E CALCADOS LTDA</t>
  </si>
  <si>
    <t>PAULINO PETA CALCADOS LTDA.</t>
  </si>
  <si>
    <t>RENATA OLIVEIRA DA SILVA CALCADOS ME</t>
  </si>
  <si>
    <t>COMERCIAL PASTORE E SIQUEIRA LTDA ME</t>
  </si>
  <si>
    <t>RAIMUNDO F TEIXEIRA</t>
  </si>
  <si>
    <t>SANDALIARIA COMERCIO DE CALCADOS LTDA</t>
  </si>
  <si>
    <t>AG MEGA STORE LTDA</t>
  </si>
  <si>
    <t>ROGERIO F . DE OLIVEIRA</t>
  </si>
  <si>
    <t>ETEVALDO MARQUES DE OLIVEIRA-ME.</t>
  </si>
  <si>
    <t>DELSIDE DE SOUZA SANTOS</t>
  </si>
  <si>
    <t>JOAO HOEPERS</t>
  </si>
  <si>
    <t>FERNANDES STORE LTDA</t>
  </si>
  <si>
    <t>MUNDIAL COM DE ART ESP CALC LTDA ME</t>
  </si>
  <si>
    <t>RAFAEL LAMPERT CICHELERO</t>
  </si>
  <si>
    <t>NORBI CALCADOS LTDA</t>
  </si>
  <si>
    <t>LUIS EDUARDO ALTENHOFEN</t>
  </si>
  <si>
    <t>SOARES OLIVEIRA DO BRASIL MAGAZINE LTDA</t>
  </si>
  <si>
    <t>LIDUINA ATAO</t>
  </si>
  <si>
    <t>ROCCIA CALCADOS LTDA EPP</t>
  </si>
  <si>
    <t>ANA KAROLINE MONTEIRO SOARES - ME</t>
  </si>
  <si>
    <t>LISETE CORREIA CALCADOS</t>
  </si>
  <si>
    <t>E.R DE BRITO ACACIO</t>
  </si>
  <si>
    <t>ILTO FRANCISCO DAL VESCO</t>
  </si>
  <si>
    <t>G R DA CUNHA CONFECCOES ME</t>
  </si>
  <si>
    <t>BARRETO &amp; SANTOS COMERCIO DE CALCADOS LTDA</t>
  </si>
  <si>
    <t>IVAN SOARES GOMES E CIA LTDA</t>
  </si>
  <si>
    <t>DELCI ALVES PINHEIRO ME</t>
  </si>
  <si>
    <t>MARRALLEY COMERCIO DE CACADOS LTDA</t>
  </si>
  <si>
    <t>SANDRA JADEJISCHI RIBEIRO ME</t>
  </si>
  <si>
    <t>ANA FLAVIA DE ANDRADE FIRMINO ME</t>
  </si>
  <si>
    <t>ADRIANO MARTINS CARDOSO ME</t>
  </si>
  <si>
    <t>SPORTSHOES LTDA</t>
  </si>
  <si>
    <t>ROBELIA DE SANTANA DIAS SANTOS</t>
  </si>
  <si>
    <t>MAICON DA COSTA SERRA</t>
  </si>
  <si>
    <t>WV CALCADOS LTDA</t>
  </si>
  <si>
    <t>36.967.357 JADI MAZER CICILLINI LAUER</t>
  </si>
  <si>
    <t>ANA CLAUDIA SOUZA SILVA</t>
  </si>
  <si>
    <t>BORELA COMERCIAL UCHOA LTDA</t>
  </si>
  <si>
    <t>NATALIA MODAS E ACESSORIOS LTDA</t>
  </si>
  <si>
    <t>MARIA ARIANE PAIVA GUERRA</t>
  </si>
  <si>
    <t>THATIANE CAMILA CARDOSO SIQUEIRA DOS SANTOS 16234240704</t>
  </si>
  <si>
    <t>ATITUDE KIDS CALCADOS LTDA-ME</t>
  </si>
  <si>
    <t>VERA LUCIA MATOS ME</t>
  </si>
  <si>
    <t>M.R.G. DE OLIVEIRA</t>
  </si>
  <si>
    <t>LOJAS MARILU COM VAREJISTA DE ART DO VEST LTDA</t>
  </si>
  <si>
    <t>COMERCIAL LAVIPE LTDA</t>
  </si>
  <si>
    <t>E C DULSKI VESTUÁRIO E CALÇADOS</t>
  </si>
  <si>
    <t>R. S. A. GOMES SOUSA</t>
  </si>
  <si>
    <t>BOMPANI COMERCIO DE VESTUÁRIO E CALÇADOS LTDA</t>
  </si>
  <si>
    <t>NEUSA PILARSKI NOVACOVSKI 02773527976</t>
  </si>
  <si>
    <t>LUCIENE CAMPOS</t>
  </si>
  <si>
    <t>CONFECCOES LUNUIA LTDA ME</t>
  </si>
  <si>
    <t>EDSON MACHADO &amp; CIA LTDA ME</t>
  </si>
  <si>
    <t>JOSE FRANCISCO DE LIMA NETO</t>
  </si>
  <si>
    <t>ELEGANCE COMERCIO DE CALÇADOS LTDA</t>
  </si>
  <si>
    <t>4 TEMPOS DIGITAL LTDA</t>
  </si>
  <si>
    <t>54.617.637 LEANDRO DONIZETI</t>
  </si>
  <si>
    <t>IVETE MARIA A T BATISTA ME</t>
  </si>
  <si>
    <t>ANTONIO DARIO A GALVAO</t>
  </si>
  <si>
    <t>49.274.999 FABIELLE BORIN CAMPOS</t>
  </si>
  <si>
    <t>MARIA DO SOCORRO DE SOUZA DAVID 34163719253</t>
  </si>
  <si>
    <t>54.585.589 MARIA LAURA GAMBOA MONTANO</t>
  </si>
  <si>
    <t>GASPAR CALCADOS LTDA</t>
  </si>
  <si>
    <t>M. ANGELICA CASTELLI CORREIA ROUPAS</t>
  </si>
  <si>
    <t>333 OLIGAR REPRESENTACOES E COMERCIO LTDA</t>
  </si>
  <si>
    <t>LUIZ MARIO ARAUJO DA SILVA</t>
  </si>
  <si>
    <t>GENI DA SILVEIRA VIEIRA COMERCIO DO VESTUARIO - ME</t>
  </si>
  <si>
    <t>GONTIJO CALCADOS LTDA</t>
  </si>
  <si>
    <t>CALCADOS DESTAKE LTDA.</t>
  </si>
  <si>
    <t>PLANET MODA COMERCIO DE ROUPAS E ACESSORIOS LTDA</t>
  </si>
  <si>
    <t>VERONICA DE CARVALHO E VASCONCELOS</t>
  </si>
  <si>
    <t>ANTONIA APARECIDA PEREIRA 00325310602</t>
  </si>
  <si>
    <t>V A DE ARAUJO COMERCIO LTDA</t>
  </si>
  <si>
    <t>VITORIA CALCADOS LTDA</t>
  </si>
  <si>
    <t>FRANCISCO INACIO PINHEIRO &amp; FILHO LTDA.</t>
  </si>
  <si>
    <t>JOSE ARRAIS DE OLIVEIRA AMORIM</t>
  </si>
  <si>
    <t>ELIAS BENTO RODRIGUES ME</t>
  </si>
  <si>
    <t>JACI SOUSA SANTOS &amp; CIA LTDA</t>
  </si>
  <si>
    <t>VANIA LURDES ZANQUIN ZENI</t>
  </si>
  <si>
    <t>SEBASTIAO TEIXERA BITENCOURT</t>
  </si>
  <si>
    <t>CALCADOS ONLINE LTDA</t>
  </si>
  <si>
    <t>MELO E OLIVEIRA LTDA ME</t>
  </si>
  <si>
    <t>JOSY KILL 31.821.194</t>
  </si>
  <si>
    <t>GLENDA NEVES BERNARDINO</t>
  </si>
  <si>
    <t>EDYVANE C DA FONSECA LTDA</t>
  </si>
  <si>
    <t>FLOR DA PELE LTDA ME</t>
  </si>
  <si>
    <t>M. M. PEDROSA QUEIROZ ARMARINHO. MS</t>
  </si>
  <si>
    <t>SO CHICO CALCADOS LTDA.</t>
  </si>
  <si>
    <t>K SPORTS SHOPPING LTDA</t>
  </si>
  <si>
    <t>PICOLO COMERCIO DE VARIEDADES LTDA</t>
  </si>
  <si>
    <t>N N V CALCADOS CONFECCOES LTDA EPP</t>
  </si>
  <si>
    <t>NOVA FATIMA CALCADOS E CONFECCOES LTDA</t>
  </si>
  <si>
    <t>WILTON JOSE MUNIZ MOURA</t>
  </si>
  <si>
    <t>R RIGONI ME</t>
  </si>
  <si>
    <t>ANGELICA IZAQUE DIAS</t>
  </si>
  <si>
    <t>M.D. MARTINS DE CARVALHO E SILVA ARMARINHO</t>
  </si>
  <si>
    <t>DERING E BERNARDO LTDA.</t>
  </si>
  <si>
    <t>J DA C BARBOSA CALCADOS</t>
  </si>
  <si>
    <t>FRANCIELI K CARDOSO ME</t>
  </si>
  <si>
    <t>ELISETE MADEIRA CARVALHO - ME</t>
  </si>
  <si>
    <t>A C VASCONCELOS E CONFECCOES</t>
  </si>
  <si>
    <t>ANTONIO OTAVIO MELO</t>
  </si>
  <si>
    <t>ELZIMAR CANAL TRABACH EIRELI</t>
  </si>
  <si>
    <t>LAURINHA KIDS LTDA</t>
  </si>
  <si>
    <t>ANDRADE E ROCHA LTDA</t>
  </si>
  <si>
    <t>INOVARE MODAS LTDA</t>
  </si>
  <si>
    <t>J.M. DE CASTRO</t>
  </si>
  <si>
    <t>MOSTAFA COMERCIO INFANTO JUVENIL LTDA</t>
  </si>
  <si>
    <t>PAPELARIA SAITOITODA LTDA ME</t>
  </si>
  <si>
    <t>LIMA CALCADOS EIRELI</t>
  </si>
  <si>
    <t>WALDIR SILVESTRINI ME</t>
  </si>
  <si>
    <t>MELO E MEDEIROS COMERCIO VAREJISTA DE CALCADOS LTDA</t>
  </si>
  <si>
    <t>J B MENDES NETO ME</t>
  </si>
  <si>
    <t>IVONETE DA SILVA ALMEIDA</t>
  </si>
  <si>
    <t>JOSUE DE LIMA OLIVEIRA -ME</t>
  </si>
  <si>
    <t>RECEM CHEGADOS ROUPAS E ACESSORIOS INFANTIS LTDA</t>
  </si>
  <si>
    <t>GEOVA CECILIO DA SILVA</t>
  </si>
  <si>
    <t>CLAUDIA MARA SOSTER COMERCIO DE CONFECCOES</t>
  </si>
  <si>
    <t>SUSELI MODA INFANTIL LTDA</t>
  </si>
  <si>
    <t>RENE APARECIDO DE RESENDE</t>
  </si>
  <si>
    <t>RIBEIRO &amp; RIBEIRO LOJA DE CALCADOS LTDA</t>
  </si>
  <si>
    <t>M.M BEBE COMERCIO DE ROUPAS INF. LTDA -</t>
  </si>
  <si>
    <t>COMERCIAL OLIVEIRA MARTINS</t>
  </si>
  <si>
    <t>REGINALDO DE ALMEIDA MATOS ME</t>
  </si>
  <si>
    <t>GELMA LUCI SANSSANOVICZ ME</t>
  </si>
  <si>
    <t>MARCIA SOBIRAI</t>
  </si>
  <si>
    <t>COMERCIAL COSTA LEME  LTDA</t>
  </si>
  <si>
    <t>DELI CALCADOS LTDA ME</t>
  </si>
  <si>
    <t>ANTONIO TOMAZ DE OLIVEIRA ROUPAS - EPP</t>
  </si>
  <si>
    <t>F.C. DE ARAUJO</t>
  </si>
  <si>
    <t>COMERCIAL FERREIRA NUNES LTDA ME</t>
  </si>
  <si>
    <t>49.423.928 RAIMUNDA CRISTINA OLIVEIRA CORREA DOS SANTOS</t>
  </si>
  <si>
    <t>ELZA HABOLAD TUSSI</t>
  </si>
  <si>
    <t>A V CAVALCANTE COSTA ME</t>
  </si>
  <si>
    <t>VIVI MODAS LTDA</t>
  </si>
  <si>
    <t>LIDIANY MARCELA DINIZ XAVIER</t>
  </si>
  <si>
    <t>ANIKELE DE OLIVEIRA TOMAZ COSTA ME</t>
  </si>
  <si>
    <t>GILMAR LUIZ CONRADO MORAES</t>
  </si>
  <si>
    <t>BERNARDETE P. MANFIO ME</t>
  </si>
  <si>
    <t>TOPVENDAS COMERCIO DE PRODUTOS LTDA</t>
  </si>
  <si>
    <t>332 N. SILVA SANTOS REPRESENTACOES</t>
  </si>
  <si>
    <t>DENISE DE FATIMA MOREIRA DA SILVA LINHARES 08890016930</t>
  </si>
  <si>
    <t>RENAY CALCADOS &amp; CONFECCOES LTDA</t>
  </si>
  <si>
    <t>C M ANTUNES ME</t>
  </si>
  <si>
    <t xml:space="preserve"> KKK ARTIGOS ESPORTIVOS LTDA</t>
  </si>
  <si>
    <t>21.699.793 JAQUELINE ANDRADE SILVA MORAES</t>
  </si>
  <si>
    <t>FABIANA GUIMARAES DIAS</t>
  </si>
  <si>
    <t>LIANE FLECK BOFF</t>
  </si>
  <si>
    <t>KURT HAAS E CIA LTDA</t>
  </si>
  <si>
    <t>ADRIANA M  DOS SANTOS POLIZEL</t>
  </si>
  <si>
    <t>A R COMERCIO DE ARTIGOS DE VESTUARIO E ACESSORIOS LTDA</t>
  </si>
  <si>
    <t>CLIQUE E CALCE COMERCIO LTDA</t>
  </si>
  <si>
    <t>ALMEIDA E RODRIGUES CALCADOS LTDA</t>
  </si>
  <si>
    <t>J. F. DOS SANTOS</t>
  </si>
  <si>
    <t>JC DANTAS SILVA ME</t>
  </si>
  <si>
    <t>ELIANA KIDS MODA INFANTIL LTDA. ME</t>
  </si>
  <si>
    <t>DEBORAH JULIANI DE SOUZA CALCADOS</t>
  </si>
  <si>
    <t>MOREIRA E NASCIMENTO COMERCIO DE CALÇADOS LTDA MATRIZ</t>
  </si>
  <si>
    <t>FABIANA NASCIMBEM ANTUNES 32037804881</t>
  </si>
  <si>
    <t>IRMAOS NEUVALD ARTS ESPORTIVOS LTDA</t>
  </si>
  <si>
    <t>D AROIO CALCADOS LTDA</t>
  </si>
  <si>
    <t>JOSE ALEXANDRE DE ALBUQUERQUE</t>
  </si>
  <si>
    <t>F J PEREIRA DE SOUSA</t>
  </si>
  <si>
    <t>VALDOMIRO ERLAN FRANCISCO DE MELO</t>
  </si>
  <si>
    <t>MARIA DE FATIMA MOURA FE</t>
  </si>
  <si>
    <t>L  M C ROMA CONFECCAO E COMERCIO</t>
  </si>
  <si>
    <t>ROSEVELT HENRIQUE LOURENCO ME</t>
  </si>
  <si>
    <t>F. G. A. CAMINHA e CIA LTDA - ME</t>
  </si>
  <si>
    <t>MARCILENE PEREIRA DO NASCIMENTO MACIEL</t>
  </si>
  <si>
    <t>S. APARECIDA DE ARAUJO ME</t>
  </si>
  <si>
    <t>JOSIMARA PEREIRA NUNES DE FREITAS E CIA LTDA ME</t>
  </si>
  <si>
    <t>CYCLONE INDUSTRIA DE CALCADOS LTDA</t>
  </si>
  <si>
    <t>PORTO DOS CALÇADOS  LTDA</t>
  </si>
  <si>
    <t>RENATO SODRE DE OLIVEIRA CALÇADOS LTDA</t>
  </si>
  <si>
    <t>KALANGOTANGO KIDS LTDA</t>
  </si>
  <si>
    <t>PATRICIA DE ALMEIDA PASSOS - ME</t>
  </si>
  <si>
    <t>EDILANA FISCHER DE LIMA</t>
  </si>
  <si>
    <t>LU E LIZ CALÇADOS LTDA</t>
  </si>
  <si>
    <t>BELLE STAR EIRELI-ME</t>
  </si>
  <si>
    <t>ANGELO ANDRADE</t>
  </si>
  <si>
    <t>MARIA ARLETE DA ROCHA LIMA</t>
  </si>
  <si>
    <t>JONICY WESLLEY FERREIRA COIMBRA</t>
  </si>
  <si>
    <t>JOELANDIA MOREIRA SANTOS</t>
  </si>
  <si>
    <t>RAIMUNDO RODRIGUES DE CARVALHO EIRELI</t>
  </si>
  <si>
    <t>DUMAR CALCADOS LTDA ME</t>
  </si>
  <si>
    <t>ELIANE ERECELINE MARTINS DA GLORIA</t>
  </si>
  <si>
    <t>COFEL COML DE FERRAGENS CRUZALMENSE LTDA</t>
  </si>
  <si>
    <t>LETICIA CALCADOS LTDA</t>
  </si>
  <si>
    <t>LOJAS ROSE ARMARINHO LTDA</t>
  </si>
  <si>
    <t>GENILDO EURIPEDES DA SILVA</t>
  </si>
  <si>
    <t>VANDERLEI BEZ BATTI LTDA</t>
  </si>
  <si>
    <t>EUCLIDES JOSE CAMPOS</t>
  </si>
  <si>
    <t>JA DE LIMA CONFECCOES ME</t>
  </si>
  <si>
    <t>MARCOS MARIN</t>
  </si>
  <si>
    <t>KLEBER MARQUES DOS REIS</t>
  </si>
  <si>
    <t>MARIA RITA FELISMINO ME</t>
  </si>
  <si>
    <t>PAULO CEZAR CAPELETTI ME</t>
  </si>
  <si>
    <t>P J SILVA MOITA</t>
  </si>
  <si>
    <t>BEBE MIJAO CONFECCAO INFANTIL LTDA</t>
  </si>
  <si>
    <t>19.930.183 DAIANE CARVALHO GONCALVES</t>
  </si>
  <si>
    <t>LOJAS PINTO E COMERCIO LTDA</t>
  </si>
  <si>
    <t>JOAO FILLIPE FERREIRA DE ALMEIDA</t>
  </si>
  <si>
    <t>BRAZ E SANTOS LTDA</t>
  </si>
  <si>
    <t>MAGAZINE SANTA FE EIRELI</t>
  </si>
  <si>
    <t>VISUAL KIDS STORE LTDA</t>
  </si>
  <si>
    <t>JESSICA E EMILIO CALCADOS LTDA</t>
  </si>
  <si>
    <t>A L SA LOBATO COMERCIO</t>
  </si>
  <si>
    <t>PATOTINHA MODA INFANTIL LTDA</t>
  </si>
  <si>
    <t>E P RANGEL ME</t>
  </si>
  <si>
    <t>SHOPPING C &amp; CIA LTDA</t>
  </si>
  <si>
    <t>FELIPE KAZUTO MENDES UTINO</t>
  </si>
  <si>
    <t>COM DE CONF MICHELS LTDA</t>
  </si>
  <si>
    <t>S F DOS S REIS</t>
  </si>
  <si>
    <t>CICERA PEDRO DE LIMA</t>
  </si>
  <si>
    <t>MARIA TEREZINHA SAMPAIO- EPP</t>
  </si>
  <si>
    <t>NOPE CALCADOS LTDA ME</t>
  </si>
  <si>
    <t>EDUARDO B.VISENTAINER E CIA LTDA</t>
  </si>
  <si>
    <t>ANTONIA MARIA ALVES PEREIRA - EPP</t>
  </si>
  <si>
    <t>BILA CALCADOS LTDA ME</t>
  </si>
  <si>
    <t>LUCIENE SANTOS FERREIRA</t>
  </si>
  <si>
    <t>KALIANDRA CALCADOS LTDA</t>
  </si>
  <si>
    <t>M N BEZERRA</t>
  </si>
  <si>
    <t>15.544.416 MARIA DO SOCORRO FERNANDES DE OLIVEIRA</t>
  </si>
  <si>
    <t>SEVEN BROTHERS COMÉRCIO DE CALÇADOS LTDA -ÉPOCA</t>
  </si>
  <si>
    <t>COMERCIAL DE CALCADOS RENATA DE PRUDENTE LTDA</t>
  </si>
  <si>
    <t>F S BEZERRA ARAUJO</t>
  </si>
  <si>
    <t>MYRNA MARIA PUSTRELO DA SILVA</t>
  </si>
  <si>
    <t>SSA COM CALC LTDA</t>
  </si>
  <si>
    <t>ANA CLAUDIA DA S LINHARES</t>
  </si>
  <si>
    <t>MARIANA CAIRES XAVIER LTDA</t>
  </si>
  <si>
    <t>52.113.785 JOSELI CRUZ DE OLIVEIRA BELMINO</t>
  </si>
  <si>
    <t>CECINER VESTUARIO LTDA ME</t>
  </si>
  <si>
    <t>CARROSSEL COMERCIO DE ROUPAS E ACESSORIOS LTDA</t>
  </si>
  <si>
    <t>V. R. ELIAS SANTIN</t>
  </si>
  <si>
    <t>ROSEMEIRY ALMEIDA DE NOVAES PIMENTA</t>
  </si>
  <si>
    <t>J DE S SOBRINHO CALCADOS LTDA</t>
  </si>
  <si>
    <t>MARIA IZABEL PEREIRA EPP</t>
  </si>
  <si>
    <t>CARAVELA COMERCIAL LTDA</t>
  </si>
  <si>
    <t>ZEZE CALCADOS LTDA</t>
  </si>
  <si>
    <t>DANIEL CARVALHO BOM</t>
  </si>
  <si>
    <t>M. A. C. RABELO ME</t>
  </si>
  <si>
    <t>ELIANA LEITE RIBEIRO CALCADOS ME</t>
  </si>
  <si>
    <t>A3 CALCADOS E CONFECCOES EIRELI-EPP</t>
  </si>
  <si>
    <t>CALCADOS E CONFECCOES SANTOS E FREITAS LTDA - ME</t>
  </si>
  <si>
    <t>CHIMENE L MACHADO MELO</t>
  </si>
  <si>
    <t>ZE DA SHALAKO CALCADOS LTDA</t>
  </si>
  <si>
    <t>SIMONE APARECIDA BALAO</t>
  </si>
  <si>
    <t>LUIZ NUNES BARBOSA</t>
  </si>
  <si>
    <t>ALINE GOMES NOVAES BOMFIM</t>
  </si>
  <si>
    <t>ANAGEL CALCADOS CONF. LTDA</t>
  </si>
  <si>
    <t>ROGEL CALCADOS E CONFECCOES LTDA.</t>
  </si>
  <si>
    <t>SUPER MEGA VARIEDADE EIRELJ</t>
  </si>
  <si>
    <t>34.898.541 VALERIA MEDEIROS DA SILVA DE FRANCA</t>
  </si>
  <si>
    <t>42.671.657 CARLA JULIANA OLIVEIRA SANTOS</t>
  </si>
  <si>
    <t>KAMILLO'S CALCADOS &amp; CHOCOLATERIA LTDA</t>
  </si>
  <si>
    <t>LIVIA WITTICA CANELAS E CIA LTA EPP</t>
  </si>
  <si>
    <t>EDVAR XAVIER DA COSTA ME</t>
  </si>
  <si>
    <t>EUNICE E JOSE CONFECCOES LTDA</t>
  </si>
  <si>
    <t>PETRUCIO DA SILVA N. DE AZEVEDO</t>
  </si>
  <si>
    <t>L T DE SOUSA PREGO</t>
  </si>
  <si>
    <t>MJS KIDS EIRELI ME</t>
  </si>
  <si>
    <t>VESTIARIO SPORT CLUB LTDA</t>
  </si>
  <si>
    <t>ESPACO KIDS CALCADOS INFANTIS LTDA</t>
  </si>
  <si>
    <t>ESPAÇO KIDS PRODUTOS INFANTIS LTDA</t>
  </si>
  <si>
    <t>FADA MADRINHA KIDS MODA INFANTIL LTDA</t>
  </si>
  <si>
    <t>SUELLEN CAROLINE DE MENDONCA - ME</t>
  </si>
  <si>
    <t>33.409.838 ALISSON ANDRADE</t>
  </si>
  <si>
    <t>MENDES COMERCIO EIRELI</t>
  </si>
  <si>
    <t>LAIS CARVALHO</t>
  </si>
  <si>
    <t>CHAMORRO E CHAMORRO FILHO LTDA EPP</t>
  </si>
  <si>
    <t>NEUZA MARIA PONTES &amp; CIA LTDA</t>
  </si>
  <si>
    <t>SAPATARIA ANDABELA LTDA ME</t>
  </si>
  <si>
    <t>MARIA MIKAELE MOREIRA DE SOUSA</t>
  </si>
  <si>
    <t>CALCADOS REALENSE</t>
  </si>
  <si>
    <t>MARLI DOS SANTOS ZALESKI</t>
  </si>
  <si>
    <t>AKI NO PE CALCADOS LTDA</t>
  </si>
  <si>
    <t>CALCEFOZBEM COM.DE CALCADOS LTDA</t>
  </si>
  <si>
    <t>SPASSO LIVRE CALCADOS E MODAS LTDA - ME</t>
  </si>
  <si>
    <t>SIGA PRUDUTOS ALM. LTDA</t>
  </si>
  <si>
    <t>RAIMUNDA REIS DE JESUS</t>
  </si>
  <si>
    <t>NEIDIMAR DONATO GUIMARAES DA SILVA</t>
  </si>
  <si>
    <t>S.A.CARLOS</t>
  </si>
  <si>
    <t>LC CONFECÇÕES &amp; CALÇADOS LTDA</t>
  </si>
  <si>
    <t>NV OLIVEIRA ROUPAS E CALCADOS LTDA</t>
  </si>
  <si>
    <t>DETINHA CALCADOS E VESTUARIO LTDA</t>
  </si>
  <si>
    <t>EDSON TIAGO DO COUTO</t>
  </si>
  <si>
    <t>ADAUTO MORAES DACOREGIO E CIA LTDA ME</t>
  </si>
  <si>
    <t>USE CALCADOS E CONFECCOES</t>
  </si>
  <si>
    <t>ALAIR DE SA PEREIRA ME</t>
  </si>
  <si>
    <t>CHICO FARELO CALCADOS E CONFECCOES LTDA</t>
  </si>
  <si>
    <t>SANDRA ROSA SILVA DOS SANTOS</t>
  </si>
  <si>
    <t>JOSELIA ARAUJO DA SILVA XAVIER 02438922338</t>
  </si>
  <si>
    <t>M. I. DOS SANTOS COMERCIO DE ROUPAS E ACESSORIOS LTDA</t>
  </si>
  <si>
    <t>ANA CELIA SANCHES MARTINS</t>
  </si>
  <si>
    <t>ALCIONE SALETE LACHOWSKI ME</t>
  </si>
  <si>
    <t>AUCILEIDE DA SILVA NASCIMENTO</t>
  </si>
  <si>
    <t>MF SOLUCOES IMPORTADORA E EXPORTADORA LTDA</t>
  </si>
  <si>
    <t>G SOBRAL DA SILVA E CIA LTDA</t>
  </si>
  <si>
    <t>BABYS HOUSE COMERCIO DE ARTIGOS DO VESTUARIO LTDA</t>
  </si>
  <si>
    <t>SILVANA MELO RAMOS BITTENCOURT</t>
  </si>
  <si>
    <t>MONICA SOARES DE ASSUMPÇÃO</t>
  </si>
  <si>
    <t>M J B COSTA</t>
  </si>
  <si>
    <t>LUANA MARTINS DE OLIVEIRA LTDA</t>
  </si>
  <si>
    <t>FABMAR CALCADOS LTDA EPP</t>
  </si>
  <si>
    <t>SCHWADE &amp; WEIRICH LTDA ME</t>
  </si>
  <si>
    <t>COMERCIAL ROUXINOL LTDA</t>
  </si>
  <si>
    <t>JUAREZ SANTOS OLIVEIRA COMERCIO LTDA</t>
  </si>
  <si>
    <t>ADRIELMO PEDROSA GIL</t>
  </si>
  <si>
    <t>31.912.103 JOSINEIA FERREIRA DE MOURA SILVA</t>
  </si>
  <si>
    <t>ERIVALDO DE MELO LIMA ME</t>
  </si>
  <si>
    <t>JANAINA KEILLY DINIZ MELO</t>
  </si>
  <si>
    <t>G L DE SOUZA</t>
  </si>
  <si>
    <t>M E COMERCIO DE ALIMENTOS LTDA</t>
  </si>
  <si>
    <t>G M C DA TRINDADE COMERCIO VAREJISTA DE ARTIGOS DE VESTUARIO E ACESSOR</t>
  </si>
  <si>
    <t>B.F. MOUTINHO COMERCIO</t>
  </si>
  <si>
    <t>FONTANA &amp; MARTINI LTDA - ME.</t>
  </si>
  <si>
    <t>JG CALCADOS LTDA</t>
  </si>
  <si>
    <t>MJ COM . FRALDAS CON E PRODUTOS INFANTIS LTDA</t>
  </si>
  <si>
    <t>AMARQUES COMERCIO DE PRODUTOS ALIMENTICIOS LTDA - ME</t>
  </si>
  <si>
    <t>FABIANA BELLA FASCHION LTDA - ME</t>
  </si>
  <si>
    <t>V. OLIVEIRA DE MELO</t>
  </si>
  <si>
    <t>OLIVERO COMERCIO DE CALCADOS EIRELI</t>
  </si>
  <si>
    <t>S L M B V LTDA</t>
  </si>
  <si>
    <t>CLAUDIA CALEGARI MARAFON</t>
  </si>
  <si>
    <t>DORCA BARROS ARAUJO &amp; CIA LTDA ME</t>
  </si>
  <si>
    <t>COMERCIAL DE CALCADOS ANCORA LTDA</t>
  </si>
  <si>
    <t>ROSE CALCADOS LTDA ME</t>
  </si>
  <si>
    <t>DARROZ &amp; RODRIGUES LTDA - ME</t>
  </si>
  <si>
    <t>MANOEL GONCALVES MARTINS 27582527836</t>
  </si>
  <si>
    <t>F.J DE ALMEIDA NETO-ME</t>
  </si>
  <si>
    <t>ANGELA ITAQUERA COMERCIO DE CALCADOS LTDA</t>
  </si>
  <si>
    <t>ANGELICAL ROUPAS LTDA</t>
  </si>
  <si>
    <t>SOUZA &amp; CUNHA LTDA.</t>
  </si>
  <si>
    <t>LAIRTON SAMPAIO PEREIRA ME</t>
  </si>
  <si>
    <t>CALÇADOS LANZUDO LTDA</t>
  </si>
  <si>
    <t>NOEL BABY CONFECÇÕES LTDA</t>
  </si>
  <si>
    <t>GABRIELA DO PRADO SA BRITO</t>
  </si>
  <si>
    <t>ROBSON FERREIRA PINTO - ME.</t>
  </si>
  <si>
    <t>IVANIR VALENTINO CHRISTIANINI</t>
  </si>
  <si>
    <t>EDUARDO MAGAZINE LTDA.</t>
  </si>
  <si>
    <t>CICERO ZIFIRINO DOS SANTOS ME</t>
  </si>
  <si>
    <t>RAIMUNDO RIBEIRO DANTAS</t>
  </si>
  <si>
    <t>JAQUELINE PCP DA SILVA - ME</t>
  </si>
  <si>
    <t>KAISER MODAS LTDA</t>
  </si>
  <si>
    <t>D.F DA SILVA NETO</t>
  </si>
  <si>
    <t>OTAVIO A. MARTINS NETTO</t>
  </si>
  <si>
    <t>MATEUS NEVES SANTANA</t>
  </si>
  <si>
    <t>ELIANA SILVA B. LACERDA ME</t>
  </si>
  <si>
    <t>BEBEZINHO COMERCIO DE BRINQUEDOS MULTIMARCAS EIRELI</t>
  </si>
  <si>
    <t>FERNANDA CEDRO DE SOUZA LTDA</t>
  </si>
  <si>
    <t>J J M CALCADOS LTDA</t>
  </si>
  <si>
    <t>ZAPATTO CALCADOS E CONF. LTDA ME</t>
  </si>
  <si>
    <t>CLEUZANI CECATTO MASCARELLO 98203231004</t>
  </si>
  <si>
    <t>COMERCIAL JORGE RODRIGUES LTDA</t>
  </si>
  <si>
    <t>MARIA APARECIDA DA SILVA LIMA 01437227430</t>
  </si>
  <si>
    <t>ABAD AYRES LTDA</t>
  </si>
  <si>
    <t>TAE MODAS LTDA ME</t>
  </si>
  <si>
    <t>INEZ VERGINIA TUDESCHINI BAZAR</t>
  </si>
  <si>
    <t>ISADORA ROMAN MENEGHINI COMERCIO DE CONFECCOES LTDA</t>
  </si>
  <si>
    <t>CARINNY R. DE SOUZA</t>
  </si>
  <si>
    <t>ILMARA PACHECO FERREIRA 60202021351</t>
  </si>
  <si>
    <t>AUREA CRISTINA MARQUES DA SILVA</t>
  </si>
  <si>
    <t>ROAN COMERCIO DE CONFECCOES LTDA</t>
  </si>
  <si>
    <t>GISELE FAGUNDES AULER</t>
  </si>
  <si>
    <t>EDIMAR JOSE BARBOSA</t>
  </si>
  <si>
    <t>R G F CASARIN E M FERRAO LTDA</t>
  </si>
  <si>
    <t>PLANETA CALCADOS LTDA</t>
  </si>
  <si>
    <t>EVANE HANSEL</t>
  </si>
  <si>
    <t>CAROLINE TRIVELLATTO EIRELLI - EPP</t>
  </si>
  <si>
    <t>VALDERIA P. DE SOUZA</t>
  </si>
  <si>
    <t>MAGAZINE MOREIRA LTDA</t>
  </si>
  <si>
    <t>EMILIA COMERCIO CONFECCOES CALCADOS LTDA</t>
  </si>
  <si>
    <t>BOLSONI &amp; WELTER LTDA</t>
  </si>
  <si>
    <t>ALINE KARLA MOREIRA</t>
  </si>
  <si>
    <t>MAREDO CALCADOS LTDA</t>
  </si>
  <si>
    <t>OZAIR JOSE DA SILVA DE AZEVEDO VESTUARIO</t>
  </si>
  <si>
    <t>KIDS ROUPAS E ACESSORIOS LTDA</t>
  </si>
  <si>
    <t>RAG SPORT LTDA - ME</t>
  </si>
  <si>
    <t>PEDRO PEREIRA DA SILVA VARIEDADES</t>
  </si>
  <si>
    <t>FRANCISCO VANDERLEI MARREIRO LOPES</t>
  </si>
  <si>
    <t>ELIANA FRANCISCA DA SILVA ME</t>
  </si>
  <si>
    <t>DAVID E SANTOS LTDA</t>
  </si>
  <si>
    <t>FRANCISCO GRADEWALL DE ARAUJO ME</t>
  </si>
  <si>
    <t>MONICA SOUSA ALVES NASCIMENTO 17665192882</t>
  </si>
  <si>
    <t>KATYA ALESSANDRA LANG &amp; CIA LTDA</t>
  </si>
  <si>
    <t>LOJA MAREMANSA LTDA</t>
  </si>
  <si>
    <t>JOZIA MENDES DA ROCHA EPP</t>
  </si>
  <si>
    <t>JAIRO MORENO</t>
  </si>
  <si>
    <t>GUIJU COMERCIO DE CONFECÇÕES LTDA</t>
  </si>
  <si>
    <t>KARYSMA CONF CALC LTDA</t>
  </si>
  <si>
    <t>COUTO MARCONDES &amp; MARCONDES LTDA</t>
  </si>
  <si>
    <t>N L ESTACAO DA MODA LTDA</t>
  </si>
  <si>
    <t>CONCHA CORAL LTDA EPP</t>
  </si>
  <si>
    <t>K.A. MENDES - ME</t>
  </si>
  <si>
    <t>LANA E SIQUEIRA LTDA</t>
  </si>
  <si>
    <t>MARCONDES E LANA LTDA</t>
  </si>
  <si>
    <t>JOSE ADRIANO ONCA DE CARVALHO 88778720206</t>
  </si>
  <si>
    <t>A C G DE FARIAS LTDA</t>
  </si>
  <si>
    <t>CELIA MARIA CARDOSO A SAIS</t>
  </si>
  <si>
    <t>O M PRADO DO NASCIMENTO DE MELLO CALCADOS</t>
  </si>
  <si>
    <t>L S R DA SILVA</t>
  </si>
  <si>
    <t>CARLOS ALEF CALÇADOS</t>
  </si>
  <si>
    <t>NAZARENO CALCADOS LTDA</t>
  </si>
  <si>
    <t>CUCA BABY &amp; KIDS LTDA</t>
  </si>
  <si>
    <t>HAPPY KIDS CONFECCOES LTDA</t>
  </si>
  <si>
    <t>PYCHULIN MODAS INFANTIL E ENXOVAIS LTDA</t>
  </si>
  <si>
    <t>ARMARINHO E CONFECCOES LUAR PALOMA LTDA</t>
  </si>
  <si>
    <t>ADRIANA A B GUEDES ARTIGOS INF ME</t>
  </si>
  <si>
    <t>CASA JULIANA LTDA</t>
  </si>
  <si>
    <t>N.F. CORREA E OLIVEIRA LTDA</t>
  </si>
  <si>
    <t>AKIVEST COM. DE ROUPAS LTDA.</t>
  </si>
  <si>
    <t>46.221.392 MARCO ANTONIO VANISSAN DE FIGUEIREDO</t>
  </si>
  <si>
    <t>MGA COMERCIO DE CALCADOS LTDA</t>
  </si>
  <si>
    <t>MANUEL ANGELIM DE LIMA</t>
  </si>
  <si>
    <t>SARAIVA LIMA &amp; CAJAZEIRAS MODAS LTDA - ME</t>
  </si>
  <si>
    <t>R F FREITAS</t>
  </si>
  <si>
    <t>W. R. COSTA RIBEIRO E CIA LTDA</t>
  </si>
  <si>
    <t>J. G. MARQUES CALÇADOS LTDA</t>
  </si>
  <si>
    <t>NOELI CASAROTTO 00603227996</t>
  </si>
  <si>
    <t>29.984.393 HILDA ASSIS COSTA DOS SANTOS</t>
  </si>
  <si>
    <t>LUIS CORREIA DE ARAUJO ME</t>
  </si>
  <si>
    <t>PIROLLA CALÇADOS LTDA ME</t>
  </si>
  <si>
    <t>DAMIANA PAULEANE BEZERRA MARTINS 43244071856</t>
  </si>
  <si>
    <t>JULIO DEUSDEDIT DE SOUSA EPP</t>
  </si>
  <si>
    <t>VIEIRA E SANTOS CALCADOS LTDA - ME</t>
  </si>
  <si>
    <t>LB CALCADOS E ACESSORIOS COMERCIAL LTDA</t>
  </si>
  <si>
    <t>M. O. FERREIRA COMERCIO E REPRESENTACOES SOCIEDADE LTDA</t>
  </si>
  <si>
    <t>SPIES  SILVA LTDA</t>
  </si>
  <si>
    <t>VF CALCADOS LTDA</t>
  </si>
  <si>
    <t>J H ROCHA IND E COMERCIO MEE</t>
  </si>
  <si>
    <t>GRACAS KIDS LTDA  ME</t>
  </si>
  <si>
    <t>44274768 LUCIRLENE LOURENCA DIAS</t>
  </si>
  <si>
    <t>FORTALEZA COMERCIO DE ROUPAS LTDA</t>
  </si>
  <si>
    <t>ERICA MAIANA DO N VIEIRA</t>
  </si>
  <si>
    <t>CINDERELA MODAS E CALCADOS LTDA</t>
  </si>
  <si>
    <t>LIMA E TEODORO  LTDA ME</t>
  </si>
  <si>
    <t>RAFAELA SHOES LTDA</t>
  </si>
  <si>
    <t>SAPATARIA MODELLE LTDA</t>
  </si>
  <si>
    <t>KMJ COMERCIO E ACESSORIOS LTDA</t>
  </si>
  <si>
    <t>R.G.BARRETO CALÇADOS - ME</t>
  </si>
  <si>
    <t>LUJUANA LTDA</t>
  </si>
  <si>
    <t>MARIA SILVANA DOS SANTOS</t>
  </si>
  <si>
    <t>LELE PETIT COMERCIO LTDA - ME</t>
  </si>
  <si>
    <t>L N DE LIMA CALCADOS</t>
  </si>
  <si>
    <t>ALTAIR MEDEIROS DE MOURA</t>
  </si>
  <si>
    <t>CALDEIRA E FILHOS LTDA</t>
  </si>
  <si>
    <t>CALCAPE CALCADOS LTDA -ME</t>
  </si>
  <si>
    <t>ANTONIO MARIANO - CPF 05101565687 - ME</t>
  </si>
  <si>
    <t>D S VAREJISTA LTDA</t>
  </si>
  <si>
    <t>EDNA DRUDI DE ALMEIDA ME</t>
  </si>
  <si>
    <t>FERNANDES JARDIM CALCADOS LTDA</t>
  </si>
  <si>
    <t>MARIA MARIAH MODAS IGUAPE LTDA ME</t>
  </si>
  <si>
    <t>J O C DE CARVALHO</t>
  </si>
  <si>
    <t>KIDS FRANCA COMERCIO DE ARTIGOS DO VESTUARIO LTDA</t>
  </si>
  <si>
    <t>JULIANA E JUNIOR FERREIRA &amp; CIA</t>
  </si>
  <si>
    <t>IVONE TEREZINHA RIGO SCOPEL - ME</t>
  </si>
  <si>
    <t>JOAO BATISTA NASCIMENTO DE ALMADA EIRELI</t>
  </si>
  <si>
    <t>RA FERREIRA CONFECCOES ME</t>
  </si>
  <si>
    <t>DAMIAO JOSE RUIZ</t>
  </si>
  <si>
    <t>VALDINALVA RODRIGUES DOS REIS -ME</t>
  </si>
  <si>
    <t>SIRLEI CARDOSO LOPES</t>
  </si>
  <si>
    <t>FABRICIO MENDES FERREIRA</t>
  </si>
  <si>
    <t>VERA LUCIA NOGUEIRA FERRAZ</t>
  </si>
  <si>
    <t>PEDRO MARISTE MARTINI MANICA</t>
  </si>
  <si>
    <t>ALISSON DE CARVALHO ALVES - ME</t>
  </si>
  <si>
    <t>ELIZANGELA SOARES CARNEIRO MACHADO</t>
  </si>
  <si>
    <t>P DE PAULA GOMES - ME</t>
  </si>
  <si>
    <t>EVA CRIZEL DOS SANTOS &amp; CIA LTDA</t>
  </si>
  <si>
    <t>M. J. DOS S. SILVA</t>
  </si>
  <si>
    <t>A DE JESUS ROCHA COMERCIO VAREJISTA ME</t>
  </si>
  <si>
    <t>ENERINA BISPO FRANCISCO DE SOUSA 006.516.511-07</t>
  </si>
  <si>
    <t>JANDARAY RODRIGUES DA SILVA</t>
  </si>
  <si>
    <t>HIPER SERRANO LTDA</t>
  </si>
  <si>
    <t>MARIA EUNICE ANTUNES SIQUEIRA COMÉRCIO TATUÍ LTDA EPP</t>
  </si>
  <si>
    <t>ELLEN LORRAINE CARLOS ME</t>
  </si>
  <si>
    <t>ROGERIO PRIANTI ME</t>
  </si>
  <si>
    <t>VISE CALCADOS LTDA - ME</t>
  </si>
  <si>
    <t>FERNANDA VIEIRA REIS 05954148694</t>
  </si>
  <si>
    <t>F. A DE OLIVEIRA VESTUARIO LTDA</t>
  </si>
  <si>
    <t>ODENIR TEREZINHA FIDRISWSKI BAGETTI</t>
  </si>
  <si>
    <t>C M FERREIRA CASA NOVA TECIDOS</t>
  </si>
  <si>
    <t>FRANCA MATTOS &amp; CIA LTDA</t>
  </si>
  <si>
    <t>RODRIGUES SIMÃO ROUPAS E CALÇADOS INF LTDA</t>
  </si>
  <si>
    <t>SAPATARIA VANUSIA LTDA.</t>
  </si>
  <si>
    <t>CINTIA APARECIDA BRANDAO</t>
  </si>
  <si>
    <t>TU &amp; TICA - C0MERCIO VAREJISTA DE ARTIGOS DO VESTUARIO LTDA</t>
  </si>
  <si>
    <t>ROSA DA SILVA GUERREIRO</t>
  </si>
  <si>
    <t>BY NIZUMA BABY LTDA</t>
  </si>
  <si>
    <t>CACHOEIRA E MARCON LTDA</t>
  </si>
  <si>
    <t>PLANETA BABY TEEN COMERCIO DE ARTIGOS INFANTIS LTDA</t>
  </si>
  <si>
    <t>MANOEL M DA FONSECA</t>
  </si>
  <si>
    <t>LISS MEL COMÉRCIO DE ARTIGOS DO VESTUÁRIO LTDA</t>
  </si>
  <si>
    <t>COMERCIO DE CONFECCOES LINDY LTDA</t>
  </si>
  <si>
    <t>PE BELLO CALCADOS</t>
  </si>
  <si>
    <t>ELLON KAYO MARREIRO FONSECA</t>
  </si>
  <si>
    <t>EDINEIDE CAROLINO DE SOUSA BRAGA</t>
  </si>
  <si>
    <t>CENTER BABY LTDA</t>
  </si>
  <si>
    <t>REIS  CIA LTDA</t>
  </si>
  <si>
    <t>OTÁVIO LUIZ BRAGA</t>
  </si>
  <si>
    <t>QUINTO ANJO COMÉRCIO DE CALCADOS LTDA</t>
  </si>
  <si>
    <t>LOSSO MAGAZINE LTDA.</t>
  </si>
  <si>
    <t>BELCKA COM DE CONFEC E CALCADOS LTDA</t>
  </si>
  <si>
    <t>MARIA ZULEIDE FORTINI GUERINO E CIA LTDA</t>
  </si>
  <si>
    <t>TREND SHOP COMERCIO VAREJISTA LTDA</t>
  </si>
  <si>
    <t>DORIS HENSEL</t>
  </si>
  <si>
    <t>DANIELLY OLIVEIRA DA COSTA.</t>
  </si>
  <si>
    <t>GICELI BRITO BARBOSA NASCIMENTO</t>
  </si>
  <si>
    <t>RM CALCADOS LTDA</t>
  </si>
  <si>
    <t>JOAO HENRIQUE DEMARTINI</t>
  </si>
  <si>
    <t>CALCADOS J R X LTDA</t>
  </si>
  <si>
    <t>ALMEIDA &amp; LIGERO LTDA</t>
  </si>
  <si>
    <t>HEMARODAN CALCADOS LTDA</t>
  </si>
  <si>
    <t>49.181.590 MARIA MADALENA MAGALHAES CABO</t>
  </si>
  <si>
    <t>BALUARTE CALCADOS LTDA</t>
  </si>
  <si>
    <t>ALDEMIR OLIVEIRA DA SILVA NETO LTDA</t>
  </si>
  <si>
    <t>A VENCEDORA CALCADOS</t>
  </si>
  <si>
    <t>DUDU &amp; BELLA CONFECCOES LTDA - ME</t>
  </si>
  <si>
    <t>NALANDA CALCADOS LTDA</t>
  </si>
  <si>
    <t>PISTA LIVRE CALCADOS E ACESSORIOS LTDA - ME</t>
  </si>
  <si>
    <t>FLAVIA MARA GARCIA DE OLIVEIRA LAMY 07708706602</t>
  </si>
  <si>
    <t>IRINEU RIBEIRO DA SILVA &amp; CIA. LTDA.</t>
  </si>
  <si>
    <t>J B DE QUEIROZ TORRES</t>
  </si>
  <si>
    <t>50.842.862 JOSINALDO DOS SANTOS FERREIRA</t>
  </si>
  <si>
    <t>LILIANE FERREIRA DA SERRA</t>
  </si>
  <si>
    <t>M F A ROCHA VESTUARIO ME</t>
  </si>
  <si>
    <t>VALOIS COM ARTIGOS BAZAR EIRELI</t>
  </si>
  <si>
    <t>LOJAO DAS ITOUPAVAS LTDA</t>
  </si>
  <si>
    <t>JOAO B FERREIRA</t>
  </si>
  <si>
    <t>MARIA EDUARDA PEREIRA DE BARCELLOS 16764400709</t>
  </si>
  <si>
    <t>GENIVALDO RIZZO EPP</t>
  </si>
  <si>
    <t>HB COMERCIO DE CALCADOS E CONFECOES LTDA</t>
  </si>
  <si>
    <t>PE NA TERRA CALCADOS LTDA</t>
  </si>
  <si>
    <t>ROMARIA OLIVEIRA MARTINS ME</t>
  </si>
  <si>
    <t>EVELEN CALCADOS LTDA - ME</t>
  </si>
  <si>
    <t>SILVIO CARDOSO MOURA</t>
  </si>
  <si>
    <t>MARIA DO SOCORRO ALVES LIRA 01595336354</t>
  </si>
  <si>
    <t>DOUGLAS DE OLIVEIRA LIMA 39089050876</t>
  </si>
  <si>
    <t>BIG MARCAS CALCADOS LTDA EPP</t>
  </si>
  <si>
    <t>ESTACAO DA CRIANCA BABY KIDS LTDA</t>
  </si>
  <si>
    <t>JOSE DO CORACAO DE JESUS TOMAZ 07347329884</t>
  </si>
  <si>
    <t>NILTA R.ARAUJO SILVA</t>
  </si>
  <si>
    <t>YASMIM CÁSSIA DE OLIVEIRA</t>
  </si>
  <si>
    <t xml:space="preserve">  ALMEIDA E ALVES DE BANQUETE COMERCIO DE ROUPAS LTDA</t>
  </si>
  <si>
    <t>EG BATISTA COMERCIO DE CONFECCOES</t>
  </si>
  <si>
    <t>MARCELO DE PADUA BEZERRA 28277271883</t>
  </si>
  <si>
    <t>KORPUS KIDS CONFECCOES LTDA</t>
  </si>
  <si>
    <t>PAULO CALCADOS, ACESSORIOS E VESTUARIO LTDA</t>
  </si>
  <si>
    <t>MATHEUS HENRIQUE DE FARIAS SILVA COMERCIO DE CALCADOS</t>
  </si>
  <si>
    <t>MUNDO ENCANTADO MODA INFANTIL</t>
  </si>
  <si>
    <t>RITA AVANI DE SALES ASSIS</t>
  </si>
  <si>
    <t>ERALDO MAGAZINE LTDA</t>
  </si>
  <si>
    <t>N DE F ALMEIDA GASETTA - ME</t>
  </si>
  <si>
    <t>LCFOLLY E CIA LDTA</t>
  </si>
  <si>
    <t>MARIA APARECIDA DE OLIVEIRA FONSECA</t>
  </si>
  <si>
    <t>62.371.410 ANA CARLA DA SILVA MACHADO</t>
  </si>
  <si>
    <t>MATHEUS MARTINS BATISTA EIRELI</t>
  </si>
  <si>
    <t>VERA AP.RIBEIRO DA SILVA TECIDOS</t>
  </si>
  <si>
    <t>CASTRO NOS ARTS DE VEST LTDA</t>
  </si>
  <si>
    <t>FERNANDO MONSERRAT GRECCO EPP</t>
  </si>
  <si>
    <t>DAN VILLE COMERCIO DE CALCADOS LTDA.</t>
  </si>
  <si>
    <t>GALDINO &amp; GALDINO CALCADOS LTDA.</t>
  </si>
  <si>
    <t>A FEITICEIRA COMERCIO DE CALCADOS E CONFECCOES LTDA</t>
  </si>
  <si>
    <t>INGRID BIANCADO ROSARIOLOBATO</t>
  </si>
  <si>
    <t>SANDRO ROGERIO FERREIRA DE VASCONCELOS</t>
  </si>
  <si>
    <t>S R KASPER E CIA LTDA</t>
  </si>
  <si>
    <t>TOQ TOQ CALCADOS LTDA</t>
  </si>
  <si>
    <t>MINI LOOK LTDA</t>
  </si>
  <si>
    <t>ROGERIO CARVALHO DE QUEIROZ 85362620100</t>
  </si>
  <si>
    <t>ADEILZA M. DA SILVA SANTOS ME</t>
  </si>
  <si>
    <t>JOSÉ GONZAGA PEREIRA DA SILVA</t>
  </si>
  <si>
    <t>SILVILENE VIEIRA LIMA DE OLIVEIRA 32761634896</t>
  </si>
  <si>
    <t>SEREIA CENTER MODAS LTDA.</t>
  </si>
  <si>
    <t>VENANCIA ARAUJO DE CARVALHO</t>
  </si>
  <si>
    <t>T M S SOUSA E SOUSA LTDA ME</t>
  </si>
  <si>
    <t>M&amp;M CALCADOS E CONFECCAO LTDA</t>
  </si>
  <si>
    <t>SIMONE ROMANICHEN DOS SANTOS</t>
  </si>
  <si>
    <t>E.A.LORENSI E CIA LTDA</t>
  </si>
  <si>
    <t>COMPRECERTO.SHOP COMERCIO DE BICICLETAS E ACESSORIOS LTDA</t>
  </si>
  <si>
    <t>ARIANY E JANIO COM DE CONFEC LTDA</t>
  </si>
  <si>
    <t>CODO CALCADOS LTDA</t>
  </si>
  <si>
    <t>JL COMERCIO DE CALCADOS LTDA</t>
  </si>
  <si>
    <t>PAPARICO BABY MODA INFANTIL LTDA- ME</t>
  </si>
  <si>
    <t>ELOS CALCADOS LTDA</t>
  </si>
  <si>
    <t>FRANCISCO DIMAS SCHITKOSKI</t>
  </si>
  <si>
    <t>JANAINA BALIEIRO DA COSTA COMERCIO</t>
  </si>
  <si>
    <t>VALDECI RIBEIRO COSTA E CIA LTDA</t>
  </si>
  <si>
    <t>ANINHA MALHAS LTDA</t>
  </si>
  <si>
    <t>AKI COMERCIO DE CALCADOS LTDA</t>
  </si>
  <si>
    <t>GLEIDE SELMA SILVA SANTOS</t>
  </si>
  <si>
    <t>EDUARDO RICARDO FLESCH CALCADOS ME</t>
  </si>
  <si>
    <t>THAIS COSTA DE OLIVEIRA LAMI 12909452760</t>
  </si>
  <si>
    <t>ALBERTINA MIGUEL DOS SANTOS</t>
  </si>
  <si>
    <t>M J BARROSO PRIMO LTDA</t>
  </si>
  <si>
    <t>SAMUEL SOUZA ALVES</t>
  </si>
  <si>
    <t>TSF COMERCIO DE PRODUTOS INFANTIS LTDA</t>
  </si>
  <si>
    <t>SILVANA CERCAL</t>
  </si>
  <si>
    <t>BELLA VITA CONFECCOES E CALCADOS LTDA ME</t>
  </si>
  <si>
    <t>ISABEL DA SILVA SCHURA</t>
  </si>
  <si>
    <t>JHESSICA GARCIA FONSECA 10993994679</t>
  </si>
  <si>
    <t>START COM DE CALC E BOLSAS LTDA ME</t>
  </si>
  <si>
    <t>MODA MENOR CONFECCOES E CALCADOS LTDA</t>
  </si>
  <si>
    <t>MARIA FERNANDA PAULA REGIS</t>
  </si>
  <si>
    <t>C T S CORREA MAGAZINE</t>
  </si>
  <si>
    <t>COMERCIAL ALO ALO BITURUNA LTDA</t>
  </si>
  <si>
    <t>L V DOS SANTOS CONFECCOES ME</t>
  </si>
  <si>
    <t>ROBERTA VIANA CALÇADOS LTDA</t>
  </si>
  <si>
    <t>COMERCIAL BR 381 DE CALCADOS LTDA</t>
  </si>
  <si>
    <t>CRISTIANE DOS SANTOS</t>
  </si>
  <si>
    <t>PAGMENOS CALCADOS E CONFECCOES LTDA</t>
  </si>
  <si>
    <t>V. SENEFONTE CALCADOS</t>
  </si>
  <si>
    <t>L. A. BARBOSA CONFECCOES E CALCADOS - LTDA</t>
  </si>
  <si>
    <t>MIRA MIROCA KIDS COMERCIO DE ROUPAS INFANTIS LTDA</t>
  </si>
  <si>
    <t>CRIS MODA LTDA ME</t>
  </si>
  <si>
    <t>RENANDRO EMPREDIMENTOS COMERCIAIS LTDA</t>
  </si>
  <si>
    <t>49.548.921 MARIA DE FATIMA COSME DO NASCIMENTO</t>
  </si>
  <si>
    <t>ROSALIR TOMAZ DE OLIVEIRA EPP</t>
  </si>
  <si>
    <t>LIBERDADE COMERCIO DE CALCADOS LTDA ME</t>
  </si>
  <si>
    <t>SILVANA VERCHAI AVILLA</t>
  </si>
  <si>
    <t>IVANILDA TAVARES CALIXTO</t>
  </si>
  <si>
    <t>IMPERIO DO SAPATO E ACESSORIOS EIRELI - ME</t>
  </si>
  <si>
    <t>KUTSU CALCADOS DE PAPUCAIA LTDA</t>
  </si>
  <si>
    <t>A POPULAR TECIDOS LTDA - ME</t>
  </si>
  <si>
    <t>A. LOURENCO COMERCIO DE CONFECCOES E CALCADOS LTDA EPP</t>
  </si>
  <si>
    <t>ELTON JONES SILVA GONCALVES 06102843126</t>
  </si>
  <si>
    <t>MAURICIO BROSCO</t>
  </si>
  <si>
    <t>ANTONIA ROSEMARY GOMES DA SILVA</t>
  </si>
  <si>
    <t>MERCADINHO LOURO LTDA</t>
  </si>
  <si>
    <t>V.S.PINTO  CIA LTDA - ME</t>
  </si>
  <si>
    <t>FENIX MAGAZINE CONFECCOES E CALCADOS LTDA</t>
  </si>
  <si>
    <t>CAMBALHOTA KIDS CALCADOS LTDA - ME</t>
  </si>
  <si>
    <t>MARCO ANTONIO DE ARAUJO CORREA</t>
  </si>
  <si>
    <t>MARCHI ROSSETI &amp; CIA LTDA.</t>
  </si>
  <si>
    <t>SUSETE M. MUNARI</t>
  </si>
  <si>
    <t>ALESSANDRA DE JESUS PIMENTEL BATALHA 06669114362</t>
  </si>
  <si>
    <t>CALCADOS CASINHAS LTDA ME</t>
  </si>
  <si>
    <t>E DA SILVA E SILVA COMERCIO - ME</t>
  </si>
  <si>
    <t>ADRIANA MENDES AMADOR FERREIRA</t>
  </si>
  <si>
    <t>SAPATARIA PAVAN LTDA.</t>
  </si>
  <si>
    <t>NASCIMENTO E CIA LTDA</t>
  </si>
  <si>
    <t>MARHOLT E HORST CONFECCOES E LAZER LTDA</t>
  </si>
  <si>
    <t>VERONICE LOPES PEREIRA AGUIAR-ME</t>
  </si>
  <si>
    <t>MARIA IEDA PEREIRA DE ALMEIDA REQUIAO</t>
  </si>
  <si>
    <t>FEDERHEN CALÇADOS LTDA</t>
  </si>
  <si>
    <t>PRECO REAL MODAS LTDA</t>
  </si>
  <si>
    <t>J. G. RIBEIRO E SILVA LTDA.</t>
  </si>
  <si>
    <t>M UNIFORMES INDUSTRIA E COMERCIO EIRELI</t>
  </si>
  <si>
    <t>ROSANGELA FLAVIA M. R. DA SILVA ME</t>
  </si>
  <si>
    <t>BONIN &amp; BONIN LTDA - ME</t>
  </si>
  <si>
    <t>CASSIA HELOISA BARZON DUARTE</t>
  </si>
  <si>
    <t>COMERCIAL JSI LTDA</t>
  </si>
  <si>
    <t>RENATA DA SILVA ABIRACHED 33078234851</t>
  </si>
  <si>
    <t>REGINALDO DE SOUZA &amp; CIA LTDA-ME</t>
  </si>
  <si>
    <t>TECIDOS HADDAD LTDA EPP</t>
  </si>
  <si>
    <t>T DA S ALEXANDRE'</t>
  </si>
  <si>
    <t>ITABERAI CALCADOS E ROUPAS LTDA</t>
  </si>
  <si>
    <t>AF DE LIMA BERNADES ME</t>
  </si>
  <si>
    <t>BENEDITA GERALDA DIONIZIO OL.-ME</t>
  </si>
  <si>
    <t>COMERCIO DE CALCADOS SOUZA LTDA</t>
  </si>
  <si>
    <t>SOLANGE TRIDAPALLI VASCO ME</t>
  </si>
  <si>
    <t>47.403.997 LILIAN BAIRROS DA SILVA</t>
  </si>
  <si>
    <t>A SOBERANA COMERCIO LTDA.</t>
  </si>
  <si>
    <t>S. A. BATALINI &amp; CIA LTDA.</t>
  </si>
  <si>
    <t>LEIDIANE PAIXAO COELHO</t>
  </si>
  <si>
    <t>TRUPE KIDS LTDA</t>
  </si>
  <si>
    <t>GUEDES &amp; MORAES LTDA ME</t>
  </si>
  <si>
    <t>PASSARELA CALCADOS LTDA</t>
  </si>
  <si>
    <t>STELLE - COMÉRCIO DE CALÇADOS E VESTUÁRIOS INFANTIS LTDA</t>
  </si>
  <si>
    <t>F EDILANIA DE AQUINO</t>
  </si>
  <si>
    <t>THIENIS SOFILIS DA FONSECA MATEUS E SOUZA ME</t>
  </si>
  <si>
    <t>PROCIUNCLA &amp; CIA LTDA</t>
  </si>
  <si>
    <t>ZELLO CALÇADOS LTDA</t>
  </si>
  <si>
    <t>ALEX MACEDO DANTAS ME</t>
  </si>
  <si>
    <t>JOSSILAINE BINI KINTOPP 00825180929</t>
  </si>
  <si>
    <t>PATRICIA RAUBER CONFECCOES LTDA</t>
  </si>
  <si>
    <t>CONCEICAO RODRIGUES PETTINATI</t>
  </si>
  <si>
    <t>ANA PAULA DE SOUSA PAULINO ME</t>
  </si>
  <si>
    <t>SUELEN BARCELOS PEREIRA 11211200752</t>
  </si>
  <si>
    <t>ALTAMIRO JOSÉ BAMBINETTI ME</t>
  </si>
  <si>
    <t>VALÉRIA CRUZ RODRIGUES</t>
  </si>
  <si>
    <t>E. F. DE SOUZA ZAMPIERI LTDA</t>
  </si>
  <si>
    <t>DURBAM CUSTODIO CONFECCOES E CALCADOS</t>
  </si>
  <si>
    <t>MINAMI COMERCIO E REPRESENTAÇOES LTDA</t>
  </si>
  <si>
    <t>MARINEIDE DA APARECIDA STRAUB</t>
  </si>
  <si>
    <t>SILVA E HENRIQUE LTDA</t>
  </si>
  <si>
    <t>ADRIANA FERREIRA DE SOUZA</t>
  </si>
  <si>
    <t>GILBERTO DAS DORES ALVES DE ASSIS</t>
  </si>
  <si>
    <t>R NONATO CHAVES LTDA</t>
  </si>
  <si>
    <t>PRADO CALCADOS LTDA ME</t>
  </si>
  <si>
    <t>DI COURO CALCADOS LTDA ME</t>
  </si>
  <si>
    <t>LM CALÇADOS LTDA</t>
  </si>
  <si>
    <t>MAJU BEBE MODA INFANTIL LTDA</t>
  </si>
  <si>
    <t>TAVARES CARVALHO CALCADOS E CONFECCOES LTDA EPP</t>
  </si>
  <si>
    <t>V. TEIXEIRA COMERCIO E DISTRIBUIDORA</t>
  </si>
  <si>
    <t>DANIELI RATKI ME</t>
  </si>
  <si>
    <t>DANIELA ALMEIDA FERREIRA</t>
  </si>
  <si>
    <t>57.331.485 THAIS CRISTINE ALVES BARBOSA NUNES</t>
  </si>
  <si>
    <t>RODRIGO CALCADOS LTDA</t>
  </si>
  <si>
    <t>NININHA INFANTIL LTDA</t>
  </si>
  <si>
    <t>EDIVAN B DE SOUZA CONFECCOES ME</t>
  </si>
  <si>
    <t>NILVA MARTINELLI CONFECCOES</t>
  </si>
  <si>
    <t>DASA SOCIEDADE LTDA</t>
  </si>
  <si>
    <t>AMADEO PIVATTO</t>
  </si>
  <si>
    <t>MARYANA PEREIRA DA COSTA</t>
  </si>
  <si>
    <t>N W CALCADOS LTDA</t>
  </si>
  <si>
    <t>JS LIMA ESTRELA &amp; CIA LTDA ME</t>
  </si>
  <si>
    <t>ARAUJO E MENDONCA LTDA</t>
  </si>
  <si>
    <t>LH CALÇADOS LTDA ME</t>
  </si>
  <si>
    <t>SAPATARIA GLORIA LTDA - EPP</t>
  </si>
  <si>
    <t>MAURO KENJI OBAN - ME</t>
  </si>
  <si>
    <t>JOAO CARLOS SCOPARO ME</t>
  </si>
  <si>
    <t>ANGELINA BORGES DA CRUZ RIOS</t>
  </si>
  <si>
    <t>J P GUIMARÃES RIBEIRO</t>
  </si>
  <si>
    <t>25.448.627 MARLEIDE BEZERRA SOUZA</t>
  </si>
  <si>
    <t>RODRIGUES &amp; CARLOS LTDA ME</t>
  </si>
  <si>
    <t>A. FABRETI E GARCIA LTDA</t>
  </si>
  <si>
    <t>ROZELI APARECIDA DE MELLO</t>
  </si>
  <si>
    <t>JECZ MIONSKI &amp; CIA LTDA.</t>
  </si>
  <si>
    <t>DINIESTER CALCADOS LTDA - ME</t>
  </si>
  <si>
    <t>R. N. AMORIM</t>
  </si>
  <si>
    <t>JANAINA A G P DE MORAES</t>
  </si>
  <si>
    <t>52.692.337 MARIA CLARA VEIGA</t>
  </si>
  <si>
    <t>ROSILENE DOS ANJOS BRITO AFONSO</t>
  </si>
  <si>
    <t>M I M A COMERCIO EMPREENDIMENTOS LTDA</t>
  </si>
  <si>
    <t>H.TRUGILHO</t>
  </si>
  <si>
    <t>LEANDRA LAIA MORENO</t>
  </si>
  <si>
    <t>ALINE NASCIMENTO MOTA DE SOUZA</t>
  </si>
  <si>
    <t>M Z GOMES COMERCIO DE CALCADOS</t>
  </si>
  <si>
    <t>CASA DOS CALCADOS JUSTUS ALMEIDA LTDA - EPP</t>
  </si>
  <si>
    <t>ROSANGELA M T VIZIOLI -ME</t>
  </si>
  <si>
    <t>A. ARAUJO ALVES</t>
  </si>
  <si>
    <t>SPORT MANIA LTDA</t>
  </si>
  <si>
    <t>GOLD CALCADOS LTDA</t>
  </si>
  <si>
    <t>ORGANIZACAO IRMAS MAURICIO LTDA. ME.</t>
  </si>
  <si>
    <t>V. GOMES DA SILVA</t>
  </si>
  <si>
    <t>49.843.037 GILIAN BRISOLA DE ALMEIDA NASCIMENTO</t>
  </si>
  <si>
    <t>IURI EMANUEL GOMES DA SILVA</t>
  </si>
  <si>
    <t>M. DE FATIMA FERREIRA BATISTA</t>
  </si>
  <si>
    <t>RAMON MENEZES RAMOS NETO</t>
  </si>
  <si>
    <t>LEGACIES COMERCIO DO VESTUARIO LTDA - ME</t>
  </si>
  <si>
    <t>JOSE MIKAEL CAVALCANTE GALDINO</t>
  </si>
  <si>
    <t>DAVISON RAUBER ANTONINI</t>
  </si>
  <si>
    <t>MARIA HELENA DE OLIVEIRA</t>
  </si>
  <si>
    <t>VISUAL CONFECCOES E PRESENTES LTDA</t>
  </si>
  <si>
    <t>PISA BRASIL CALÇADOS LTDA</t>
  </si>
  <si>
    <t>CATARINA CAPARROZ BISSI ME</t>
  </si>
  <si>
    <t>DANIZA M. DE ARAÚJO FEITOSA ME</t>
  </si>
  <si>
    <t>BEKA KIDS LTDA</t>
  </si>
  <si>
    <t>MILLER COMERCIO DE CALCADOS LTDA</t>
  </si>
  <si>
    <t>JOSE FRANCISCO QUINTO ME</t>
  </si>
  <si>
    <t>DETALHE CALCADOS LTDA</t>
  </si>
  <si>
    <t>ARIANA SILVA PIRES BATISTA 01494702150</t>
  </si>
  <si>
    <t>SAPATARIA NETO E SILVA LTDA</t>
  </si>
  <si>
    <t>MARCO ANTONIO MARQUES BATISTA ME</t>
  </si>
  <si>
    <t>G B C FERREIRA LTDA</t>
  </si>
  <si>
    <t>TERRITORIO EXPRESS ARTIGOS ESPORTIVOS LTDA</t>
  </si>
  <si>
    <t>BIA MULT - CONFECCOES A.M.F. LTDA</t>
  </si>
  <si>
    <t>CASA MOLEKA LTDA - ME</t>
  </si>
  <si>
    <t>MAGNA LUSIA DE FARIA BIZARRIA - EPP</t>
  </si>
  <si>
    <t>ADRIANO RODRIGO APARECIDO SOARES - COMERCIO DE CALCADOS</t>
  </si>
  <si>
    <t>MARTINS &amp; RADAI CONFECCOES LTDA</t>
  </si>
  <si>
    <t>MATILDE GONCALVES DA CUNHA AURIFLAMA ME</t>
  </si>
  <si>
    <t>DIAS &amp; DANTAS CALÇADOS LTDA</t>
  </si>
  <si>
    <t>JOELMA ALVES DE ALENCAR - EPP</t>
  </si>
  <si>
    <t>CEMOL-COMERCIO DE VAREJISTA DE CONFECCOES E CALCADOS LTDA-ME</t>
  </si>
  <si>
    <t>MAIS BARATO CALCADOS LTDA</t>
  </si>
  <si>
    <t xml:space="preserve"> BEBEZINHO COMERCIO DE ROUPAS EIRELI</t>
  </si>
  <si>
    <t>KINDER COM DE VEST LTDA</t>
  </si>
  <si>
    <t>BENNDITA CALCADOS LTDA</t>
  </si>
  <si>
    <t>COMERCIO DE ROUPAS NAKAHASHI LTDA</t>
  </si>
  <si>
    <t>AQUI VESTES CALCADOS CONFEC. LTDA LPP</t>
  </si>
  <si>
    <t>13.530.590 CICERO CANUTO FERRO</t>
  </si>
  <si>
    <t>R A SILVA IMPORTACAO E EXPORTACAO LTDA ME</t>
  </si>
  <si>
    <t>M. G. COSTA BARBOSA</t>
  </si>
  <si>
    <t>RAIMUNDO DA SILVA MORAIS</t>
  </si>
  <si>
    <t>IN CORPORE ACESSORIOS LTDA ME</t>
  </si>
  <si>
    <t>L A COMERCIO DE CONFECCES LTDA</t>
  </si>
  <si>
    <t>45.840.215 JACQUELINE FATIMA DA SILVA MARTINS</t>
  </si>
  <si>
    <t>FRANCISCO EDINER MONTE - ME</t>
  </si>
  <si>
    <t>LM CALCADOS LTDA</t>
  </si>
  <si>
    <t>MELANIA SALETE ZAPPE MODANESE EIRELE ME</t>
  </si>
  <si>
    <t>MAGALHAES &amp; RYOJI LTDA ME</t>
  </si>
  <si>
    <t>SONIA MARIA LUIZ - ME</t>
  </si>
  <si>
    <t>WALLACE MANZOLI MACHADO ME</t>
  </si>
  <si>
    <t>CALCADOS TRIANGULO E CIA LTDA ME</t>
  </si>
  <si>
    <t>ALANA SOUZA DE MELO</t>
  </si>
  <si>
    <t>SUELI GALBIER BARBOSA SOROCABA EPP</t>
  </si>
  <si>
    <t>SANDY COMERCIO VAREJISTA DE CALCADOS LTDA</t>
  </si>
  <si>
    <t>A S COSTA JUNIOR LTDA</t>
  </si>
  <si>
    <t>55.578.830 JEFFY NASCIMENTO DE JESUS</t>
  </si>
  <si>
    <t>RAQUEL APARECIDA DE MORAES PEREIRA</t>
  </si>
  <si>
    <t>EDNA TEREZINHA COAN SOUZA ME</t>
  </si>
  <si>
    <t>VICAL CALÇADOS E CONFECCOES LTDA</t>
  </si>
  <si>
    <t>DIPE CALCADOS LTDA</t>
  </si>
  <si>
    <t>ONEVIO BETTONI - EPP</t>
  </si>
  <si>
    <t>55.832.580 DEIZIANE DIAS BORGES</t>
  </si>
  <si>
    <t>COLOGI E PRAZERES LTDA</t>
  </si>
  <si>
    <t>R F COMERCIAL E DISTRIBUIDORA DE ARTIGOS ESPORTIVOS LTDA</t>
  </si>
  <si>
    <t>CRISTAL COM. CALCADOS E CONFECCOES LTDA</t>
  </si>
  <si>
    <t>MAGAZINE MELIN LTDA. ME</t>
  </si>
  <si>
    <t xml:space="preserve"> SAPATARIA COSMORAMA LTDA</t>
  </si>
  <si>
    <t>STONE ROLLERS CALCADOS LTDA ME</t>
  </si>
  <si>
    <t>FRANCISCO HERMES DE SOUSA BOSON BENVINDO ME</t>
  </si>
  <si>
    <t>SM NEVES CONFECÇÕES LTDA</t>
  </si>
  <si>
    <t>LOJINHA DA NICA</t>
  </si>
  <si>
    <t>56.942.448 ALEXSANDRO ALVES DOS SANTOS</t>
  </si>
  <si>
    <t>B IASMYM DE SOUZA OLIVEIRA</t>
  </si>
  <si>
    <t>PIZZANTI CALCADOS E CONFECCOES LTDA</t>
  </si>
  <si>
    <t>J SANTOS DA SILVA EIRELI - ME</t>
  </si>
  <si>
    <t>SANTO PE CALCADOS LTDA</t>
  </si>
  <si>
    <t>JAIME SASTRE MARTINS</t>
  </si>
  <si>
    <t>CLEICE CRISTIANE DE SOUZA RODRIGUES</t>
  </si>
  <si>
    <t>RAIMUNDO NONATO COSTA  -ME</t>
  </si>
  <si>
    <t>RUTY MERY OLIVEIRA SANTOS</t>
  </si>
  <si>
    <t>CASA DE COURO SANTANA LTDA</t>
  </si>
  <si>
    <t>J O DA COSTA E CIA LTDA ME</t>
  </si>
  <si>
    <t>MARDA COMERCIO LTDA</t>
  </si>
  <si>
    <t>EUZI FURTADO ALVES</t>
  </si>
  <si>
    <t>ALEX FERREIRA SANTANA</t>
  </si>
  <si>
    <t>M M G SANTOS ME</t>
  </si>
  <si>
    <t>ROSIMEIRE SOARES</t>
  </si>
  <si>
    <t>SHARAS TECIDOS VESTUARIO E ACESSORIOS LTDA</t>
  </si>
  <si>
    <t>MARCIA FEITOSA DE ALMEIDA E CIA LTDA.</t>
  </si>
  <si>
    <t>ENIVALDO GIMENES VERA SILVA - COMERCIO DE CALCADOS</t>
  </si>
  <si>
    <t>T B TEIXEIRA SEVERINO VESTUÁRIO E ACESSÓRIO</t>
  </si>
  <si>
    <t>REDERSON MILEO KRUBINIKI EPP</t>
  </si>
  <si>
    <t>JULIO CEZAR DE ARAUJO E CIA LTDA</t>
  </si>
  <si>
    <t>A. A. BARRETO LTDA</t>
  </si>
  <si>
    <t>SIAHT CALCADOS E ACESSORIOS LTDA</t>
  </si>
  <si>
    <t>SIRLENE SOARES DE SOUZA PEREIRA 01369969147</t>
  </si>
  <si>
    <t>MELGY MODAS LTDA - ME</t>
  </si>
  <si>
    <t>DA SOLER E DA SOLER LTDA</t>
  </si>
  <si>
    <t>ODETE ALVES PEREIRA SANTOS</t>
  </si>
  <si>
    <t>ELZA SILVA ROCHA LEITE</t>
  </si>
  <si>
    <t>J A M PIMENTEL</t>
  </si>
  <si>
    <t>RAFAEL ANDRADE DA SILVA</t>
  </si>
  <si>
    <t>T. BARELLA &amp; CIA LTDA</t>
  </si>
  <si>
    <t>PASSO A PASSO BOLSAS E CALÇADOS LTDA</t>
  </si>
  <si>
    <t>EMILLU'S MODAS LTDA</t>
  </si>
  <si>
    <t>A C MARQUES LIMA SANTOS</t>
  </si>
  <si>
    <t>MATOS MATOS CALCADOS LTDA ME</t>
  </si>
  <si>
    <t>MARCIA FELIPE DE ALMEIDA SANTOS ME</t>
  </si>
  <si>
    <t>M. DA S. RODRIGUES ARMARINHO EPP</t>
  </si>
  <si>
    <t>GILVANINHO CALCAODOS LTDA ME</t>
  </si>
  <si>
    <t>OLDONI E CIA LTDA</t>
  </si>
  <si>
    <t>LAPUCHI COMRCIO DE CONFECES LTDA EPP</t>
  </si>
  <si>
    <t>ALESANDRA HILGERT - CONFECCOES ME</t>
  </si>
  <si>
    <t>TECIDOS E CONFECCOES PARANA LTDA</t>
  </si>
  <si>
    <t>DARLENE MELO WENCESLAU 35552324870</t>
  </si>
  <si>
    <t>MARIA DAYHANNE DA SILVA PEREIRA 06325561457</t>
  </si>
  <si>
    <t>DAYANI NUNES DE SOUSA EIRELI</t>
  </si>
  <si>
    <t>LUCELIA BATALHA PRESTES</t>
  </si>
  <si>
    <t>MARIA DAMIANA TENORIO DE ARAUJO</t>
  </si>
  <si>
    <t>D KIDS MODA INFANTIL LTDA</t>
  </si>
  <si>
    <t>NOSSA CASA COMERCIAL LTDA</t>
  </si>
  <si>
    <t>IRMAOS BACHUR LTDA EPP</t>
  </si>
  <si>
    <t>C H RADIGHIERI CAMPOS</t>
  </si>
  <si>
    <t>ANTONIA RODRIGUES SALES MICROEMPRESA</t>
  </si>
  <si>
    <t>MARIA ILSA DE OLIVEIRA</t>
  </si>
  <si>
    <t>ROSA E PONTES LTDA</t>
  </si>
  <si>
    <t>ANYWHERE STORE CALCADOS LTDA</t>
  </si>
  <si>
    <t>JHS JANUZELLI LTDA</t>
  </si>
  <si>
    <t>HARMONIA CALCADOS E CONFECCOES LTDA</t>
  </si>
  <si>
    <t>ANTONIA NEUDIMAR DE SOUZA 43720030210</t>
  </si>
  <si>
    <t>B. T. FRANCO &amp; ALMEIDA LTDA -EPP</t>
  </si>
  <si>
    <t>L B ROLAND</t>
  </si>
  <si>
    <t>A ALVES DOS SANTOS COMERCIO DE SAPATOS LTDA</t>
  </si>
  <si>
    <t>LIRIS MARIA MIGUEL</t>
  </si>
  <si>
    <t>L. C. MODAS LTDA ME</t>
  </si>
  <si>
    <t>R.MARCON E CIA LTDA</t>
  </si>
  <si>
    <t>GOLL MODA LTDA</t>
  </si>
  <si>
    <t>B E L CONFECCOES LTDA ME</t>
  </si>
  <si>
    <t>M. A. GOMES DE SOUZA TONHA ALVES</t>
  </si>
  <si>
    <t>MARIA ROSANGELA DA C SILVA CALCADOS</t>
  </si>
  <si>
    <t>LENE CALÇADOS LTDA</t>
  </si>
  <si>
    <t>MARIA DOS HUMILDES FERNANDES ME</t>
  </si>
  <si>
    <t>M. Z. CARLOS EIRELI</t>
  </si>
  <si>
    <t>JARI MAGAZINE LTDA</t>
  </si>
  <si>
    <t>LOJAS SOUZA E BERTOLIN LTDA</t>
  </si>
  <si>
    <t>LEANDRO BANDEIRA MOTTA 05276097739</t>
  </si>
  <si>
    <t>GAB MODAS XXIII LTDA</t>
  </si>
  <si>
    <t>PRISCILA CARMEM DE OLIVEIRA - ME</t>
  </si>
  <si>
    <t>KI MODAS COM. CALC. LTDA</t>
  </si>
  <si>
    <t>OLIVEIRA &amp; GUIMARAES LTDA</t>
  </si>
  <si>
    <t>CLEUNICE SOUSA BRITO MEE</t>
  </si>
  <si>
    <t>GENALDO FERNANDES DA SILVA</t>
  </si>
  <si>
    <t>TATIANE ECHEVERRYA AVILA</t>
  </si>
  <si>
    <t>PATRICK LIEBERKNECHT CAVALEIRO</t>
  </si>
  <si>
    <t>SERGIO BOTELHO CAMPANHA</t>
  </si>
  <si>
    <t>HERTHA LUANNA MEDEIROS GOMES FRANCA 12150091437</t>
  </si>
  <si>
    <t>NB COMERCIO DE CALÇADOS LTDA</t>
  </si>
  <si>
    <t>MALAGUTTI CALCADOS LTDA</t>
  </si>
  <si>
    <t>CALDEIRA E TURCCI LTDA</t>
  </si>
  <si>
    <t>CLEIDE FRANCISCA DE SOUSA SILVA</t>
  </si>
  <si>
    <t>26.715.650 DANIELLE DA CONCEICAO CAETANO CAMPOS</t>
  </si>
  <si>
    <t>RIVIERA MAIA CALCADOS LTDA</t>
  </si>
  <si>
    <t>ELITE DOS PES LTDA</t>
  </si>
  <si>
    <t>IVONALDO CÉSAR DE BARROS EIRELI</t>
  </si>
  <si>
    <t>DEON &amp; MOSCHEN LTDA</t>
  </si>
  <si>
    <t>J. C. MARQUES</t>
  </si>
  <si>
    <t>WESSLING COMERCIO DE ROUPAS E CALCADOS LTDA</t>
  </si>
  <si>
    <t>ROSSATO CONFECCOES E CALCADOS LTDA</t>
  </si>
  <si>
    <t>MARITANHA COGO BERLEZ</t>
  </si>
  <si>
    <t>F R CHAVES CHAGAS</t>
  </si>
  <si>
    <t>LUCIANA DE CASTRO</t>
  </si>
  <si>
    <t>DEMETRIOS LIBONI COUGIAS - EPP</t>
  </si>
  <si>
    <t>COMERCIAL DE CALCADOS ROCHA E FONSECA LTDA</t>
  </si>
  <si>
    <t>MELHOR OPCAO ROUPAS E CALCADOS LTDA</t>
  </si>
  <si>
    <t>JOILMA CAMILO DE ARAUJO</t>
  </si>
  <si>
    <t>COMERCIAL BRIZOT</t>
  </si>
  <si>
    <t>SARAIVA E VELOSO</t>
  </si>
  <si>
    <t>GATTO E CIA LTDA</t>
  </si>
  <si>
    <t>SAPATARIA FUTURISTA LTDA</t>
  </si>
  <si>
    <t>DISTRIBUIDORA ICAPUI DE CALCADOS LTDA</t>
  </si>
  <si>
    <t>CALCADOS DUARTE LTDA.</t>
  </si>
  <si>
    <t>I. E. CALCADOS LTDA ME</t>
  </si>
  <si>
    <t>JULIANO SILEZIO DA SILVA</t>
  </si>
  <si>
    <t>J. CUNHA CONFECOES LTDA</t>
  </si>
  <si>
    <t>55.325.172 JULIA MARIA DE SOUZA LINS DORTA</t>
  </si>
  <si>
    <t>NERIA DE PINHO TAVARES BARROSO</t>
  </si>
  <si>
    <t>JESULINO ANTONIO DOS SANTOS</t>
  </si>
  <si>
    <t>ALINE DE QUEVEDO LEMES</t>
  </si>
  <si>
    <t>JOILSON MARTINS REIS</t>
  </si>
  <si>
    <t>DEUZIMAR DOS SANTOS LIMA</t>
  </si>
  <si>
    <t>H. DE A. BARROS - ME</t>
  </si>
  <si>
    <t>CALÇADOS BANDEIRANTES COMERCIAL LTDA</t>
  </si>
  <si>
    <t>JUCIELE PEREIRA RODRIGUES</t>
  </si>
  <si>
    <t>O TEIXEIRA COELHO COMERCIO</t>
  </si>
  <si>
    <t>FENIX CONFECCOES CAARAPO LTDA</t>
  </si>
  <si>
    <t>PAULA MARA SANTOS MOREIRA ME</t>
  </si>
  <si>
    <t>MACEDO E NASCIMENTO EMPREENDIMENTOS LTDA</t>
  </si>
  <si>
    <t>49.949.586 MARIA GILDETE BARBOSA MARQUES</t>
  </si>
  <si>
    <t>MV ROUPAS E CALCADOS LTDA</t>
  </si>
  <si>
    <t>ELEFANTE COLORIDO COM VESTUARIO LTDA</t>
  </si>
  <si>
    <t>CIDENI ALVES DE ARAUJO 78067049149</t>
  </si>
  <si>
    <t>S.R XODOZINHO DA MAMAE ENXOVAIS DE BEBE LTDA</t>
  </si>
  <si>
    <t>INDUSTRIA E COMERCIO DE CONFECCAO ESTILO VICIOSO LTDA</t>
  </si>
  <si>
    <t>ANTONIO DIONISIO DE ANDRADE</t>
  </si>
  <si>
    <t>R L CALCADOS LTDA</t>
  </si>
  <si>
    <t>ROSANGELA SAMPAIO DA SILVA 03335261470</t>
  </si>
  <si>
    <t>E F LIMA NETO</t>
  </si>
  <si>
    <t>KATIANE DA MATA SILVA 01087387280</t>
  </si>
  <si>
    <t>ANA M DE SOUSA SILVA</t>
  </si>
  <si>
    <t>CALCADOS E CONFECCOES SANDRA LTDA-ME</t>
  </si>
  <si>
    <t>ATACADO MENDONCA LTDA - EPP</t>
  </si>
  <si>
    <t>CLEVIANE PAULA POWROSNEK REBEICA</t>
  </si>
  <si>
    <t>UNIVERSO DOS CALCADOS LTDA - ME</t>
  </si>
  <si>
    <t>CONFECCOES EDRIANE LTDA</t>
  </si>
  <si>
    <t>JOSE DOMINGOS DA SILVA E CIA LTDA</t>
  </si>
  <si>
    <t>D.M.H. DOS SANTOS ME</t>
  </si>
  <si>
    <t>47.752.466 JEICIANE ARAUJO BRAS</t>
  </si>
  <si>
    <t>D M A LANG LTDA</t>
  </si>
  <si>
    <t>RODRIGO DOS SANTOS CAMILO</t>
  </si>
  <si>
    <t>J. M. QUEIROZ &amp; CIA LTDA</t>
  </si>
  <si>
    <t>MENEZES CALCADOS LTDA</t>
  </si>
  <si>
    <t>SARANDI CALCADOS LTDA</t>
  </si>
  <si>
    <t>OSMARINA ABREU MORAIS - ME</t>
  </si>
  <si>
    <t>FRANCIELI CARINE BUSS LTDA</t>
  </si>
  <si>
    <t>A P VALE &amp; CIA LTDA EPP</t>
  </si>
  <si>
    <t>ADRIANO MARTINS DE OLIVEIRA TATUI</t>
  </si>
  <si>
    <t>BH TT CALCADOS E ROUPAS LTDA</t>
  </si>
  <si>
    <t>ATALAIA CONFECCOES LTDA</t>
  </si>
  <si>
    <t>M A MOREIRA GOMES LTDA</t>
  </si>
  <si>
    <t>CG DE SOUZA COMERCIO DE ROUPAS E BAZAR</t>
  </si>
  <si>
    <t>NATALIA COSTA DA SILVA ME</t>
  </si>
  <si>
    <t>CIBELE APARECIDA FERNANDES SILVA</t>
  </si>
  <si>
    <t>GIOVANE LUIS DA SILVA</t>
  </si>
  <si>
    <t>ELE  ELA ENXOVAIS LTDA</t>
  </si>
  <si>
    <t>N.B. LEITE CIA LTDA</t>
  </si>
  <si>
    <t>CENTRO COMERCIAL RENATA VITORIA LTDA</t>
  </si>
  <si>
    <t>BABY BELA COMERCIO DE ROUPAS LTDA</t>
  </si>
  <si>
    <t>COMERCIO DE CALCADOS FREITAS LTDA</t>
  </si>
  <si>
    <t>GRICELIO CORDEIRO VELOSO</t>
  </si>
  <si>
    <t>V.L.SENA SANTOS</t>
  </si>
  <si>
    <t>NOBRE MAGAZINE LTDA</t>
  </si>
  <si>
    <t>CHARLES BRAGANCA NOGUEIRA JUNIOR</t>
  </si>
  <si>
    <t>LUCIA FRANQUIM DA MAIA</t>
  </si>
  <si>
    <t>REINALDO OLHEIRO</t>
  </si>
  <si>
    <t>LUIZ FELIPE DE OLIVEIRA</t>
  </si>
  <si>
    <t>CESAR ADRIANO GOMES DA SILVA 22634565895</t>
  </si>
  <si>
    <t>MARCOS JOSE PIRES DE SOUZA UNIPESSOAL  LTDA</t>
  </si>
  <si>
    <t>NOVA ESPERANCA MOV E ELETRODOMESTICOS LTDA</t>
  </si>
  <si>
    <t>CLENI FERNANDES DE OLIVEIRA ME</t>
  </si>
  <si>
    <t>51.978.384 AMANDA REGINA PEREIRA</t>
  </si>
  <si>
    <t>JOSE CHAIBEN PORTES</t>
  </si>
  <si>
    <t>LUCKS MODAS LTDA</t>
  </si>
  <si>
    <t>JOSENILDA AVELINO MOTA</t>
  </si>
  <si>
    <t>A.S.CORDEIRO E CIA LTDA</t>
  </si>
  <si>
    <t>K VASCONCELOS LIMA</t>
  </si>
  <si>
    <t>ALDER CALCADOS E CONFECCOES LTDA</t>
  </si>
  <si>
    <t>A P DA SILVA COMERCIO</t>
  </si>
  <si>
    <t>CLEUMA DE JESUS VIEIRA OLIVEIRA ME</t>
  </si>
  <si>
    <t>GILMAR DO CARMO</t>
  </si>
  <si>
    <t>HUMBERTO TOMAS PEREIRA - ME</t>
  </si>
  <si>
    <t>LOJA PEREIRA SPORT WEAR LTDA ME</t>
  </si>
  <si>
    <t>A IDEAL CALÇADOS LTDA</t>
  </si>
  <si>
    <t>E. PAZ TEIXEIRA - ME</t>
  </si>
  <si>
    <t>TAILANDIA CENTER MODAS LTDA</t>
  </si>
  <si>
    <t>MARIA LUCIMAR SCHDENEMANN DE ALMEIDA</t>
  </si>
  <si>
    <t>SEBASTIAO DOS REIS MORAIS</t>
  </si>
  <si>
    <t>RENOSTO E NOGUEIRA LTDA - ME</t>
  </si>
  <si>
    <t>53.309.791 RUDINEI HERMES</t>
  </si>
  <si>
    <t>ND CALÇADOS E CONFECÇÕES LTDA</t>
  </si>
  <si>
    <t>MOANNA KIDS MODA INFANTO JUVENIL LTDA</t>
  </si>
  <si>
    <t>JOSE VALTENO BARRETO</t>
  </si>
  <si>
    <t>EDNA PIMENTEL DE SOUZA ROCHA</t>
  </si>
  <si>
    <t>EUTIAS COMERCIO DE CALCADOS LTDA - EPP</t>
  </si>
  <si>
    <t>BRASEIRO LTDA.</t>
  </si>
  <si>
    <t>SUMAR CALCADOS LTDA</t>
  </si>
  <si>
    <t>COSMA COUTINHO DA SILVA</t>
  </si>
  <si>
    <t>MARCELO ALENCAR GUERREIRO 15542952895</t>
  </si>
  <si>
    <t>JOANA DARC DE O CAIXETA ME</t>
  </si>
  <si>
    <t xml:space="preserve"> PASSARELA DOS PES DE QUEIMADOS LTDA</t>
  </si>
  <si>
    <t>FBC E CIA LTA</t>
  </si>
  <si>
    <t>JANDYRA RAMOS BATISTA E CIA LTDA</t>
  </si>
  <si>
    <t>CARLOS RIET VARGAS LANGENEGGER</t>
  </si>
  <si>
    <t>MIRIAN RODRIGUES SHOES</t>
  </si>
  <si>
    <t>OBADIAS GOMES PEREIRA CALCADOS</t>
  </si>
  <si>
    <t>COMERCIAL KHALILI LTDA</t>
  </si>
  <si>
    <t>PAGUE POKO KIDS LTDA</t>
  </si>
  <si>
    <t>CLARISSE FERRIGATI BATALINI - ME</t>
  </si>
  <si>
    <t>PIZZERO CALCADOS LTDA - ME</t>
  </si>
  <si>
    <t>C M CALÇADOS E ACESSÓRIOS LTDA</t>
  </si>
  <si>
    <t>MALU TECIDOS LTDA</t>
  </si>
  <si>
    <t>ROSIRIS MARIA DA COSTA FARIAS MACEDO - ME</t>
  </si>
  <si>
    <t>ELCIRA ESKELSEN</t>
  </si>
  <si>
    <t>TROPICAL CALCADOS LTDA</t>
  </si>
  <si>
    <t>LOJA KROETZ LTDA</t>
  </si>
  <si>
    <t>TORRES DE OLIVEIRA E SILVA OLIVEIRA LTDA</t>
  </si>
  <si>
    <t>MERCADINHO DO BEBE</t>
  </si>
  <si>
    <t>CRISTIANE DE BRITO FONSECA 13718034719</t>
  </si>
  <si>
    <t>DEOCLECIO SOARES</t>
  </si>
  <si>
    <t>BARTOLOMEU ALMEIDA LIMA</t>
  </si>
  <si>
    <t>GARCIA &amp; BARBATO COMERCIO DE CALCADOS LTDA</t>
  </si>
  <si>
    <t>MARIA WILMA RIBEIRO MEDEIROS ME</t>
  </si>
  <si>
    <t>TUTTO PICOLLO MODAS INFANTIL LTDA.</t>
  </si>
  <si>
    <t>KELLY CRISTINA COMERCIO DE CALCADOS ACESSORIOS E CONFECCOES LTDA</t>
  </si>
  <si>
    <t>FABIANE CHAVES KEPLIN</t>
  </si>
  <si>
    <t>ROBSON APARECIDO SILVA</t>
  </si>
  <si>
    <t>USE CAZO COMERCIO VAREJISTA DE CALCADOS E ACESSORIOS LTDA</t>
  </si>
  <si>
    <t>I.C. MACHADO ME</t>
  </si>
  <si>
    <t>TOLENTINO &amp; QUEIROZ LTDA</t>
  </si>
  <si>
    <t>OSNI VILAR DE ASSIS</t>
  </si>
  <si>
    <t>CASA DAS VARIEDADES MAGALHAES LTDA</t>
  </si>
  <si>
    <t>ANDREIA JUSTIN NEUBERT ME</t>
  </si>
  <si>
    <t>BEBESHOW COMERCIO DE ROUPAS LTDA</t>
  </si>
  <si>
    <t>G C DE ALMEIDA EIRELI EPP</t>
  </si>
  <si>
    <t>M A F DE QUEIROZ CONFECCOES ME</t>
  </si>
  <si>
    <t>GW CALCADOS LTDA</t>
  </si>
  <si>
    <t>ISMAR BRITO CARDOSO - ME</t>
  </si>
  <si>
    <t>LOPES E MARIQUITO LTDA</t>
  </si>
  <si>
    <t>VF CAXAMBU EIRELI</t>
  </si>
  <si>
    <t>VF LAMBARI EIRELI</t>
  </si>
  <si>
    <t>VENEZA CENTER MODAS LTDA</t>
  </si>
  <si>
    <t>JOMAG FASHION LTDA</t>
  </si>
  <si>
    <t>MARIGUAL CALCADOS LTDA</t>
  </si>
  <si>
    <t>J G CALCADOS E ACESSORIOS LTDA</t>
  </si>
  <si>
    <t>SELMA S BORGES</t>
  </si>
  <si>
    <t>60.592.666 VANEIDE DE SOUSA RODRIGUES SILVA</t>
  </si>
  <si>
    <t>MARIO JORGE COMIRAM</t>
  </si>
  <si>
    <t>G FREIRE RAMALHO COMERCIO ME</t>
  </si>
  <si>
    <t>SILVANA BECKER MOMM LTDA.</t>
  </si>
  <si>
    <t>POTIGUAR COMERCIO DE ROUPAS E CONFECCOES LTDA</t>
  </si>
  <si>
    <t>FERNANDES E SOUSA CALCADOS LTDA ME</t>
  </si>
  <si>
    <t>LYGIA BIBIANA DA SILVA ME</t>
  </si>
  <si>
    <t>M. NATALIA GUENES CAMPOS</t>
  </si>
  <si>
    <t>SIMONY PEREIRA ALEXANDRINO 09418412608</t>
  </si>
  <si>
    <t>CLAUDIONOR SANTOS BISPO-01958406589</t>
  </si>
  <si>
    <t>CICERO CARNEIRO NETO</t>
  </si>
  <si>
    <t>COSTA &amp; ANDRADE LTDA</t>
  </si>
  <si>
    <t>PS CAETANO CONFECCOES ME</t>
  </si>
  <si>
    <t>MARCOS ANTONIO MARTINS DE SOUZA</t>
  </si>
  <si>
    <t>ANTONIO MARIANO LTDA</t>
  </si>
  <si>
    <t>E P TEIXEIRA SILVA SIMPLES - ME</t>
  </si>
  <si>
    <t>MARIA APARECIDA DE CARVALHO 98182641349</t>
  </si>
  <si>
    <t>DANUBIO CALCADOS LTDA</t>
  </si>
  <si>
    <t>RONALDO JUNEO SILVA BRITO 10915428644</t>
  </si>
  <si>
    <t>AUDICEIA JALES DE MACEDO COMÉRCIO</t>
  </si>
  <si>
    <t>NOSSA MODA LTDA</t>
  </si>
  <si>
    <t>S&amp;D LTDA</t>
  </si>
  <si>
    <t>JULIANA DA COSTA LIMA</t>
  </si>
  <si>
    <t>ADRIANA DE ARAUJO OLIVEIRA CONFECCOES - ME</t>
  </si>
  <si>
    <t>SK - COMERCIO DE CALCADOS LTDA</t>
  </si>
  <si>
    <t>DYSTACK LTDA</t>
  </si>
  <si>
    <t>GERSI ROBERTO DA SILVEIRA JUNIOR</t>
  </si>
  <si>
    <t>RANUNCIO MENEZES MONORA</t>
  </si>
  <si>
    <t>ANA ELMA BISPO PANTA EPP</t>
  </si>
  <si>
    <t>SCHIRLEY SUSANE DE SOUZA</t>
  </si>
  <si>
    <t>CLEUMAR SILVA DO NASCIMENTO - ME</t>
  </si>
  <si>
    <t>GESSYCA SUZANO ALMEIDA 06771878589</t>
  </si>
  <si>
    <t>J.A COMERCIO E REPRESENTAÇÃO LTDA</t>
  </si>
  <si>
    <t>MARIA HELENA BATISTA FARIA - ME</t>
  </si>
  <si>
    <t>JORDANA LUIZA DOS SANTOS QUINTELA 12812522470</t>
  </si>
  <si>
    <t>KELIMAR GHIZZI</t>
  </si>
  <si>
    <t>CLELIA DE SOUZA E CIA LTDA ME</t>
  </si>
  <si>
    <t>EDNEIA A. FERREIRA DE MELO E CIA LTDA</t>
  </si>
  <si>
    <t>LIDIANE ZOTTI 01844227014</t>
  </si>
  <si>
    <t>COMERCIO DE ROUPAS MATSUI LTDA.</t>
  </si>
  <si>
    <t>R M DE ARAUJO - ME</t>
  </si>
  <si>
    <t>R T COMERCIO DE ARTIGOS DO VESTUARIO LTDA ME</t>
  </si>
  <si>
    <t>JOSE PEREIRA VALENTIM GENTIL - ME</t>
  </si>
  <si>
    <t>H. KIDS CONFECCOES LTDA</t>
  </si>
  <si>
    <t>VANIA &amp; KELVIN LTDA</t>
  </si>
  <si>
    <t>MARIA DE FATIMA MEDEIROS OLIVEIRA</t>
  </si>
  <si>
    <t>MARRI MODAS LTDA</t>
  </si>
  <si>
    <t>PEGORA MODA INFANTIL LTDA</t>
  </si>
  <si>
    <t>MARIA A M DOS SANTOS  LTDA</t>
  </si>
  <si>
    <t>ATACADAO CALCADOS ONDA VERDE LTDA</t>
  </si>
  <si>
    <t>ATACADAO DOS CALCADOS COROADOS LTDA</t>
  </si>
  <si>
    <t>C. G. BRANCO CALCADOS E CONFECCOES LTDA</t>
  </si>
  <si>
    <t>M A DE MELO VESTUARIO E CALCADOS LTDA</t>
  </si>
  <si>
    <t>J.B DE ARAUJO CONFECCOES ME</t>
  </si>
  <si>
    <t>LUIZ FERNANDES LOPES</t>
  </si>
  <si>
    <t>CRISTINA VIEIRA DE MORAES GONZAGA 00616721145</t>
  </si>
  <si>
    <t>BERTUOL &amp; BERTUOL LTDA</t>
  </si>
  <si>
    <t>GABRIELA REZENDE DE SANTANA</t>
  </si>
  <si>
    <t>CONCEICAO MAGARO CARRENO COMERCIO ROUPAS LTDA</t>
  </si>
  <si>
    <t>ISOUDA BEZERRA GOMES MICROEMPRESA</t>
  </si>
  <si>
    <t>SUELI DAS DORES PEREIRA</t>
  </si>
  <si>
    <t>A PAIVA DE ARAUJO &amp; CIA LTDA ME</t>
  </si>
  <si>
    <t>JUCELAINE SIQUEIRA RAMPELOTTO</t>
  </si>
  <si>
    <t>ANA ROSA MOUSINHO LIMA</t>
  </si>
  <si>
    <t>ROBERTO CARLOS BORGES SARAIVA ME</t>
  </si>
  <si>
    <t>P V FUZIEL</t>
  </si>
  <si>
    <t>SILVANA DE CARVALHO MACHADO</t>
  </si>
  <si>
    <t>GLAMOUROSA CALCADOS LTDA</t>
  </si>
  <si>
    <t>R. B. S. ARAUJO - ME.</t>
  </si>
  <si>
    <t>E DE CARVALHO MACHADO CALCADOS ME</t>
  </si>
  <si>
    <t>K C REIS DANTAS</t>
  </si>
  <si>
    <t>MARIA LUCINEIDE A LOIOLA EIRELI</t>
  </si>
  <si>
    <t>SUENIA SEVERO SAMPAIO 89100476404</t>
  </si>
  <si>
    <t>LENITA RODRIGUES DOS SANTOS</t>
  </si>
  <si>
    <t>MARIA HELENA MORIAL - ME</t>
  </si>
  <si>
    <t>58.077.380 VITOR FERREIRA DA SILVA</t>
  </si>
  <si>
    <t>INOVACAO COMERCIO DE ARTIGOS DO VESTUARIO LTDA ME</t>
  </si>
  <si>
    <t>RIBAS DE FREITAS E FREITAS LTDA</t>
  </si>
  <si>
    <t>L BASSO CALCADOS - ME</t>
  </si>
  <si>
    <t>53.583.322 THATIANE PEREIRA DE FARIAS SOUZA</t>
  </si>
  <si>
    <t>22.799.210 ERENI PAIVA ANTUNES</t>
  </si>
  <si>
    <t>EVARISTO COMERCIO DE CALCADOS E CONF LTDA</t>
  </si>
  <si>
    <t>PEQUEA ESPORTES LTDA</t>
  </si>
  <si>
    <t>LUCELIA MARIA DE CARVALHO ALVES</t>
  </si>
  <si>
    <t>MICHELE MODAS LTDA</t>
  </si>
  <si>
    <t>MALU FRANCA CALCADOS E CONF LTDA</t>
  </si>
  <si>
    <t>VALDIRA FRANCISCA DE ARAUJO SILVA</t>
  </si>
  <si>
    <t>JF COLOMBO CALCADOS E ACESSORIOS LTDA</t>
  </si>
  <si>
    <t>CAMILA MODAS E CONFECCOES LTDA</t>
  </si>
  <si>
    <t>ATIRVAL INDUSTRIA E COMERCIO DE ARTEFATOS DE COURO LTDA</t>
  </si>
  <si>
    <t>MARIA DAS NEVES DE SANTANA</t>
  </si>
  <si>
    <t>JACINTO MARTINS DE ARAUJO MICROEMPRESA</t>
  </si>
  <si>
    <t>MARIA DE FATIMA GOMES FERREIRA</t>
  </si>
  <si>
    <t>TROPICAL CALCADOS HELENA MARIA LTDA</t>
  </si>
  <si>
    <t>GANDÚ CALÇADOS LTDA</t>
  </si>
  <si>
    <t>EDILENE MOREIRA DA SILVA</t>
  </si>
  <si>
    <t>M. A. RIBEIRO &amp; S. A. RIBEIRO LTDA</t>
  </si>
  <si>
    <t>ANDREIA LOURENCO MARTINHAO</t>
  </si>
  <si>
    <t>M. V. B. DE ARAÚJO</t>
  </si>
  <si>
    <t>THIMAS MODA KIDS LTDA</t>
  </si>
  <si>
    <t>TOZETTI COMERCIO DE CALCADOS LTDA EPP</t>
  </si>
  <si>
    <t>LARISSA CARDOSO REPRESENTACAO COMER DE MACAUBAS LTDA</t>
  </si>
  <si>
    <t>CURUMIM MARINGA VESTUARIO LTDA ME</t>
  </si>
  <si>
    <t>M F CALCADOS E ACESSORIOS LTDA - ME</t>
  </si>
  <si>
    <t>NILA CALCADOS E ACESSORIOS LTDA</t>
  </si>
  <si>
    <t>WELINGTON GONCALVES FREIRE EPP</t>
  </si>
  <si>
    <t>NELSON F. DE RAMOS</t>
  </si>
  <si>
    <t>JANETE DA SILVA ME</t>
  </si>
  <si>
    <t>LEANDRA VELASQUE &amp; CIA LTDA</t>
  </si>
  <si>
    <t>MESQUITA E IRMAO LTDA</t>
  </si>
  <si>
    <t>CARLA REGINA DE LARA PEREIRA</t>
  </si>
  <si>
    <t>DORINHA BALSAMO CONFECCOES LTDA - ME</t>
  </si>
  <si>
    <t>BIASHOES MODA E OUTLET - EIRELI</t>
  </si>
  <si>
    <t>R FREIBERGER COMERCIO DO VESTUARIO</t>
  </si>
  <si>
    <t>HELENA CLARA GARCIA ME</t>
  </si>
  <si>
    <t>ROTANA COMERCIO DE VESTUARIO LTDA</t>
  </si>
  <si>
    <t>JOSIANE MARCA TOMAZONI</t>
  </si>
  <si>
    <t>JULIA CALCADOS TDA</t>
  </si>
  <si>
    <t>M NOBREGA DE SOUZA CALCADOS LTDA</t>
  </si>
  <si>
    <t>EDELVANE DE CAMARGO BAGETI</t>
  </si>
  <si>
    <t>F E O DA SILVA</t>
  </si>
  <si>
    <t>AMORIM &amp; SANTOS COMERCIO LTDA</t>
  </si>
  <si>
    <t>SNOOP KIDS MODA INFANTIL LTDA</t>
  </si>
  <si>
    <t>M L M BERTOLDO &amp; CIA LTDA</t>
  </si>
  <si>
    <t>DANIELE DA SILVA ARAUJO FERREIRA 07379334450</t>
  </si>
  <si>
    <t>NOVA GALDINI LTDA ME</t>
  </si>
  <si>
    <t>EDMILSON TUROZI</t>
  </si>
  <si>
    <t>S DA SILVA ARTESANATO</t>
  </si>
  <si>
    <t>D L ALVES  F C MOREIRA LTDA</t>
  </si>
  <si>
    <t>IRMAOS BOTINI LTDA - ME</t>
  </si>
  <si>
    <t>D. H. GOOD GARCIA - ME</t>
  </si>
  <si>
    <t>52.724.315 SILVANA DE LIMA CUSTODIO BIGATI</t>
  </si>
  <si>
    <t>LOJA ANA CALCADOS LTDA</t>
  </si>
  <si>
    <t>EVELLYNE RODRIGUES DO NASCIMENTO BREDER BENTO</t>
  </si>
  <si>
    <t>M LIMA WANDERLEY CALCADOS EIRELI ME</t>
  </si>
  <si>
    <t>ROBERIO ALVES DE OLIVEIRA</t>
  </si>
  <si>
    <t>THIAGO CARDEAL BORGES DOS SANTOS</t>
  </si>
  <si>
    <t>VALDERI RAMOS DA SILVA</t>
  </si>
  <si>
    <t>A ELEGANTE CALCADOS LTDA.</t>
  </si>
  <si>
    <t>BEM ME QUER MAGAZINE LTDA</t>
  </si>
  <si>
    <t>A. SILVA GOMES</t>
  </si>
  <si>
    <t>MARIA APARECIDA MOSCARDINI</t>
  </si>
  <si>
    <t>BH COMERCIO DE CALCADOS LTDA</t>
  </si>
  <si>
    <t>58.034.522 LUANA DE FATIMA RODRIGUES</t>
  </si>
  <si>
    <t>MPS COMERCIO DE MODA E ACESSORIOS INFANTIS LTDA</t>
  </si>
  <si>
    <t>LIMA &amp; SILVA VESTUARIO LTDA ME</t>
  </si>
  <si>
    <t>GIOVANNA BRUNO DOMINIQUINI 09683519644</t>
  </si>
  <si>
    <t>30.962.945 LETICIA DA SILVA SOUZA</t>
  </si>
  <si>
    <t>MINI SOU IMPORTADORA LTDA</t>
  </si>
  <si>
    <t>APARECIDO ALVES VIEIRA - ME</t>
  </si>
  <si>
    <t>SONHO VERDE CONFECCOES LTDA</t>
  </si>
  <si>
    <t>TALYTA KIDS MODAS INFANTIS EIRELI ME</t>
  </si>
  <si>
    <t>PERFIL CALCADOS E ACESSORIOS</t>
  </si>
  <si>
    <t>E F C COMERCIO DE VESTUARIO LTDA</t>
  </si>
  <si>
    <t>FRANCISCA FELICIA COELHO FONTES-MEE.</t>
  </si>
  <si>
    <t>RAIMUNDA LADEIRA DE SOUSA</t>
  </si>
  <si>
    <t>ZENAIDE MENDES  DE ARAUJO ALMEIDA-ME</t>
  </si>
  <si>
    <t>NELSON CALCADOS PAINEIRAS LTDA</t>
  </si>
  <si>
    <t>COMERCIAL DE TECIDOS XAVIER LTDA.</t>
  </si>
  <si>
    <t>M DE J DA S ARAUJO LIMA</t>
  </si>
  <si>
    <t>40.572.045 TATIANE ALINE SCHUTZ</t>
  </si>
  <si>
    <t>BARATOAKI COMERCIO DE CALCADOS LTDA</t>
  </si>
  <si>
    <t>MARIA SOLIDADE BARBOSA ARRAIS</t>
  </si>
  <si>
    <t>39.662.954 NUBIA RAFAELLA LAURINDO NUNES SOUZA</t>
  </si>
  <si>
    <t>COMERCIO E DISTRIBUIDORA DE BRINQUEDOS CELSO E CRISTINA LTDA</t>
  </si>
  <si>
    <t>K.V.COMERCIO DE CALCADOS LTDA</t>
  </si>
  <si>
    <t>J C CALÇADOS E ACESSÓRIOS LTDA</t>
  </si>
  <si>
    <t>MARIA ELAYNE REINALDO DA SILVA</t>
  </si>
  <si>
    <t>CARLOS HENRIQUE PEREIRA DA SILVA - EPP</t>
  </si>
  <si>
    <t>SAPATILHAS DA FABI COMERCIO DE CALCADOS LTDA</t>
  </si>
  <si>
    <t>VALTEMIR PEREIRA DE SOUZA</t>
  </si>
  <si>
    <t>MELICE CALÇADOS E CONFECCOES</t>
  </si>
  <si>
    <t>BOMPAR CALÇADOS LTDA</t>
  </si>
  <si>
    <t>BG CALCADOS LTDA ME</t>
  </si>
  <si>
    <t>ESTER BEZERRA DA SILVA 06449036354</t>
  </si>
  <si>
    <t>L DE S GOMES FILHO</t>
  </si>
  <si>
    <t>AP CALCADOS LTDA</t>
  </si>
  <si>
    <t>ELIANE ZACARIAS AUAD-ME</t>
  </si>
  <si>
    <t>MOTA &amp; LIMEIRA LTDA</t>
  </si>
  <si>
    <t>COOPERAT.DE CONSUMO DE INUBIA PAULI</t>
  </si>
  <si>
    <t>OBABEBE ARTIGOS INFANTIS LTDA</t>
  </si>
  <si>
    <t>G DOS A S LUSTOSA - ME</t>
  </si>
  <si>
    <t>JULIA MARIA CARVALHO CHAVES</t>
  </si>
  <si>
    <t>WAMONE D AWALLON CALCADOS LTDA</t>
  </si>
  <si>
    <t>S BELGA CAVALCANTE</t>
  </si>
  <si>
    <t>JAKELINE DE FÁTIMA BARBOSA</t>
  </si>
  <si>
    <t>CLAUDIOMAR RAUPP DUARTE</t>
  </si>
  <si>
    <t>BEATRIZ BONOMO DE SOUZA KIDS ARMARINHO</t>
  </si>
  <si>
    <t>J K PEDROSO &amp; TAUSCHER LTDA - ME</t>
  </si>
  <si>
    <t>EMILIA AKEMI HAYASHI</t>
  </si>
  <si>
    <t>E.R.S CALCADOS LTDA</t>
  </si>
  <si>
    <t>SUELI MAGAZINE LTDA</t>
  </si>
  <si>
    <t>JAQUELINE HENNING LTDA</t>
  </si>
  <si>
    <t>ROMAUBY REP COM DE CONFC LTDA</t>
  </si>
  <si>
    <t>N C N MEIRELES COMERCIO E SERVICOS</t>
  </si>
  <si>
    <t>5 ESTRELAS CALCADOS E MODAS LTDA</t>
  </si>
  <si>
    <t>WELITON LUIZ DA SILVA</t>
  </si>
  <si>
    <t>TEA E SU CALCADOS E ACESSORIOS LTDA</t>
  </si>
  <si>
    <t>VILLANGE CALCADOS LTDA-ME.</t>
  </si>
  <si>
    <t>ROSE COMERCIO DE CALCADOS LTDA</t>
  </si>
  <si>
    <t>J. B. S. CALCADOS LTDA</t>
  </si>
  <si>
    <t>RAQUEL CALCADOS LTDA</t>
  </si>
  <si>
    <t>VITORIA MARINHO COMERCIO DE CALCADOS LTDA ME</t>
  </si>
  <si>
    <t>APOLIANA DE FARIA</t>
  </si>
  <si>
    <t>ALZENIR FERNANDES PEREIRA</t>
  </si>
  <si>
    <t>MARIA PATRICIA DE SOUSA RODRIGUES</t>
  </si>
  <si>
    <t>M&amp;Z BARIZAO VESTUARIO LTDA</t>
  </si>
  <si>
    <t>LUCIANO &amp; CIA LTDA</t>
  </si>
  <si>
    <t>LUCIANO &amp; LIMA COMERCIO LTDA</t>
  </si>
  <si>
    <t>MEL LIMA E CIA LTDA</t>
  </si>
  <si>
    <t>RAIMUNDA MARIA RABELO</t>
  </si>
  <si>
    <t>SANDRA VARGAS BOECHER COMERCIO DO VESTUARIO ME</t>
  </si>
  <si>
    <t>DANIELLE LOPES DOS SANTOS 08779140440</t>
  </si>
  <si>
    <t>CALCADOS LTDA ME</t>
  </si>
  <si>
    <t>MARAJA COMERCIO DE CALCADOS LTDA</t>
  </si>
  <si>
    <t>M M DE OLIVEIRA FALCAO</t>
  </si>
  <si>
    <t>DOBE MODA CIRCULAR LTDA</t>
  </si>
  <si>
    <t>L P MODAS VESTUARIO E ACESSORIOS EIRELI</t>
  </si>
  <si>
    <t>D. SANTANA SILVA</t>
  </si>
  <si>
    <t>V.M. COMERCIO DE ROUPAS E CALCADOS LTDA</t>
  </si>
  <si>
    <t>SINVAL GOMES MORENO</t>
  </si>
  <si>
    <t>T M H ASRIEH EIRELI</t>
  </si>
  <si>
    <t>EDITE DE OLIVEIRA COSTA DE RIACHO DE SANTANA - ME</t>
  </si>
  <si>
    <t>JOAO LUIZ DOS PASSOS-ACESSORIOS - ME</t>
  </si>
  <si>
    <t>CENTRAL COMERCIO DE CALCADOS E ACESSORIOS LTDA</t>
  </si>
  <si>
    <t>MARCIO BORGES JUNIOR</t>
  </si>
  <si>
    <t>BRITO E  RAMALHO LTDA</t>
  </si>
  <si>
    <t>TOQUE DE CORAGEM CONFECÇÕES LTDA</t>
  </si>
  <si>
    <t>R C DA SILVA ALMEIDA</t>
  </si>
  <si>
    <t>VALDEMIR DE CARVALHO ME</t>
  </si>
  <si>
    <t>JOAO MARTINS DE SOUZA</t>
  </si>
  <si>
    <t>ELVIS THIAGO HOLANDA DOS SANTOS ME</t>
  </si>
  <si>
    <t>M.M. ARTERO LTDA</t>
  </si>
  <si>
    <t>CALCECON CALCADOS LTDA - ME</t>
  </si>
  <si>
    <t>M.G. DE MORAIS ME</t>
  </si>
  <si>
    <t>A. COSTA FILHO SERVICOS DE BARBEARIA</t>
  </si>
  <si>
    <t>LETICIA MUCHA FURLAN</t>
  </si>
  <si>
    <t>COUROCELO COMERCIO DE CALCADOS LTDA ME</t>
  </si>
  <si>
    <t>13.641.858 KELLY MENDES PERSIN</t>
  </si>
  <si>
    <t>ARIANE ARAUJO SILVA LEMOS 08969072446</t>
  </si>
  <si>
    <t>ALESSANDRA CRISTINA DA S. B. SANDOVAL ME</t>
  </si>
  <si>
    <t>DRANCKA &amp; COIMBRA LTDA</t>
  </si>
  <si>
    <t>C F M GASPARELLO &amp; GASPARELLO LTDA - M E</t>
  </si>
  <si>
    <t>EDGAR BENETTI</t>
  </si>
  <si>
    <t>DEBORA CRISTINA DE OMENA FERNANDES</t>
  </si>
  <si>
    <t>MARA MODAS CONFECCOES LTDA</t>
  </si>
  <si>
    <t>CARLA SALVADEGO EIRELI</t>
  </si>
  <si>
    <t>MARIA APARECIDA ROCHA RODRIGUES</t>
  </si>
  <si>
    <t>27.815.496 GISELE BARBOSA PEREIRA</t>
  </si>
  <si>
    <t>NAYRA ANDRESSA SILVA MILLARD 09020526677</t>
  </si>
  <si>
    <t>ERLEIS ROBERTO SAMPAIO ME</t>
  </si>
  <si>
    <t>ALEQ COMERCIAL LTDA</t>
  </si>
  <si>
    <t>2 PEKETITOS ROUPAS E CALÇADOS LTDA</t>
  </si>
  <si>
    <t>JASER ABOU ALYA</t>
  </si>
  <si>
    <t>ROSA MODAS COMERCIO DE ROUPAS LTDA - ME</t>
  </si>
  <si>
    <t>FRANCISCO DAS CHAGAS BRANDAO</t>
  </si>
  <si>
    <t>ERIVANIA ROSA DE ARAUJO ME</t>
  </si>
  <si>
    <t>A H OLIVEIRA FERREIRA ME</t>
  </si>
  <si>
    <t>JOSIVALDO DORNELAS DE ARAUJO</t>
  </si>
  <si>
    <t>VALDENIR MARIA DOS SANTOS</t>
  </si>
  <si>
    <t>MARIA APARECIDA SOARES FERNANDES</t>
  </si>
  <si>
    <t>NEUCIMAR INOCENTE</t>
  </si>
  <si>
    <t>PIZZI &amp; COUTINHO LTDA</t>
  </si>
  <si>
    <t>PRINCE &amp; POSSATO LTDA - ME</t>
  </si>
  <si>
    <t>DANIELA S DE OLIVEIRA</t>
  </si>
  <si>
    <t>JONAS MOLINO 10310368812</t>
  </si>
  <si>
    <t>ANTONIO CARLOS PEREIRA</t>
  </si>
  <si>
    <t>LOURDES DE FATIMA VIANA MODAS</t>
  </si>
  <si>
    <t>CATIA SUELI CANOSSA ME</t>
  </si>
  <si>
    <t>ETIENE INEU BASSAN</t>
  </si>
  <si>
    <t>WILLIAM GATTERMANN &amp; CIA LTDA ME</t>
  </si>
  <si>
    <t>MAYARA IRIS SILVA PEREIRA</t>
  </si>
  <si>
    <t>JESSICA MARIA JEMICZAK LTDA</t>
  </si>
  <si>
    <t>SILVANIA GOMES DE OLIVEIRA</t>
  </si>
  <si>
    <t>ONOFRE ALVES DO NASCIMENTO</t>
  </si>
  <si>
    <t>LM ROUPAS LTDA - ME</t>
  </si>
  <si>
    <t>KYARA CALCADOS LTDA</t>
  </si>
  <si>
    <t>RIO TROPICAL MODAS COMÉRCIO DE CALÇADOS E VESTUÁRIOS LTDA</t>
  </si>
  <si>
    <t>GISEUDA BATISTA RODRIGUES RIBEIRO 96857439320</t>
  </si>
  <si>
    <t>CLARICE LADEIRA DE SOUSA</t>
  </si>
  <si>
    <t>MARIA VANDERLI SILVA RESENDE- ME</t>
  </si>
  <si>
    <t>ARMARINHO PVG LTDA</t>
  </si>
  <si>
    <t>LINEI CRISTINA CARNEIRO ANACLETO</t>
  </si>
  <si>
    <t>DELAZIR DAGOSTIM CALCADOS LTDA</t>
  </si>
  <si>
    <t>LUCIO E LUCIO LTDA</t>
  </si>
  <si>
    <t>22.352.325 MANUELA NUNES GONCALVES MENDES</t>
  </si>
  <si>
    <t>ANNY CALCADOS COMERCIO LTDA</t>
  </si>
  <si>
    <t>PE LELE CALCADOS INF E ACESS LTDA ME</t>
  </si>
  <si>
    <t>F.GONCALVES &amp; ABDSLLAN LTDA</t>
  </si>
  <si>
    <t>J A H DE MATOS CONFECCCOES</t>
  </si>
  <si>
    <t>MARIA ELIANDRA O S AGUIAR CALCADOS</t>
  </si>
  <si>
    <t>LOJA B.R LTDA</t>
  </si>
  <si>
    <t>JOSILENE PEREIRA DE LIMA BERTOLDO</t>
  </si>
  <si>
    <t>VIVIANE DE MORAIS E SILVA - ME</t>
  </si>
  <si>
    <t>HELO CALCADOS E ESPORTES LTDA.</t>
  </si>
  <si>
    <t>E O DA SILVA COMERCIO DE CALCADOS LTDA</t>
  </si>
  <si>
    <t>CORUJAO COMERCIAL LTDA ME</t>
  </si>
  <si>
    <t>MAGALHAES E CAVALCANTE CALCADOS LTDA ME</t>
  </si>
  <si>
    <t>OLIVEIRA &amp; ZANCHIM LTDA</t>
  </si>
  <si>
    <t>GERALDO MAGELA CAMPOS</t>
  </si>
  <si>
    <t>CALCADOS 2000 LTDA</t>
  </si>
  <si>
    <t>MARIA TRINDADE FERREIRA DA SILVA</t>
  </si>
  <si>
    <t>VANESSA SANTOS DE SOUSA - ME</t>
  </si>
  <si>
    <t>GLEICIANE BARRETO FERREIRA 03349417337</t>
  </si>
  <si>
    <t>VALDIRENE DE MOURA AMORIM ARAUJO-ME</t>
  </si>
  <si>
    <t>EDSON CLAUDIO MENDELSKI</t>
  </si>
  <si>
    <t>CURTIS CALCADOS PNN LTDA EPP</t>
  </si>
  <si>
    <t>SAPATARIA FORTALEZA LTDA.</t>
  </si>
  <si>
    <t>BRUARDO CALCADOS LTDA ME</t>
  </si>
  <si>
    <t>ELI EUSTAQUIO DE PAULO E CIA LTDA</t>
  </si>
  <si>
    <t>M. E. DE J. FERREIRA CONFECCOES</t>
  </si>
  <si>
    <t>E MARIA ALVES COMERCIO DE ROUPAS LTDA</t>
  </si>
  <si>
    <t>R J DOS SANTOS NETO</t>
  </si>
  <si>
    <t>SILVANIA BARBOSA DE SOUZA 02171464909</t>
  </si>
  <si>
    <t>EDINALIA SILVA DE BRITO SANTOS ME</t>
  </si>
  <si>
    <t>SW MODAS LTDA EPP</t>
  </si>
  <si>
    <t>SAVIO AUGUSTO GUEDES FARIA 12229812700</t>
  </si>
  <si>
    <t>53.519.663 MARIA DAS NEVES BARBOSA QUIRINO</t>
  </si>
  <si>
    <t>34.541.962 KATHYANNE TAVARES LIMA</t>
  </si>
  <si>
    <t>MARESSA FRANCA DA SILVA 71010943170</t>
  </si>
  <si>
    <t>ANA ELCA CAVALCANTE LIMA DA SILVA - EPP</t>
  </si>
  <si>
    <t>DESTAK MAGAZAN EIRELI</t>
  </si>
  <si>
    <t>SILVA CALCADOS &amp; ACESSORIOS LTDA</t>
  </si>
  <si>
    <t>SGM COMERCIO LTDA</t>
  </si>
  <si>
    <t>MARIA AP. VIEGA FERNANDES &amp; CIA LTDA - ME</t>
  </si>
  <si>
    <t>GALMS STORE COMERCIO LTDA</t>
  </si>
  <si>
    <t>JESSICA DE A SANTOS</t>
  </si>
  <si>
    <t>JANIA MARIA DINIZ ME</t>
  </si>
  <si>
    <t>CONFECCOES BIOLCHI LTDA ME</t>
  </si>
  <si>
    <t>NARDY COMERCIO DE CALCS. LTDA</t>
  </si>
  <si>
    <t>MARLY ALVES FEREIRA - BADY BASSITT - ME</t>
  </si>
  <si>
    <t>MARIAH CALÇADOS LTDA</t>
  </si>
  <si>
    <t>SIMONE DE QUEIROZ MARTINS</t>
  </si>
  <si>
    <t>MARCIA MARIA PIECKHARDT &amp; CIA LTDA</t>
  </si>
  <si>
    <t>16.778.637 ELISABETE SILVA DE SOUSA</t>
  </si>
  <si>
    <t>P D GOMES DE ALMEIDA</t>
  </si>
  <si>
    <t>RAFAHELLEN CALCADOS</t>
  </si>
  <si>
    <t>VANKISYA MARTINS DE OLIVEIRA EIRELI ME</t>
  </si>
  <si>
    <t>J L G DE FARIAS LTDA</t>
  </si>
  <si>
    <t>ALPHA VARIETIES LTDA</t>
  </si>
  <si>
    <t>J. J. M. COMERCIO DE CALCADOS E CONFECCAO LTDA</t>
  </si>
  <si>
    <t>MARIANI DE FATIMA FRANCA 06992211960</t>
  </si>
  <si>
    <t>52.877.215 YASMIN SILVA BARROS</t>
  </si>
  <si>
    <t>LUDWIG CALCADOS LTDA</t>
  </si>
  <si>
    <t>RENNOVA COMERCIO DE ROUPAS LTDA</t>
  </si>
  <si>
    <t>MARIA IRANILDA DE LIMA ALVES</t>
  </si>
  <si>
    <t>N. FIGUEIREDO DA SILVA - EPP</t>
  </si>
  <si>
    <t>FABIOLA MODA E ESTILO LTDA</t>
  </si>
  <si>
    <t>M DO C DE ALMEIDA CALCADOS</t>
  </si>
  <si>
    <t>WALDEMIRO DE ALMEIDA CHAVES ME</t>
  </si>
  <si>
    <t>DILVANIR SILVA PEREIRA</t>
  </si>
  <si>
    <t>O J FANTIN ME</t>
  </si>
  <si>
    <t>49.833.606 DANIELLE PATRICIO DA COSTA</t>
  </si>
  <si>
    <t>JAMILE CALCADOS LTDA.</t>
  </si>
  <si>
    <t>ADARLAN BARBOSA MOREIRA DE SOUZA 06469198570</t>
  </si>
  <si>
    <t>BWA MAGAZINE LTDA</t>
  </si>
  <si>
    <t>JAILSON F DA SILVA LTDA</t>
  </si>
  <si>
    <t>29.049.170 CARINE SOUZA SANTOS RIBEIRO</t>
  </si>
  <si>
    <t>ADIVANIA FERREIRA DE ARAÚJO</t>
  </si>
  <si>
    <t>GLEICE SOUZA DA CRUZ 95991930163</t>
  </si>
  <si>
    <t>KLAYTON ALVES SOARES ME</t>
  </si>
  <si>
    <t>STEIFEN L. DA SILVA</t>
  </si>
  <si>
    <t>KARINA SILVA FERREIRA</t>
  </si>
  <si>
    <t>CARLITO MODAS ASSIS LTDA</t>
  </si>
  <si>
    <t>ONIRAM SOARES DO NASCIMENTO EPP</t>
  </si>
  <si>
    <t>CLARICE PECINATO  ME</t>
  </si>
  <si>
    <t>NOVA PROGRESSO CALCADOS LTDA ME</t>
  </si>
  <si>
    <t>SAMIRA BARRETO VASCONCELOS ME</t>
  </si>
  <si>
    <t>37.340.388 ADAILSON DE PAULA TOSTA</t>
  </si>
  <si>
    <t>ANA CLEIDE GOMES DOS SANTOS 01353859541</t>
  </si>
  <si>
    <t>QUERINA CONFECCOES LTDA ME</t>
  </si>
  <si>
    <t>J K COMERCIO DE CALCADOS LTDA</t>
  </si>
  <si>
    <t>D.J. CALCADOS LTDA-ME</t>
  </si>
  <si>
    <t>LUCCHETA ESPORTES E CONFECCOES LTDA</t>
  </si>
  <si>
    <t>57.459.058 JAIRO LOPES DA SILVA</t>
  </si>
  <si>
    <t>MARCIA MARIA CHAVES MARAL ME</t>
  </si>
  <si>
    <t>J. DE R. BATISTA RODRIGUES-ME</t>
  </si>
  <si>
    <t>J E F CALÇADOS LTDA ME</t>
  </si>
  <si>
    <t>RAÍLDA AVILA DE OLIVEIRA REIS</t>
  </si>
  <si>
    <t>ARIELLY SILVA BLANK 03792436280</t>
  </si>
  <si>
    <t>CASSIA APARECIDA TOMAS GOMES 34141651800</t>
  </si>
  <si>
    <t>BOA COMPRA LTDA</t>
  </si>
  <si>
    <t>ASTRAL CALCADOS LTDA -ME</t>
  </si>
  <si>
    <t>MATOS  ROCHA CALCADOS LTDA</t>
  </si>
  <si>
    <t>NATHALY PINHEIRO FREITAS 13335250796</t>
  </si>
  <si>
    <t>R. J. SILVESTRE CALCADOS ME</t>
  </si>
  <si>
    <t>LEONARDO MODAS CONFECCOES E CALCADOS LTDA</t>
  </si>
  <si>
    <t>MARTA MADALENA MOREIRA</t>
  </si>
  <si>
    <t>49.799.669 ANA CAROLINE RUIZ DE LIMA</t>
  </si>
  <si>
    <t>CONCILMA FERNANDES DE SOUZA</t>
  </si>
  <si>
    <t>JC CALCADOS LTDA</t>
  </si>
  <si>
    <t>SIDNEY LUIS PRUDENCIATTO &amp; CIA LTDA</t>
  </si>
  <si>
    <t>DEUSDETE DE JESUS DE MELO-ME</t>
  </si>
  <si>
    <t>AMARAL CALÇADOS LTDA ME</t>
  </si>
  <si>
    <t>123 MINHA VEZ KIDS LTDA</t>
  </si>
  <si>
    <t>HAIDE OLIVEIRA DE SOUZA</t>
  </si>
  <si>
    <t>ROSELI DE SOUZA LOJAS BRANDS</t>
  </si>
  <si>
    <t>JADNA DEL PRATO NASARIO</t>
  </si>
  <si>
    <t>ANGELA M R QUEIROZ CONFECCOES</t>
  </si>
  <si>
    <t>DKA BABY CONFECCOES LTDA</t>
  </si>
  <si>
    <t>ARRUDA &amp; BERWIG COMERCIO DE CALCADOS LTDA</t>
  </si>
  <si>
    <t>MADALENA CALCADOS LTDA</t>
  </si>
  <si>
    <t>SAPATARIA BERWIG LTDA</t>
  </si>
  <si>
    <t>J S SILVA FREITAS</t>
  </si>
  <si>
    <t>FRANCISCO ADENILDO ALVES DE LUCENA</t>
  </si>
  <si>
    <t>CLEBER HENRIQUE DA SILVA CALCADOS</t>
  </si>
  <si>
    <t>Z. A. DA SILVA</t>
  </si>
  <si>
    <t>GAZETTI &amp; BRANDAO MAGAZINE LTDA.</t>
  </si>
  <si>
    <t>ATRAENTE MODA COMERCIO DE ROUPAS E CALCADOS EIRELI</t>
  </si>
  <si>
    <t>COMERCIO DE CALCADOS E ACESSORIOS JOAO E MARIA LTDA</t>
  </si>
  <si>
    <t>CALCADOS E CONFECCOES VASCONCELOS LTDA</t>
  </si>
  <si>
    <t>CHURCHILL MAGAZIN LTDA.</t>
  </si>
  <si>
    <t>A P TORRES MARTINS LIMA</t>
  </si>
  <si>
    <t>LAZARO TAVARES DA SILVA O MINEIRO</t>
  </si>
  <si>
    <t>49.401.002 JOSILENE SALVINO MENDES MARQUES</t>
  </si>
  <si>
    <t>AJ SILVA COMERCIO DE CALCADOS E CONFECCOES LTDA</t>
  </si>
  <si>
    <t>XIQUE XIQUE CALCADOS LTDA.</t>
  </si>
  <si>
    <t>JVL COMERCIO DE ROUPAS LTDA</t>
  </si>
  <si>
    <t>CONSTANTINOS LIBONI COUGIAS - ME</t>
  </si>
  <si>
    <t>RENATA SUELI PRIMO DA MATA</t>
  </si>
  <si>
    <t>UNIVERSO DA MODA CONF. COM. VEST. LTDA</t>
  </si>
  <si>
    <t>M D ALVES DE LIMA MICROEMPRESA</t>
  </si>
  <si>
    <t>OLDAIR FONTANA-ME</t>
  </si>
  <si>
    <t>FRANCIELI GAERTNER</t>
  </si>
  <si>
    <t>IMA COMERCIO CONFECCOES CALC LTDA</t>
  </si>
  <si>
    <t>A. L. CALCADOS LTDA</t>
  </si>
  <si>
    <t>DEVANILCE SCHNEIDER BORGES</t>
  </si>
  <si>
    <t>MINI MUNDO KIDS&amp;BABY COMERCIO VAREJISTA DE ROUPAS E ACESSORI</t>
  </si>
  <si>
    <t>52.026.590 MARIA RIZIONEIDE DA COSTA</t>
  </si>
  <si>
    <t>FRANCISCO ADENILDO ALVES LUCENA</t>
  </si>
  <si>
    <t>V. ARAUJO RODRIGUES</t>
  </si>
  <si>
    <t>CLARINANDA COM DE CONFECCOES LTDA</t>
  </si>
  <si>
    <t>EMERSON SOUZA SANTOS DE MUTUIPE</t>
  </si>
  <si>
    <t>BARROSO CONFECCOES EIRELI</t>
  </si>
  <si>
    <t>VIA MAGAZINE COMERCIO DE CONFECCOES E CALCADOS LTDA</t>
  </si>
  <si>
    <t>A ECONOMICA CONFRESA CONFECCOES LTDA</t>
  </si>
  <si>
    <t>NASCIMENTO SANTANA COMERCIO DE VESTUARIO LTDA</t>
  </si>
  <si>
    <t>AF LEITE COMERCIO DE ROUPAS, ACESSORIOS, MOVEIS E PRESENTES LTDA</t>
  </si>
  <si>
    <t>TEREZINHA MATOS PIRES DE ALMEIDA</t>
  </si>
  <si>
    <t>SE COMERCIO DE CALCADOS E ROUPAS EIRELE-ME</t>
  </si>
  <si>
    <t>EDUARDO SOUSA DA SILVA</t>
  </si>
  <si>
    <t>JUCINEIDE LEITE DA SILVA ME</t>
  </si>
  <si>
    <t>MARTA A BORTOLUZZI ME</t>
  </si>
  <si>
    <t>LUIZ MARAGNO</t>
  </si>
  <si>
    <t>SOUZA MAGAZINE LTDA</t>
  </si>
  <si>
    <t>NEUSA RODRIGUES BARBOSA CALCADOS-ME</t>
  </si>
  <si>
    <t>JULIENTINA DA CONCEICAO 11107326869</t>
  </si>
  <si>
    <t>I. N. CALCADOS LTDA</t>
  </si>
  <si>
    <t>JOSIAS ALVES DA SILVA</t>
  </si>
  <si>
    <t>PEDRO ADMAR MARTINS DE LIMA</t>
  </si>
  <si>
    <t>JOEL DARCIZIO LORENZETTI</t>
  </si>
  <si>
    <t>R P JAUHAR BAZAR PAPELARIA E INFORMATICA ME</t>
  </si>
  <si>
    <t>DIAS COMERCIO DE ROUPAS LTDA</t>
  </si>
  <si>
    <t>CLECI MARIA KRINDGES MUNZLINGER</t>
  </si>
  <si>
    <t>RAIMUNDO CAVALCANTE NETO</t>
  </si>
  <si>
    <t>VENDA NOVA SPORTS EIRELLI</t>
  </si>
  <si>
    <t>E. F. DA SILVA SOUZA  ME</t>
  </si>
  <si>
    <t>SILVANA CALCADOS LTDA</t>
  </si>
  <si>
    <t>A. A. DE OLIVEIRA - CONFECCOES</t>
  </si>
  <si>
    <t>ALESSANDRA SUELY PEREIRA DE CARVALHO</t>
  </si>
  <si>
    <t>ADILMA DE LIMA PAES LTDA</t>
  </si>
  <si>
    <t>ARMELIN MODAS COMERCIO DE CALCADOS LTDA - ME</t>
  </si>
  <si>
    <t>13.414.704 RUBIELI DE JESUS</t>
  </si>
  <si>
    <t>UNIVERSO DO SURF COMERCIO DE ROUPAS LTDA</t>
  </si>
  <si>
    <t>RENATA HELENO DA SILVA 06293036492</t>
  </si>
  <si>
    <t>CLEMICE ALVES DA SILVA</t>
  </si>
  <si>
    <t>DEBORA S MOUSINHO MEE</t>
  </si>
  <si>
    <t>TECIDOS E CONFECCOES CANAA LTDA</t>
  </si>
  <si>
    <t>I R DA PAIXAO - ME</t>
  </si>
  <si>
    <t>COMERCIO DE CONFECCOES HACALPI LTDA</t>
  </si>
  <si>
    <t>DEISI MARIA RATZLAFF</t>
  </si>
  <si>
    <t>JAKELINE SIMONE DA SILVA</t>
  </si>
  <si>
    <t>LIBERATOS COMERCIO VAREJISTA DE CALÇADOS EIRELI</t>
  </si>
  <si>
    <t>RAIMUNDA NONATA FREIRE MAGALHAES ME</t>
  </si>
  <si>
    <t>COMERCIAL DE CALCADOS E CONFECCOES ESTEVES LTDA- EPP</t>
  </si>
  <si>
    <t>KALITA LAIARA DE LIMA MENDONCA LAMIM 03488131122</t>
  </si>
  <si>
    <t>PRESSER COMERCIO DE CALCADOS LTDA</t>
  </si>
  <si>
    <t>FLAVIA SANTOS DE LIMA</t>
  </si>
  <si>
    <t>VITORIA RÉGIA COMERCIO VAREJISTA DE GNEROS ALI. LTDA</t>
  </si>
  <si>
    <t>LOIDE RODRIGUES DA SILVA</t>
  </si>
  <si>
    <t>NATALIA DAS DORES SILVA</t>
  </si>
  <si>
    <t>G V ROCHA</t>
  </si>
  <si>
    <t>LOJA BABY KIDS LTDA</t>
  </si>
  <si>
    <t>OZEIAS R. DA SILVA ARTIGOS DO VESTUÁRIO</t>
  </si>
  <si>
    <t>VITORIA CENTER MODAS LTDA</t>
  </si>
  <si>
    <t>JONATAS PEREIRA DE ARAUJO LTDA</t>
  </si>
  <si>
    <t>MILTON C G E SILVA ROUPAS</t>
  </si>
  <si>
    <t>JOAB DE OLIVEIRA SOUZA CALCADOS</t>
  </si>
  <si>
    <t>D BONFIM PERREIRA COMERCIO</t>
  </si>
  <si>
    <t>E. DE OLIVEIRA MARQUES - CALCADOS ME</t>
  </si>
  <si>
    <t>PITITINHA COMERCIO DE ROUPAS E ACESSORIO LTDA</t>
  </si>
  <si>
    <t>RZ MODAS E CALCADOS LTDA</t>
  </si>
  <si>
    <t>51.115.445 ALISON ROBERTO DE PAULA MENARDI</t>
  </si>
  <si>
    <t>IVANIA TELES SARAIVA ME</t>
  </si>
  <si>
    <t>LUANA VILLAGRAN DA SILVA 83485686034</t>
  </si>
  <si>
    <t>49.305.316 ELIKA GONCALVES QUEIROZ</t>
  </si>
  <si>
    <t>ISMAR LEITE RIBEIRO</t>
  </si>
  <si>
    <t>PASSARELA DOS PES DE CABUCU LTDA - EPP</t>
  </si>
  <si>
    <t>DASJU COMERCIO DE CALCADOS LTDA</t>
  </si>
  <si>
    <t>ODAIR JOSE MEDEIROS</t>
  </si>
  <si>
    <t>ANDELLE CALCADOS LTDA</t>
  </si>
  <si>
    <t>DAVI RIGONATTO</t>
  </si>
  <si>
    <t>ANTONIO CARLOS BORGES RAIMUNDO - EPP</t>
  </si>
  <si>
    <t>LIZEU POLIDORO</t>
  </si>
  <si>
    <t>BIANGULO E OLIVEIRA</t>
  </si>
  <si>
    <t>FRILA- COMERCIAL DE ARMARINHOS LTDA</t>
  </si>
  <si>
    <t>TERESINHA GOMES DE BRITO-ME</t>
  </si>
  <si>
    <t>OLIVEIRA E GONZAGA CALCADOS LTDA</t>
  </si>
  <si>
    <t>COSTALONGA E COSTALONGA LTDA</t>
  </si>
  <si>
    <t>STHYLO LIVRE CALCADOS LTDA</t>
  </si>
  <si>
    <t>NOVE IRMAOS CALCADOS ART.ESPORTIVOS LTDA</t>
  </si>
  <si>
    <t>FRANCISCO  ALTINO ADRIANO SOUSA</t>
  </si>
  <si>
    <t>EUVALDINO DE OLIVEIRA RIOS</t>
  </si>
  <si>
    <t>CHARME CALCADOS LTDA</t>
  </si>
  <si>
    <t>EDVALDO BATISTA GUIMARAES-ME</t>
  </si>
  <si>
    <t>GNC SPORTS LTDA</t>
  </si>
  <si>
    <t>M GORETE SILVA</t>
  </si>
  <si>
    <t>MARY MODAS CONFECCOES LTDA</t>
  </si>
  <si>
    <t>SILVESTRI E SILVESTRI LTDA ME</t>
  </si>
  <si>
    <t>NAITO MODAS LTDA</t>
  </si>
  <si>
    <t>LUANA BERNARDINO PEREIRA 04135523307</t>
  </si>
  <si>
    <t>ELISA RUPPENTHAL - ME</t>
  </si>
  <si>
    <t>ERIKA APARECIDA VALENTE</t>
  </si>
  <si>
    <t>NS VIEIRA COMERCIO DE ROUPAS E TRANSPORTES LTDA</t>
  </si>
  <si>
    <t>MEREANI CORREA DE CASTRO-ME</t>
  </si>
  <si>
    <t>ANABELLA CALCADOS E ROUPAS LTDA ME</t>
  </si>
  <si>
    <t>BENEMILIA DE MOURA OLIVEIRA</t>
  </si>
  <si>
    <t>LOJA AVENIDA DECKS COM DE ART DO VESTUARIO LTDA</t>
  </si>
  <si>
    <t>M. A. P. SALASAR ROCHA</t>
  </si>
  <si>
    <t>CALCADOS CHAPLIN LTDA - ME</t>
  </si>
  <si>
    <t>CONEXAO DA MODA LTDA</t>
  </si>
  <si>
    <t>MARINEIDE COMERCIO DE CALCADOS LTDA</t>
  </si>
  <si>
    <t>MARTINS E MARTNS LTDA</t>
  </si>
  <si>
    <t>GERALDO JOSE DE OLIVEIRA</t>
  </si>
  <si>
    <t>HELENA DE LIMA BRANDALISE</t>
  </si>
  <si>
    <t>J.C.VASCONCELOS &amp; VASCONCELOS LTDA</t>
  </si>
  <si>
    <t>I9 MAGAZZINO LTDA</t>
  </si>
  <si>
    <t>MARIINHA CONFECCOES LTDA</t>
  </si>
  <si>
    <t>FRANCISCA PEREIRA DE SALES HOLANDA ME</t>
  </si>
  <si>
    <t>MIZAEL KLOSSOWSKI</t>
  </si>
  <si>
    <t>M DO CARMO BEZERRA SILVA CALCADOS</t>
  </si>
  <si>
    <t>ALVORADA CALCADOS</t>
  </si>
  <si>
    <t>TIELE ASSIS DOS REIS 70415579287</t>
  </si>
  <si>
    <t>LS BABY E KIDS LTDA</t>
  </si>
  <si>
    <t>TWO FRIENDS COMERCIO DE CALCADOS E CONFECCOES LTDA</t>
  </si>
  <si>
    <t>H. M. DE ARAUJO GOMES</t>
  </si>
  <si>
    <t>SERTAO MAGAZINE LTDA</t>
  </si>
  <si>
    <t>MARIA DE LOURDES LOPES DE FREITAS</t>
  </si>
  <si>
    <t>A.M.CEZAR E CIA LTDA</t>
  </si>
  <si>
    <t>SUSI PEREIRA DE SANTANA</t>
  </si>
  <si>
    <t>SALGUEIRO CENTER MODAS LTDA SIMPLES PE</t>
  </si>
  <si>
    <t>AS MARIAS MINHAS COMERCIO DE ROUPAS INFANTIS LTDA</t>
  </si>
  <si>
    <t>54465872 HILDALINA BATISTA DOS SANTOS BRANDAO</t>
  </si>
  <si>
    <t>JUSTO COMERCIO REPRE. LTDA</t>
  </si>
  <si>
    <t>KATIA FERNANDA MEIRA 32088484809</t>
  </si>
  <si>
    <t>A S CARDOSO &amp; CIA</t>
  </si>
  <si>
    <t>G C CALDEIRA COMERCIO DE CALCADOS EIRELI</t>
  </si>
  <si>
    <t>JONATAS CALCADOS LTDA</t>
  </si>
  <si>
    <t>GISLAINE DE OLIVEIRA NUNES ME</t>
  </si>
  <si>
    <t>RENATO ALVES DE CONDE - ME</t>
  </si>
  <si>
    <t>CANGURU BEBE GAMA COMERCIO DE ARTIGOS INFANTIS LTDA</t>
  </si>
  <si>
    <t>TAINARA FASHION LTDA</t>
  </si>
  <si>
    <t>SUPERMERCADO DONA NOVINHA LTDA</t>
  </si>
  <si>
    <t>FRIGO MARAJO COMERCIO E SERVIÇOS LTDA</t>
  </si>
  <si>
    <t>TATIANA APARECIDA DOGA VAZ 36885887897</t>
  </si>
  <si>
    <t>L. C. LIMA COMERCIO DE MERCADORIAS LTDA</t>
  </si>
  <si>
    <t>ZORZI LOJA DE CONFECCOES LTDA</t>
  </si>
  <si>
    <t>OZANA CORDEIRO LOPES DELFINO LTDA</t>
  </si>
  <si>
    <t>JANNETE MARIA TEXEIRA VARAO-ME</t>
  </si>
  <si>
    <t>REJANI DAS GRACAS DUTRA</t>
  </si>
  <si>
    <t>AZTECA L12 COMERCIO VAREJISTA DE CALCADOS LTDA</t>
  </si>
  <si>
    <t>LEANDRO MENDES GONSALES 94375135115</t>
  </si>
  <si>
    <t>ORLANDO DIB &amp; CIA</t>
  </si>
  <si>
    <t>POVEDA E POVEDA MODAS E ACESSORIOS LTDA ME</t>
  </si>
  <si>
    <t>41.149.549 VANESSA ALVES DE LIMA</t>
  </si>
  <si>
    <t>MARIA DAS GRACAS DA C RIBEIRO</t>
  </si>
  <si>
    <t>VITOR LACERDA CALCADOS LTDA</t>
  </si>
  <si>
    <t>CRISTIELLE FERNANDA MACEDO DE MORAIS 03936898081</t>
  </si>
  <si>
    <t>I P BORGES CALCADOS LTDA</t>
  </si>
  <si>
    <t>ROSA DE SARON ARTIGOS RECREATIVOS EIRELI</t>
  </si>
  <si>
    <t>R D F COMERCIO DE CONFECCAO E CALCADOS LTDA</t>
  </si>
  <si>
    <t>VITORIA MODAS LTDA</t>
  </si>
  <si>
    <t>GILVANIO SERGIO MATTOS</t>
  </si>
  <si>
    <t>JUSCELINO COMERCIO VAREJISTA DE ARTIGOS DO VESTUARIO E ACESSORIOS LTDA</t>
  </si>
  <si>
    <t>ITALO GABRIEL FERNANDES LOPES ME</t>
  </si>
  <si>
    <t>TAINARA COSTA ARAGAO 05689274356</t>
  </si>
  <si>
    <t>S. DE SOUZA GUSMAO</t>
  </si>
  <si>
    <t>CARLA DANIELA WEIMER BERGAMIN</t>
  </si>
  <si>
    <t>S. R. BRASIL &amp; CIA. LTDA.</t>
  </si>
  <si>
    <t>SARA BRAZ DE FREITAS</t>
  </si>
  <si>
    <t>DE CORACAO SHOP LTDA</t>
  </si>
  <si>
    <t>J.E. KARPINSK E CIA LTDA.</t>
  </si>
  <si>
    <t>ARTE E SABER COMERCIAL LTDA</t>
  </si>
  <si>
    <t>SENA E COSTA ALVES LTDA</t>
  </si>
  <si>
    <t>L DA S SOUSA ESTIMULOS VARIEDADES</t>
  </si>
  <si>
    <t>TERUYA COM.ART.INF LTDA-EPP</t>
  </si>
  <si>
    <t xml:space="preserve"> HAMONA COMERCIO DE CALCADOS LTDA EPP</t>
  </si>
  <si>
    <t>E S GALINDO LTDA</t>
  </si>
  <si>
    <t>SAPATARIA MULTIPÉS DE PETRÓPOLIS</t>
  </si>
  <si>
    <t>MARILEIA PERBONI LTDA</t>
  </si>
  <si>
    <t>F V DA COSTA - ME</t>
  </si>
  <si>
    <t>PONTOAKAN MAGAZINE LTDA</t>
  </si>
  <si>
    <t>LIANA PICCOLI LTDA</t>
  </si>
  <si>
    <t>MARCELO R. A. DA SILVEIRA</t>
  </si>
  <si>
    <t>DAVID RAFAEL FERREIRA</t>
  </si>
  <si>
    <t>KIDS CALCADOS E CONF. LTDA</t>
  </si>
  <si>
    <t>CATIANE PEREIRA SOLEDADE DE MENDONCA 34662915856</t>
  </si>
  <si>
    <t>57.452.420 JOAO VITOR VASCONCELOS JULIAO</t>
  </si>
  <si>
    <t>A.C.M REIS</t>
  </si>
  <si>
    <t>JOAO ERIC ROCHA GOMES</t>
  </si>
  <si>
    <t>M L GOMES M SARAIVA</t>
  </si>
  <si>
    <t>SARTORI &amp; MARTINS</t>
  </si>
  <si>
    <t>57.918.058 RITA DE CASSIA BERENGUER DE ALMEIDA</t>
  </si>
  <si>
    <t>MJ MIRANDA CONFECCOES LTDA</t>
  </si>
  <si>
    <t>D CARDOSO COMERCIO DE CALCADOS LTDA</t>
  </si>
  <si>
    <t>DMN COMERCIO DE CALCADOS LTDA</t>
  </si>
  <si>
    <t>S C DA SILVA BRITO ME</t>
  </si>
  <si>
    <t>MARIGA CALCADOS, CONFECCOES, ESPORTE E PAPELARIA LTDA</t>
  </si>
  <si>
    <t>REDUTTO DA MODA LTDA</t>
  </si>
  <si>
    <t>TOPSHOP MODAS LTDA</t>
  </si>
  <si>
    <t>HUBNER E RIBEIRO LTDA ME</t>
  </si>
  <si>
    <t>DINAMICA LOJA DE DEPARTAMENTO LTDA</t>
  </si>
  <si>
    <t>RENATO CASALINUOVO M.E</t>
  </si>
  <si>
    <t>ELISANE DETONI 05875688955</t>
  </si>
  <si>
    <t>UNIVERSO DOS CALCADOS E ESPORTES LTDA</t>
  </si>
  <si>
    <t>MARIA DE SOUSA BRITO OLIVEIRA - ME</t>
  </si>
  <si>
    <t>MARAJAZINHO COMERCIO DE CALÇADOS E CONF.LTDA.</t>
  </si>
  <si>
    <t>ALBAJOR  MODAS LTDA</t>
  </si>
  <si>
    <t>DELE DELA CALÇADOS E BOLSAS LTDA</t>
  </si>
  <si>
    <t>HELENA DE FATIMA MARTINS</t>
  </si>
  <si>
    <t>BRUNHARO &amp; CIA LTDA</t>
  </si>
  <si>
    <t>LARA CRISTINA FERNANDES ALKMIM</t>
  </si>
  <si>
    <t>MARIA AMELIA AGUIAR ARAUJO 55552137515</t>
  </si>
  <si>
    <t>D N CARDOZO CONFECCOES</t>
  </si>
  <si>
    <t>37.047.527 AMANDA DE SOUSA LIMA</t>
  </si>
  <si>
    <t>POTRICH &amp; CIA LTDA</t>
  </si>
  <si>
    <t>NAYARA SILVA COSTA</t>
  </si>
  <si>
    <t>JORGE CERQUEIRA DE JESUS</t>
  </si>
  <si>
    <t>A. A. BRANDAO BORGES COMERCIO</t>
  </si>
  <si>
    <t>RENATA ADELAIDE CASTRO FERRE BRAUNER 02503142079</t>
  </si>
  <si>
    <t>MILANI COMERCIO E DISTRIBUIDORA DE CALCADOS LTDA</t>
  </si>
  <si>
    <t>SANIELE SILVA REIS 06048696302</t>
  </si>
  <si>
    <t>SANDOVAL MACEDO DA SILVA CONFECCOES E ACESSORIOS ME</t>
  </si>
  <si>
    <t>RUBIKIDS MODA LTDA</t>
  </si>
  <si>
    <t>SIMONE APARECIDA DA SILVA</t>
  </si>
  <si>
    <t>TANIA REGINA SERPA DO PRADO</t>
  </si>
  <si>
    <t>J. SOUSA VIEIRA E CIA LTDA</t>
  </si>
  <si>
    <t>MARIA DAS DORES SILVA LIMA 53002466387</t>
  </si>
  <si>
    <t>JOSE VIEIRA PEDROSO 75020521868</t>
  </si>
  <si>
    <t>BOELJO COMERCIO DE CALCADOS E CONFECCOES EIRELI - EPP</t>
  </si>
  <si>
    <t>EDU - COMERCIO DE CALCADOS LTDA</t>
  </si>
  <si>
    <t>IVAN DA SILVA</t>
  </si>
  <si>
    <t>EDER ROCHA  ROCHA LTDA</t>
  </si>
  <si>
    <t>JOAO ROBERTO BARROS LIMA-EDT</t>
  </si>
  <si>
    <t>COMERCIAL MOREIRA MAIA LTDA</t>
  </si>
  <si>
    <t>ROBERTA NAINE BELEM SOARES JOST</t>
  </si>
  <si>
    <t>T COSTA GUIMARAES</t>
  </si>
  <si>
    <t>J L COMERCIO VAREJISTA DE CALCADOS, ROUPAS E ACESSORIOS LTDA</t>
  </si>
  <si>
    <t>ITALO CARVALHO CARDOSO</t>
  </si>
  <si>
    <t>FRANCISCO COMERCIO DE CALCADOS LTDA</t>
  </si>
  <si>
    <t>SANDALIARIA MACAUBAS LTDA</t>
  </si>
  <si>
    <t>KARINE F.BARRETO</t>
  </si>
  <si>
    <t>LIBERTAS UNIFORMES</t>
  </si>
  <si>
    <t>MARGARIDA M ALVES FACUNDO - EPP</t>
  </si>
  <si>
    <t>KAUANE NOGUEIRA ANTUNES</t>
  </si>
  <si>
    <t>ERICA GONCALVES DE SANTANA ME</t>
  </si>
  <si>
    <t>MARIANINHA CALCADO E ROUPAS INFANTIS LTDA</t>
  </si>
  <si>
    <t>PORTAL DE ITAOCARA CALCADOS E ART.VESTUARIO LTDA.</t>
  </si>
  <si>
    <t>HIPER CALCADOS LTDA</t>
  </si>
  <si>
    <t>49.432.227 ROSIELY PEREIRA DA SILVA</t>
  </si>
  <si>
    <t>DIRCEU LUIZ SMANIOTTO</t>
  </si>
  <si>
    <t>REALANE COMERCIO DE CALCADOS  LTDA</t>
  </si>
  <si>
    <t>MARCUS VINICIUS DE OLIVEIRA 53639120663 M</t>
  </si>
  <si>
    <t>L M TORRES LTDA</t>
  </si>
  <si>
    <t>JAPPONI COM DE CALCADOS E AC. LTDA</t>
  </si>
  <si>
    <t>A B DE FREITAS LTDA</t>
  </si>
  <si>
    <t>J A COM DE CALCADOS LTDA</t>
  </si>
  <si>
    <t>VEJA ACESSORIOS LTDA</t>
  </si>
  <si>
    <t>FERNANDA BIZERRA</t>
  </si>
  <si>
    <t>LUKYS COMERCIO DE CALCADOS LTDA</t>
  </si>
  <si>
    <t>DAVID STEFANO PATRONI ME</t>
  </si>
  <si>
    <t>M DO CARMO MOREIRA RAMOS</t>
  </si>
  <si>
    <t>A M S CARNEIRO DE MACEDO</t>
  </si>
  <si>
    <t>VANIA DE FARIA PARREIRAS E CIA LTDA.</t>
  </si>
  <si>
    <t>NILMA APARECIDA FARIA PEREIRA</t>
  </si>
  <si>
    <t>OIE MAMAE ARTIGOS DE VESTUARIO E ACESSORIOS LTDA</t>
  </si>
  <si>
    <t>SÔNIA MARIA DA SILVA TELES - ME</t>
  </si>
  <si>
    <t>JOAO MARIA REZENDE</t>
  </si>
  <si>
    <t>MALUSA &amp; MALUSA COM.E IND.DE CALC.LTDA.ME</t>
  </si>
  <si>
    <t>RAFAEL LUIZ NASCIMENTO DA COSTA ARTIGOS DO VESTUARIO</t>
  </si>
  <si>
    <t>ALFREDO DA SILVA VIANA</t>
  </si>
  <si>
    <t>J S MACHADO E CIA LTDA</t>
  </si>
  <si>
    <t>CSJ CALCADOS E CONFECOES LTDA</t>
  </si>
  <si>
    <t>BRIGIDA MODAS E ENXOVAIS LTDA</t>
  </si>
  <si>
    <t>RAYANE PALOMA SOARES PINTO 06655540607</t>
  </si>
  <si>
    <t>ANA MARIA DINCA &amp; CIA LTDA</t>
  </si>
  <si>
    <t>LUCIANA FERNANDES SANTOS</t>
  </si>
  <si>
    <t>SANDRINA CALCADOS DE MERITI LTDA ME</t>
  </si>
  <si>
    <t>MANOEL ARCANGELO ALVES LIONEL</t>
  </si>
  <si>
    <t>29.769.218 JOAO CASSIO FULQUINI</t>
  </si>
  <si>
    <t>12.702.481 CLEBER DE JESUS ALVES</t>
  </si>
  <si>
    <t xml:space="preserve"> MANIA DO ESPORTE DE SAO GONCALO COMERCIO DE ARTIGOS ESPORTIVOS LTDA - EPP</t>
  </si>
  <si>
    <t>JAIANE LUCIA DA SILVA LTDA</t>
  </si>
  <si>
    <t>ACAIA SHOES LTDA</t>
  </si>
  <si>
    <t>JVS LAGNI CALCADOS</t>
  </si>
  <si>
    <t>JOSEFA CARDOSO REIS</t>
  </si>
  <si>
    <t>MODAPE CALCADOS LTDA</t>
  </si>
  <si>
    <t>LVMHAUBRICH CALCADOS E CONFECCOES LTDA</t>
  </si>
  <si>
    <t>INACIO ROSIN ME</t>
  </si>
  <si>
    <t>ADRIANA PAGNUSSATT BALBINOTT 00830088024 ME</t>
  </si>
  <si>
    <t>MODATIVA COM. CONFECCOES LTDA ME</t>
  </si>
  <si>
    <t>CLEONICE DA CONCEICAO 01415393303</t>
  </si>
  <si>
    <t>MARCIA MARIA MACEDO</t>
  </si>
  <si>
    <t>MINI XERENZINHO MODA BEBE E INFANTIL LTDA</t>
  </si>
  <si>
    <t>DIVINA MODAS LTDA</t>
  </si>
  <si>
    <t>LOJAO PESSOA LTDA</t>
  </si>
  <si>
    <t>EULALIA H M G DE SOUZA - ME</t>
  </si>
  <si>
    <t>MARILENE AMORIM SILVA</t>
  </si>
  <si>
    <t>S ALVES MOITA</t>
  </si>
  <si>
    <t>ANDREIA LUCIA FERNANDES</t>
  </si>
  <si>
    <t xml:space="preserve"> M. DE M. MOTA - ME</t>
  </si>
  <si>
    <t>ELAINE CRISTINA MARTINS BOLOGNA RASCASSI</t>
  </si>
  <si>
    <t>CONGREGACAO CRISTA NO BRASIL</t>
  </si>
  <si>
    <t>CALCADOS MORRO DO CHAPEU LTDA ME</t>
  </si>
  <si>
    <t>P L D DANTAS E CIA LTDA</t>
  </si>
  <si>
    <t>MARA HELENA PEREIRA OLIVEIRA ME</t>
  </si>
  <si>
    <t>CALCADOS TREVISOL LTDA.</t>
  </si>
  <si>
    <t>JANETE DE F.SCHIAVINI ME</t>
  </si>
  <si>
    <t>SILVA  BROCKER LTDA</t>
  </si>
  <si>
    <t>MARINA ALA MOLLO</t>
  </si>
  <si>
    <t>M E L A CONFECCOES LTDA</t>
  </si>
  <si>
    <t>CLAUDIO GERALDO DIAS CPF 009.643.836-32</t>
  </si>
  <si>
    <t>SERGIO CARLOS ALGAYER</t>
  </si>
  <si>
    <t>ANA LUCIA GOMES DA SILVA</t>
  </si>
  <si>
    <t>CALCADOS LUVER LTDA</t>
  </si>
  <si>
    <t>ANA KATIA OLIVEIRA SARMENTO</t>
  </si>
  <si>
    <t>40.810.867 IRISLENE LOPES DA SILVA</t>
  </si>
  <si>
    <t>CHUA DE FRIBURGO CALCADOS E ACESSORIOS DE VESTUARIOS LTDA</t>
  </si>
  <si>
    <t>EMERSON RONALDO KIRSCH</t>
  </si>
  <si>
    <t>WILIEN GREGORICH SENRA</t>
  </si>
  <si>
    <t>ELIDA NATHALIA MONTEIRO DA SILVA WANDERLEI</t>
  </si>
  <si>
    <t>50.553.121 DANIELI SILVA GONCALVES</t>
  </si>
  <si>
    <t>VANEIDE TELES DA SILVA VARIEDADES</t>
  </si>
  <si>
    <t>LUCIANA OLIVEIRA DOS SANTOS 00301291179</t>
  </si>
  <si>
    <t>CONFECCOES E BAZAR BOM PRECO LTDA</t>
  </si>
  <si>
    <t>GERLI BARBARA DE JESUS 02754411720</t>
  </si>
  <si>
    <t>ANDREOLA &amp; VANZIN LTDA</t>
  </si>
  <si>
    <t>EDUARDO LITTER SEIB</t>
  </si>
  <si>
    <t>KONZEN - COMERCIO DE CALCADOS LTDA</t>
  </si>
  <si>
    <t>JOSE LUIZ DA SILVA</t>
  </si>
  <si>
    <t>MARIA ERONDINA SILVA DOS ANJOS</t>
  </si>
  <si>
    <t>58991116 THAYSSA EVILLYN RODRIGUES GUIMARAES</t>
  </si>
  <si>
    <t>LINCOLN DA SILVA AMORIM</t>
  </si>
  <si>
    <t>TALISSA MANUELA DE NAZARETH SOARES BERNARDO 13332623702</t>
  </si>
  <si>
    <t>COMERCIO DE CALCADOS J. S. LTDA</t>
  </si>
  <si>
    <t>54.767.953 ALEILTON DO CARMO</t>
  </si>
  <si>
    <t>JOSEFA ALMEIDA SERGIO E CIA LTDA</t>
  </si>
  <si>
    <t>G L S LIMA CALCADOS LTDA</t>
  </si>
  <si>
    <t>M.L. CAVALCANTE LIMA-EPP.</t>
  </si>
  <si>
    <t>LOJAS DOM FLAVITTOS LTDA</t>
  </si>
  <si>
    <t>SHIRLEI SILVA DE FREITAS MEDEIROS-CALCADOS</t>
  </si>
  <si>
    <t>J S JUSTINO</t>
  </si>
  <si>
    <t>VENDA MAIS NEGOCIOS LTDA</t>
  </si>
  <si>
    <t>MARIA DAS GRACAS SE SOUZA COELHO ME</t>
  </si>
  <si>
    <t>L G MACIEL SOUZA</t>
  </si>
  <si>
    <t>49.877.661 MARIA SALETE BOTH</t>
  </si>
  <si>
    <t>JILDIVAN FERREIRA LEMOS ME</t>
  </si>
  <si>
    <t>ARIANE SALETE DULLIUS EPP</t>
  </si>
  <si>
    <t>A. W. ARAUJO DE CARVALHO ACESSORIOS - ME</t>
  </si>
  <si>
    <t>ANDERLI COMERCIO DE CONFECCOES E CALCADOS LTDA</t>
  </si>
  <si>
    <t>PITAGORAS DE MELO LINHARES</t>
  </si>
  <si>
    <t>E. M. DE MELO CALCADOS LTDA</t>
  </si>
  <si>
    <t>OUTLET KIDS COMÉRCIO DE ROUPAS  E ACESSÓRIOS</t>
  </si>
  <si>
    <t>BERNADETE DE OLIVEIRA</t>
  </si>
  <si>
    <t>NADIA DAGA MIOTTO &amp; CIA LTDA</t>
  </si>
  <si>
    <t>SONIA MARIA FAGUNDES ME</t>
  </si>
  <si>
    <t>VERA LUCIA RAMOS MARTINS</t>
  </si>
  <si>
    <t>FRANCIELLY CALCADOS E ACESSORIOS LTDA ME</t>
  </si>
  <si>
    <t>I.J. TEREBINTO &amp; CIA LTDA</t>
  </si>
  <si>
    <t>E K R DE OLIVEIRA LOPES</t>
  </si>
  <si>
    <t>48.161.835 GISLAINE QUINTINO MIRANDA</t>
  </si>
  <si>
    <t>L G C CONCEICAO  ME</t>
  </si>
  <si>
    <t>NC CALCADOS E CONFECCOES LTDA ME</t>
  </si>
  <si>
    <t>PARAISO COMERCIO DE VESTUARIO LTDA</t>
  </si>
  <si>
    <t>IRLAN MARIA SOUZA SANTANA - ME</t>
  </si>
  <si>
    <t>KELLEN CRISTIANY SOARES CERQUEIRA 04386165452</t>
  </si>
  <si>
    <t>UNIVERSO INFANTIL COMERCIO DE ROUPAS LTDA</t>
  </si>
  <si>
    <t>ESTER DA SILVA OLIVEIRA GARCIA</t>
  </si>
  <si>
    <t>MANCIOPI CALCADOS LTDA ME</t>
  </si>
  <si>
    <t>DINIZ &amp; CALDAS LTDA</t>
  </si>
  <si>
    <t>L S OTTOBONI LTDA</t>
  </si>
  <si>
    <t>P DA SILVA PINTO</t>
  </si>
  <si>
    <t>LILIAN FABIANA ALVES E CIA LTDA</t>
  </si>
  <si>
    <t>CONFEC IRMAOS PERIN LTDA</t>
  </si>
  <si>
    <t>EZARF CALÇADOS LTDA</t>
  </si>
  <si>
    <t>DOCE ENCANTO KIDS</t>
  </si>
  <si>
    <t>MOISES FRANCISCO PRADO FILHO</t>
  </si>
  <si>
    <t>J.PEREIRA E CIA LTDA</t>
  </si>
  <si>
    <t>G S DA SILVA COMERCIO LTDA</t>
  </si>
  <si>
    <t>DMD COLOMBO LTDA ME</t>
  </si>
  <si>
    <t>SAPATARIA SAO PAULO LTDA</t>
  </si>
  <si>
    <t>EUGENIA MARIA DE REZENDE</t>
  </si>
  <si>
    <t>KREFTA KIDS ROUPAS E VARIEDADES LTDA</t>
  </si>
  <si>
    <t>WILLIAM CARVALHO BOM</t>
  </si>
  <si>
    <t>JOAQUIM RODRIGUES NETO ITAÍ ME</t>
  </si>
  <si>
    <t>LUCINEIA MENDES DE OLIVEIRA COMERCIO</t>
  </si>
  <si>
    <t>MUNICIPIO DE OURO VERDE</t>
  </si>
  <si>
    <t>E C B CALCADOS LTDA</t>
  </si>
  <si>
    <t>CARLA MONIQUE MARQUES DE ARAUJO 39801850876</t>
  </si>
  <si>
    <t>ALVARENGA E HENRIQUES COMERCIO LTDA</t>
  </si>
  <si>
    <t>MODA TEEN ROUPAS INFANTIS LTDA</t>
  </si>
  <si>
    <t>DI JUJU KIDS MODA INFANTIL E JUVENIL LTDA</t>
  </si>
  <si>
    <t>P.M. ALVES DA COSTA PETERNELLI CONFECCOES</t>
  </si>
  <si>
    <t>MARIVAN DIAS PEREIRA REIS</t>
  </si>
  <si>
    <t>LEIANE CALCADOS E ESPORTES LTDA</t>
  </si>
  <si>
    <t>MAIRA MARIA DALTOE PELISSER</t>
  </si>
  <si>
    <t>FRANCISCO DOS SANTOS FEITOSA</t>
  </si>
  <si>
    <t>VILMA CALCADOS E ACESSORIOS LTDA</t>
  </si>
  <si>
    <t>T. M. RAIMUNDO ME.</t>
  </si>
  <si>
    <t>51.115.065 JILMARIO SANTOS ANDRADE</t>
  </si>
  <si>
    <t>A C Q RONCHETTI CALÇADOS</t>
  </si>
  <si>
    <t>SOUSA CALÇADOS E ACESSÓRIOS ESPORTIVOS LTDA</t>
  </si>
  <si>
    <t>EMERSON MARQUEZ</t>
  </si>
  <si>
    <t>KREMER E KUNTZ LTDA.</t>
  </si>
  <si>
    <t>MAGIA DOS PES CALCADOS LTDA</t>
  </si>
  <si>
    <t>TORRES E VALE LTDA - ME</t>
  </si>
  <si>
    <t>CAROL MENDES CALCADOS LTDA</t>
  </si>
  <si>
    <t>KADOCHE CALCADOS E CONF LTDA</t>
  </si>
  <si>
    <t>SILVONETE MELO LINO</t>
  </si>
  <si>
    <t>IMAGINE COMERCIO DE CONFECCOES E ACESSORIOS LTDA</t>
  </si>
  <si>
    <t>PERFUMARIA VITÓRIA REGIA LTDA ME</t>
  </si>
  <si>
    <t>CICERO ALVES DA SILVA 58213112253</t>
  </si>
  <si>
    <t>RESI CLARITA BAGLI PRESENTES-ME</t>
  </si>
  <si>
    <t>DIAS CALCADOS E CONFECCOES LTDA</t>
  </si>
  <si>
    <t>GOMES CALCADOS E CONFECCOES LTDA</t>
  </si>
  <si>
    <t>VALCILENE BRITO DE OLIVEIRA</t>
  </si>
  <si>
    <t>TAREK JAMIL JOMAA</t>
  </si>
  <si>
    <t>BAZAR CHIC CONFECCOES LTDA-ME</t>
  </si>
  <si>
    <t>DD CALCADOS LTDA</t>
  </si>
  <si>
    <t>MAGAZINE CAZARINI LTDA.</t>
  </si>
  <si>
    <t>FLAVIO MARQUEZIM GONCALVES LTDA</t>
  </si>
  <si>
    <t>E. L. COMÉRCIO LTDA</t>
  </si>
  <si>
    <t>EDUARDO GOMES PEREIRA 05656933601</t>
  </si>
  <si>
    <t>RAFA CALCADOS LTDA ME</t>
  </si>
  <si>
    <t>ANDREA GALVAO DE SOUZA</t>
  </si>
  <si>
    <t>J. L. M. BARROSO</t>
  </si>
  <si>
    <t>RAIMUNDO PEREIRA CARDOSO</t>
  </si>
  <si>
    <t>JOSIANE EUFRASIO RAMOS 11065695470</t>
  </si>
  <si>
    <t>L F MENDES LTDA</t>
  </si>
  <si>
    <t>SILVIO ANTONIO FERREIRA-CALCADOS</t>
  </si>
  <si>
    <t>PATRICIA SILVANA DE ALMEIDA REIS</t>
  </si>
  <si>
    <t>LUIZ CARLOS SOARES &amp; CIA LTDA</t>
  </si>
  <si>
    <t>ANTONIA DE AQUINO SILVA OLIVEIRA - ME</t>
  </si>
  <si>
    <t>GRACY KELLY S CAMILO ME</t>
  </si>
  <si>
    <t>SEBASTIANA PEREIRA DA SILVA</t>
  </si>
  <si>
    <t>VIA ESPORTE COMERCIO DE ARTIGOS ESPORTIVOS LTDA</t>
  </si>
  <si>
    <t>ANDRE FELIPE SILVEIRA</t>
  </si>
  <si>
    <t>VANDERLEIA NASCIMENTO SOUSA CURCINO</t>
  </si>
  <si>
    <t>EBENEZER BAZAR LTDA EPP</t>
  </si>
  <si>
    <t>MARIA TERRIBILE DRAMUSKA</t>
  </si>
  <si>
    <t>ALEXANDRE A DE OLIVEIRA</t>
  </si>
  <si>
    <t>MALU MODAS LTDA</t>
  </si>
  <si>
    <t>G L MODA INFANTIL LTDA</t>
  </si>
  <si>
    <t>RAMANDA GUIMARAES SILVA</t>
  </si>
  <si>
    <t>ELZA JOSE COSTA</t>
  </si>
  <si>
    <t>T A OBESNIK LTDA</t>
  </si>
  <si>
    <t>DANIEL HENRIQUE DE SOUZA</t>
  </si>
  <si>
    <t>A. K. I. SANTOS &amp; CIA LTDA. ME</t>
  </si>
  <si>
    <t>MARIA SILVA FERRAZ DE ARRUDA</t>
  </si>
  <si>
    <t>BEIJINHO KIDS MODA INFANTIL LTDA</t>
  </si>
  <si>
    <t>MARCELINO CARNEIRO E TEXEIRA LTDA</t>
  </si>
  <si>
    <t>S. DE OLIVEIRA DUARTE</t>
  </si>
  <si>
    <t>LARI CALCADOS LTDA</t>
  </si>
  <si>
    <t>WALCELES PAULO DE MELLO ME</t>
  </si>
  <si>
    <t>J A DA SILVA ARTIGOS DE COURO ME</t>
  </si>
  <si>
    <t>AGUIA DE OURO COMERCIO DE CALÇADOS E CONFECÇÕES</t>
  </si>
  <si>
    <t>C D D NEVES LTDA</t>
  </si>
  <si>
    <t>CLAUDENEI DUTRA DAS NEVES</t>
  </si>
  <si>
    <t>M J LIMA GUIDA</t>
  </si>
  <si>
    <t>MARCILENE M DE LUNA FREITAS ME</t>
  </si>
  <si>
    <t>CANCIAN &amp; TUBIANA LTDA</t>
  </si>
  <si>
    <t>MARISOL LACERDA FAGUNDES</t>
  </si>
  <si>
    <t>LOJA SANT ANA LTDA</t>
  </si>
  <si>
    <t>CONFORT SHOES COMERCIO DE CALCADOS LTDA</t>
  </si>
  <si>
    <t>LORRAYNNE NUNES DUTRA FERREIRA</t>
  </si>
  <si>
    <t>V O MELO COMERCIO LTDA</t>
  </si>
  <si>
    <t>ADENILZA PEREIRA DOS SANTOS</t>
  </si>
  <si>
    <t>GDLA COMERCIO DE CALCADOS E CONFECCOES LTDA</t>
  </si>
  <si>
    <t>D DA S RODRIGUES</t>
  </si>
  <si>
    <t>DANIEL BATARRA</t>
  </si>
  <si>
    <t>JOSE RINALDO TEIXEIRA ME</t>
  </si>
  <si>
    <t>CALCADOS FATINA ASSESSORIA E SERVICOS LTDA</t>
  </si>
  <si>
    <t>GILVAN FERREIRA DA SILVA 39326527549</t>
  </si>
  <si>
    <t>CLEUZA COMERCIO DE CALÇADOS LTDA</t>
  </si>
  <si>
    <t>39.149.761 CARLUCIA TEIXEIRA DOS ANJOS SILVA</t>
  </si>
  <si>
    <t>CRN COM DE ROUPAS E CALÇADOS LTDA ME</t>
  </si>
  <si>
    <t>HOUSSEIN CHEHADE</t>
  </si>
  <si>
    <t>MARIA RISOLENE BEZERRA</t>
  </si>
  <si>
    <t>NILSON SANTANA DE AMORIM</t>
  </si>
  <si>
    <t>JUSSANA MARIA DE SOUZA BEZERRA VIEIRA</t>
  </si>
  <si>
    <t>A.L DE MELO</t>
  </si>
  <si>
    <t>PAULO GARCIA NOGUEIRA BEBEDOURO</t>
  </si>
  <si>
    <t>ELENICE ALVES DE ARAUJO 92554644187</t>
  </si>
  <si>
    <t>SCHAMNE &amp; SCHAMNE LTDA</t>
  </si>
  <si>
    <t>MERCADAO ELIAS E OLIVEIRA LTDA</t>
  </si>
  <si>
    <t>E FERREIRA AGUIAR EPP</t>
  </si>
  <si>
    <t>FRANCINALDO CALCADOS E CONFECCOES LTDA ME</t>
  </si>
  <si>
    <t>GILSON C. DA SILVA</t>
  </si>
  <si>
    <t>MARCOS ANTÔNIO FONTENELE DA SILVA</t>
  </si>
  <si>
    <t>RUTH PEREIRA DO VALLE EPP</t>
  </si>
  <si>
    <t>INAYARA GONCALVES DE OLIVEIRA 03586587309</t>
  </si>
  <si>
    <t>CALCADOS BERGATTY LTDA</t>
  </si>
  <si>
    <t>DANNY FANNY LTDA</t>
  </si>
  <si>
    <t>TATIANE CAROLINE CONRAD HORST 01360670009</t>
  </si>
  <si>
    <t>M F DIAS CONFECCOES LTDA</t>
  </si>
  <si>
    <t>ANTONIO AMAURI DE MEDEIROS</t>
  </si>
  <si>
    <t>DALA MORE IMPORTACAO E EXPORT DE CALCADOS E CONF LTDA</t>
  </si>
  <si>
    <t>J. FRAGOSO E CIA LTDA</t>
  </si>
  <si>
    <t>R.DO VALE COSTA</t>
  </si>
  <si>
    <t>OM ALLI ME</t>
  </si>
  <si>
    <t>JANETE FERREIRA DE SOUZA</t>
  </si>
  <si>
    <t>ANTÔNIO ANTUNES VITOR 02320238328</t>
  </si>
  <si>
    <t>DENISE ZANIN DE ALMEIDA 04091605982</t>
  </si>
  <si>
    <t>TATIANE LEITE DE ALMEIDA</t>
  </si>
  <si>
    <t>JME COMERCIO E CONFECCOES DE CALCADOS, ARTIGOS ESPORTIVOS E</t>
  </si>
  <si>
    <t>JANALU CALCADOS LTDA.</t>
  </si>
  <si>
    <t>JUDITE MARIA KASPARY KOBER 52059820049</t>
  </si>
  <si>
    <t>MARIA ZULENE DE ALMEIDA CONFECCOES</t>
  </si>
  <si>
    <t>PAULO HENRIQUE ROCHA</t>
  </si>
  <si>
    <t>RENAILDE FERREIRA DE OLIVEIRA</t>
  </si>
  <si>
    <t>I. M. SOUZA LTDA</t>
  </si>
  <si>
    <t>TELLES CALCADOS LTDA - ME</t>
  </si>
  <si>
    <t>DEBORA RAMOS DE MORAIS 09723492601</t>
  </si>
  <si>
    <t>29.184.519 EDNA SIQUEIRA DE OLIVEIRA</t>
  </si>
  <si>
    <t>ELIU CALCADOS LTDA - ME</t>
  </si>
  <si>
    <t>COMPRE MAIS MAGAZINE LTDA - ME</t>
  </si>
  <si>
    <t>18.937.694 ANA MARIA DE MORAIS</t>
  </si>
  <si>
    <t>VANETE R. DE LIMA</t>
  </si>
  <si>
    <t>M N NOROESTE CALCADOS E ACESSORIOS LTDA</t>
  </si>
  <si>
    <t>MONICA RODRIGUES DOS SANTOS 99110253572</t>
  </si>
  <si>
    <t>JOAO MARINHO DA SILVA</t>
  </si>
  <si>
    <t>PONTO Z CALCADOS ESPORTES LTDA -ME</t>
  </si>
  <si>
    <t>JAMES BARBOSA E CIA LTDA</t>
  </si>
  <si>
    <t>M KIDS PRECIOSIDADES LTDA</t>
  </si>
  <si>
    <t>LOADIR GRANADO BITENCURT 031.353.159-59</t>
  </si>
  <si>
    <t>MARGARIDA NOGUEIRA DE MIRANDA 60199229600</t>
  </si>
  <si>
    <t>SEVERINA SILVA PAES DE ALMEIDA</t>
  </si>
  <si>
    <t>BRENDA GOBBI CUNHA 11089379773</t>
  </si>
  <si>
    <t>HILDA GALDINO DE MELO-ME</t>
  </si>
  <si>
    <t>MODAS IPANEMA LTDA - ME</t>
  </si>
  <si>
    <t>MONICA CANDIDO RAMOS</t>
  </si>
  <si>
    <t>M DA CONCEICAO</t>
  </si>
  <si>
    <t>VVP COMERCIO VAREJISTA DO VESTUARIO LTDA</t>
  </si>
  <si>
    <t>31.061.923 BRUNA KATIELLE DE OLIVEIRA CRUZ</t>
  </si>
  <si>
    <t>DAYANE RAMOS DOS SANTOS NICOLAU 37242216818</t>
  </si>
  <si>
    <t>JELLUS MAGAZINE LTDA</t>
  </si>
  <si>
    <t>ADELAR ROQUE SALVADOR</t>
  </si>
  <si>
    <t>RAFAELA FARIAS FREIRE</t>
  </si>
  <si>
    <t>ZELUZA ROSA PEREIRA 87884100134</t>
  </si>
  <si>
    <t>BENICIO VARIEDADES LTDA</t>
  </si>
  <si>
    <t>RAFAEL DE AZEVEDO LIMA 02708188550</t>
  </si>
  <si>
    <t>A DA S RIBEIRO</t>
  </si>
  <si>
    <t>NOVO PASSO CALCADOS LTDA</t>
  </si>
  <si>
    <t>H T FERRAZ &amp; CIA LTDA - M E</t>
  </si>
  <si>
    <t>ANDREA MAIA MODAS LTDA</t>
  </si>
  <si>
    <t>CONFECCOES E CALCADOS FRANCESCHI LTDA</t>
  </si>
  <si>
    <t>LABOR COSMETICOS PRESENTES E VESTUARIO LTDA</t>
  </si>
  <si>
    <t>JUNIOR CALCADOS &amp; MULTIMARCAS LTDA</t>
  </si>
  <si>
    <t>AGTG CONFECCOES LTDA ME</t>
  </si>
  <si>
    <t>M R MACHADO &amp; CIA LTDA</t>
  </si>
  <si>
    <t>ELEGANCE CALCADOS LTDA</t>
  </si>
  <si>
    <t>ABREU'S MODAS E ACESSORIOS LTDA</t>
  </si>
  <si>
    <t>CALCADOS SOUSA LTDA</t>
  </si>
  <si>
    <t>FERNANDA ARCHANJO DE SOUZA</t>
  </si>
  <si>
    <t>CELIA APARECIDA DE FAVERI CHAMORRO ME</t>
  </si>
  <si>
    <t>SILVEIRA E ARAUJO CALCADOS LTDA ME</t>
  </si>
  <si>
    <t>I C DE ALBUQUERQUE SERVICOS</t>
  </si>
  <si>
    <t>MIGUEL VIEIRA LIMA  LTDA</t>
  </si>
  <si>
    <t>SERGIO MURILO DE OLIVEIRA MELO  LTDA</t>
  </si>
  <si>
    <t>31.531.704 GENESIA DOMINGUES DE ANDRADE BATISTA</t>
  </si>
  <si>
    <t>JOSE DOMINGOS DE SOUZA CORREIA 00026676575</t>
  </si>
  <si>
    <t>SANTO ANJO COMERCIO DE PRODUTOS INFANTIS LTDA</t>
  </si>
  <si>
    <t>ANTUNES &amp; CIA LTDA</t>
  </si>
  <si>
    <t>PATRICIA SORAYA SENA</t>
  </si>
  <si>
    <t>R C MACHADO FILHO</t>
  </si>
  <si>
    <t>VERGILIO ANTUNES</t>
  </si>
  <si>
    <t>E.L CLÁUDIO COM DE CALCADOS</t>
  </si>
  <si>
    <t>TR PIMENTEL CALCADOS LTDA</t>
  </si>
  <si>
    <t>A. CIMAROSTI &amp; CIA LTDA</t>
  </si>
  <si>
    <t>JAIME CORREIA ARAUJO</t>
  </si>
  <si>
    <t>ANTONIO OSMAR ENGLER &amp; CIA LTDA</t>
  </si>
  <si>
    <t>DANIEL CESAR DE FARIA</t>
  </si>
  <si>
    <t>LEANDRO HENRIQUE ALVES DIAS</t>
  </si>
  <si>
    <t>ANA A. MOREIRA A JACO ME</t>
  </si>
  <si>
    <t>PLANET SHOES LTDA</t>
  </si>
  <si>
    <t>KATIA NASCIMENTO BARBOSA DE OLIVEIRA 25624098847</t>
  </si>
  <si>
    <t>AMANDA DE CARVALHO VIANA ME</t>
  </si>
  <si>
    <t>R O DE ANDRADE MODAS</t>
  </si>
  <si>
    <t>EDILEUSA BARBOSA DA SILVA</t>
  </si>
  <si>
    <t>J. FERNANDES DE MEDEIROS COM. VAREJISTA</t>
  </si>
  <si>
    <t>PRAPER CALÇADOS E ACESSÓRIOS LTDA</t>
  </si>
  <si>
    <t>DANILO SERGIO SCHMIDT</t>
  </si>
  <si>
    <t>HM GOOD CALCADOS LTDA EPP</t>
  </si>
  <si>
    <t>LEONCIO SANTOS NETO</t>
  </si>
  <si>
    <t>JOSE NATHAN PEREIRA TORRES 06977590327</t>
  </si>
  <si>
    <t>L. R. DA PAZ</t>
  </si>
  <si>
    <t>NOSSO LAR COMERCIO DO VESTUARIO LTDA - EPP</t>
  </si>
  <si>
    <t>ROBERTA CRISTINA M MORAIS ME</t>
  </si>
  <si>
    <t>ACTUAL SAPATARIA LTDA</t>
  </si>
  <si>
    <t>R O RIOS CALCADOS ME</t>
  </si>
  <si>
    <t>MARQUES E QUEIROZ LTDA</t>
  </si>
  <si>
    <t>FRANCISCA ANTÔNIA XIMENES ME</t>
  </si>
  <si>
    <t>J.J. COMERCIO DE CALCADOS LTDA</t>
  </si>
  <si>
    <t>VALMIX CALCADOS E CONFECCOES LTDA</t>
  </si>
  <si>
    <t>SONIA MARIA COELHO VILA NOVA</t>
  </si>
  <si>
    <t>VESTE  BEM MODAS LTDA</t>
  </si>
  <si>
    <t>32.160.553 ANA PAULA DE SOUZA COELHO</t>
  </si>
  <si>
    <t>DE CESARO COM DE CONFEC LTDA</t>
  </si>
  <si>
    <t>BRAZLANDIA TECIDOS LTDA-ME</t>
  </si>
  <si>
    <t>JOSEFA DOS S PEREIRA VESTUARIOS EM GERAL</t>
  </si>
  <si>
    <t>IRINEU P. R. DIRAMI</t>
  </si>
  <si>
    <t>FLAVIA PENHA FROTA FERNANDES MODAS</t>
  </si>
  <si>
    <t>JOSE ROBERIO DE SOUSA SANTOS</t>
  </si>
  <si>
    <t>K M V COMERCIO DE MANUFATURADOS  LTDA</t>
  </si>
  <si>
    <t>FRANCISCA SIMAO PEREIRA</t>
  </si>
  <si>
    <t>BELLO PASSO LTDA</t>
  </si>
  <si>
    <t>MARIA APARECIDA DE MENESES-57485763504</t>
  </si>
  <si>
    <t>VIACAO CALCADOS LTDA</t>
  </si>
  <si>
    <t>D POLICE COMERCIO E INDUSTRIA DE ARTIGOS LTDA</t>
  </si>
  <si>
    <t>SANTINHA BARBOSA DA SILVA</t>
  </si>
  <si>
    <t>MANOEL CARDOSO DA SILVA ME</t>
  </si>
  <si>
    <t>ANTONIO MARCOS DIAS VIEIRA</t>
  </si>
  <si>
    <t>KATRINE NAZARIODE SOUSA</t>
  </si>
  <si>
    <t>ROMERO ALVES DE LIMA</t>
  </si>
  <si>
    <t>VICTOR CANDIDO QUEIROZ CUNHA</t>
  </si>
  <si>
    <t>ACALANTO KIDS LTDA</t>
  </si>
  <si>
    <t>ANDRE DOS SANTOS SOUZA</t>
  </si>
  <si>
    <t>SAMA SOBOTA MODAS EIRELI</t>
  </si>
  <si>
    <t>FELIPE ZUANAZZI ME</t>
  </si>
  <si>
    <t>DONIZETI DIAS MORAES IARAS ME</t>
  </si>
  <si>
    <t>SEVERINA CRISTINA SILVA DE MORAES 07490775736</t>
  </si>
  <si>
    <t>MGADES COM DE CALCADOS E VEST LTDA</t>
  </si>
  <si>
    <t>MARIVANE DE RE OGLIARI</t>
  </si>
  <si>
    <t>SANDRA REGINA AZEVEDO OLIVEIRA DE LIMA 10637838793</t>
  </si>
  <si>
    <t>LUIZ CARLOS &amp; CIA LTDA-EPP</t>
  </si>
  <si>
    <t>MERY CONFECCOES E PRESENTES LTDA</t>
  </si>
  <si>
    <t>PRECIOSO PE CALCADOS LTDA</t>
  </si>
  <si>
    <t>ROBESIA KARLA MARCOLINO DOS SANTOS</t>
  </si>
  <si>
    <t>ROSSI NEVES &amp; CIA LTDA</t>
  </si>
  <si>
    <t>VANDA MARIA LIMA SOARES ME</t>
  </si>
  <si>
    <t>RAQUEL SILVA DOS SANTOS 00620120371</t>
  </si>
  <si>
    <t>ADVENTO SAPATOS LTDA ME</t>
  </si>
  <si>
    <t>MSM COMERCIO DE CALCADOS LTDA ME</t>
  </si>
  <si>
    <t>EMANUELE THAIS BAGGIO LTDA</t>
  </si>
  <si>
    <t>COMERCIAL M O SILVA LTDA ME</t>
  </si>
  <si>
    <t>MARIA LEONI FIGUEIRA SCIREA</t>
  </si>
  <si>
    <t>SERELEPE BOUTIQUE EIRELI EPP</t>
  </si>
  <si>
    <t>JC LOURENCO CONFECCOE ME</t>
  </si>
  <si>
    <t>PAULA CINTHIA M BEZERRA</t>
  </si>
  <si>
    <t>SALUA MODAS E CONFECCOES LTDA</t>
  </si>
  <si>
    <t>A K COMERCIO DE BOLSAS LTDA</t>
  </si>
  <si>
    <t>NARA PATRICIA DA SILVA RAMOS 87130793104</t>
  </si>
  <si>
    <t>PEZINHO DE ANJO CALCADOS E ACESSORIOS LTDA</t>
  </si>
  <si>
    <t>ROSA MALVINA WEBER</t>
  </si>
  <si>
    <t>ARTIGOS ESPORTIVOS NASCIMBEM LTDA</t>
  </si>
  <si>
    <t>RENI PAULO FLACH EPP</t>
  </si>
  <si>
    <t>FRANCISCA DAS CHAGAS DA SILVA LIMA</t>
  </si>
  <si>
    <t>MARCILIO SERGIO LEITE SOUZA</t>
  </si>
  <si>
    <t>ROSILDA BEZERRA DE MATOS LUZ</t>
  </si>
  <si>
    <t>GI KIDS MODAS LTDA</t>
  </si>
  <si>
    <t>FAVORITTA CALCADOS EIRELI ME</t>
  </si>
  <si>
    <t>ELIZABETH CATARINA MOREIRA DINIZ - ME</t>
  </si>
  <si>
    <t>JILMAR HUMBERTO CHIARELLI</t>
  </si>
  <si>
    <t>MARTA I CALSING</t>
  </si>
  <si>
    <t>ANDREZA LOIS VARGAS MENDES 02225016267</t>
  </si>
  <si>
    <t>OTON C. A. REIS</t>
  </si>
  <si>
    <t>CORDEIRO E LOPES SOROCABA LTDA ME</t>
  </si>
  <si>
    <t>TAISON ANTONIO AMORIM MOREIRA</t>
  </si>
  <si>
    <t>LUIS JOSE DOS SANTOS ARTIGOS ESPORTIVOS</t>
  </si>
  <si>
    <t>CIMAR COM DE CONFECCOES</t>
  </si>
  <si>
    <t>EDIANE SIMIONATO VETTORELLO LTDA</t>
  </si>
  <si>
    <t>ELIZABETH MENDES DA SILVA</t>
  </si>
  <si>
    <t>IVONE DO ROCIO NADAL E CIA LTDA ME</t>
  </si>
  <si>
    <t>SYLENE FERREIRA DE ANDRADE</t>
  </si>
  <si>
    <t>MARIA CLEIDE SILVA DA CRUZ 74081527253</t>
  </si>
  <si>
    <t>PASSOS MAGICOS LTDA</t>
  </si>
  <si>
    <t>B &amp; C CALCADOS E ACESSORIOS LTDA</t>
  </si>
  <si>
    <t>A. K. A. RODRIGUES</t>
  </si>
  <si>
    <t>V. G. LOBO - CALCADOS E ROUPAS ME</t>
  </si>
  <si>
    <t>JOSE REINALDO BANDEIRA</t>
  </si>
  <si>
    <t>51.700.465 ANTENOR FREIRE DE LIMA</t>
  </si>
  <si>
    <t>MARIA SOLANGE PEREIRA ALENCAR EPP</t>
  </si>
  <si>
    <t>A MODINHA LTDA ME</t>
  </si>
  <si>
    <t>ANGELA MARIA JORGE MENDES</t>
  </si>
  <si>
    <t>ANTONIA AUSENIR DE ALMEIDA ROCHA ME</t>
  </si>
  <si>
    <t>JOSE VIDERLANIO DE FRANÇA</t>
  </si>
  <si>
    <t>MAGDA ALTINA ARAUJO FIGUEIREDO 495872342</t>
  </si>
  <si>
    <t>PASSO A PASSO LTDA</t>
  </si>
  <si>
    <t>E.P XAVIER</t>
  </si>
  <si>
    <t>JOBSON CESAR SOUSA LIMA LTDA</t>
  </si>
  <si>
    <t>POP COMERCIO DE CALCADOS LTDA ME</t>
  </si>
  <si>
    <t>DIEGO PERIN</t>
  </si>
  <si>
    <t>YVIS GIROTTO GOMES MIYAZAKI</t>
  </si>
  <si>
    <t>JOSE ROBERTO DE PAULA SANTA FE DO SUL ME</t>
  </si>
  <si>
    <t xml:space="preserve"> WALTER E VINICIUS CALÇADOS EPP</t>
  </si>
  <si>
    <t>SEVERIANO CALÇADOS LTDA</t>
  </si>
  <si>
    <t>FRANCK MAMEDE LEITE</t>
  </si>
  <si>
    <t>BRAZ LIBERALINO COELHO</t>
  </si>
  <si>
    <t>ANA FRANCISCA SOARES FILIZOLA</t>
  </si>
  <si>
    <t>MARGARIDA FREIRES SANTANA</t>
  </si>
  <si>
    <t>C.M. CALCADOS ARTIGOS ESPORTIVOS LTDA.</t>
  </si>
  <si>
    <t>CARLOS EVALDT MODEL</t>
  </si>
  <si>
    <t>A A CALCADOS</t>
  </si>
  <si>
    <t>VEIGA E MACIEL LTDA</t>
  </si>
  <si>
    <t>ANA G S DE C AQUINO</t>
  </si>
  <si>
    <t>G. F. DE ARAUJO</t>
  </si>
  <si>
    <t>SARA VIRGINIA OLIVEIRA E GAMA</t>
  </si>
  <si>
    <t>AGUSTINI &amp; COLOMBO COMERCIO DE CALCADOS LTDA</t>
  </si>
  <si>
    <t>JOSEANE FERREIRA DA SILVA 04618943351</t>
  </si>
  <si>
    <t>COMERCIAL KAMINSKI</t>
  </si>
  <si>
    <t>J A MASCOUTO ROUPAS ME</t>
  </si>
  <si>
    <t>TECIDOS E CONFECCOES MONTINI LTDA</t>
  </si>
  <si>
    <t>S G CUNHA CALCADOS ME</t>
  </si>
  <si>
    <t>SAPATARIA CALCE BEM LTDA</t>
  </si>
  <si>
    <t>51.626.528 BLENDA GLEICIELY TEIXEIRA DE SANTANA</t>
  </si>
  <si>
    <t>LINDA MARIA DA GLORIA</t>
  </si>
  <si>
    <t>54.399.714 NADSON NOVAES SILVA</t>
  </si>
  <si>
    <t>M. R. SANTOS MODAS</t>
  </si>
  <si>
    <t>LAURO ELIAS HOLZ</t>
  </si>
  <si>
    <t>SEBASTIÃO MARCIO BARBETTI</t>
  </si>
  <si>
    <t>MARIO APARECIDO NHOATO</t>
  </si>
  <si>
    <t>MODA CAZO LTDA</t>
  </si>
  <si>
    <t>VIA SERRA COM DE CALCADOS LTDA</t>
  </si>
  <si>
    <t>MEU CHINELO CALÇADOS E ROUPAS LTDA</t>
  </si>
  <si>
    <t>55.108.996 LEILANE DOS SANTOS</t>
  </si>
  <si>
    <t>MARIA ALICE COMERCIO DE CALCADOS INFANTIS LTDA</t>
  </si>
  <si>
    <t>THANIA DOS SANTOS CUNHA</t>
  </si>
  <si>
    <t>CEDRIC MOTA FREITAS</t>
  </si>
  <si>
    <t>LINDA COMERCIO DE CALCADOS LTDA</t>
  </si>
  <si>
    <t>SELO REAL CALCADOS LTDA</t>
  </si>
  <si>
    <t>M. G. ALVES DA SILVA - ME</t>
  </si>
  <si>
    <t>PAULO DELLA BRUNA</t>
  </si>
  <si>
    <t>L V BORGES DE SOUSA- ME</t>
  </si>
  <si>
    <t>LIVIAN MARIA NEVES MUCCI 39483303877</t>
  </si>
  <si>
    <t>LOZANO FREITAS SERRA</t>
  </si>
  <si>
    <t>MARIA LENI MEDEIROS DE FIGUEIREDO</t>
  </si>
  <si>
    <t>M F DAMASIO DE LIMA ROUPAS E ACESSORIOS</t>
  </si>
  <si>
    <t>MAGAZINE CALCADOS LTDA</t>
  </si>
  <si>
    <t>STEFANO REFFATTI &amp; CIA LTDA</t>
  </si>
  <si>
    <t>ROSANA CALCADOS LTDA</t>
  </si>
  <si>
    <t>ANDREZA BABY COMERCIO DE ARMARINHOS LTDA</t>
  </si>
  <si>
    <t>VANI MACHADO CALCADOS</t>
  </si>
  <si>
    <t>DNA DISTRIBUIDORA E TRANSPORTES LTDA</t>
  </si>
  <si>
    <t>A CINDERELA LTDA EPP.</t>
  </si>
  <si>
    <t>NEW CALCADOS LTDA</t>
  </si>
  <si>
    <t>MIRENY JOANA MARTINS FERREIRA - ME</t>
  </si>
  <si>
    <t>LILIANE CRISTINA DA SILVA TEIXEIRA 34122904838</t>
  </si>
  <si>
    <t>ALBINO &amp; SOUSA LTDA - ME</t>
  </si>
  <si>
    <t>A ELEGANCIA LTDA</t>
  </si>
  <si>
    <t>SILMARA LIMA P VANZINHA ME</t>
  </si>
  <si>
    <t>ADROALDO DALLA COSTA LTDA</t>
  </si>
  <si>
    <t>KARLA STAATZMANN</t>
  </si>
  <si>
    <t>RODRIGO ALVES ME</t>
  </si>
  <si>
    <t>CAMILE MARCON</t>
  </si>
  <si>
    <t>MARIZA PASQUAL ME</t>
  </si>
  <si>
    <t>LADMAR APARECIDA BARBOSA OLIVEIRA 08116129619</t>
  </si>
  <si>
    <t>MARISETE APARECIDA &amp; ELEMAR LTDA</t>
  </si>
  <si>
    <t>CICEMAR COMERCIO DE CALCADOS E CONFECCOES LTDA.</t>
  </si>
  <si>
    <t>MARIA VALERIA DA SILVA BONACINI</t>
  </si>
  <si>
    <t>L M B DA COSTA</t>
  </si>
  <si>
    <t>ALTERNATIVA CALCADOS LTDA</t>
  </si>
  <si>
    <t>CASAS LENI LTDA</t>
  </si>
  <si>
    <t>BRUNA AUXILIADORA ANTUNES 87347636191</t>
  </si>
  <si>
    <t>ANACATA MODAS LTDA</t>
  </si>
  <si>
    <t>PAMELA CAROLINE VIEIRA PINHEIRO DE OLIVEIRA 73407593104</t>
  </si>
  <si>
    <t>REBECA BRAGA CLEMENTE</t>
  </si>
  <si>
    <t>ANAPATI ARTIGOS DO VESTUÁRIO LTDA</t>
  </si>
  <si>
    <t>C. B. COSTA</t>
  </si>
  <si>
    <t>MIKAELL PRESENTES LTDA</t>
  </si>
  <si>
    <t>DANIEL BATISTA VAZ SAO JOSE B. VISTA ME</t>
  </si>
  <si>
    <t>GIANCARLOS COSER-ME</t>
  </si>
  <si>
    <t>ANABELLA COMERCIO DE ARTIGOS ESPORTIVOS LTDA</t>
  </si>
  <si>
    <t>51.211.867 MARIA DENISE DA SILVA FRANCISCO</t>
  </si>
  <si>
    <t>CALC PALUDETTI LTDA</t>
  </si>
  <si>
    <t>JAGUAQUARA CALCADOS E CONFECCOES LTDA</t>
  </si>
  <si>
    <t>A DONA-HA CONFECCOES LTDA. ME.</t>
  </si>
  <si>
    <t xml:space="preserve"> FANN MODAS E ACESSORIOS EIRELI - ME</t>
  </si>
  <si>
    <t>ELMA M B DA FONSECA</t>
  </si>
  <si>
    <t>BRUNA DE SOUZA OLIVEIRA</t>
  </si>
  <si>
    <t>CUSTODIO &amp; DIAS LTDA - ME</t>
  </si>
  <si>
    <t>N F CALCADOS LTDA</t>
  </si>
  <si>
    <t>MARILENE PEREIRA SOUTO AGUIAR 40401952649</t>
  </si>
  <si>
    <t>PAULO AFONSO COMERCIO E ARMARINHO LTDA - EPP</t>
  </si>
  <si>
    <t>NELIA PEREIRA DOS SANTOS 01548738107</t>
  </si>
  <si>
    <t>AM YOSHIHARA &amp; CIA LTDA ME</t>
  </si>
  <si>
    <t>ERIC CAVALCANTE DE ALMEIDA</t>
  </si>
  <si>
    <t>58.337.079 FLAVIANA CAVALCANTI MARQUES</t>
  </si>
  <si>
    <t>N F BIAVATI E BIAVATI LTDA</t>
  </si>
  <si>
    <t>DUPASSINHO COMERCIAL LTDA</t>
  </si>
  <si>
    <t>DAVI RODRIGUES COMERCIO VAREJISTA DE CALCADOS</t>
  </si>
  <si>
    <t>DAIANE RIOS DA SILVA CARNEIRO DE VALENTE</t>
  </si>
  <si>
    <t>JOSE CARLOS BUZOLIN</t>
  </si>
  <si>
    <t>MARIA BEATRIZ DE ALMEIDA</t>
  </si>
  <si>
    <t>TETE STORE LTDA</t>
  </si>
  <si>
    <t>OPCAO CALCADOS DE BRODOWSKI LTDA ME</t>
  </si>
  <si>
    <t>SBX 22 CALCADOS E BOLSAS LTDA</t>
  </si>
  <si>
    <t>SBX 23 CALCADOS BOLSAS E CONFECCOES LTDA</t>
  </si>
  <si>
    <t>BONFIM KIDS CALCADOS LTDA - ME</t>
  </si>
  <si>
    <t>MARCELLY MUNIZ DE SOUZA</t>
  </si>
  <si>
    <t>COMERCIAL DE CALCADOS CAPRICHOSA LTDA</t>
  </si>
  <si>
    <t>DIRLEY DIAS BORGES</t>
  </si>
  <si>
    <t>ANA PAULA CANDIDO DA SILVA</t>
  </si>
  <si>
    <t>CASA ARTHUR DE CARMO COMERCIO DE ROUPASE ARTIGOS INFANTIS LTDA EPP</t>
  </si>
  <si>
    <t>DERNEVAL RIBEIRO SANTOS - ME</t>
  </si>
  <si>
    <t>SUELI A. NASCIMENTO</t>
  </si>
  <si>
    <t>XODO DOS TENNIS LTDA</t>
  </si>
  <si>
    <t>CAROL GRACE CALCADOS E ACCESSORIOS LTDA</t>
  </si>
  <si>
    <t>RAFAELA RODRIGUES MALAQUIAS 14426332630</t>
  </si>
  <si>
    <t>COMERCIAL SHALON ARMARINHO E PAPELARIA EIRELLI</t>
  </si>
  <si>
    <t>BRUMAYK COMERCIO DE ROUPAS E ACESSORIOS LTDA</t>
  </si>
  <si>
    <t>52.253.563 FRANCIELE CABRAL RAMBO</t>
  </si>
  <si>
    <t>60.362.198 WILLIAM FELICIANO ALEXANDRE</t>
  </si>
  <si>
    <t>REIF MAGAZINE LTDA</t>
  </si>
  <si>
    <t>AG LOBO CALÇADOS E ROUPAS LTDA ME</t>
  </si>
  <si>
    <t>RAFAEL RODRIGUES CORREA-ME</t>
  </si>
  <si>
    <t>LEANDRO M COMERCIO DE VESTUARIO E ACESSORIOS - ME</t>
  </si>
  <si>
    <t>MARIA APARECIDA BRAGA</t>
  </si>
  <si>
    <t>LOJA FRANCA CALCADOS</t>
  </si>
  <si>
    <t>MARRA E SANTOS LTDA.</t>
  </si>
  <si>
    <t>JUJUBA KIDS ROUPAS E ACESSORIOS INFANTIS EIRELI ME</t>
  </si>
  <si>
    <t>HONEIDA TAISES DUARTE-ME</t>
  </si>
  <si>
    <t>MASCOTE CALCADOS LTDA</t>
  </si>
  <si>
    <t>54.907.061 MARIA SENHORA OLIVEIRA RIGO</t>
  </si>
  <si>
    <t>31.751.432 TULIO DE SOUZA RODRIGUES</t>
  </si>
  <si>
    <t>COMERCIAL  DE  TECIDO  DE  RESENDE  LTDA</t>
  </si>
  <si>
    <t>COMERCIAL DE TECIDOS TAVARES LTDA</t>
  </si>
  <si>
    <t>ENXOVAIS &amp; CIA LTDA</t>
  </si>
  <si>
    <t>KALE KIDS COM DE ROUPAS LTDA</t>
  </si>
  <si>
    <t>LELA CALCADOS ACESSORIOS LTDA</t>
  </si>
  <si>
    <t>VILMA LUCIA FERREIRA - ME</t>
  </si>
  <si>
    <t>ESPACO VIP ARTIGOS DO VESTUARIO LTDA ME</t>
  </si>
  <si>
    <t>JS COMÉRCIO DE ROUPAS E ACESSÓRIOS LTDA</t>
  </si>
  <si>
    <t>VERA LUCIA MOSSARELLI BARBOSA ME</t>
  </si>
  <si>
    <t>RS CALCADOS LTDA</t>
  </si>
  <si>
    <t>VALDAIR DE LIMA CALCADOS - ME</t>
  </si>
  <si>
    <t>MICHELLE DA SILVA GOMES 09574970752</t>
  </si>
  <si>
    <t>MODELE CALCADOS E BOLSAS LTDA</t>
  </si>
  <si>
    <t>P E S CALCADOS E CONFECOES</t>
  </si>
  <si>
    <t>ISOLET R CORREA LTDA</t>
  </si>
  <si>
    <t>KANANDA KIDS LTDA</t>
  </si>
  <si>
    <t>JOSIANA APARECIDA CARRERA GIACOMELLI</t>
  </si>
  <si>
    <t>ALEXSANDRO COSTA FIEL PEDROSO</t>
  </si>
  <si>
    <t>GEIZIELE CANDIDA DA SILVA ME</t>
  </si>
  <si>
    <t>DANIMAR CALCADOS LTDA ME</t>
  </si>
  <si>
    <t>JOLANINHA IND E COM DE CONF LTDA</t>
  </si>
  <si>
    <t>GALHOTTO E GALHOTTO COM. CALC. LTDA ME</t>
  </si>
  <si>
    <t>REGINA MARCIA BRAIT SAVAN ME</t>
  </si>
  <si>
    <t>CALCADOS DA PARADA LTDA-ME</t>
  </si>
  <si>
    <t>26.815.351 LORENA DUARTE FATURINE</t>
  </si>
  <si>
    <t>MARIA ESTER BENETTI BOER &amp; CIA LTDA</t>
  </si>
  <si>
    <t>DOCE KABANA VESTUARIO LTDA</t>
  </si>
  <si>
    <t>NILCE FATIMA KUNZ ME</t>
  </si>
  <si>
    <t>PE DE PIMENTA CALÇADOS E ACESSORIOS LTDA</t>
  </si>
  <si>
    <t>VIA XUS COMERCIO DE CALCADOS, BOLSAS E ACESSORIOS LTDA</t>
  </si>
  <si>
    <t>ABWS COMÉRCIO DE CALCADOS LTDA</t>
  </si>
  <si>
    <t>FRANCELANDIA COM. DO VESTUARIO LTDA</t>
  </si>
  <si>
    <t>RC REPUBLICA DO ESPORTE</t>
  </si>
  <si>
    <t>A M MACHADO DE LIMA CALÇADOS</t>
  </si>
  <si>
    <t>CASA ALVES MAGAZINE TOCANTINS LTDA</t>
  </si>
  <si>
    <t>CHEMIN COMERCIO DE CALCADOS E CONFECCOES LTDA</t>
  </si>
  <si>
    <t>COMERCIAL DE CONF GEMEU LTDA ME</t>
  </si>
  <si>
    <t>FROHLICH CIA LTDA</t>
  </si>
  <si>
    <t>J E R CONFECCOES LTDA - ME</t>
  </si>
  <si>
    <t>LYMAR CALCADOS LTDA</t>
  </si>
  <si>
    <t>OSEIAS ODELIR GONCALVES E CIA LTDA</t>
  </si>
  <si>
    <t>V C O DOS SANTOS CALCADOS</t>
  </si>
  <si>
    <t>49.740.314 RENATA MARTINS LOURENCO</t>
  </si>
  <si>
    <t>ARNALDO FELICIO FERRAZ DE MELLO LTDA</t>
  </si>
  <si>
    <t xml:space="preserve"> 32.189.622 ALINE CRISTINA ALVES DA SILVA</t>
  </si>
  <si>
    <t xml:space="preserve"> FRANCISCA OSMARINA DEVETAK MIATELO</t>
  </si>
  <si>
    <t xml:space="preserve"> FRANCISCO ELIAS DE QUEIROZ - ME</t>
  </si>
  <si>
    <t xml:space="preserve"> M GUERRA MAGAZINE LTDA - EPP</t>
  </si>
  <si>
    <t xml:space="preserve"> ROSELI BELUSSO</t>
  </si>
  <si>
    <t xml:space="preserve"> TOK FINAL COMERCIO DE CALCADOS LTDA</t>
  </si>
  <si>
    <t>.</t>
  </si>
  <si>
    <t>09.078.040 PALOMA XAVIER CORREIA</t>
  </si>
  <si>
    <t>1 ESTILO COMMERCE SHOP EIRELI ME</t>
  </si>
  <si>
    <t>12.037.013 CLEDJONE DANTAS PIRES JUNIOR</t>
  </si>
  <si>
    <t>13.235.406 DANUBIA MAULER DOS SANTOS TRE</t>
  </si>
  <si>
    <t>24.416.255 CLEONICE PEREIRA DA SILVA NEIVA</t>
  </si>
  <si>
    <t>24.521.428 JANAINA VARELA DA SILVA</t>
  </si>
  <si>
    <t>27.912.227 JEFERSON FERNANDES DE MENDONCA</t>
  </si>
  <si>
    <t>28.032.678 RAFAEL DA COSTA PIRES</t>
  </si>
  <si>
    <t>297-JONATAS NASCIMENTO DA SILVA</t>
  </si>
  <si>
    <t>RAFAEL MENEZES</t>
  </si>
  <si>
    <t>30.674.001 CLEBSON COSTA CARDOSO</t>
  </si>
  <si>
    <t>31.867.777 PAOLA GOMES FERREIRA DE SOUZA</t>
  </si>
  <si>
    <t>314 ALEXANDRE DUTRA LAINO</t>
  </si>
  <si>
    <t>FELIPE CONSTANTINO FERNANDES</t>
  </si>
  <si>
    <t>ERIK DELFINO DE ANDRADE</t>
  </si>
  <si>
    <t>326 FELIPE BORGES DE FREITAS</t>
  </si>
  <si>
    <t>33.664.879 ERICA NEGREIROS RICARDO</t>
  </si>
  <si>
    <t>338 H THOMAS E SOUZA REPRESENTAÇÃO COMERCIAL LTDA</t>
  </si>
  <si>
    <t>339- R F BARBOSA REPRESENTACOES COMERCIAIS LTDA</t>
  </si>
  <si>
    <t>34.501.529 GRAZIELLE GUEDES FIDELIS SAMPAIO</t>
  </si>
  <si>
    <t>35.254.151 IANDORA DA ROSA FORNI</t>
  </si>
  <si>
    <t>35.450.008 REGIANE MARIA PAZ DA ROCHA</t>
  </si>
  <si>
    <t>35.688.302 TAMARA MINA FIDELIS</t>
  </si>
  <si>
    <t>35.823.039 ALINE MARQUES DA SILVA</t>
  </si>
  <si>
    <t>39.406.816 PATRICIA FERNANDES GOMES</t>
  </si>
  <si>
    <t>39.733.477 MARCIA ZUCCO DOS SANTOS SANTANA</t>
  </si>
  <si>
    <t>39.913.875 RAFAEL SCHUTZ</t>
  </si>
  <si>
    <t>41.252.676 JESSICA CRISTINA SOLIDAO DE LIMA</t>
  </si>
  <si>
    <t>41.640.238 PRISCILA PEREIRA DE OLIVEIRA</t>
  </si>
  <si>
    <t>41.962.007 JULIANA ALVES DOS SANTOS SIQUEIRA</t>
  </si>
  <si>
    <t>42.680.602 THAMIRES GUEDES SILVA</t>
  </si>
  <si>
    <t>42.978.394 ANA KELI MACEDO COSTA</t>
  </si>
  <si>
    <t>43.153.054 CLEONICE SUDARIO LOPES</t>
  </si>
  <si>
    <t>43.398.907 JOSEFA RIBEIRO SANTOS DA COSTA</t>
  </si>
  <si>
    <t>44.630.784 ERMENICE DOURADO ROSA</t>
  </si>
  <si>
    <t>44.902.879 THAIRINY DE CARVALHO MONTANHA</t>
  </si>
  <si>
    <t>45.222.241 MICHELE CONCEICAO SALLES</t>
  </si>
  <si>
    <t>45.742.787 RENATA SOARES DA COSTA TRINDADE</t>
  </si>
  <si>
    <t>47.627.572 THAIS MARCOLAN GIROTTO</t>
  </si>
  <si>
    <t>47.689.109 WALESKA PERES DE ALMEIDA</t>
  </si>
  <si>
    <t>47.909.136 ZURIQUE DOS SANTOS DE LIMA</t>
  </si>
  <si>
    <t>48.587.790 VINICIUS ALVES DA SILVA</t>
  </si>
  <si>
    <t>48.942.153 SIRLEIDE FERREIRA BARBOSA</t>
  </si>
  <si>
    <t>49.240.762 DIVALDO PETINI</t>
  </si>
  <si>
    <t>49.270.180 LAYES REGINA SILVERIO</t>
  </si>
  <si>
    <t>49.414.399 AURELITA DA SILVA MASCARENHAS DE SOUZA</t>
  </si>
  <si>
    <t>49.667.664 KARINE RODRIGUES MAZUI</t>
  </si>
  <si>
    <t>49.791.515 THAMIRES CRISTINA DA SILVA</t>
  </si>
  <si>
    <t>49.930.394 ANA ROSA ZILLI ESTEVAM</t>
  </si>
  <si>
    <t>49.946.746 MAGDIELE PEREIRA ROCHA</t>
  </si>
  <si>
    <t>50.011.877 DULCINEA MARIA RODRIGUES</t>
  </si>
  <si>
    <t>50.496.026 AILTON REZENDE DOS SANTOS</t>
  </si>
  <si>
    <t>50.572.962 THAIANY DE OLIVEIRA FAGUNDES</t>
  </si>
  <si>
    <t>50.577.677 JANDIR BIASI</t>
  </si>
  <si>
    <t>50.687.704 JOCIMARA MARIA DA SILVA</t>
  </si>
  <si>
    <t>50881391 THAINARA CRISTINA RAMOS PEREIRA</t>
  </si>
  <si>
    <t>51.117.939 ANDERSON PEREIRA MARTINS</t>
  </si>
  <si>
    <t>51.127.527 DAISE CRISTINA GONCALVES PIVA</t>
  </si>
  <si>
    <t>51.152.249 PRISCILA SOUZA</t>
  </si>
  <si>
    <t>51.175.343 LUANA MARTINS PAVLIK</t>
  </si>
  <si>
    <t>51.225.773 LEANDRO DE OLIVEIRA</t>
  </si>
  <si>
    <t>51.867.429 ELIA MOURA CHAGAS</t>
  </si>
  <si>
    <t>51.882.476 MARIA APARECIDA MACIEL MARQUES</t>
  </si>
  <si>
    <t>52.020.512 AMANDA DE OLIVEIRA MOTA LEAL</t>
  </si>
  <si>
    <t>52.022.612 CARLOS ALEXANDRE MINDU</t>
  </si>
  <si>
    <t>52.062.491 JESSICA ALVES ARAUJO</t>
  </si>
  <si>
    <t>52.572.430 KAILLANE RODRIGUES MACIEL VIANA</t>
  </si>
  <si>
    <t>52.685.613 JULIO CESAR RIBEIRO DE ANDRADE</t>
  </si>
  <si>
    <t>52.686.965 MARIA JOSE FONSECA CASTRO</t>
  </si>
  <si>
    <t>53.906.097 SUELLEN APARECIDA DE ANDRADE</t>
  </si>
  <si>
    <t>53.928.708 ADRIANA CRISTINA VIEIRA</t>
  </si>
  <si>
    <t>54.163.254 VALERIA DE CASSIA GASQUES MORTARI</t>
  </si>
  <si>
    <t>54.536.133 JOSE FARIAS RODRIGUES</t>
  </si>
  <si>
    <t>55.209.749 LUANA ROBERTA AZEVEDO GALVAO</t>
  </si>
  <si>
    <t>55.701.136 PATRICK RIBEIRO DA SILVA</t>
  </si>
  <si>
    <t>55.972.667 PEDRO CHARLES MEDEIROS CELESTINO</t>
  </si>
  <si>
    <t>67 9299-9089</t>
  </si>
  <si>
    <t>A ALVES DOS SANTOS CONFECCOES LTDA</t>
  </si>
  <si>
    <t>A BASTOS DE SOUSA</t>
  </si>
  <si>
    <t>A COSTA SILVA</t>
  </si>
  <si>
    <t>A DA P NAMIAS</t>
  </si>
  <si>
    <t>A GOUVEIA JUNIOR CALCADOS</t>
  </si>
  <si>
    <t>A I LEAL FILHO</t>
  </si>
  <si>
    <t>A IDEAL COLCHOES E ENXOVAES LTDA</t>
  </si>
  <si>
    <t>A L O PEREIRA E CIA LTDA ME</t>
  </si>
  <si>
    <t>A PREFERIDA LINENSE LTDA ME</t>
  </si>
  <si>
    <t>A R ZEBIAN &amp; CIA LTDA ME</t>
  </si>
  <si>
    <t>A SOUSA GONÇALVES ME</t>
  </si>
  <si>
    <t>A V ROMANO DA SILVA LTDA</t>
  </si>
  <si>
    <t>A Z SERAFINI</t>
  </si>
  <si>
    <t>A. L. F. NAIVA DE OLIVEIRA</t>
  </si>
  <si>
    <t>A. MARUGAL EIRELI</t>
  </si>
  <si>
    <t>A. N. DOS SANTOS</t>
  </si>
  <si>
    <t>A.C. NASCIMENTO COMERCIO</t>
  </si>
  <si>
    <t>A.EVANDRO OLIVEIRA CHAVES</t>
  </si>
  <si>
    <t>ABREU CONFECCOES E VARIEDADES LTDA</t>
  </si>
  <si>
    <t>ADALTO FERNANDES DOS S EIRELI ME</t>
  </si>
  <si>
    <t>ADELINO ZAMARKI EIRELI ME</t>
  </si>
  <si>
    <t>ADENILDO ALVES LEMOS</t>
  </si>
  <si>
    <t>ADOLETA MODA KIDS LTDA</t>
  </si>
  <si>
    <t>ADRIANA CUNHA DE CARVALHO RAMPINELLI</t>
  </si>
  <si>
    <t>ADRIANA LUCIA STEFANONI</t>
  </si>
  <si>
    <t>ADRIANA MODAS COMÉRCIO DE ARTIGOS DO VESTUÁRIO LTDA</t>
  </si>
  <si>
    <t>ADRIANA POMBO DIANA  ME</t>
  </si>
  <si>
    <t>ADRIANA ROCHA SILVA AKAHANE 76526640206</t>
  </si>
  <si>
    <t>ADRIANO RODRIGUES JUNIOR 96623780572</t>
  </si>
  <si>
    <t>AESA INFANTO JUVENIL LTDA</t>
  </si>
  <si>
    <t>AFONSO PATRICIO DAGOSTIN COMERCIO DE CONFECCOES LTDA</t>
  </si>
  <si>
    <t>AGAPE COMERCIO VAREJISTA DE CALCADOS E ROUPAS INFANTIS LTDA</t>
  </si>
  <si>
    <t>AGATHA STILO E ACESSORIOS LTDA</t>
  </si>
  <si>
    <t>AGUIAR &amp; ARAUJO LTDA ME</t>
  </si>
  <si>
    <t>AGUIAR LIMA E BRONZONI GOMES LTDA</t>
  </si>
  <si>
    <t>AL COMERCIO DE CONFECÇÕES LTDA</t>
  </si>
  <si>
    <t>ALANA DE MORAIS REGO</t>
  </si>
  <si>
    <t>ALBANEA DEYSE DE ANDRADE MARANHAO MELO - EPP</t>
  </si>
  <si>
    <t>ALBRECHT COMERCIO DE ROUPAS LTDA</t>
  </si>
  <si>
    <t>ALCANCE CALÇADOS E VESTUÁRIO LTDA</t>
  </si>
  <si>
    <t>ALCEU LACERDA CALCADOS ME</t>
  </si>
  <si>
    <t>ALCIONE MARISA FROHLICH RAMALHO DA SILVA</t>
  </si>
  <si>
    <t>ALESSANDRA BERGER DE MATOS</t>
  </si>
  <si>
    <t>ALEX SIL BAZAR E LOJA DE VARIEDADES LTDA</t>
  </si>
  <si>
    <t>ALITAMI COMERCIO DE CONFECCOES LTDA</t>
  </si>
  <si>
    <t>ALYNE COSTA LEPPA</t>
  </si>
  <si>
    <t>ALZIRA DO ROCIO CRISPIM DOS SANTOS 01570202907</t>
  </si>
  <si>
    <t>AMABILIM LAIANE FERREIRA GOMES 49094266806</t>
  </si>
  <si>
    <t>ANA BABY CONFECÇÕES LTDA</t>
  </si>
  <si>
    <t>ANA CAROLINA SCHUMACKER 07693945903</t>
  </si>
  <si>
    <t>ANA CASSIA SOARES DA SILVA</t>
  </si>
  <si>
    <t>ANA CELIA PEREIRA SANTOS ME</t>
  </si>
  <si>
    <t>ANA CLAUDIA ALVES SAMPAIO</t>
  </si>
  <si>
    <t>ANA LILIANE VIDAL DA SILVA</t>
  </si>
  <si>
    <t>ANA MARIA RABELO E SILVA</t>
  </si>
  <si>
    <t>ANA PAULA DOS SANTOS COSMÉTICOS ME</t>
  </si>
  <si>
    <t>ANALU CONFECCOES E CALCADOS LTDA</t>
  </si>
  <si>
    <t>ANDERSON GRANJA PALOMINO 70812207114</t>
  </si>
  <si>
    <t>ANDERSON R. DA CUNHA FRANCA</t>
  </si>
  <si>
    <t>ANDRE COMERCIO DE CALCADOS LTDA</t>
  </si>
  <si>
    <t>ANDRE SANCHES BARROSO</t>
  </si>
  <si>
    <t>ANDRESON COMERCIO DE ROUPAS LTDA</t>
  </si>
  <si>
    <t>ANDRESSA G ABREU CALCADOS LTDA</t>
  </si>
  <si>
    <t>ANGELA MARIA DOS SANTOS FERREIRA - CPF: 041.421.746-22</t>
  </si>
  <si>
    <t>ANNA BELLA CALCADOS   LTDA</t>
  </si>
  <si>
    <t>ANTONIA LUCINEIDE A MORIM</t>
  </si>
  <si>
    <t>ANTONIA MARINS DOS REIS E CIA LTDA</t>
  </si>
  <si>
    <t>ANTONIA OSIMAR ALVES - ME</t>
  </si>
  <si>
    <t>ANTONIO ADILSON VILARINO LEAL</t>
  </si>
  <si>
    <t>ANTONIO DULIO RAMOS ALMEIDA</t>
  </si>
  <si>
    <t>ANTONIO MARIANO SILVA 00831885335</t>
  </si>
  <si>
    <t>ANTONIO MARQUES DE FREITAS LTDA</t>
  </si>
  <si>
    <t>APARECIDA ARROIO DAVD</t>
  </si>
  <si>
    <t>APARECIDA BERNARDETTI HENRICHS MAYER</t>
  </si>
  <si>
    <t>AQUARELA MODA INFANTIL LTDA</t>
  </si>
  <si>
    <t>AQUEME PEREIRA LIMA GUEDES 05705435681</t>
  </si>
  <si>
    <t>ARANI DOS SANTOS BARBOSA</t>
  </si>
  <si>
    <t>ARAUJO MODAS LTDA ME</t>
  </si>
  <si>
    <t>ARAUJO PRESENTES LTDA ME</t>
  </si>
  <si>
    <t>ARAUJO SILVEIRA COMERCIO DE CALCADOS LTDA</t>
  </si>
  <si>
    <t>ARCO IRIS BABY LTDA</t>
  </si>
  <si>
    <t>ARCOLINO RICARDO TURATTO</t>
  </si>
  <si>
    <t>ARLETE SOUZA PINA 28259224801</t>
  </si>
  <si>
    <t>ARMANDINHO CALCADOS DE UBATUBA LTDA ME</t>
  </si>
  <si>
    <t>ARRASADAO CALCADOS LTDA ME</t>
  </si>
  <si>
    <t>ART CALCADOS CALDAS NOVA LTDA</t>
  </si>
  <si>
    <t>ARYATTHE RODRIGUES DA SILVA</t>
  </si>
  <si>
    <t>ASTORCALCE LTDA EPP</t>
  </si>
  <si>
    <t>AURORA FRANCISCA MACHADO</t>
  </si>
  <si>
    <t>AZ CALCADOS LTDA</t>
  </si>
  <si>
    <t>B B COMERCIO  DE CALCADOS  LTDA</t>
  </si>
  <si>
    <t>B C FROTA</t>
  </si>
  <si>
    <t>B F DANTAS LTDA</t>
  </si>
  <si>
    <t>B.G.XAVIER</t>
  </si>
  <si>
    <t>B.L.CALCADOS E CONF.LTDA</t>
  </si>
  <si>
    <t>BAKRI CONFECCOES LTDA EPP</t>
  </si>
  <si>
    <t>BAMBINOS DE LUXO COMERCIO DO VESTUARIO INFANTIL E INFANTO-JUVENIL LTDA</t>
  </si>
  <si>
    <t>BARBARA CRISTINA MARQUES DA SILVA CALCADOS M.E</t>
  </si>
  <si>
    <t>BARRETO CALCADOS LTDA-ME</t>
  </si>
  <si>
    <t>BATAGLION COMERCIO LTDA</t>
  </si>
  <si>
    <t>BAZAR LIMA E ANTUNES LTDA.</t>
  </si>
  <si>
    <t>BEBE &amp; CIA ARTIGOS INFANTIS LTDA</t>
  </si>
  <si>
    <t>BELA BABY MODA INFANTIL LTDA</t>
  </si>
  <si>
    <t>BELANDA &amp; CIA LTDA ME</t>
  </si>
  <si>
    <t>BELLE COMERCIO VAREJISTA DE CALCADOS LTDA</t>
  </si>
  <si>
    <t>BELLO PASSO COMERCIO DE CALCADOS LTDA</t>
  </si>
  <si>
    <t>BENEDITO A. DE OLIVEIRA ELIAS FAUSTO</t>
  </si>
  <si>
    <t>BENEILSON PASSOS DA SILVA 80290132304</t>
  </si>
  <si>
    <t>BENJAMIN DOUGLAS VITORINO COSME  CIA LTDA</t>
  </si>
  <si>
    <t>BENTO CALCADOS LTDA</t>
  </si>
  <si>
    <t>BERNAN VIEIRA OLIVEIRA AFONSO</t>
  </si>
  <si>
    <t>BERNARDELLI &amp; MARTINS LTDA</t>
  </si>
  <si>
    <t>BETTH MELO CALCADOS LTDA</t>
  </si>
  <si>
    <t>BEZERRA &amp; BEZERRA CONFECCOES LTDA ME</t>
  </si>
  <si>
    <t>BIBI KIDS COM DE ROUPAS LTDA</t>
  </si>
  <si>
    <t>BIG BOX COMERCIO DE CAMA MESA E BANHO LTDA</t>
  </si>
  <si>
    <t>BOM GOSTO CONFECCOES LTDA</t>
  </si>
  <si>
    <t>BOM PASSO COMERCIO DE CALCADOS EIRELI</t>
  </si>
  <si>
    <t>BOMFIM E ALVES COMÉRCIO DE CALCADOS LTDA</t>
  </si>
  <si>
    <t>BRICIA CALCADOS LTDA</t>
  </si>
  <si>
    <t>BRUIN E BRUIN CONFECCOES E CALCADOS LTDA</t>
  </si>
  <si>
    <t>BRUNA CAROLINA TARREGA GONCALVES 33687225810</t>
  </si>
  <si>
    <t>BRUNA DA SILVA VERAS</t>
  </si>
  <si>
    <t>BRUNA PIRES MIRANDA ESPINOZA 03147162117</t>
  </si>
  <si>
    <t>BRUNA STEPHANE FERREIRA SANCHES</t>
  </si>
  <si>
    <t>BUSQUETTI &amp; MELO LTDA</t>
  </si>
  <si>
    <t>BUT BUT COM. E CONFECCOES LTDA</t>
  </si>
  <si>
    <t>C J R PRIMO</t>
  </si>
  <si>
    <t>C R KOURY SILVA COM DE VESTUARIO EIRELI</t>
  </si>
  <si>
    <t>C R S ARAGÃO</t>
  </si>
  <si>
    <t>C V S LIMA</t>
  </si>
  <si>
    <t>C W N MAGALHAES EIRELI</t>
  </si>
  <si>
    <t>C. C. AVELAR- ME</t>
  </si>
  <si>
    <t>C. L. LIMA DE ALMEIDA COMERCIO E SERVICOS - ME</t>
  </si>
  <si>
    <t>C. M. P. FONSECA-ME</t>
  </si>
  <si>
    <t>C. R. BANDEIRA - EPP</t>
  </si>
  <si>
    <t>C. S. FARIAS COMERCIO DE CALCADOS LTDA</t>
  </si>
  <si>
    <t>CAIO CESAR DE CAMPOS 34504856875</t>
  </si>
  <si>
    <t>CALCADOS BIRIGUI LTDA</t>
  </si>
  <si>
    <t>CALCADOS BOM PASSO LTDA-ME</t>
  </si>
  <si>
    <t>CALCADOS CABRINE LTDA</t>
  </si>
  <si>
    <t>CALCADOS DOIS IRMAOS LTDA</t>
  </si>
  <si>
    <t>CALCADOS E CONFECCOES MADAM LTDA</t>
  </si>
  <si>
    <t>CALCADOS E CONFECCOES PEDRO II LTDA</t>
  </si>
  <si>
    <t>CALCADOS E CONFECCOES PRIMAVERA LTDA</t>
  </si>
  <si>
    <t>CALCADOS E CONFECCOES SAO FRANCISCO LTDA</t>
  </si>
  <si>
    <t>CALCADOS GAVEA LTDA.</t>
  </si>
  <si>
    <t>CALCADOS JANAINA</t>
  </si>
  <si>
    <t>CALCADOS MAR PAULISTA LTDA-ME</t>
  </si>
  <si>
    <t>CALCADOS MOURÃO LTDA ME</t>
  </si>
  <si>
    <t>CALCADOS NACIONAL LTDA.</t>
  </si>
  <si>
    <t>CALCADOS REIS LTDA</t>
  </si>
  <si>
    <t>CALCADOS VEGA LTDA</t>
  </si>
  <si>
    <t>CALVISA CALC E BOLSAS LTDA ME</t>
  </si>
  <si>
    <t>CALÇADOS BABUSKA DE BACAXA LTDA</t>
  </si>
  <si>
    <t>CALÇADOS MONTEIRO LTDA</t>
  </si>
  <si>
    <t>CAMILA FRANKEN 03435136090 - ME</t>
  </si>
  <si>
    <t>CAMILA SILVA RADIGHIERI - ME</t>
  </si>
  <si>
    <t>CANDIDO CALCADOS LTDA</t>
  </si>
  <si>
    <t>CARDIN &amp; TONIOL CARDIN LTDA</t>
  </si>
  <si>
    <t>CARLA DANIELA DE MENEZES FERREIRA CANUTO</t>
  </si>
  <si>
    <t>CARLOS EDUARDO CAIXETA DE CASTRO E CIA. LTDA - ME</t>
  </si>
  <si>
    <t>CAROLINE SALES MOREIRA</t>
  </si>
  <si>
    <t>CARVALHO E PINTO LTDA</t>
  </si>
  <si>
    <t>65 NEIRON LUZ REPRESENTAÇÃO EIRELI</t>
  </si>
  <si>
    <t>CASA BAGANCA SR LTDA</t>
  </si>
  <si>
    <t>CASA CELIA LTDA</t>
  </si>
  <si>
    <t>CASA PEPE DE CALCADOS LTDA</t>
  </si>
  <si>
    <t>CASA RENATO LTDA - ME</t>
  </si>
  <si>
    <t>CASILDA ARGUELLO RAMIREZ 70463399102</t>
  </si>
  <si>
    <t>CASTELAO INDUSTRIA E COMERCIO DE CONFECCOES LTDA</t>
  </si>
  <si>
    <t>CATIANE APARECIDA CONCEICAO  DOS SANTOS</t>
  </si>
  <si>
    <t>CAUSAR MODAS LTDA</t>
  </si>
  <si>
    <t>CAZAC GOMES  DOMINGUES ARTIGOS INFANTIS LTDA</t>
  </si>
  <si>
    <t>CBL COM DE CALCADOS LTDA</t>
  </si>
  <si>
    <t>CELINA DAS GRACAS SILVA ME</t>
  </si>
  <si>
    <t>CELINA LUANA MACEDO DE MELO SILVA</t>
  </si>
  <si>
    <t>CENTER GREGIO LTDA</t>
  </si>
  <si>
    <t>CENTER SHOES COM DE CALCADOS E ACESS LTDA</t>
  </si>
  <si>
    <t>CERQUEIRA &amp; PRIMO LTDA</t>
  </si>
  <si>
    <t>CHALANA CONFECCOES LTDA</t>
  </si>
  <si>
    <t>CHARME MODAS LTDA</t>
  </si>
  <si>
    <t>CHRISTIAN R DOS SANTOS</t>
  </si>
  <si>
    <t>CHRISTIANO DE SOUSA SANTINI</t>
  </si>
  <si>
    <t>CIDARA CONFECCOES LTDA</t>
  </si>
  <si>
    <t>CINELANDIA CALCADOS E CONFECCOES LTDA</t>
  </si>
  <si>
    <t>CINTIA LADY ANNE NASCIMENTO VIEIRA DA SILVA 37106047880</t>
  </si>
  <si>
    <t>CLARA S MODA INFANTIL LTDA</t>
  </si>
  <si>
    <t>CLARICE RISSO FERRI</t>
  </si>
  <si>
    <t>CLASSICO CALCADOS LTDA</t>
  </si>
  <si>
    <t>CLAUDENOR JOSSE DE MATOS</t>
  </si>
  <si>
    <t>CLAUDIA APARECIDA NUNES SOUSA ME</t>
  </si>
  <si>
    <t>CLAUDIA REGINA AGUIAR PAES</t>
  </si>
  <si>
    <t>CLAUDIA SANTOS GUIMARAES DIAS 01147386536</t>
  </si>
  <si>
    <t>CLAUDIO HEITOR OLIVEIRA BRINGEL MAIA</t>
  </si>
  <si>
    <t>CLAUDIO SANTOS DA FONSECA ME</t>
  </si>
  <si>
    <t>CLAUDIONE REIS NASCIMENTO 83109560291</t>
  </si>
  <si>
    <t>CLELIA MARIA RIOS GONCALVES</t>
  </si>
  <si>
    <t>CLENICE GEFFER SALVALAIO</t>
  </si>
  <si>
    <t>CLESE VIANA DE ARAUJO</t>
  </si>
  <si>
    <t>CLEUSA HELENA DE SOUSA VAREJISTA DE VESTUARIO</t>
  </si>
  <si>
    <t>COLIN CALÇADOS E ACESSORIOS LTDA</t>
  </si>
  <si>
    <t>COLOMBO COMERCIO DE CALCADOS LTDA</t>
  </si>
  <si>
    <t>COMERCIAL 3 IRMAS LTDA</t>
  </si>
  <si>
    <t>COMERCIAL ANA CALCADOS E CONFECCOES LTDA</t>
  </si>
  <si>
    <t>COMERCIAL DE CALCADOS CARTEGIANY</t>
  </si>
  <si>
    <t>COMERCIAL DE CALCADOS MARA ROSA LTDA</t>
  </si>
  <si>
    <t>COMERCIAL DE CALCADOS PORTO FOLHENSE LTDA ME</t>
  </si>
  <si>
    <t>COMERCIAL DE CALCADOS RC BARBOSA LTDA</t>
  </si>
  <si>
    <t>COMERCIAL DE CALCADOS SIMAO DIAS LTDA EPP</t>
  </si>
  <si>
    <t>COMERCIAL DE SECOS E MOLHADOS DAL POZZO LTDA</t>
  </si>
  <si>
    <t>COMERCIAL FX CALCADOS</t>
  </si>
  <si>
    <t>COMERCIAL IMPERIO DECOR LTDA</t>
  </si>
  <si>
    <t>COMERCIAL RALLE DE CALCADOS E CONFECCOES LTDA</t>
  </si>
  <si>
    <t>COMERCIAL SAO LUCAS LTDA - EPP</t>
  </si>
  <si>
    <t>COMERCIO DE CALCADOS BELO LTDA EPP</t>
  </si>
  <si>
    <t>COMERCIO DE CALCADOS E ESPORTIVOS SAO LUCAS LTDA</t>
  </si>
  <si>
    <t>COMERCIO DE CALCADOS GOMES E GONCALVES LTDA</t>
  </si>
  <si>
    <t>COMERCIO DE CONFECCOES E ELETRODOMESTICOS CRISPIM LTDA</t>
  </si>
  <si>
    <t>COMERCIO DE TECIDOS E CALCADOS ASSEF LTDA</t>
  </si>
  <si>
    <t>COMERCIO DE TECIDOS OURO VERDE LTDA</t>
  </si>
  <si>
    <t>CONEXAO CALCADOS E CONFECCOES LTDA</t>
  </si>
  <si>
    <t>CONFECCAO VITRINE POPULAR EIRELI</t>
  </si>
  <si>
    <t>CONFECCOES BEIRA LAGO LTDA</t>
  </si>
  <si>
    <t>CONFECCOES E BIJOUTERIAS PEQUENA DE OURO LTDA EPP</t>
  </si>
  <si>
    <t>CONFECCOES SUPER SY LTDA</t>
  </si>
  <si>
    <t>CONFIANCA CALCADOS E CONFECCOES LTDA</t>
  </si>
  <si>
    <t>CONTACTO PRIMAZIA EM MODAS LTDA</t>
  </si>
  <si>
    <t>CORDEIRO CALCADOS LTDA</t>
  </si>
  <si>
    <t>CORUJINHAS MODA INFANTIL LTDA</t>
  </si>
  <si>
    <t>COSTA OLIVEIRA E OLIVEIRA LTDA</t>
  </si>
  <si>
    <t>CRAQUE DE OURO MATERIAL ESPORTIVO E CALÇADOS LTDA</t>
  </si>
  <si>
    <t>CRESCER MODA INFANTO JUVENIL LTDA - EPP</t>
  </si>
  <si>
    <t>CREUSA ERODINA DE MELO</t>
  </si>
  <si>
    <t>CRIS CALCADOS LTDA</t>
  </si>
  <si>
    <t>CRISLARA MUL LTDA</t>
  </si>
  <si>
    <t>CRISTHI BABY MODAS LTDA</t>
  </si>
  <si>
    <t>CRISTIANE DO NASCIMENTO FOO</t>
  </si>
  <si>
    <t>CRISTIANE FERNANDES DA CRUZ</t>
  </si>
  <si>
    <t>CRISTINA  H YOSHIDA FERREIRA</t>
  </si>
  <si>
    <t>CRISTINA CALÇADOS  ACESSORIOS LTDA</t>
  </si>
  <si>
    <t>CRISTOVAM RUBE DE A LEITE</t>
  </si>
  <si>
    <t>CRUZ &amp; SOARES LTDA - ME</t>
  </si>
  <si>
    <t>CURVELO FASHION BABY</t>
  </si>
  <si>
    <t>CYNTHYA CALCADOS LTDA</t>
  </si>
  <si>
    <t>Comercio de Confeçcões Gicele LTDA</t>
  </si>
  <si>
    <t>D &amp; A MAGAZINE LTDA ME</t>
  </si>
  <si>
    <t>D &amp; D MAGAZINE MULTIMARCAS LTDA</t>
  </si>
  <si>
    <t>D E T COM DE PROD INFANTIS LTDA</t>
  </si>
  <si>
    <t>D EVERTON BASTOS-ME</t>
  </si>
  <si>
    <t>D G DE ABREU - ME</t>
  </si>
  <si>
    <t>D L F DE SOUZA COMERCIO DE ROUPAS</t>
  </si>
  <si>
    <t>D R CALCADOS E ARTIGOS ESPORTIVOS LTDA</t>
  </si>
  <si>
    <t>D S DE FREITAS COMERCIO EPP</t>
  </si>
  <si>
    <t>D. DAL MAGRO</t>
  </si>
  <si>
    <t>DAIANE INACIA ANSELMO</t>
  </si>
  <si>
    <t>DAIANE TEREZINHA TEIXEIRA LTDA</t>
  </si>
  <si>
    <t>DALOMA CALCADOS LTDA</t>
  </si>
  <si>
    <t>DALVESCO COMERCIO DE CALCADOS E CONFECCOES LTDA</t>
  </si>
  <si>
    <t>DANIELA BUSO BADARO 31209554852</t>
  </si>
  <si>
    <t>DAULIRIA MARIA DE ARAUJO</t>
  </si>
  <si>
    <t>DAVI BEKA COMERCIO DE CALCADOS INFANTIS LTDA ME</t>
  </si>
  <si>
    <t>DAVID FRANCO SALLES &amp; CIA LTDA ME</t>
  </si>
  <si>
    <t>DE ARAUJO &amp; GONCALVES DISTRIBUIDORA DE CALCADOS LTDA</t>
  </si>
  <si>
    <t>DE CHICO &amp; CARMINATTI LTDA</t>
  </si>
  <si>
    <t>DEBORA FERREIRA DA COSTA</t>
  </si>
  <si>
    <t>DEBORA SPINOLA SOARES LTDA</t>
  </si>
  <si>
    <t>DEFATO KIDS ROUPAS E ACESSORIOS INFANTIS LTDA ME</t>
  </si>
  <si>
    <t>DEISE DE ALMEIDA CORDEIRO</t>
  </si>
  <si>
    <t>DEIVD NOVAIS FONTES ME</t>
  </si>
  <si>
    <t>DELIZANDRA ROCHINSKI RODRIGUES 03542792977</t>
  </si>
  <si>
    <t>DEMILSON MONTEIRO DA SILVA EIRELI</t>
  </si>
  <si>
    <t>DEMISON GUIMARAES DE OLIVEIRA ME</t>
  </si>
  <si>
    <t>DGM COMERCIO DE CALCADOS LTDA</t>
  </si>
  <si>
    <t>DIANA LOPES DA SILVA</t>
  </si>
  <si>
    <t>DIEGO DIAS RODRIGUES &amp; CIA LTDA</t>
  </si>
  <si>
    <t>DILSON BORGES DE MIRANDA UNIPESSOAL LTDA</t>
  </si>
  <si>
    <t>DINAMICA COMERCIO DE CALCADOS LTDA ME</t>
  </si>
  <si>
    <t>DIONATAN DA ROSA FERREIRA</t>
  </si>
  <si>
    <t>DIONEIA P DE MOURA</t>
  </si>
  <si>
    <t>DIROFERSON LTDA</t>
  </si>
  <si>
    <t>DISTRIBUIDORA DE CALCADOS CENTRAL</t>
  </si>
  <si>
    <t>DIVANIO GONCALVES RIOS &amp; CIA. LTDA.</t>
  </si>
  <si>
    <t>DIVINO AUGUSTO DA SILVA &amp; CIA LTDA ME</t>
  </si>
  <si>
    <t>DJ MODAS FASHION LTDA</t>
  </si>
  <si>
    <t>DJACI BATISTA CALCADOS ME</t>
  </si>
  <si>
    <t>DLENE G. DA SILVA</t>
  </si>
  <si>
    <t>DM CONFECCOES EIRELI ME</t>
  </si>
  <si>
    <t>DONIZETE QUIRINO DOS SANTOS</t>
  </si>
  <si>
    <t>DORACI MADELLA FURLAN ME</t>
  </si>
  <si>
    <t>DOS SANTOS  COSME LTDA</t>
  </si>
  <si>
    <t>DOUGLAS DA CRUZ MONTEIRO LTDA</t>
  </si>
  <si>
    <t>DOUGLAS SOUZA DE CARVALHO 02435583176</t>
  </si>
  <si>
    <t>DUARTE E AGRA LTDA ME</t>
  </si>
  <si>
    <t>E CARVALHO DA SILVA</t>
  </si>
  <si>
    <t>E DE OLIVEIRA CONFECCOES ME</t>
  </si>
  <si>
    <t>E GOMES ARAUJO ME</t>
  </si>
  <si>
    <t>E. F. MONTEIRO- ME</t>
  </si>
  <si>
    <t>E.C. DOS ANJOS</t>
  </si>
  <si>
    <t>E.C.BATRICHE - ME</t>
  </si>
  <si>
    <t>EDERSON OLIVEIRA PERES 05895493084</t>
  </si>
  <si>
    <t>EDI TERESINHA ALMEIDA DOS SANTOS</t>
  </si>
  <si>
    <t>EDIANE GOMES BARBOSA</t>
  </si>
  <si>
    <t>EDICLEIA VIEIRA DA SILVA LIMA</t>
  </si>
  <si>
    <t>EDILANIA LIMA ANDRADE PEREIRA</t>
  </si>
  <si>
    <t>EDIMAR ANTONIO LIMA CONFECCOES - ME</t>
  </si>
  <si>
    <t>EDINARYA KELANYA DOS SANTOS</t>
  </si>
  <si>
    <t>EDINIR PADOVANI ME</t>
  </si>
  <si>
    <t>EDJAN MENDES SANTOS</t>
  </si>
  <si>
    <t>EDNEI SANTOS SILVA DE ITAGI</t>
  </si>
  <si>
    <t>EDUARDO ANDRE NIMTZ</t>
  </si>
  <si>
    <t>EDUARDO BRÁS DE LIMA</t>
  </si>
  <si>
    <t>EDUARDO CASA</t>
  </si>
  <si>
    <t>EDVALDO REIS CONCICAO 71972544268</t>
  </si>
  <si>
    <t>EDVANIA VANESSA CORREIA DA SILVA</t>
  </si>
  <si>
    <t>ELAINE CRISTINA ROSSI RODRIGUES 03516668938</t>
  </si>
  <si>
    <t>ELAINE DE JESUS DOS SANTOS ME</t>
  </si>
  <si>
    <t>ELAINE SILVA MOTA BARROS 00075572133</t>
  </si>
  <si>
    <t>ELCINETE NOGUEIRA DA SILVA BENTES</t>
  </si>
  <si>
    <t>ELCIO FRANCISCO PINTO - 45351112949</t>
  </si>
  <si>
    <t>ELDA AZEVEDO GUERRA</t>
  </si>
  <si>
    <t>ELETRONUNES MÓVEIS ELETRO LTDA</t>
  </si>
  <si>
    <t>ELEXANDRA LINGUANOTE DA SILVA 81026773172</t>
  </si>
  <si>
    <t>ELI &amp; HOFFMANN LTDA</t>
  </si>
  <si>
    <t>ELIANA SILVA PRADO BRAGA</t>
  </si>
  <si>
    <t>ELIANE RUBENSZTAJN ME</t>
  </si>
  <si>
    <t>ELIETE SUELI PASCHOAL ME</t>
  </si>
  <si>
    <t>ELISMAR DOS SANTOS SOUZA 89380185200</t>
  </si>
  <si>
    <t>ELISOMAR GEMAQUE DE CASTRO 44988516253</t>
  </si>
  <si>
    <t>ELISSA REZENDE SILVA ME</t>
  </si>
  <si>
    <t>ELIT'S CALCADOS LTDA - ME</t>
  </si>
  <si>
    <t>ELIZANGELA DA SILVA JUNIOR SPIAZZI COMERCIO DE CONFECCOES</t>
  </si>
  <si>
    <t>ELIZIANA E PORTO CALCADOS LTDA</t>
  </si>
  <si>
    <t>ELOIR LUIS STRIEDER</t>
  </si>
  <si>
    <t>ELTA MARIA DOS SANTOS</t>
  </si>
  <si>
    <t>ELVIRA CONCEIÇÃO MARQUES DA SILVA EIRELI</t>
  </si>
  <si>
    <t>EMILIA HOLANDA DE PAIVA - ME</t>
  </si>
  <si>
    <t>EMILIANNA LETYCIA CRISTIAN DA COSTA SILVA - ME</t>
  </si>
  <si>
    <t>ENCANTO BABY E KIDS LTDA</t>
  </si>
  <si>
    <t>ENE CALCADOS LTDA</t>
  </si>
  <si>
    <t>ENTRE ELAS CALCADOS E ACESSORIOS FEMININOS LTDA</t>
  </si>
  <si>
    <t>ERALDO MAGAZINE LTDA ME</t>
  </si>
  <si>
    <t>ERICA GIMONSKI 27371371879</t>
  </si>
  <si>
    <t>ERIKA ISABELA BARROS DA SILVA ME</t>
  </si>
  <si>
    <t>ERNANE FROES MAIA</t>
  </si>
  <si>
    <t>ERNANE MIRANDA SANTANA</t>
  </si>
  <si>
    <t>ERNANI JOAO BRUSIUS</t>
  </si>
  <si>
    <t>ESPACO NOBRE LTDA</t>
  </si>
  <si>
    <t>ESSENCE MODAS E CONFECCOES LTDA</t>
  </si>
  <si>
    <t>ESTACOES VESTUARIO LTDA</t>
  </si>
  <si>
    <t>ESTILO CALCADOS LTDA</t>
  </si>
  <si>
    <t>EUCLECIA DE SOUZA ALVES</t>
  </si>
  <si>
    <t>EUNER BERGER</t>
  </si>
  <si>
    <t>EURIDES SOUZA ALENCAR</t>
  </si>
  <si>
    <t>EVANDRO LEAL BITENCOURT</t>
  </si>
  <si>
    <t>EVANELI TERESINHA HOLZ 66619076068</t>
  </si>
  <si>
    <t>EVELTON JAIR SCHMITT</t>
  </si>
  <si>
    <t>EVELYN DE SOUZA SAGAS 10337351910</t>
  </si>
  <si>
    <t>EVERALDO RODRIGUES DIAS  CIA LTDA</t>
  </si>
  <si>
    <t>EVERTON DA SILVA COUTO 11679766732</t>
  </si>
  <si>
    <t>EXPRESSAO CALCADOS LTDA.</t>
  </si>
  <si>
    <t>F &amp; C CALÇADOS DE PADUA LTDA</t>
  </si>
  <si>
    <t>F &amp; H MODA INFANTIL LTDA - EPP</t>
  </si>
  <si>
    <t>F F NOGUEIRA COMERCIO ATACADISTA DE CALCADOS LTDA</t>
  </si>
  <si>
    <t>F F NOGUEIRA COMERCIO E REPRESENTACAOS LTDA</t>
  </si>
  <si>
    <t>F K E MODA INFANTIL LTDA</t>
  </si>
  <si>
    <t>F W DE ALENCAR BARROS CALCADOS</t>
  </si>
  <si>
    <t>F. C. BONFIM</t>
  </si>
  <si>
    <t>F. E. DO NASCIMENTO</t>
  </si>
  <si>
    <t>F.DA MOTA CASTRO</t>
  </si>
  <si>
    <t>FABIANA COSTA MULINI 41801629897</t>
  </si>
  <si>
    <t>FABIANA ECLESTONE</t>
  </si>
  <si>
    <t>KIDY BIRIGUI CALCADOS IND COM LTDA.(KIDY)</t>
  </si>
  <si>
    <t>FABIANA SANTOS COSTA 04274419517</t>
  </si>
  <si>
    <t>FABIO PIROPO LEOPOLDINO 28105235846</t>
  </si>
  <si>
    <t>FABIO SEGATI MODAS - ME</t>
  </si>
  <si>
    <t>FADA MADRINHA CALCADOS E CONFECCOES LTDA</t>
  </si>
  <si>
    <t>FAGNA SHOES COMERCIO DE CALCADOS LTDA</t>
  </si>
  <si>
    <t>FALTA XAVIER A DA CUNHA</t>
  </si>
  <si>
    <t>FARIAS CALCADOS LTDA.</t>
  </si>
  <si>
    <t>FARINHA E FERNANDES COMERCIO DE ROUPAS E ACESSORIOS LTDA - ME</t>
  </si>
  <si>
    <t>FASHION CALCADOS LTDA</t>
  </si>
  <si>
    <t>FASHION SHOES LTDA 49748343200</t>
  </si>
  <si>
    <t>FATIMA CALCADOS LTDA</t>
  </si>
  <si>
    <t>FECAZARI CALCADOS, BOLSAS E ACESSORIOS</t>
  </si>
  <si>
    <t>FEIRAO COMERCIO E TRANSPORTE LTDA</t>
  </si>
  <si>
    <t>FELICIANO GOBBO &amp; CIA LTDA ME</t>
  </si>
  <si>
    <t>FELICISSIMA DE MELO NOVAES 13283331839</t>
  </si>
  <si>
    <t>FELIPE EIVAZIAN LTDA</t>
  </si>
  <si>
    <t>FERNANDA B G GASPARI</t>
  </si>
  <si>
    <t>FERNANDA DA CRUZ R. PEDROSO</t>
  </si>
  <si>
    <t>FERNANDA GHELLERE RONCATO</t>
  </si>
  <si>
    <t>FERNANDA MARIA DE MACEDO</t>
  </si>
  <si>
    <t>FERNANDO ABDULFATAH MAHMUD</t>
  </si>
  <si>
    <t>FERREIRA &amp; MELLO LTDA ME</t>
  </si>
  <si>
    <t>FH BRASIL IMPORTACAO E EXPORTACAO DE MANUFATURADOS EIRELI</t>
  </si>
  <si>
    <t>FILIPE CANDIDO MUNIZ DIAS ME</t>
  </si>
  <si>
    <t>FILISMINO DE SOUZA FILHO</t>
  </si>
  <si>
    <t>FILOMENA DO SOCORROPEREIRA DE SOUSA</t>
  </si>
  <si>
    <t>FISIO FITNESS ESPORTES LTDA</t>
  </si>
  <si>
    <t>FLAVIO DE OLIVEIRA BIGAO ME</t>
  </si>
  <si>
    <t>FLINN SHOES MAGAZINE LTDA</t>
  </si>
  <si>
    <t>FND CALCADOS E CONFECCOES LTDA</t>
  </si>
  <si>
    <t>FOX MODA LTDA</t>
  </si>
  <si>
    <t>FRANCIELE SCARATTI NICKORN</t>
  </si>
  <si>
    <t>FRANCIELI DA SILVA MORAIS</t>
  </si>
  <si>
    <t>FRANCISCA GOMES DE OLIVEIRA 07528811750</t>
  </si>
  <si>
    <t>FRANCISCA IRACEMA DE MORAIS</t>
  </si>
  <si>
    <t>FRANCISCO DE A L MORAES</t>
  </si>
  <si>
    <t>FRANCISCO JAIME FILHO ME</t>
  </si>
  <si>
    <t>FRANCISCO SABURO SAITO ME</t>
  </si>
  <si>
    <t>FRANLU CONFECOES E CALCADOS LTDA ME</t>
  </si>
  <si>
    <t>FRASSON MODA INFANTO JUVENIL LTDA ME</t>
  </si>
  <si>
    <t>FREITAS CENTER MODAS LTDA</t>
  </si>
  <si>
    <t>FUMI SAKUMOTO TSUDA &amp; CIA LTDA</t>
  </si>
  <si>
    <t>FUTURA GERAÇAO MODA E ACESSORIOS LTDA ME</t>
  </si>
  <si>
    <t>G L C VENTURA VESTUARIOS</t>
  </si>
  <si>
    <t>G S CALCADOS LTDA</t>
  </si>
  <si>
    <t>G.B. ROLIM - EPP</t>
  </si>
  <si>
    <t>GABRIEL RAMON DE OLIVEIRA TORRES</t>
  </si>
  <si>
    <t>GAIESKI  MODA INFANTIL LTDA EPP</t>
  </si>
  <si>
    <t>GAMA ALVES CALCADOS E CONFECCOES LTDA</t>
  </si>
  <si>
    <t>GAMA HOME CENTER LTDA - ME</t>
  </si>
  <si>
    <t>GAPH ARTIGOS DE VESTUARIO LTDA ME</t>
  </si>
  <si>
    <t>GARCIA SAO VICENTE CALCADOS LTDA ME</t>
  </si>
  <si>
    <t>GBS GILBERTO BRNADAO DE SOUZA</t>
  </si>
  <si>
    <t>GEHLEN ALEXANDRA GAMA Z ALMEIDA</t>
  </si>
  <si>
    <t>GEMA MAGAZINE LTDA.</t>
  </si>
  <si>
    <t>GEMPKA &amp; CIA LTDA</t>
  </si>
  <si>
    <t>GENI FELIX DE ALMEIDA OLIVEIRA</t>
  </si>
  <si>
    <t>GEOVANE DE SANTANA GAMA</t>
  </si>
  <si>
    <t>GERALDO AZEVEDO &amp; CIA LTDA</t>
  </si>
  <si>
    <t>GERALDO MAGELA GONCALVES 89879007700</t>
  </si>
  <si>
    <t>GERALDO UMBELINO BRITO</t>
  </si>
  <si>
    <t>GEST KIDS BRASIL LTDA</t>
  </si>
  <si>
    <t>GEYZA TUNES FERNANDES</t>
  </si>
  <si>
    <t>GIANE DE BARROS RODRIGUES - ME</t>
  </si>
  <si>
    <t>GILBERTO ASSIS GONCALVES-ME</t>
  </si>
  <si>
    <t>GILBERTO P. SALLES &amp; CIA LTDA.</t>
  </si>
  <si>
    <t>GILDA ARAUJO DE OLIVEIRA-ME</t>
  </si>
  <si>
    <t>GILMAR CESAR DROBRZONSKI</t>
  </si>
  <si>
    <t>GILVANI XAVIER GONCALO PEREIRA</t>
  </si>
  <si>
    <t>GILVANICE MERENCIO DA SILVA ME</t>
  </si>
  <si>
    <t>GIULIANA MERCIA BRITO 02008368467</t>
  </si>
  <si>
    <t>GIUMARA GOMES DA SILVA</t>
  </si>
  <si>
    <t>GIZELDA MARIA SALGUEIRO 11496690206</t>
  </si>
  <si>
    <t>GIZELE CORREA DE ALENCAR LEITE LINO 71684506115</t>
  </si>
  <si>
    <t>GLEISSE KELLY LEANDRO FREITAS DOS SANTOS 09410578442</t>
  </si>
  <si>
    <t>GLOBO COMERCIO DE CONFECCOES LTDA</t>
  </si>
  <si>
    <t>GLYNNIA MILANEZ SOARES - ME</t>
  </si>
  <si>
    <t>GNS MODAS &amp; SAPATARIA LTDA - ME</t>
  </si>
  <si>
    <t>GOIANA MULTIMARCAS E PRESENTES LTDA - ME</t>
  </si>
  <si>
    <t>GOMES CALCADOS E ACESSORIOS LTDA</t>
  </si>
  <si>
    <t>GONCALVES E GONCALVES COMERCIAL GERAL LTDA - ME</t>
  </si>
  <si>
    <t>GORINOS KIDS LTDA</t>
  </si>
  <si>
    <t>GR SANTA TEREZA COMERCIO DE MODA E ACESSORIOS INFANTIS LTDA</t>
  </si>
  <si>
    <t>GRABAT COM E CONFEC LTDA</t>
  </si>
  <si>
    <t>GRANZOTO &amp; CIA LTDA</t>
  </si>
  <si>
    <t>GRAZIELLE GUEDES FIDELIS SAMPAIO</t>
  </si>
  <si>
    <t>GRELLERT SHOES COM DE CALCADOS LTDA EPP</t>
  </si>
  <si>
    <t>GUGU DADA COM DE ARTS DE BEBE LTDA</t>
  </si>
  <si>
    <t>GUIMARAES E TOME CALCADOS LTDA - ME</t>
  </si>
  <si>
    <t>GURI E GURIA MODA INFANTIL</t>
  </si>
  <si>
    <t>H &amp; V MIRANDA LTDA</t>
  </si>
  <si>
    <t>H C A VIEIRA ME</t>
  </si>
  <si>
    <t>H D SOARES CALCADOS E CONFECCOES</t>
  </si>
  <si>
    <t>H L GOMES ME</t>
  </si>
  <si>
    <t>HABBITUS MODAS &amp; CALCADOS LTDA</t>
  </si>
  <si>
    <t>HAFIZA A.A.A ADY</t>
  </si>
  <si>
    <t>HAVANNA STORE COMERCIO DE CALCADOS E VESTUARIO LTDA</t>
  </si>
  <si>
    <t>HELLEN MOTTA MODA FEININA</t>
  </si>
  <si>
    <t>HELLEN RODRIGUES MALAQUIAS</t>
  </si>
  <si>
    <t>HELOISA NERES LOPES &amp; CIA LTDA ME</t>
  </si>
  <si>
    <t>HELTON CARVALHO BASTOS</t>
  </si>
  <si>
    <t>HEMANUELLE MENDES DE ALBUQUERQUE 05677371955</t>
  </si>
  <si>
    <t>HERMANS CALCADOS LTDA</t>
  </si>
  <si>
    <t>HILARIO CARLOS RODRIGUES-ME</t>
  </si>
  <si>
    <t>HILDA LOPES DA SILVA CPF 604722006-15 - ME</t>
  </si>
  <si>
    <t>HIRA KARLA PRIMO LTDA</t>
  </si>
  <si>
    <t>HLF MODA INFANTIL LTDA</t>
  </si>
  <si>
    <t>HUDSON CARLOS DE SOUZA &amp; CIA. LTDA.</t>
  </si>
  <si>
    <t>HUMBERTO MARINHO DE SOUZA ME</t>
  </si>
  <si>
    <t>I C DO CARMO ME</t>
  </si>
  <si>
    <t>I R S CALCADOS ME</t>
  </si>
  <si>
    <t>I. C. C. CANTO</t>
  </si>
  <si>
    <t>I. C. LIMA &amp; LIMA COMÉRCIO DE CALCADOS LTDA</t>
  </si>
  <si>
    <t>I. DO C DE OLIVEIRA COMERCIO DE CALÇADOS E ACESSORIOS</t>
  </si>
  <si>
    <t>I.D ROCHA IMP. E EXP. EIRELI</t>
  </si>
  <si>
    <t>IBRAHIM SAADALLAH OJAIMY ME</t>
  </si>
  <si>
    <t>IDERALDO BELTRAME LAIA</t>
  </si>
  <si>
    <t>ILVANETE DE ABREU COSTA 06911103797</t>
  </si>
  <si>
    <t>IMPERIO COMERCIO DE CALCADOS LTDA</t>
  </si>
  <si>
    <t>IMPORIUM BANDEIRANTES COMERCIO VAREJISTA DE MOVEIS E ELETRODOMESTICOS EIRELI</t>
  </si>
  <si>
    <t>INGRID LARYSSA NEVES DA COSTA 10868629456</t>
  </si>
  <si>
    <t>INTER MAGAZINE SOCIEDADE UNIPESSOAL LTDA</t>
  </si>
  <si>
    <t>IRACI DIAS ANDRADE</t>
  </si>
  <si>
    <t>IRENE CASTILHO - 41977181953</t>
  </si>
  <si>
    <t>IRENE NOGUEIRA MORATO GOMES SIMPLES PE</t>
  </si>
  <si>
    <t>IRINEO CHOQUE LIMACHI 23215034832</t>
  </si>
  <si>
    <t>IRINEU WEIWANKOE CIA LTDA</t>
  </si>
  <si>
    <t>IRMAS RODRIGUES CALCADOS LTDA</t>
  </si>
  <si>
    <t>ISABEL CRISTINA NOLETO GUTERRE</t>
  </si>
  <si>
    <t>ISABELLE COMÉRCIO DE ARTIGOS INFANTIS LTDA</t>
  </si>
  <si>
    <t>ISMAEL AHMAD</t>
  </si>
  <si>
    <t>ITA SHOES EIRELI</t>
  </si>
  <si>
    <t>ITAMARAJU CALCADOS E CONFECCOES LTDA</t>
  </si>
  <si>
    <t>ITANEI JOSE DE OLIVEIRA</t>
  </si>
  <si>
    <t>ITAPORANGA COMERCIO DE CALCADOS LTDA</t>
  </si>
  <si>
    <t>IVANETE FRANCA DE MENEZES 60547386311</t>
  </si>
  <si>
    <t>IVANI TEREZINHA JACOVICH PEREZ - ME</t>
  </si>
  <si>
    <t>IVANIR RODRIGUES DE DEUS CALCADOS LTDA - ME</t>
  </si>
  <si>
    <t>IVONE CLAIR THIEMANN DE FREITAS 30961394072</t>
  </si>
  <si>
    <t>IVONETE ANTONIO GONCALVES</t>
  </si>
  <si>
    <t>IZABEL CRISTINA AMPARO DOS SANTOS 00517299542</t>
  </si>
  <si>
    <t>IZABELA RODRIGUES DE MORAIS FERREIRA ME</t>
  </si>
  <si>
    <t>J A CONFECCOES LTDA</t>
  </si>
  <si>
    <t>J A DA SILVA CALCADOS</t>
  </si>
  <si>
    <t>J A PINTO ME</t>
  </si>
  <si>
    <t>J B DE ARAUJO FILHO - ME</t>
  </si>
  <si>
    <t>J B DINAMICA COMERCIAL LTDA</t>
  </si>
  <si>
    <t>J BISPO DOS SANTOS ME</t>
  </si>
  <si>
    <t>J D N SOUZA CALCADOS E BOLSAS</t>
  </si>
  <si>
    <t>J F CALCADOS LTDA</t>
  </si>
  <si>
    <t>J F FERREIRA VESTUARIOS</t>
  </si>
  <si>
    <t>J J G PEDROSA LTDA</t>
  </si>
  <si>
    <t>J L SANTOS LTDA</t>
  </si>
  <si>
    <t>J R SANTOS COM VARESJISTA ME</t>
  </si>
  <si>
    <t>J VILEBALDO MAGALHAES - ME</t>
  </si>
  <si>
    <t>J. E. ALMEIDA CONFECCOES - ME</t>
  </si>
  <si>
    <t>J. JACURU ARTEZANATO</t>
  </si>
  <si>
    <t>J. P. BIRCK HORST LTDA</t>
  </si>
  <si>
    <t>J.C.DE SIQUEIRA-ME</t>
  </si>
  <si>
    <t>J.D.A. CALCADOS E CONFECCOES LTDA-ME</t>
  </si>
  <si>
    <t>J.D.F PRESENTES LTDA ME</t>
  </si>
  <si>
    <t>J.E. PEREIRA SILVA CALC. SIMPLES PE</t>
  </si>
  <si>
    <t>JACKELINE DE FREITAS LTDA</t>
  </si>
  <si>
    <t>JACKSON BRAGA DE MIRANDA ME</t>
  </si>
  <si>
    <t>JAILSON DO CARMOS SANTOS ME</t>
  </si>
  <si>
    <t>JAIME LUIZ KLEIN &amp; CIA LTDA</t>
  </si>
  <si>
    <t>JAIR BELTRAMINI &amp; CIA LTDA</t>
  </si>
  <si>
    <t>JAIR JOSE BOTTON SCOLARI ME</t>
  </si>
  <si>
    <t>JAIRENE SILVA SOUSA EIRELI</t>
  </si>
  <si>
    <t>JAIRLE DE SOUSA BARROS DE MIRANDA 03496934204</t>
  </si>
  <si>
    <t>JAIRO SOARES DARIO</t>
  </si>
  <si>
    <t>JALI CALCADOS E ACESSÓRIOS LTDA ME</t>
  </si>
  <si>
    <t>JANAINE BARBOSA SILVA ME</t>
  </si>
  <si>
    <t>JANE CRISTINA PEREIRA PIMENTA 29726569893</t>
  </si>
  <si>
    <t>JANNETE MARIA TEIXEIRA VARAO FREITAS</t>
  </si>
  <si>
    <t>JCLJP COMERCIO LTDA</t>
  </si>
  <si>
    <t>JEAN CARLOS CHAVES GONCALVES</t>
  </si>
  <si>
    <t>JEDEAO RIBEIRO DA SILVA ME</t>
  </si>
  <si>
    <t>JESSICA DE JESUS SANTOS 07383076532</t>
  </si>
  <si>
    <t>JESSICA DE OLIVEIRA PEREIRA-ME</t>
  </si>
  <si>
    <t>JESSICA DECARLI RITTA PEREIRA</t>
  </si>
  <si>
    <t>JJ ACESSORIOS LTDA</t>
  </si>
  <si>
    <t>JM BARBOSA CONFECCOES ME</t>
  </si>
  <si>
    <t>JOAO EDSON SANTANA ME</t>
  </si>
  <si>
    <t>JOAO FARIAS DE PAULA OLIVEIRA</t>
  </si>
  <si>
    <t>JOAO JORDAO VOTUPORANGA</t>
  </si>
  <si>
    <t>JOAO PAULO PEREIRA BARBOSA 10332408698</t>
  </si>
  <si>
    <t>JOAQUIM DE ARAUJO PINHEIRO</t>
  </si>
  <si>
    <t>JOAQUIM L CAMPOS &amp; FILHOS LTDA - ME</t>
  </si>
  <si>
    <t>JOCI MODAS COMERCIO DE ROUPAS E CALCADOS EIRELI</t>
  </si>
  <si>
    <t>JOFEAR CALÇADOS LTDA</t>
  </si>
  <si>
    <t>JOSE ALMEIDA DE MEDEIROS</t>
  </si>
  <si>
    <t>JOSE DE DEUS PEREIRA LIMA</t>
  </si>
  <si>
    <t>JOSE GILSON DE JESUS ITABAIANA MICROEMPRESA - ME</t>
  </si>
  <si>
    <t>JOSE MARIA DE FREITAS MIGUELOPOLIS</t>
  </si>
  <si>
    <t>JOSE MARINO LOPES ME</t>
  </si>
  <si>
    <t>JOSE PEREIRA DOS SANTOS</t>
  </si>
  <si>
    <t>JOSE PEREIRA LIMA EPP</t>
  </si>
  <si>
    <t>JOSE PURIFICACAO RODRIGUES</t>
  </si>
  <si>
    <t>JOSE VILMAR DA SILVA - EPP</t>
  </si>
  <si>
    <t>JOSE ÂNGELO DE SOUZA SILVA</t>
  </si>
  <si>
    <t>JOSELITO RODRIGUES DE MACEDO- EPP</t>
  </si>
  <si>
    <t>JOSELMA CALCADOS DA VILA EIRELI</t>
  </si>
  <si>
    <t>JOSENALDO JOSE SANTOS</t>
  </si>
  <si>
    <t>JOSENIAS MAGALHAES DA SILVA 01159200211</t>
  </si>
  <si>
    <t>JOSIANE DE A. PORTELA</t>
  </si>
  <si>
    <t>JOSINEIDE CRISTIANE ANDRADE E SOUZA</t>
  </si>
  <si>
    <t>JOSUE ALVES MOREIRA COMERCIO</t>
  </si>
  <si>
    <t>JUAN CARLOS FREITAS DOS SANTOS</t>
  </si>
  <si>
    <t>JUDITH N. LEITAO - ME - ME</t>
  </si>
  <si>
    <t>JULIA VOLTAN FIOROTO 42735715876</t>
  </si>
  <si>
    <t>JULIANA FAVATO</t>
  </si>
  <si>
    <t>JULIANA VALENTINA ANTONIO MENDES - ME</t>
  </si>
  <si>
    <t>JULY E TATY</t>
  </si>
  <si>
    <t>JUNIELLE MERCANTIL LTDA ME</t>
  </si>
  <si>
    <t>K M TARABAINE CIA LTDA ME</t>
  </si>
  <si>
    <t>K MODAS CALCADOS LTDA</t>
  </si>
  <si>
    <t>K. M. SAPATARIA LTDA</t>
  </si>
  <si>
    <t>KAIO KADU CALCADOS LTDA</t>
  </si>
  <si>
    <t>KAKAU CHARME CONFECCOES LTDA</t>
  </si>
  <si>
    <t>KALINE DA C DOS S SILVA</t>
  </si>
  <si>
    <t>KAREN P TEIXEIRA OLIVEIRA</t>
  </si>
  <si>
    <t>KBELI COMERCIO DE CALCADOS LTDA</t>
  </si>
  <si>
    <t>KECIA REGINA P DE SOUZA ME</t>
  </si>
  <si>
    <t>KEILA CANDIDO DA ROCHA 04232731679</t>
  </si>
  <si>
    <t>KELLY ARAUJO SANTOS</t>
  </si>
  <si>
    <t>KELLY SOUZA MARQUES</t>
  </si>
  <si>
    <t>KELTTI CRIACOES EM CONFEC LTDA</t>
  </si>
  <si>
    <t>KELVIM OURO COM CALCADOS E CONF EIRELI</t>
  </si>
  <si>
    <t>KENIA CRISTINA QUEIROS</t>
  </si>
  <si>
    <t>KENIA G C MARCHETI EIRELI</t>
  </si>
  <si>
    <t>KI SONHO MODA INFANTIL LTDA.</t>
  </si>
  <si>
    <t>KIANDA CALCADOS  LTDA ME</t>
  </si>
  <si>
    <t>KIDS PLACE ROUPAS E ACESSORIOS LTDA EPP</t>
  </si>
  <si>
    <t>KITTAS MODAS LTDA ME</t>
  </si>
  <si>
    <t>KRAVO E KANELA CALÇADOS LTDA - ME</t>
  </si>
  <si>
    <t>KV COMERCIAL DE CALÇADOS LTDA - ME</t>
  </si>
  <si>
    <t>L &amp; M COMERCIO DE CALCADOS LTDA</t>
  </si>
  <si>
    <t>L C O GALVAO COMERCIO</t>
  </si>
  <si>
    <t>L DE MACEDO MELO EIRELI ME</t>
  </si>
  <si>
    <t>L P ALVES CALCADOS E CONFECCOES</t>
  </si>
  <si>
    <t>L S DE SOUSA COMERCIO</t>
  </si>
  <si>
    <t>L S RODRIGUES DOS SANTOS</t>
  </si>
  <si>
    <t>L S S CALCADOS LTDA</t>
  </si>
  <si>
    <t>L. A. COMERCIO DE ARTIGOS INFANTIS LTDA</t>
  </si>
  <si>
    <t>L. DA S. PEREIRA VARIEDADES ME</t>
  </si>
  <si>
    <t>LAECIO LUCAS LINHARES E CIA LTDA ME</t>
  </si>
  <si>
    <t>LAIZE ALVES FERREIRA 02308337214</t>
  </si>
  <si>
    <t>LARA BELLA KIDS LTDA</t>
  </si>
  <si>
    <t>LARA FEITOSA COMÉRCIO DE VESTUARIO LTDA</t>
  </si>
  <si>
    <t>LARA KIDS LTDA - ME</t>
  </si>
  <si>
    <t>LARISSA TAINA DE JESUS PIMENTEL 10704878992</t>
  </si>
  <si>
    <t>LAURO MANFRIN COMERCIO DE CALCADOS LTDA</t>
  </si>
  <si>
    <t>LE PIE CALCADOS INFANTIS LTDA</t>
  </si>
  <si>
    <t>LELIANE PINHEIRO DE RESENDE MUNDIM</t>
  </si>
  <si>
    <t>LENO &amp; BRUNA LTDA</t>
  </si>
  <si>
    <t>LEODECIO CORTEZ DA SILVA</t>
  </si>
  <si>
    <t>LEONEL CALCADOS LTDA</t>
  </si>
  <si>
    <t>LESANTINI LTDA</t>
  </si>
  <si>
    <t>LETICIA FERNANDES NASCIUTTI</t>
  </si>
  <si>
    <t>LETICIA SOUSA RABELO</t>
  </si>
  <si>
    <t>LH DE ANDRADE</t>
  </si>
  <si>
    <t>LHF MODA INFANTIL LTDA</t>
  </si>
  <si>
    <t>LHM COMÉRCIO DE CALÇADOS EIRELI ME</t>
  </si>
  <si>
    <t>LICELI CALCADOS LTDA.</t>
  </si>
  <si>
    <t>LICIA CRISTINA BATISTA COSTA 05279403563</t>
  </si>
  <si>
    <t>LIDIA CAMPOS CONFECCOES E CALCADOS LTDA</t>
  </si>
  <si>
    <t>LILIAM DOMINGUES SHIMABUKURO VESTUARIO</t>
  </si>
  <si>
    <t>LILIAN LOPES CARLOS COMERCIO ME</t>
  </si>
  <si>
    <t>LIMA &amp; GARBELINI LTDA</t>
  </si>
  <si>
    <t>LIMA E MARQUES LTDA</t>
  </si>
  <si>
    <t>LIMA ROCHA &amp; NAKAMURA LTDA</t>
  </si>
  <si>
    <t>LINDIMAR R. DE SIQUEIRA COSTA-ME</t>
  </si>
  <si>
    <t>LINDÓIA MAIS ATACADO E VAREJO LTDA</t>
  </si>
  <si>
    <t>LINO GOMES EPP</t>
  </si>
  <si>
    <t>LITTLE FEET COMERCIO DE CALCADOS LTDA</t>
  </si>
  <si>
    <t>LIVIA VIEGAS NAZAR</t>
  </si>
  <si>
    <t>LIZ LAVIE CALCADOS LTDA</t>
  </si>
  <si>
    <t>LIZIANE T GARCIA</t>
  </si>
  <si>
    <t>LIZZA CARVALHO CALCADOS MODAS E ARTIGOS DO VESTUARIO LTDA</t>
  </si>
  <si>
    <t>LJ RODRIGUES COMERCIO DE CALCADOS LTDA</t>
  </si>
  <si>
    <t>LOIDE CORREIA BETIM MARQUES</t>
  </si>
  <si>
    <t>LOJA ADRIANO LTDA-ME</t>
  </si>
  <si>
    <t>LOJA DE CALCADOS ELIANE RABELO LTDA</t>
  </si>
  <si>
    <t>LOJA ELIANE DE CARLOPOLIS LTDA</t>
  </si>
  <si>
    <t>LOJA SARON CALÇADOS LTDA</t>
  </si>
  <si>
    <t>LOJA SONHO E MAGIA LTDA</t>
  </si>
  <si>
    <t>LOJA SULAMAYER DE ROUPAS LTDA.</t>
  </si>
  <si>
    <t>LOJA XAVANTES LTDA</t>
  </si>
  <si>
    <t>LOJAO DA PRUDENTE EIRELI EPP</t>
  </si>
  <si>
    <t>LOJAO DO POVO LTDA</t>
  </si>
  <si>
    <t>LOJAS CHARME CONFECCOES LTDA</t>
  </si>
  <si>
    <t>LOJAS DUARTE EIRELI ME</t>
  </si>
  <si>
    <t>LOJAS FAMA COMERCIO DE CALCADOS LTDA</t>
  </si>
  <si>
    <t>LOJAS FERNANDES LTDA - EPP</t>
  </si>
  <si>
    <t>LOJAS GRAUNA COMERCIO DE VESTUARIO LTDA</t>
  </si>
  <si>
    <t>LOJAS MODA+ LTDA</t>
  </si>
  <si>
    <t>LOOK BABY CONFECÇÕES LTDA</t>
  </si>
  <si>
    <t>LOPES REPRESENTACOES LTDA</t>
  </si>
  <si>
    <t>LORICA BOUTIQUE LTDA ME</t>
  </si>
  <si>
    <t>LOTTERO CALCADOS JACOBINA LTDA</t>
  </si>
  <si>
    <t>LOUTH FASHION MAGAZINE</t>
  </si>
  <si>
    <t>LUA CHEIA MAMAE E BEBE LTDA</t>
  </si>
  <si>
    <t>LUANA LIMA NASCIMENTO VESTUARIO E ACESSORIOS</t>
  </si>
  <si>
    <t>LUCAS LOPES SANTOS 08540591561</t>
  </si>
  <si>
    <t>LUCAS NASCIMENTO SILVA</t>
  </si>
  <si>
    <t>LUCELIA ALVES DE LIMA</t>
  </si>
  <si>
    <t>LUCIANA DE PAIVA CONF DE MODA LTDA</t>
  </si>
  <si>
    <t>LUCIANA MARUZA DE OLIVEIRA</t>
  </si>
  <si>
    <t>LUCIANO J DA SILVA</t>
  </si>
  <si>
    <t>LUCIANO MAGAZINE EIRELLI</t>
  </si>
  <si>
    <t>LUCIANO PAULO PASSOS CARNEIRO</t>
  </si>
  <si>
    <t>LUCILENE MENEZES CALIDO ALMEIDA</t>
  </si>
  <si>
    <t>LUCIMAR FERREIRA DOS SANTOS ALEIXO</t>
  </si>
  <si>
    <t>LUCIVANE OLIVEIRA PINTO</t>
  </si>
  <si>
    <t>LUIS AUGUSTO DE ALMEIDA - ME</t>
  </si>
  <si>
    <t>LUIZ ANTONIO PRADO EPP</t>
  </si>
  <si>
    <t>LUIZ CARLOS PEREIRA DE SA TECIDOS</t>
  </si>
  <si>
    <t>LUIZ ELI RODRIGUES PAZ &amp; CIA LTDA</t>
  </si>
  <si>
    <t>LUIZ JOSE MACARRONI</t>
  </si>
  <si>
    <t>LUIZ NUNES FARIA &amp; CIA LTDA</t>
  </si>
  <si>
    <t>LUMAR MIRABELA MODAS E ACESSORIOS LTDA</t>
  </si>
  <si>
    <t>LUZIANE SILVA DO NASCIMENTO 014.837.422-02</t>
  </si>
  <si>
    <t>LYRA COMERCIO DE CALCADOS LTDA</t>
  </si>
  <si>
    <t>M &amp; F CALCADOS LTDA</t>
  </si>
  <si>
    <t>M C FARIA CALCADOS</t>
  </si>
  <si>
    <t>M C LOBO</t>
  </si>
  <si>
    <t>M D GUEDE DA SILVA</t>
  </si>
  <si>
    <t>M DA G GUEDES SILVA VESTUARIO ME</t>
  </si>
  <si>
    <t>M DE F M PEDRO EIRELI</t>
  </si>
  <si>
    <t>M DOS N DE LIMA RIBEIRO  LTDA</t>
  </si>
  <si>
    <t>M EVA DA PAZ - ME</t>
  </si>
  <si>
    <t>M G PALOMARES COMERCIO DE ROUPAS LTDA</t>
  </si>
  <si>
    <t>M H V LIMA ME</t>
  </si>
  <si>
    <t>M I G CUSTODIO ME</t>
  </si>
  <si>
    <t xml:space="preserve">M JOSEFA DOS SANTOS </t>
  </si>
  <si>
    <t>M M DE FREITAS</t>
  </si>
  <si>
    <t>M RIBEIRO CALCADOS</t>
  </si>
  <si>
    <t>M S CONCEICAO COMERCIO DE ROUPAS E ACESSORIOS</t>
  </si>
  <si>
    <t>M S LLANOS CONFECOES</t>
  </si>
  <si>
    <t>M T FLORENCIO FERNANDES - ME</t>
  </si>
  <si>
    <t>M. ASSIS DE MEDEIROS</t>
  </si>
  <si>
    <t>M. DA GUIA QUEIROZ</t>
  </si>
  <si>
    <t>M. E. RODRIGUES DA COSTA</t>
  </si>
  <si>
    <t>M. I. DE SOUSA AMARAL COMERCIO - EIRELI - EPP</t>
  </si>
  <si>
    <t>M. JOSE DE OLIVEIRA LOURENCO COMERCIO EPP</t>
  </si>
  <si>
    <t>M.D FRANÇA DA SILVA CALÇADOS - ME</t>
  </si>
  <si>
    <t>M.D.M. FERRAIOLI LTDA</t>
  </si>
  <si>
    <t>M.M.MAGALHAES BEZERRA</t>
  </si>
  <si>
    <t>M.S. ARAUJO E CIA LTDA</t>
  </si>
  <si>
    <t>MA CALCADOS LTDA</t>
  </si>
  <si>
    <t>MADAM CALCADOS - EIRELI</t>
  </si>
  <si>
    <t>MAGAZINE DINIZ LTDA-ME</t>
  </si>
  <si>
    <t>MAGAZINE MACE LTDA-ME</t>
  </si>
  <si>
    <t>MAGAZINE MARCIA LTDA</t>
  </si>
  <si>
    <t>MAGAZINE TI &amp; MI LTDA - ME</t>
  </si>
  <si>
    <t>MAGDA MARIA MENDES 07832709685</t>
  </si>
  <si>
    <t>MAIARA BETANIA SOUSA ALVES &amp; CIA LTDA - ME</t>
  </si>
  <si>
    <t>MAIARA DE ATAIDE DA SILVA ME</t>
  </si>
  <si>
    <t>MAJU CALCADOS LTDA</t>
  </si>
  <si>
    <t>MALHARIA DOIS IRMÃOS LTDA</t>
  </si>
  <si>
    <t>MALU CONF E CALC LTDA ME</t>
  </si>
  <si>
    <t>MANIA FATAL COM. DE CONFECCOES LTDA ME</t>
  </si>
  <si>
    <t>MANINHA KIDS ROUPAS INFANTIL LTDA</t>
  </si>
  <si>
    <t>MANOCHIO &amp; MANOCHIO LTDA ME</t>
  </si>
  <si>
    <t>MANUEL M DA SILVA CALÇADOS ME</t>
  </si>
  <si>
    <t>MANUELA DINIZ SAPATARIA LTDA</t>
  </si>
  <si>
    <t>MARCAS &amp; MANIAS BABY EIRELI</t>
  </si>
  <si>
    <t>MARCENY DE PAULA MARTINS SILVA ME</t>
  </si>
  <si>
    <t>MARCIA RENATA JULIO CALZA 25216692886</t>
  </si>
  <si>
    <t>MARCIA TAFAREL LTDA</t>
  </si>
  <si>
    <t>MARCIO ROBERTO LUIZ</t>
  </si>
  <si>
    <t>MARCIO VILAS BOAS RIZZO</t>
  </si>
  <si>
    <t>MARCO ANTONIO E RODRIGO E ESP. LTDA</t>
  </si>
  <si>
    <t>MARCO ANTONIO RIO BRANCO</t>
  </si>
  <si>
    <t>MARCO TULIO BRENNER MENDES 12687541613</t>
  </si>
  <si>
    <t>MARCUSSO CALCADOS LTDA</t>
  </si>
  <si>
    <t>MARGARIDA BARBARA DE SOUSA FRUTUOZO</t>
  </si>
  <si>
    <t>MARI MARI VR COMERCIO DE ROUPAS E ACESSORIOS LTDA</t>
  </si>
  <si>
    <t>MARIA ANA BORUTA &amp; CIA LTDA FILIAL 42</t>
  </si>
  <si>
    <t>MARIA ANTONIA MARTINS DA SILVA ME</t>
  </si>
  <si>
    <t>MARIA APARECIDA BETTIO</t>
  </si>
  <si>
    <t>MARIA APARECIDA FERRARI FERREIRA 24918728898</t>
  </si>
  <si>
    <t>MARIA APARECIDA T. DOS SANTOS ME</t>
  </si>
  <si>
    <t>MARIA CAROLINA CANDIDA DA SILVA</t>
  </si>
  <si>
    <t>MARIA CECILIA STACHISSINI MELIN</t>
  </si>
  <si>
    <t>MARIA DA GLORIA ROCHA SILVA</t>
  </si>
  <si>
    <t>MARIA DA GRACA CLAVIJO SERRA</t>
  </si>
  <si>
    <t>MARIA DA JUDA BARBOSA OLIVEIRA</t>
  </si>
  <si>
    <t>MARIA DAS DORES BEZERRA</t>
  </si>
  <si>
    <t>MARIA DE FATIMA DE FARIAS CALCADOS- ME</t>
  </si>
  <si>
    <t>MARIA DE JESUS OLIVEIRA DOS SANTOS ME</t>
  </si>
  <si>
    <t>MARIA DE LOURDES DINIZ</t>
  </si>
  <si>
    <t>MARIA DO CARMO SAVIOLI GALDINI - EPP</t>
  </si>
  <si>
    <t>MARIA EVA NERES DE SOUSA NUNES 00582064341</t>
  </si>
  <si>
    <t>MARIA FELIX DA SILVA MARTINS-ME</t>
  </si>
  <si>
    <t>MARIA GORETE POLESE PADILHA 67913270900</t>
  </si>
  <si>
    <t>MARIA GRACIETE ALVES DA SILVA</t>
  </si>
  <si>
    <t>MARIA ILZA DA COSTA REGO</t>
  </si>
  <si>
    <t>MARIA ISABEL ALVES DA ROSA 06031703661</t>
  </si>
  <si>
    <t>MARIA IVONE DE SOUZA ARMELIN - ME</t>
  </si>
  <si>
    <t>MARIA JUDITE SOARES</t>
  </si>
  <si>
    <t>MARIA KARLA TELES 09772611660</t>
  </si>
  <si>
    <t>MARIA LÚCIA GOMES CABRAL VIEIRA ME</t>
  </si>
  <si>
    <t>MARIA NELSILEIDE FREITAS BARRETO</t>
  </si>
  <si>
    <t>MARIA NEUZA DE SALES MURTA</t>
  </si>
  <si>
    <t>MARIA NOELIA FERNANDES SALVADOR</t>
  </si>
  <si>
    <t>MARIA REJANE VASQUES FERNANDES ME</t>
  </si>
  <si>
    <t>MARIA VANDA LOURENCO DE VASCONCELOS</t>
  </si>
  <si>
    <t>MARIANA MENDES MORETE 22190633800</t>
  </si>
  <si>
    <t>MARICLECIA RIBEIRO MIRANDA 03356912348</t>
  </si>
  <si>
    <t>MARIE ADNAN MODA INFANTIL LTDA</t>
  </si>
  <si>
    <t>MARIELY DE L. BEZERRA</t>
  </si>
  <si>
    <t>MARILENA AMARO BARBOSA</t>
  </si>
  <si>
    <t>MARILEUZA DA ROCHA SILVA 04835011406</t>
  </si>
  <si>
    <t>MARILI PAES DE SOUZA FOLCHINI</t>
  </si>
  <si>
    <t>MARIMAR MODAS LTDA</t>
  </si>
  <si>
    <t>MARISETE BOLSONI PORTO LTDA</t>
  </si>
  <si>
    <t>MARIVAN KID'S MODAS LTDA</t>
  </si>
  <si>
    <t>MARJANE MODAS LTDA</t>
  </si>
  <si>
    <t>MARLUCIA PIMENTEL DE JESUS ME</t>
  </si>
  <si>
    <t>MARTA AP DE DEUS RODRIGUES</t>
  </si>
  <si>
    <t>MARTILHO LUCENA NETO</t>
  </si>
  <si>
    <t>MARTINS WOLLINGER COMERCIO DE CALÇADOS LTDA</t>
  </si>
  <si>
    <t>MATEUS CALCADOS LTDA - ME</t>
  </si>
  <si>
    <t>MATHEUS AUGUSTO MARCUSSO ME</t>
  </si>
  <si>
    <t>MAURICIO CANGUSSU SOUZA ME</t>
  </si>
  <si>
    <t>MAURO TADAO SUZUKI CALCADOS</t>
  </si>
  <si>
    <t>MAURÍCIO BONATTI ME</t>
  </si>
  <si>
    <t>MAX CALCADOS LTDA</t>
  </si>
  <si>
    <t>MAXMILIANA SANTOS MOTA EPP</t>
  </si>
  <si>
    <t>MAYARA ALMEIDA SANTOS COELHO</t>
  </si>
  <si>
    <t>MDF SHOP E-COMERCE LTDA</t>
  </si>
  <si>
    <t>MEIRELES E FARIA LTDA</t>
  </si>
  <si>
    <t>MEIRY ADRIANA DE MAGALHAES ME</t>
  </si>
  <si>
    <t>MELISSA OLIVEIRA VAZ ALEGRE 47218305806</t>
  </si>
  <si>
    <t>MERCADO E CONFECCOES LUCETTY LTDA</t>
  </si>
  <si>
    <t>MERCANTIL DE CALÇADOS AMAPOLA LTDA ME</t>
  </si>
  <si>
    <t>META COMERCIO DE CALCADOS EIRELI</t>
  </si>
  <si>
    <t>MEYRE DE ALMEIDA LUCAS ME</t>
  </si>
  <si>
    <t>MFC COMERCIO DE CALCADOS LTDA</t>
  </si>
  <si>
    <t>MG DA SILVA CALÇADOS</t>
  </si>
  <si>
    <t>MI LTDA-EPP</t>
  </si>
  <si>
    <t>MICHELE LELIS JANUARIO 11422218651</t>
  </si>
  <si>
    <t>MIELY PEREIRA DA SILVA 10595302602</t>
  </si>
  <si>
    <t>MILEO E FERRAIOLI LTDA EPP</t>
  </si>
  <si>
    <t>MILITAO &amp; RODRIGUES MILITAO CALCADOS LTDA - ME</t>
  </si>
  <si>
    <t>MILLA CALCADOS LTDA</t>
  </si>
  <si>
    <t>MIMIM CONFECCOES LTDA ME</t>
  </si>
  <si>
    <t>MINAS PE CALCADOS LTDA ME</t>
  </si>
  <si>
    <t>MIRANDA &amp; GOMES LTDA</t>
  </si>
  <si>
    <t>MIRANTE COMERCIAL CALCADOS LTDA</t>
  </si>
  <si>
    <t>MIRIAN A DOBBERT MAZUI</t>
  </si>
  <si>
    <t>MIX MANIA COMERCIAL LTDA ME</t>
  </si>
  <si>
    <t>MJ FREITAS MIRANDA CALCADOS LTDA</t>
  </si>
  <si>
    <t>MM MENDONCA COMERCIO DE CALDADOS E CONFECCOES LTDA</t>
  </si>
  <si>
    <t>MODA NOVA CALCADOS E CONF LTDA</t>
  </si>
  <si>
    <t>MONICA MEDEIROS DE ARAUJO</t>
  </si>
  <si>
    <t>MONIQUE GIRELLI 01065809905</t>
  </si>
  <si>
    <t>MOREIRA &amp; OLIVEIRA LTDA</t>
  </si>
  <si>
    <t>MOREIRA &amp; SPERANDIO LTDA</t>
  </si>
  <si>
    <t>MOREIRA LIMA E NETO LTDA</t>
  </si>
  <si>
    <t>MOREIRA MARQUES TECIDOS LTDA</t>
  </si>
  <si>
    <t>MSH IMPORTADOS DO VESTUARIO E ARTIGOS LTDA</t>
  </si>
  <si>
    <t>MSM DA SILVA FEITOSA</t>
  </si>
  <si>
    <t>MUCHAU COMERCIO DE CALCADOS LTDA</t>
  </si>
  <si>
    <t>MUNDO DAS MALHAS- ME</t>
  </si>
  <si>
    <t>MUNDO ENCANTADO MOVEIS EIRELI</t>
  </si>
  <si>
    <t>MUNDO NINA STORE LTDA</t>
  </si>
  <si>
    <t>MÁRCIA FRANCISCA BARRETO MOREIRA</t>
  </si>
  <si>
    <t>MÁRCIA TATTO PAN 57664781000</t>
  </si>
  <si>
    <t>N C RODRIGUES SPORTS LTDA</t>
  </si>
  <si>
    <t>N M SARAIVA ME</t>
  </si>
  <si>
    <t>N. PIANISSOLI FAVALESSA - ME</t>
  </si>
  <si>
    <t>NASCIMENTO CALCADOS E VESTUARIOS LTDA</t>
  </si>
  <si>
    <t>NATALIA FERREIRA FRANCO GARCIA 31963181840</t>
  </si>
  <si>
    <t>NATALIA MENELLA ME</t>
  </si>
  <si>
    <t>NATANY FAUSTINO MONTEIRO 10182298418</t>
  </si>
  <si>
    <t>NEFERTITI COMERCIO DE CALCADOS E CONFECCOES LTDA</t>
  </si>
  <si>
    <t>NELCI ARTMANN SCHEFFLER</t>
  </si>
  <si>
    <t>NELDI TURATTO E FILHOS LTDA ME</t>
  </si>
  <si>
    <t>NEUZA DE FATIMA BONKEVICH ME</t>
  </si>
  <si>
    <t>NEYLLA FRANCES SANTOS RODRIGUES LTDA</t>
  </si>
  <si>
    <t>NH CALCADOS E CONFECCOES EIRELI</t>
  </si>
  <si>
    <t>NICOLAS EDUARDO FIGUEIREDO NERY NUNES 03733204263</t>
  </si>
  <si>
    <t>NILLUS CALCADOS LTDA - ME</t>
  </si>
  <si>
    <t>NIVALDO DOMINGOS GONCALVES 94347956134</t>
  </si>
  <si>
    <t>NOELI COSER DROBRZENSKI</t>
  </si>
  <si>
    <t>NOELICE MARIA CABRAL GOMES LTDA</t>
  </si>
  <si>
    <t>NOGUEIRA &amp; NOGUEIRA CALCADOS LTDA</t>
  </si>
  <si>
    <t>NORTE MODAS COMERCIO VAREJISTA DE MERCADORIAS EM GERAL EIREL</t>
  </si>
  <si>
    <t>NOVITA CALCADOS LTDA</t>
  </si>
  <si>
    <t>NUBIA FRANCIELLE AVILA</t>
  </si>
  <si>
    <t>NZ COMERCIO DE CONFECCOES - LTDA</t>
  </si>
  <si>
    <t>O B PIMENTEL COMERCIO</t>
  </si>
  <si>
    <t>O MUNDO DOS TECIDOS E CALÇADOS LTDA - ME</t>
  </si>
  <si>
    <t>ODETE REIS SOUZA</t>
  </si>
  <si>
    <t>OLAVO RODRIGUES VARGEM GRANDE SO SUL</t>
  </si>
  <si>
    <t>OLIVEIRA   VILELA LTDA - ME</t>
  </si>
  <si>
    <t>OLIVEIRA E LAURINDO LTDA ME</t>
  </si>
  <si>
    <t>OLIVEIRA E TEMPONI LTDA</t>
  </si>
  <si>
    <t>OPCAO MODAS E ESPORTES LTDA</t>
  </si>
  <si>
    <t>ORAITON A DE SOUSA</t>
  </si>
  <si>
    <t>OROM COMERCIO E SERVICOS LTDA</t>
  </si>
  <si>
    <t>ORQUIDEAS PLANTAS E CONFECCOES EIRELI</t>
  </si>
  <si>
    <t>OSMAR SALVATICO</t>
  </si>
  <si>
    <t>P &amp; P COMERCIO DE CALCADOS E CONFECCOES LTDA</t>
  </si>
  <si>
    <t>PAGANI CONFECÇÕES LTDA</t>
  </si>
  <si>
    <t>PALMAR CONFECCOES LTDA</t>
  </si>
  <si>
    <t>PAPARICO BABYKIDS ROUPAS E ACESSORIOS INFANTIS LTDA</t>
  </si>
  <si>
    <t>PARANAÍBA CALÇADOS E CONFECÇÕES LTDA</t>
  </si>
  <si>
    <t>PASSARELA DOS PES MIGUEL COUTO SAPATARIA LTDA</t>
  </si>
  <si>
    <t>PASSO A PASSO CALCADOS LTDA</t>
  </si>
  <si>
    <t>PASSO LEVE COMERCIO DE CALCADOS LTDA</t>
  </si>
  <si>
    <t>PASSUS CALCADOS EIREL</t>
  </si>
  <si>
    <t>PATRICIA ANDRADE OLIVEIRA LTDA</t>
  </si>
  <si>
    <t>PATRICIA FERNANDES DANTAS</t>
  </si>
  <si>
    <t>PATRICIA FERREIRA DA SILVA 37672388886</t>
  </si>
  <si>
    <t>PATRICIA PERINI GOMES</t>
  </si>
  <si>
    <t>PATRICIA ROSIELLY GUIMARAES DA SILVA - ME</t>
  </si>
  <si>
    <t>PATRICIA RUIZ FERREIRA</t>
  </si>
  <si>
    <t>PAULA CRISTIANE RIBEIRO 38294422894</t>
  </si>
  <si>
    <t>PAULA CRISTINA FELIZ PEDACE 24697602838</t>
  </si>
  <si>
    <t>PAULO FELIPE STRUCKER ME</t>
  </si>
  <si>
    <t>PAULO QUINTILIANO RODRIGUES DE ANDRADE</t>
  </si>
  <si>
    <t>PE MIO SHOES COMERCIO DE CALCADOS LTDA</t>
  </si>
  <si>
    <t>PEDRO POZZETTI MARIANI</t>
  </si>
  <si>
    <t>PEDROSO COMERCIO DE CALCADOS LTDA.</t>
  </si>
  <si>
    <t>PEKENINA CALCADOS LTDA</t>
  </si>
  <si>
    <t>PELAGIOS CALCADOS E CONFECCOES LTDA.</t>
  </si>
  <si>
    <t>PELIN MODAS LTDA</t>
  </si>
  <si>
    <t>PERFIL FASHION LTDA</t>
  </si>
  <si>
    <t>PEZINHO DE ANJO COMERCIO DE CALÇADOS INFANTO-JUVENIL</t>
  </si>
  <si>
    <t>PEZINHO MAGICO LTDA</t>
  </si>
  <si>
    <t>PGV COM.CALCADOS E CONF. LTDA-ME</t>
  </si>
  <si>
    <t>PHAMS CALÇADOS LTDA</t>
  </si>
  <si>
    <t>PILLA &amp; FERRETO - MODA ADULTO E INFANTIL LTDA</t>
  </si>
  <si>
    <t>PIMENTA KIDS VARIEDADES LTDA</t>
  </si>
  <si>
    <t>PIMENTA ROSA CALÇADOS LTDA</t>
  </si>
  <si>
    <t>PINGO DE GENTE CONF. LTDA</t>
  </si>
  <si>
    <t>PINGO-DE-GENTE MODA INFANTIL LTDA</t>
  </si>
  <si>
    <t>PINHEIRO CALCADOS E ACESSORIOS LTDA</t>
  </si>
  <si>
    <t>PINHEIRO MODAS DE SUMIDOURO LTDA</t>
  </si>
  <si>
    <t>PIPERNO &amp; JUSTINO LTDA-ME</t>
  </si>
  <si>
    <t>POLIANA PEREIRA VIEIRA DE AQUINO</t>
  </si>
  <si>
    <t>POLLY CALCADOS LTDA</t>
  </si>
  <si>
    <t>POLO CALÇADOS E PRODUTOS DE VIAGEM LTDA</t>
  </si>
  <si>
    <t>POPULAR CALCADOS LTDA</t>
  </si>
  <si>
    <t>PORTELA E SILVA LTDA - ME</t>
  </si>
  <si>
    <t>PRA VOCE CALCADOS - ME</t>
  </si>
  <si>
    <t>PRADO E CAMARGO CALC E ART. ESPORTIVOS T</t>
  </si>
  <si>
    <t>PRICILA ALVES DE SOUZA</t>
  </si>
  <si>
    <t>PRINCESA SAPATILHA COMERCIO DEVCALCADOS</t>
  </si>
  <si>
    <t>PRISCILA AGUIAR DA SILVA  ME</t>
  </si>
  <si>
    <t>PRISCILA CANTEIRO OTANI MODA ME</t>
  </si>
  <si>
    <t>PRO-PE CALCADOS</t>
  </si>
  <si>
    <t>QUALYWEST CONFECCOES LTDA</t>
  </si>
  <si>
    <t>QUISSAMINI VAREJO LTDA</t>
  </si>
  <si>
    <t>R DA SILVA CASTRO LTDA</t>
  </si>
  <si>
    <t>R DA SILVA QUEIROZ ME</t>
  </si>
  <si>
    <t>R F BONFIM EIRELI</t>
  </si>
  <si>
    <t>R F DE LIMA COMERCIO DE CALCADOS E ACESSORIOS</t>
  </si>
  <si>
    <t>R G B BOSSA COMERCIO</t>
  </si>
  <si>
    <t>R K A DA SILVA CONFECCOES</t>
  </si>
  <si>
    <t>R M COMERCIO E IMPORTACAO DE VESTUARIO E ACESSORIOS LTDA</t>
  </si>
  <si>
    <t>R R JULIAO COMERCIO DE CALCADOS</t>
  </si>
  <si>
    <t>R S BAIENSE CAMA MESA E BANHO ME</t>
  </si>
  <si>
    <t>R SANTOS MENDES - ME</t>
  </si>
  <si>
    <t>R. B. DE SOUSA ARTIGOS DO VESTUARIO ME</t>
  </si>
  <si>
    <t>R. DE ARAUJO CORREIA</t>
  </si>
  <si>
    <t>R. DE O. MELO e CIA LTDA</t>
  </si>
  <si>
    <t>R. DE SOUZA &amp; CIA LTDA</t>
  </si>
  <si>
    <t>R. DIAS BORGES</t>
  </si>
  <si>
    <t>R. F. OLIVEIRA COMERCIO DE ROUPAS E ACESSORIOS LTDA</t>
  </si>
  <si>
    <t>R. R. BORGES CONFECCOES</t>
  </si>
  <si>
    <t>R. R. VIANA</t>
  </si>
  <si>
    <t>R. W. V. REZENDE LTDA</t>
  </si>
  <si>
    <t>R.A DA ROCHA CORREA -ME</t>
  </si>
  <si>
    <t>R.S. TURINI CALCADOS</t>
  </si>
  <si>
    <t>R.V. RAMOS</t>
  </si>
  <si>
    <t>RAFAEL DA COSTA LIMA</t>
  </si>
  <si>
    <t>RAFAELLE DE JESUS DOS SANTOS RIBEIRO 04942950236</t>
  </si>
  <si>
    <t>RAIMUNDA GRACA SOUZA 83070206204</t>
  </si>
  <si>
    <t>RAISSA LOPES DE ARAUJO MONTEIRO</t>
  </si>
  <si>
    <t>RANAKOSKI &amp; RANAKOSKI LTDA ME</t>
  </si>
  <si>
    <t>RAQUEL CALCADOS E CONFECCOES LTDA</t>
  </si>
  <si>
    <t>RAQUEL DA SILVA BARROS</t>
  </si>
  <si>
    <t>RAQUEL DOS SANTOS ZANELA DE SOUZA 02891243951</t>
  </si>
  <si>
    <t>RAQUEL MARIA MONTEIRO ME</t>
  </si>
  <si>
    <t>RE PARIZOTTO CONFECOES LTDA</t>
  </si>
  <si>
    <t>RE SIMPATIA MODAS CONFECCOES LTDA</t>
  </si>
  <si>
    <t>REAL COUROS COMERCIO E SERVICOS LTDA ME</t>
  </si>
  <si>
    <t>REALCE GONCALENCE COM DE CALCADOS LTDA</t>
  </si>
  <si>
    <t>REDENÇÃO TECIDOS LTDA</t>
  </si>
  <si>
    <t>REGINA LUIZ XAVIER 05606318636</t>
  </si>
  <si>
    <t>REGINALDO HELKER</t>
  </si>
  <si>
    <t>REGIS CALCADOS E ROUPAS LTDA</t>
  </si>
  <si>
    <t>REQUINTE COMERCIO DE CALCADOS LTDA</t>
  </si>
  <si>
    <t>REVELACAO CALCADOS LTDA - EPP</t>
  </si>
  <si>
    <t>RIACHO MODAS LTDA ME</t>
  </si>
  <si>
    <t>RIBEIRO PEREIRA &amp; CIA LTDA - ME</t>
  </si>
  <si>
    <t>RICARDO AUGUSTO TAKAHASHI</t>
  </si>
  <si>
    <t>RICARDO VIEIRA DA SILVA 06787543492</t>
  </si>
  <si>
    <t>RICELLY RISONI RHENYA RESENDE</t>
  </si>
  <si>
    <t>RIMEIRES TELIS DE MORAIS EIRLI</t>
  </si>
  <si>
    <t>RITA DE CASSIA LIMA DOS SANTOS</t>
  </si>
  <si>
    <t>RITA OLIVEIRA DA SILVA CONFECCOES ME</t>
  </si>
  <si>
    <t>RITA RAMOS CALCADOS E CONFECCOES LTDA</t>
  </si>
  <si>
    <t>RIZOMAR OLIVEIRA DOS SANTOS</t>
  </si>
  <si>
    <t>RL DE OLIVEIRA &amp; ANDRADE LTDA ME</t>
  </si>
  <si>
    <t>RMC RAMOS BOUTIQUE</t>
  </si>
  <si>
    <t>ROBERTA CARVALHO</t>
  </si>
  <si>
    <t>ROBERTO CORTES DE SOUZA 97220973268</t>
  </si>
  <si>
    <t>ROBERTO KUHNEN</t>
  </si>
  <si>
    <t>ROBSON CARLOS QUEIROZ ME</t>
  </si>
  <si>
    <t>ROCHA &amp; SALES LTDA</t>
  </si>
  <si>
    <t>ROCHA ROCHA E CIA LTDA EPP</t>
  </si>
  <si>
    <t>RODRIGO APARECIDO FRANCISCO DE OLIVEIRA 33601857812</t>
  </si>
  <si>
    <t>RODRIGO L. KINOSHITA &amp; CIA. LTDA</t>
  </si>
  <si>
    <t>ROGIS COMERCIO DE ACESSÓRIOS</t>
  </si>
  <si>
    <t>ROMUALDO PACAGNAN</t>
  </si>
  <si>
    <t>RONALDO DO NASCIMENTO 00688713920</t>
  </si>
  <si>
    <t>RONALDO RODRIGUES ALVARES</t>
  </si>
  <si>
    <t>RONETE T Z HEYLMANN</t>
  </si>
  <si>
    <t>ROSANE PARNOW BISOGNIN</t>
  </si>
  <si>
    <t>ROSANGELA CRISTINA DE ARAUJO ALENCAR</t>
  </si>
  <si>
    <t>ROSANGELA RIBEIRO DIAS</t>
  </si>
  <si>
    <t>ROSEANA DE OLIVEIRA ARRUDA 04644846341</t>
  </si>
  <si>
    <t>ROSEANE CRISTINA CARRETEIRO PEREIRA</t>
  </si>
  <si>
    <t>ROSEMARY DE ANDRADE</t>
  </si>
  <si>
    <t>ROSICLEIA P DA SILVA</t>
  </si>
  <si>
    <t>ROSICLER ANITA SANTIN LTDA</t>
  </si>
  <si>
    <t>ROZANI 160 BOUTIQUE LTDA.</t>
  </si>
  <si>
    <t>RS COMERCIO DE CONFECCOES E CALCADOS - EIRELI - EPP</t>
  </si>
  <si>
    <t>RUBENS DE CASTRO</t>
  </si>
  <si>
    <t>RZ ESPACO DO PE COMERCIO DE CALCADOS LTDA</t>
  </si>
  <si>
    <t>S CARNICELLI CALCADOS ME</t>
  </si>
  <si>
    <t>S G M DA SILVA SANTOS</t>
  </si>
  <si>
    <t>S KRASNIEVICZ COMERCIO DE CALCADOS LTDA - ME</t>
  </si>
  <si>
    <t>S M 64 ROUPAS INFANTIS LTDA</t>
  </si>
  <si>
    <t>S S CONFECCOES EIRELI ME</t>
  </si>
  <si>
    <t>S. A. H. COUTO LTDA</t>
  </si>
  <si>
    <t>S. DOS S. OLIVEIRA ME</t>
  </si>
  <si>
    <t>S. MARINHO-CELLSHOPP LTDA</t>
  </si>
  <si>
    <t>SABRINA FLORES</t>
  </si>
  <si>
    <t>SABRINA LAUMAR BRUNETTI LOPES</t>
  </si>
  <si>
    <t>SALVIANO FARIAS E CIA LTDA</t>
  </si>
  <si>
    <t>SAMPAIO COMERCIAL DE CALCADOS LTDA</t>
  </si>
  <si>
    <t>SANDALIARIA AGUA BOA LTDA</t>
  </si>
  <si>
    <t>SANDALIAS DE OURO LTDA - ME</t>
  </si>
  <si>
    <t>SANDRA APARECIDA CALONGE</t>
  </si>
  <si>
    <t>SANDRA MARIA SOLEIRA GRASSI</t>
  </si>
  <si>
    <t>SANDRA REGINA PEREIRA BRAMBILA CIA LTDA</t>
  </si>
  <si>
    <t>SANTOS &amp; SILVA CALCADOS E CONFECCOES LTDA</t>
  </si>
  <si>
    <t>SANTOS E FONSECA SANTOS LTDA</t>
  </si>
  <si>
    <t>SAPATARIA BARRENSE LTDA ME</t>
  </si>
  <si>
    <t>SAPATARIA PORTEIRA DO RIO GRANDE LTDA</t>
  </si>
  <si>
    <t>SAPATARIA REX LTDA</t>
  </si>
  <si>
    <t>SAPATARIA SAO JOSE LTDA</t>
  </si>
  <si>
    <t>SAPATARIA TROCA O TENIS LTDA.</t>
  </si>
  <si>
    <t>SAPATARIA WALFREDO LTDA</t>
  </si>
  <si>
    <t>SAPATEEN COMERCIO VAREJISTA DE CALCADOS LTDA</t>
  </si>
  <si>
    <t>SAPATUS LTDA</t>
  </si>
  <si>
    <t>SARA REKETIS FAVERO 52590964870</t>
  </si>
  <si>
    <t>SCHNEIDER &amp; VORPAGEL LTDA</t>
  </si>
  <si>
    <t>SEDIL VESTUÁRIO LTDA</t>
  </si>
  <si>
    <t>SELITA ILDA KLEIS VOLPI ME</t>
  </si>
  <si>
    <t>SELMAR FERREIRA DO VALE</t>
  </si>
  <si>
    <t>SERGIA MEIRE ALVES DE VASCONCELOS</t>
  </si>
  <si>
    <t>SERGIO ANDRADE DA SILVA CALCADOS LTDA</t>
  </si>
  <si>
    <t>SERGIO TOKUDA-ME</t>
  </si>
  <si>
    <t>SHALLON CALCADOS LTDA</t>
  </si>
  <si>
    <t>SHEILA DOS SANTOS MACHADO</t>
  </si>
  <si>
    <t>SHISLENE ESPINDOLA LOPES MENEZES</t>
  </si>
  <si>
    <t>SHOE STORE COMERCIO DE CALCADOS LTDA</t>
  </si>
  <si>
    <t>SIDS DE MARINGA CONFECCOES LTDA</t>
  </si>
  <si>
    <t>SILVALDA DEUS OLIVEIRA</t>
  </si>
  <si>
    <t>SILVAN FASHION CONFECCOES LTDA.</t>
  </si>
  <si>
    <t>SILVANA GOMES FERREIRA DE SOUSA 28138092840</t>
  </si>
  <si>
    <t>SILVANE GOMES DE MERCENA ME</t>
  </si>
  <si>
    <t>SILVANO ALMEIDA DE SOUZA LTDA</t>
  </si>
  <si>
    <t>SIMONE DE OLIVEIRA PEREIRA</t>
  </si>
  <si>
    <t>SIMONE LINA DA SILVA</t>
  </si>
  <si>
    <t>SIMONE MACARI TAVARES CONFECCOES LTDA</t>
  </si>
  <si>
    <t>SIMONE MARCÃO DE LUCENA ME</t>
  </si>
  <si>
    <t>SIMONE PAULINO EUGENIO</t>
  </si>
  <si>
    <t>SINTONIA CALCADOS LTDA</t>
  </si>
  <si>
    <t>SINVAL MOREIRA DE LIMA FILHO LTDA</t>
  </si>
  <si>
    <t>SIRLENE MARIA DE PAULA</t>
  </si>
  <si>
    <t>SKALA MODAS PIRAPORA LTDA</t>
  </si>
  <si>
    <t>SMO MELYSSA MODAS LTDA</t>
  </si>
  <si>
    <t>SONHO DE MAE BABY KIDS LTDA</t>
  </si>
  <si>
    <t>SONIA GRANJA E SA ALMEIDA ME</t>
  </si>
  <si>
    <t>SONIA MARIA MONTEIRO BERGAMO ME</t>
  </si>
  <si>
    <t>SONIA REGINA ARRUDA FERREIRA DE PINHO UTILIDADES</t>
  </si>
  <si>
    <t>SOTERO SHOES LTDA</t>
  </si>
  <si>
    <t>SOUZA ABDALA CALCADOS E CONFECCOES LTDA</t>
  </si>
  <si>
    <t>SPORT CLUB CORINTHIAS PAULISTA</t>
  </si>
  <si>
    <t>STILLUS BABY LTDA-ME</t>
  </si>
  <si>
    <t>SUELI GOMES THOMAZ 43628893704</t>
  </si>
  <si>
    <t>SUPERMERCADO MARQUES LTDA</t>
  </si>
  <si>
    <t>SUZANA MOURA KOTLEWSKI 01335959190</t>
  </si>
  <si>
    <t>SUZE KELLY DE OLIVEIRA BORBA 05982127604</t>
  </si>
  <si>
    <t>SUZETHE DE A S MOURA</t>
  </si>
  <si>
    <t>SYDNEIA DE OLIVEIRA SILVA - ME</t>
  </si>
  <si>
    <t>Silmara de Paiva Bastasini</t>
  </si>
  <si>
    <t>T DE S ANTONIO</t>
  </si>
  <si>
    <t>T STHYVY FIGUEIRA ARAUJO</t>
  </si>
  <si>
    <t>T. DINCA LTDA</t>
  </si>
  <si>
    <t>TAFNER E CIA LTDA.</t>
  </si>
  <si>
    <t>TAIS CUNHA VITORIA</t>
  </si>
  <si>
    <t>TAISE OLIVEIRA DOS SANTOS 02270534000</t>
  </si>
  <si>
    <t>TALITA CAROLINE LOPES E LOPES</t>
  </si>
  <si>
    <t>TAMARA FERNANDES COIMBRA</t>
  </si>
  <si>
    <t>TANAZIO &amp; SOUSA COM. DE CALCADOS LTDA</t>
  </si>
  <si>
    <t>TATIANE ALKIMIM DE OLIVEIRA 11193795630</t>
  </si>
  <si>
    <t>TATIANE MICHELS ME</t>
  </si>
  <si>
    <t>TAYANA LUZIA ALMEIDA SANTOS 82231737272</t>
  </si>
  <si>
    <t>TENIS SHOP LTDA</t>
  </si>
  <si>
    <t>TERESA C. C. LEITE COMERCIO DE VESTUARIOS</t>
  </si>
  <si>
    <t>TEREZINHA TAVARES DE OLIVEIRA</t>
  </si>
  <si>
    <t>TERRANI MAGAZINE LTDA</t>
  </si>
  <si>
    <t>THAIS MARIA CIPRIANO ARAUJO</t>
  </si>
  <si>
    <t>THAISSIANY PUPILE DA SILVA  CIA LTDA</t>
  </si>
  <si>
    <t>THAÍS REZENDE DE ASSIS LOPES</t>
  </si>
  <si>
    <t>TININHA MODAS COMERCIO DE ROUPAS LTDA</t>
  </si>
  <si>
    <t>TONYS CALCADOS LTDA</t>
  </si>
  <si>
    <t>TRANSAMODAS CONFECCOES LTDA</t>
  </si>
  <si>
    <t>TS CALCADOS E CONFECCAO LTDA</t>
  </si>
  <si>
    <t>TÂNIA APARECIDA FERREIRA COMÉRCIO ME</t>
  </si>
  <si>
    <t>ULIANOPOLIS CONFECÇÕES E CALÇADOS</t>
  </si>
  <si>
    <t>UMMA COMERCIO DE CALCADOS E ACESSORIOS LTDA</t>
  </si>
  <si>
    <t>UNIFA CALADOS E CONFECES LTDA</t>
  </si>
  <si>
    <t>UNIKA VARIEDADES LTDA</t>
  </si>
  <si>
    <t>URBANNA CONFORTO &amp; ESTILO LTDA</t>
  </si>
  <si>
    <t>URBANO CALCADOS E ART.ESPORTIVOS LTDA.</t>
  </si>
  <si>
    <t>V C CASALE</t>
  </si>
  <si>
    <t>V L GONÇALVES TEIXEIRA EIRELI</t>
  </si>
  <si>
    <t>V LARA COMERCIAL LTDA</t>
  </si>
  <si>
    <t>V M DE S HOLANDA</t>
  </si>
  <si>
    <t>V M FERNANDES</t>
  </si>
  <si>
    <t>V PAULO MAGALHAES BAZAR ME</t>
  </si>
  <si>
    <t>V R COMERCIO DO VESTUARIO LTDA ME</t>
  </si>
  <si>
    <t>V. DE LIMA CARVALHO CONFECCOES</t>
  </si>
  <si>
    <t>V. DUTRA DOS SANTOS LTDA</t>
  </si>
  <si>
    <t>V. M. RIOS - ME</t>
  </si>
  <si>
    <t>V. S. G. CALÇADOS LTDA</t>
  </si>
  <si>
    <t>VAGNER MODTKOWSKI 05932430990</t>
  </si>
  <si>
    <t>VALDEMIR LUIZ DA SILVA &amp; CIA LTDA</t>
  </si>
  <si>
    <t>VALDILENE ALVES PEREIRA</t>
  </si>
  <si>
    <t>VALDIR CUNHA DOS SANTOS</t>
  </si>
  <si>
    <t>VALDIR M PONTES - ME</t>
  </si>
  <si>
    <t>VALERIA OLIVEIRA PAIXAO</t>
  </si>
  <si>
    <t>VALERIA V. DE BARROS E CIA LTDA</t>
  </si>
  <si>
    <t>VALMIR RODRIGUES DE SOUSA</t>
  </si>
  <si>
    <t>VALSIDI COMERCIO E CONFECCOES LTDA</t>
  </si>
  <si>
    <t>VANDA CELIA PEREIRA LIMA</t>
  </si>
  <si>
    <t>VANDA F C LEAO</t>
  </si>
  <si>
    <t>VANDA FÁTIMA SOARES</t>
  </si>
  <si>
    <t>VANESSA FRAGA FEIJO 01862990018</t>
  </si>
  <si>
    <t>VANESSA J. KURZ</t>
  </si>
  <si>
    <t>VANESSA KRETSCHMER KUHN</t>
  </si>
  <si>
    <t>VANIA MELO DE BARROS ME</t>
  </si>
  <si>
    <t>VANIRA S AUA ROUPAS</t>
  </si>
  <si>
    <t>VERA LUCIA VIEIRA JORGE ME</t>
  </si>
  <si>
    <t>VERACI GOMES SANTOS</t>
  </si>
  <si>
    <t>VERENICE ROVEDA 01268096075</t>
  </si>
  <si>
    <t>VERGINIA CARDOSO CALCADOS E ESPORTES LTDA</t>
  </si>
  <si>
    <t>VERONICA FASHION LTDA</t>
  </si>
  <si>
    <t>VERONICA XAVIER DE CARVALHO BATISTA 22124133861 ME</t>
  </si>
  <si>
    <t>VIA VENTUS CALCADOS E CONFECCOES LTDA</t>
  </si>
  <si>
    <t>VIANOPOLIS MAGAZINE LTDA</t>
  </si>
  <si>
    <t>VIEIRA &amp; HIGINO LTDA</t>
  </si>
  <si>
    <t>VIEIRA COMERCIAL LTDA</t>
  </si>
  <si>
    <t>VILA HAPPY COMERCIO DE CALCADOS E ACESSORIOS LTDA</t>
  </si>
  <si>
    <t>VILLI BELLA CALCADOS LTDA</t>
  </si>
  <si>
    <t>VILMA ALVES DE SOUZA</t>
  </si>
  <si>
    <t>VILMA FRANCISCA SANTOS</t>
  </si>
  <si>
    <t>VILMA REGIS DOS SANTOS</t>
  </si>
  <si>
    <t>VINILUC MODA TÊXTIL</t>
  </si>
  <si>
    <t>VITOR CARAZZA CALCADOS LTDA</t>
  </si>
  <si>
    <t>VITOR VIEIRA CARAZZA</t>
  </si>
  <si>
    <t>VIVIANE ZENI 00389879100</t>
  </si>
  <si>
    <t>VRA COMERCIO DE CALCADOS E VESTUARIOS LTDA</t>
  </si>
  <si>
    <t>W F DA SILVA BOLA 7 ME</t>
  </si>
  <si>
    <t>W S REIS LTDA</t>
  </si>
  <si>
    <t>W SIDONIO NUNES LTDA</t>
  </si>
  <si>
    <t>W&amp;M  COMERCIO VAREJISTA DE CALCADOS LTDA</t>
  </si>
  <si>
    <t>W. H. MUNIZ - ME</t>
  </si>
  <si>
    <t>W.C SILVA MODA INFANTIL</t>
  </si>
  <si>
    <t>W3 CENTER MODAS LTDA</t>
  </si>
  <si>
    <t>WALMIRO DA SILVA COMÉRCIO DE CALÇADOS</t>
  </si>
  <si>
    <t>WESLEY DAM OLIVEIRA GONCALVES</t>
  </si>
  <si>
    <t>WILSON SADIKLARI</t>
  </si>
  <si>
    <t>XAVIER CALCADOS LTDA.</t>
  </si>
  <si>
    <t>XIZU MODAS LTDA</t>
  </si>
  <si>
    <t>YES CENTER MODAS LTDA</t>
  </si>
  <si>
    <t>ZARUR &amp; CIA LTDA</t>
  </si>
  <si>
    <t>ZAZO CALCADOS LTDA ME</t>
  </si>
  <si>
    <t>ZENILDE MATOS DA SILVA</t>
  </si>
  <si>
    <t>ZERIVALDO ALVES DE GOES 02526327458</t>
  </si>
  <si>
    <t>ZORGI E BERTIN LTDA ME</t>
  </si>
  <si>
    <t>ZULEIKAS MODAS LTDA ME</t>
  </si>
  <si>
    <t>ZÉLIA VICTOR PERUZZO</t>
  </si>
  <si>
    <t>87</t>
  </si>
  <si>
    <t>PE DE GURY/ SHOP DO PÉ (04 LOJAS)</t>
  </si>
  <si>
    <t>931</t>
  </si>
  <si>
    <t>ECONIS</t>
  </si>
  <si>
    <t>366</t>
  </si>
  <si>
    <t>OSCAR CALCADOS</t>
  </si>
  <si>
    <t>1121</t>
  </si>
  <si>
    <t>ELI MARQUES DE LIMA</t>
  </si>
  <si>
    <t>1231</t>
  </si>
  <si>
    <t>GRUPO REAL</t>
  </si>
  <si>
    <t>1156</t>
  </si>
  <si>
    <t>GRUPO DUILSON</t>
  </si>
  <si>
    <t>1016</t>
  </si>
  <si>
    <t>GRUPO ALLANDRA</t>
  </si>
  <si>
    <t>5</t>
  </si>
  <si>
    <t>HUMANITARIAN G(54LOJAS)</t>
  </si>
  <si>
    <t>1001</t>
  </si>
  <si>
    <t>GRUPO NACIONAL REGIONAL</t>
  </si>
  <si>
    <t>238</t>
  </si>
  <si>
    <t>CASA PIO</t>
  </si>
  <si>
    <t>292</t>
  </si>
  <si>
    <t>GRUPO SERALLE</t>
  </si>
  <si>
    <t>151</t>
  </si>
  <si>
    <t>LOJAS PONTAL</t>
  </si>
  <si>
    <t>76</t>
  </si>
  <si>
    <t>ANDARAKI G(40)</t>
  </si>
  <si>
    <t>148</t>
  </si>
  <si>
    <t>DIBS MODAS</t>
  </si>
  <si>
    <t>1458</t>
  </si>
  <si>
    <t>GRUPO MATTOS (61)</t>
  </si>
  <si>
    <t>9</t>
  </si>
  <si>
    <t>FLAVIOS CALCADOS</t>
  </si>
  <si>
    <t>95</t>
  </si>
  <si>
    <t>DI SANTINN</t>
  </si>
  <si>
    <t>145</t>
  </si>
  <si>
    <t>UNIVERSO KIDS</t>
  </si>
  <si>
    <t>1175</t>
  </si>
  <si>
    <t>GRUPO TAVARES</t>
  </si>
  <si>
    <t>122</t>
  </si>
  <si>
    <t>KALLAN MODAS</t>
  </si>
  <si>
    <t>567</t>
  </si>
  <si>
    <t>VILLAGE</t>
  </si>
  <si>
    <t>472</t>
  </si>
  <si>
    <t>CHARME CONFECÇÕES</t>
  </si>
  <si>
    <t>1556</t>
  </si>
  <si>
    <t>B CIRILO</t>
  </si>
  <si>
    <t>69</t>
  </si>
  <si>
    <t>MUNDIAL</t>
  </si>
  <si>
    <t>187</t>
  </si>
  <si>
    <t>GRUPO VIANA</t>
  </si>
  <si>
    <t>23</t>
  </si>
  <si>
    <t>GABRIELA CALCADOS</t>
  </si>
  <si>
    <t>55</t>
  </si>
  <si>
    <t>ITAPUA G(69)</t>
  </si>
  <si>
    <t>197</t>
  </si>
  <si>
    <t>CICLADI CALCADOS</t>
  </si>
  <si>
    <t>2187</t>
  </si>
  <si>
    <t>GRUPO MARKETMOOD</t>
  </si>
  <si>
    <t>708</t>
  </si>
  <si>
    <t>GRUPO PLANETA</t>
  </si>
  <si>
    <t>934</t>
  </si>
  <si>
    <t>GRUPO VISUAL</t>
  </si>
  <si>
    <t>193</t>
  </si>
  <si>
    <t>PAGUE MENOS  - ORLANDO</t>
  </si>
  <si>
    <t>413</t>
  </si>
  <si>
    <t>SOBRAL E VAZ</t>
  </si>
  <si>
    <t>1532</t>
  </si>
  <si>
    <t>GRUPO FIGUEIRAS</t>
  </si>
  <si>
    <t>125</t>
  </si>
  <si>
    <t>GRUPO CIRANDINHA</t>
  </si>
  <si>
    <t>415</t>
  </si>
  <si>
    <t>DE ANTONI</t>
  </si>
  <si>
    <t>1232</t>
  </si>
  <si>
    <t>171</t>
  </si>
  <si>
    <t>1472</t>
  </si>
  <si>
    <t>LOJAS REUNIDAS</t>
  </si>
  <si>
    <t>1522</t>
  </si>
  <si>
    <t>GRUPO SLIKA</t>
  </si>
  <si>
    <t>804</t>
  </si>
  <si>
    <t>MARTINS</t>
  </si>
  <si>
    <t>1253</t>
  </si>
  <si>
    <t>GRUPO MIB CAPITAL</t>
  </si>
  <si>
    <t>326</t>
  </si>
  <si>
    <t>AZTECA</t>
  </si>
  <si>
    <t>161</t>
  </si>
  <si>
    <t>BECKER</t>
  </si>
  <si>
    <t>574</t>
  </si>
  <si>
    <t>GRUPO LEVE PR</t>
  </si>
  <si>
    <t>365</t>
  </si>
  <si>
    <t>GRUPO MERSAN</t>
  </si>
  <si>
    <t>393</t>
  </si>
  <si>
    <t>PREMIER</t>
  </si>
  <si>
    <t>391</t>
  </si>
  <si>
    <t>SHOP 15</t>
  </si>
  <si>
    <t>573</t>
  </si>
  <si>
    <t>TOMASI (10 LOJAS)</t>
  </si>
  <si>
    <t>139</t>
  </si>
  <si>
    <t>GRUPO DI GASPI</t>
  </si>
  <si>
    <t>56</t>
  </si>
  <si>
    <t>GRUPO KATUXA G(66)</t>
  </si>
  <si>
    <t>1336</t>
  </si>
  <si>
    <t>MAGAZINE SANTA LUCIA</t>
  </si>
  <si>
    <t>376</t>
  </si>
  <si>
    <t>RENSZ CALCADOS</t>
  </si>
  <si>
    <t>458</t>
  </si>
  <si>
    <t>PIZZANTI-G(4)</t>
  </si>
  <si>
    <t>844</t>
  </si>
  <si>
    <t>GRUPO MIB</t>
  </si>
  <si>
    <t>791</t>
  </si>
  <si>
    <t>FOZ STAR</t>
  </si>
  <si>
    <t>1013</t>
  </si>
  <si>
    <t>GRUPO ALO DEZ</t>
  </si>
  <si>
    <t>1984</t>
  </si>
  <si>
    <t>GRUPO KARINA CALCADOS</t>
  </si>
  <si>
    <t>814</t>
  </si>
  <si>
    <t>GRUPO PINTOS</t>
  </si>
  <si>
    <t>1766</t>
  </si>
  <si>
    <t>GRUPO JORDHANIA</t>
  </si>
  <si>
    <t>1449</t>
  </si>
  <si>
    <t>Y AGITA - (LONDRINA)</t>
  </si>
  <si>
    <t>8</t>
  </si>
  <si>
    <t>COMETA CALCADOS</t>
  </si>
  <si>
    <t>569</t>
  </si>
  <si>
    <t>MASSAE TUNODA</t>
  </si>
  <si>
    <t>858</t>
  </si>
  <si>
    <t>DESFILE DOS PEZINHOS</t>
  </si>
  <si>
    <t>591</t>
  </si>
  <si>
    <t>CASTRO E ROSA</t>
  </si>
  <si>
    <t>692</t>
  </si>
  <si>
    <t>FLEX PE G(6)</t>
  </si>
  <si>
    <t>739</t>
  </si>
  <si>
    <t>GLOBAL</t>
  </si>
  <si>
    <t>628</t>
  </si>
  <si>
    <t>MARCIO BERTHI</t>
  </si>
  <si>
    <t>127</t>
  </si>
  <si>
    <t>ESTRELA CALCADOS</t>
  </si>
  <si>
    <t>2033</t>
  </si>
  <si>
    <t>GRUPO SANTOS DISTRIBUIDORA</t>
  </si>
  <si>
    <t>1948</t>
  </si>
  <si>
    <t>NACIONAL (REP 211)</t>
  </si>
  <si>
    <t>1955</t>
  </si>
  <si>
    <t>VASCONCELOS (03)</t>
  </si>
  <si>
    <t>2082</t>
  </si>
  <si>
    <t>PANSANI</t>
  </si>
  <si>
    <t>1953</t>
  </si>
  <si>
    <t>GRUPO CHORA</t>
  </si>
  <si>
    <t>662</t>
  </si>
  <si>
    <t>GRUPO BRICIO</t>
  </si>
  <si>
    <t>772</t>
  </si>
  <si>
    <t>FREE CENTER</t>
  </si>
  <si>
    <t>496</t>
  </si>
  <si>
    <t>DISTRIBUIDORA ADRIANA</t>
  </si>
  <si>
    <t>167</t>
  </si>
  <si>
    <t>425</t>
  </si>
  <si>
    <t>NAGALICA</t>
  </si>
  <si>
    <t>1059</t>
  </si>
  <si>
    <t>PE KENTE R</t>
  </si>
  <si>
    <t>240</t>
  </si>
  <si>
    <t>CASA DA SOGRA</t>
  </si>
  <si>
    <t>414</t>
  </si>
  <si>
    <t>CESAR CARLOS</t>
  </si>
  <si>
    <t>312</t>
  </si>
  <si>
    <t>GRUPO MAJOR [10]</t>
  </si>
  <si>
    <t>441</t>
  </si>
  <si>
    <t>FERNANDES</t>
  </si>
  <si>
    <t>1675</t>
  </si>
  <si>
    <t>MARÉ KIDS</t>
  </si>
  <si>
    <t>262</t>
  </si>
  <si>
    <t>GRUPO PRENDA</t>
  </si>
  <si>
    <t>2113</t>
  </si>
  <si>
    <t>A VANTAJOSA</t>
  </si>
  <si>
    <t>753</t>
  </si>
  <si>
    <t>GRUPO JANILSON (07)</t>
  </si>
  <si>
    <t>577</t>
  </si>
  <si>
    <t>SAO DIEGO</t>
  </si>
  <si>
    <t>551</t>
  </si>
  <si>
    <t>KINEY E MUNDI(2)</t>
  </si>
  <si>
    <t>531</t>
  </si>
  <si>
    <t>GRUPO BENOLIEL G (2)</t>
  </si>
  <si>
    <t>470</t>
  </si>
  <si>
    <t>BIG PASSO</t>
  </si>
  <si>
    <t>64</t>
  </si>
  <si>
    <t>ARMAZEM PARAIBA (CLAUDINO)</t>
  </si>
  <si>
    <t>309 FERNANDA PARDO GASPAR FRANCO</t>
  </si>
  <si>
    <t>1481</t>
  </si>
  <si>
    <t>LOJAS ADELIA</t>
  </si>
  <si>
    <t>794</t>
  </si>
  <si>
    <t>3 RIOS</t>
  </si>
  <si>
    <t>318</t>
  </si>
  <si>
    <t>TAKA TAKA</t>
  </si>
  <si>
    <t>983</t>
  </si>
  <si>
    <t>AUTENTICA BAHALL</t>
  </si>
  <si>
    <t>97</t>
  </si>
  <si>
    <t>GRUPO DAFITI</t>
  </si>
  <si>
    <t>342 - EVERTON CASTRO</t>
  </si>
  <si>
    <t>750</t>
  </si>
  <si>
    <t>GRUPO ALESSA</t>
  </si>
  <si>
    <t>433</t>
  </si>
  <si>
    <t>IDEAL</t>
  </si>
  <si>
    <t>991</t>
  </si>
  <si>
    <t>MOREIRA MARQUES REP-261</t>
  </si>
  <si>
    <t>1148</t>
  </si>
  <si>
    <t>GRUPO COLOMBO</t>
  </si>
  <si>
    <t>343</t>
  </si>
  <si>
    <t>LOJAS ENY</t>
  </si>
  <si>
    <t>205</t>
  </si>
  <si>
    <t>PASSO A PASSO</t>
  </si>
  <si>
    <t>86</t>
  </si>
  <si>
    <t>CALCE BEM CALÇADOS</t>
  </si>
  <si>
    <t>2176</t>
  </si>
  <si>
    <t>GRUPO ANDAREZ</t>
  </si>
  <si>
    <t>1473</t>
  </si>
  <si>
    <t>NOVO HAMBURGO (08)</t>
  </si>
  <si>
    <t>1042</t>
  </si>
  <si>
    <t>MARANATHA CALCADOS</t>
  </si>
  <si>
    <t>2037</t>
  </si>
  <si>
    <t>GRUPO MASTERSHOP</t>
  </si>
  <si>
    <t>115</t>
  </si>
  <si>
    <t>ALUISIO FASHION G(17)</t>
  </si>
  <si>
    <t>1072</t>
  </si>
  <si>
    <t>GRUPO COUROLAM</t>
  </si>
  <si>
    <t>85</t>
  </si>
  <si>
    <t>LUIZA CALCADOS</t>
  </si>
  <si>
    <t>792</t>
  </si>
  <si>
    <t>2190</t>
  </si>
  <si>
    <t>GRUPO NACIONAL ELOILDO</t>
  </si>
  <si>
    <t>468</t>
  </si>
  <si>
    <t>ELOS CALCADOS</t>
  </si>
  <si>
    <t>1233</t>
  </si>
  <si>
    <t>1258</t>
  </si>
  <si>
    <t>153</t>
  </si>
  <si>
    <t>POLYELLE</t>
  </si>
  <si>
    <t>723</t>
  </si>
  <si>
    <t>FRANK CALCADOS</t>
  </si>
  <si>
    <t>822</t>
  </si>
  <si>
    <t>GRUPO RABELLO</t>
  </si>
  <si>
    <t>428</t>
  </si>
  <si>
    <t>DESTAK</t>
  </si>
  <si>
    <t>245</t>
  </si>
  <si>
    <t>CARIOCA</t>
  </si>
  <si>
    <t>1767</t>
  </si>
  <si>
    <t>GRUPO MILLANO (02)</t>
  </si>
  <si>
    <t>1734</t>
  </si>
  <si>
    <t>GRUPO MAGAZINE DA 5</t>
  </si>
  <si>
    <t>819</t>
  </si>
  <si>
    <t>MAGAZINE GUERRA</t>
  </si>
  <si>
    <t>333</t>
  </si>
  <si>
    <t>ANGELA ROGERIO</t>
  </si>
  <si>
    <t>1260</t>
  </si>
  <si>
    <t>A PREFERIDA</t>
  </si>
  <si>
    <t>21</t>
  </si>
  <si>
    <t>GENKO SHIMABUKURO</t>
  </si>
  <si>
    <t>1764</t>
  </si>
  <si>
    <t>PE MAIS CALCADOS</t>
  </si>
  <si>
    <t>1417</t>
  </si>
  <si>
    <t>GRUPO SAMUEL FLORENCIO (3)</t>
  </si>
  <si>
    <t>303</t>
  </si>
  <si>
    <t>FORMOSA</t>
  </si>
  <si>
    <t>63</t>
  </si>
  <si>
    <t>CALCADOS ARACALCE</t>
  </si>
  <si>
    <t>1947</t>
  </si>
  <si>
    <t>NACIONAL (REP 65)</t>
  </si>
  <si>
    <t>1271</t>
  </si>
  <si>
    <t>GRUPO ARACALCE II</t>
  </si>
  <si>
    <t>1958</t>
  </si>
  <si>
    <t>MARIANA M.</t>
  </si>
  <si>
    <t>1366</t>
  </si>
  <si>
    <t>GRUPO ELOY CALCADOS</t>
  </si>
  <si>
    <t>707</t>
  </si>
  <si>
    <t>TRIPILIKA</t>
  </si>
  <si>
    <t>281</t>
  </si>
  <si>
    <t>KOMPLETA CALCADOS</t>
  </si>
  <si>
    <t>320</t>
  </si>
  <si>
    <t>TRESOLDI</t>
  </si>
  <si>
    <t>1198</t>
  </si>
  <si>
    <t>GRUPO ELDORADO - 34</t>
  </si>
  <si>
    <t>608</t>
  </si>
  <si>
    <t>SAPATARIO SAO VICENTE</t>
  </si>
  <si>
    <t>309</t>
  </si>
  <si>
    <t>VALUTI CALCADOS</t>
  </si>
  <si>
    <t>283</t>
  </si>
  <si>
    <t>GRUPO LILLEAN - SERALLE</t>
  </si>
  <si>
    <t>1200</t>
  </si>
  <si>
    <t>RENOVACAO CALCADOS</t>
  </si>
  <si>
    <t>1508</t>
  </si>
  <si>
    <t>GRUPO LOJAS TAL CALCADOS</t>
  </si>
  <si>
    <t>2234</t>
  </si>
  <si>
    <t>GRUPO ELITE CALÇADOS</t>
  </si>
  <si>
    <t>1424</t>
  </si>
  <si>
    <t>AZUL CALCADOS - AL10</t>
  </si>
  <si>
    <t>1294</t>
  </si>
  <si>
    <t>CENTRAL CALCADOS</t>
  </si>
  <si>
    <t>849</t>
  </si>
  <si>
    <t>VERA CALCADOS</t>
  </si>
  <si>
    <t>726</t>
  </si>
  <si>
    <t>GRUPO CAMBALHOTA - GOLD</t>
  </si>
  <si>
    <t>1740</t>
  </si>
  <si>
    <t>PAULINHO CALÇADOS (03)</t>
  </si>
  <si>
    <t>1086</t>
  </si>
  <si>
    <t>GRUPO A FAVORITA - 74</t>
  </si>
  <si>
    <t>2063</t>
  </si>
  <si>
    <t>GRUPO SOUZA</t>
  </si>
  <si>
    <t>1237</t>
  </si>
  <si>
    <t>O PRECINHO</t>
  </si>
  <si>
    <t>304</t>
  </si>
  <si>
    <t>ANGELA MARIA PAULA</t>
  </si>
  <si>
    <t>835</t>
  </si>
  <si>
    <t>GRUPO MIAKI (MT)</t>
  </si>
  <si>
    <t>405</t>
  </si>
  <si>
    <t>JUVENTUDE</t>
  </si>
  <si>
    <t>1432</t>
  </si>
  <si>
    <t>GRUPO RICARDO CALCADOS (02)</t>
  </si>
  <si>
    <t>1478</t>
  </si>
  <si>
    <t>GRUPO BAHALL ALFREDO (15)</t>
  </si>
  <si>
    <t>733</t>
  </si>
  <si>
    <t>TROPICAL</t>
  </si>
  <si>
    <t>1415</t>
  </si>
  <si>
    <t>GRUPO PASSOS (04)</t>
  </si>
  <si>
    <t>932</t>
  </si>
  <si>
    <t>ALEXANDRE CARRARA</t>
  </si>
  <si>
    <t>1427</t>
  </si>
  <si>
    <t>GRUPO EMES (08)</t>
  </si>
  <si>
    <t>1722</t>
  </si>
  <si>
    <t>GRUPO MARANATA(GEORGE)</t>
  </si>
  <si>
    <t>978</t>
  </si>
  <si>
    <t>GRUPO MACEDO</t>
  </si>
  <si>
    <t>257</t>
  </si>
  <si>
    <t>CASA DE VARIEDADES</t>
  </si>
  <si>
    <t>26</t>
  </si>
  <si>
    <t>C &amp; R CALCADOS</t>
  </si>
  <si>
    <t>2195</t>
  </si>
  <si>
    <t>GRUPO VIA CALCADOS</t>
  </si>
  <si>
    <t>498</t>
  </si>
  <si>
    <t>GRUPO ANITA/TOBELLI</t>
  </si>
  <si>
    <t>1386</t>
  </si>
  <si>
    <t>GRUPO EDMAIS</t>
  </si>
  <si>
    <t>2068</t>
  </si>
  <si>
    <t>ESPAÇO CALÇADOS</t>
  </si>
  <si>
    <t>499</t>
  </si>
  <si>
    <t>GRUPO PLANETA JEANS</t>
  </si>
  <si>
    <t>1186</t>
  </si>
  <si>
    <t>SHANADU</t>
  </si>
  <si>
    <t>1247</t>
  </si>
  <si>
    <t>ALEXANDRE CALCADOS</t>
  </si>
  <si>
    <t>2230</t>
  </si>
  <si>
    <t>BLESSED KIDS</t>
  </si>
  <si>
    <t>949</t>
  </si>
  <si>
    <t>GRUPO CANTINHO DA CRIANCA (03)</t>
  </si>
  <si>
    <t>1554</t>
  </si>
  <si>
    <t>DEUSDARA</t>
  </si>
  <si>
    <t>1150</t>
  </si>
  <si>
    <t>GRUPO TIMPPE</t>
  </si>
  <si>
    <t>1469</t>
  </si>
  <si>
    <t>DUNGA</t>
  </si>
  <si>
    <t>2182</t>
  </si>
  <si>
    <t>GRUPO MINI MUNDO</t>
  </si>
  <si>
    <t>329</t>
  </si>
  <si>
    <t>PREFERIDA</t>
  </si>
  <si>
    <t>396</t>
  </si>
  <si>
    <t>LOJAS DUPASSO</t>
  </si>
  <si>
    <t>1196</t>
  </si>
  <si>
    <t>GRUPO SAO JOSE - 33</t>
  </si>
  <si>
    <t>84</t>
  </si>
  <si>
    <t>CIA DO PE</t>
  </si>
  <si>
    <t>1100</t>
  </si>
  <si>
    <t>CIA DO SAPATO</t>
  </si>
  <si>
    <t>1640</t>
  </si>
  <si>
    <t>JK CALCADOS LTDA</t>
  </si>
  <si>
    <t>2256</t>
  </si>
  <si>
    <t>LA FIOLETA</t>
  </si>
  <si>
    <t>250</t>
  </si>
  <si>
    <t>PIRAMIDE CALCADOS</t>
  </si>
  <si>
    <t>919</t>
  </si>
  <si>
    <t>LOJAS MAGRO</t>
  </si>
  <si>
    <t>271</t>
  </si>
  <si>
    <t>ATUAL MODAS</t>
  </si>
  <si>
    <t>520</t>
  </si>
  <si>
    <t>ULLE</t>
  </si>
  <si>
    <t>1596</t>
  </si>
  <si>
    <t>OUTLETS SHOES (02)</t>
  </si>
  <si>
    <t>864</t>
  </si>
  <si>
    <t>GIGANTE</t>
  </si>
  <si>
    <t>618</t>
  </si>
  <si>
    <t>MALUTA</t>
  </si>
  <si>
    <t>1224</t>
  </si>
  <si>
    <t>BARTHOLOMEU</t>
  </si>
  <si>
    <t>674</t>
  </si>
  <si>
    <t>CASA BERTOZZI</t>
  </si>
  <si>
    <t>1190</t>
  </si>
  <si>
    <t>BRASCON</t>
  </si>
  <si>
    <t>1219</t>
  </si>
  <si>
    <t>PASSO &amp; PASSO XALACDOS</t>
  </si>
  <si>
    <t>334</t>
  </si>
  <si>
    <t>ESPERANCA</t>
  </si>
  <si>
    <t>1655</t>
  </si>
  <si>
    <t>GRUPO REDE MINAS</t>
  </si>
  <si>
    <t>795</t>
  </si>
  <si>
    <t>GRUPO TAVARES RECONCAVO</t>
  </si>
  <si>
    <t>2233</t>
  </si>
  <si>
    <t>GRUPO PASSO FELIZ</t>
  </si>
  <si>
    <t>1546</t>
  </si>
  <si>
    <t>JEN</t>
  </si>
  <si>
    <t>1792</t>
  </si>
  <si>
    <t>GRUPO CECILOVE</t>
  </si>
  <si>
    <t>30</t>
  </si>
  <si>
    <t>MARANATA CALCADOS</t>
  </si>
  <si>
    <t>103</t>
  </si>
  <si>
    <t>Y AGITA - FOZ DO IGUACU</t>
  </si>
  <si>
    <t>2251</t>
  </si>
  <si>
    <t>GRUPO M3 IMPORTS</t>
  </si>
  <si>
    <t>936</t>
  </si>
  <si>
    <t>SUPERMERCADO DO TENIS</t>
  </si>
  <si>
    <t>241</t>
  </si>
  <si>
    <t>REDE BORTOLATO</t>
  </si>
  <si>
    <t>200</t>
  </si>
  <si>
    <t>GRUPO RILEX</t>
  </si>
  <si>
    <t>189</t>
  </si>
  <si>
    <t>RN FURTADO</t>
  </si>
  <si>
    <t>249</t>
  </si>
  <si>
    <t>GRUPO MASTER MAGAZINE</t>
  </si>
  <si>
    <t>1913</t>
  </si>
  <si>
    <t>GRUPO CARMELITA SHOES</t>
  </si>
  <si>
    <t>868</t>
  </si>
  <si>
    <t>GRUPO CANHADAS</t>
  </si>
  <si>
    <t>110</t>
  </si>
  <si>
    <t>KIKOS CALCADOS</t>
  </si>
  <si>
    <t>502</t>
  </si>
  <si>
    <t>QUINTAL</t>
  </si>
  <si>
    <t>20</t>
  </si>
  <si>
    <t>MAX KIDS</t>
  </si>
  <si>
    <t>335</t>
  </si>
  <si>
    <t>DAMIAO PEREIRA G(5)</t>
  </si>
  <si>
    <t>2205</t>
  </si>
  <si>
    <t>GRUPO SUPER COMERCIO</t>
  </si>
  <si>
    <t>1209</t>
  </si>
  <si>
    <t>GRUPO PE QUENTE - 101</t>
  </si>
  <si>
    <t>568</t>
  </si>
  <si>
    <t>CALÇADOS SERGIO TUNODA (20 Lojas)</t>
  </si>
  <si>
    <t>803</t>
  </si>
  <si>
    <t>EDILSON PIMENTA</t>
  </si>
  <si>
    <t>482</t>
  </si>
  <si>
    <t>GRUPO MARANATHA</t>
  </si>
  <si>
    <t>123</t>
  </si>
  <si>
    <t>ANDBEM CALCADOS [3]</t>
  </si>
  <si>
    <t>1151</t>
  </si>
  <si>
    <t>UNIVERSO SHOES</t>
  </si>
  <si>
    <t>1090</t>
  </si>
  <si>
    <t>GRUPO AMERICOS</t>
  </si>
  <si>
    <t>1986</t>
  </si>
  <si>
    <t>GRUPO FENIX</t>
  </si>
  <si>
    <t>1751</t>
  </si>
  <si>
    <t>CLUBE DO PÉ MAGAZIN</t>
  </si>
  <si>
    <t>358</t>
  </si>
  <si>
    <t>ESPERANCA RUBENS G(10)</t>
  </si>
  <si>
    <t>300</t>
  </si>
  <si>
    <t>GRUPO PITTOL</t>
  </si>
  <si>
    <t>545</t>
  </si>
  <si>
    <t>KATY G(4)</t>
  </si>
  <si>
    <t>1251</t>
  </si>
  <si>
    <t>GRUPO PE DE MAIS</t>
  </si>
  <si>
    <t>2225</t>
  </si>
  <si>
    <t>GRUPO LOJAS RICARDOS(REP 11)</t>
  </si>
  <si>
    <t>1354</t>
  </si>
  <si>
    <t>CAROLINA CACADOS</t>
  </si>
  <si>
    <t>834</t>
  </si>
  <si>
    <t>CELLY (2 LJS) - GOLD</t>
  </si>
  <si>
    <t>992</t>
  </si>
  <si>
    <t>CABANAS CALCADOS</t>
  </si>
  <si>
    <t>798</t>
  </si>
  <si>
    <t>MARCOS ANTONIO</t>
  </si>
  <si>
    <t>36</t>
  </si>
  <si>
    <t>NO PE CALCADOS</t>
  </si>
  <si>
    <t>999</t>
  </si>
  <si>
    <t>GRUPO TRIER-(08 LOJAS)</t>
  </si>
  <si>
    <t>937</t>
  </si>
  <si>
    <t>GRUPO MAXXI</t>
  </si>
  <si>
    <t>2242</t>
  </si>
  <si>
    <t>GRUPO VAL CALÇADOS</t>
  </si>
  <si>
    <t>423</t>
  </si>
  <si>
    <t>MOSSANEDES</t>
  </si>
  <si>
    <t>1773</t>
  </si>
  <si>
    <t>LENE MODAS</t>
  </si>
  <si>
    <t>1475</t>
  </si>
  <si>
    <t>GRUPO DIRCEU NOVAIS (02)</t>
  </si>
  <si>
    <t>1155</t>
  </si>
  <si>
    <t>GRUPO NUNES</t>
  </si>
  <si>
    <t>737</t>
  </si>
  <si>
    <t>GRUPO EBERLE</t>
  </si>
  <si>
    <t>1240</t>
  </si>
  <si>
    <t>GRUPO SENSACAO</t>
  </si>
  <si>
    <t>779</t>
  </si>
  <si>
    <t>FERREIRA LUCIO</t>
  </si>
  <si>
    <t>1113</t>
  </si>
  <si>
    <t>GRUPO MARLY</t>
  </si>
  <si>
    <t>362</t>
  </si>
  <si>
    <t>LUNAYMA</t>
  </si>
  <si>
    <t>540</t>
  </si>
  <si>
    <t>BUENAO</t>
  </si>
  <si>
    <t>2184</t>
  </si>
  <si>
    <t>GRUPO RG CALÇADOS</t>
  </si>
  <si>
    <t>435</t>
  </si>
  <si>
    <t>CALLEGARI</t>
  </si>
  <si>
    <t>2277</t>
  </si>
  <si>
    <t>GRUPO TÁ QUE TÁ</t>
  </si>
  <si>
    <t>2087</t>
  </si>
  <si>
    <t>GRUPO ELITE</t>
  </si>
  <si>
    <t>771</t>
  </si>
  <si>
    <t>BIA CALCADOS</t>
  </si>
  <si>
    <t>1002</t>
  </si>
  <si>
    <t>ANDEBEM</t>
  </si>
  <si>
    <t>1291</t>
  </si>
  <si>
    <t>JP CALCADOS</t>
  </si>
  <si>
    <t>2086</t>
  </si>
  <si>
    <t>NINA CALÇADOS (3)</t>
  </si>
  <si>
    <t>2237</t>
  </si>
  <si>
    <t>GRUPO NEW CALCADOS</t>
  </si>
  <si>
    <t>1693</t>
  </si>
  <si>
    <t>GRUPO FOKA PIRIQUITO</t>
  </si>
  <si>
    <t>2101</t>
  </si>
  <si>
    <t>MARLI CENTER (02)</t>
  </si>
  <si>
    <t>2143</t>
  </si>
  <si>
    <t>CHINELO &amp; CIA</t>
  </si>
  <si>
    <t>921</t>
  </si>
  <si>
    <t>GRUPO AMIGAO</t>
  </si>
  <si>
    <t>589</t>
  </si>
  <si>
    <t>TELLES</t>
  </si>
  <si>
    <t>2153</t>
  </si>
  <si>
    <t>GRUPO POMPAR</t>
  </si>
  <si>
    <t>1193</t>
  </si>
  <si>
    <t>1770</t>
  </si>
  <si>
    <t>GRUPO SANDRA CALÇADOS</t>
  </si>
  <si>
    <t>802</t>
  </si>
  <si>
    <t>GRUPO VERYS</t>
  </si>
  <si>
    <t>1229</t>
  </si>
  <si>
    <t>YURI CALCADOS</t>
  </si>
  <si>
    <t>455</t>
  </si>
  <si>
    <t>LJ UNIDAS</t>
  </si>
  <si>
    <t>2197</t>
  </si>
  <si>
    <t>MORIA CEREJA</t>
  </si>
  <si>
    <t>1457</t>
  </si>
  <si>
    <t>GRUPO D´LELES (07)</t>
  </si>
  <si>
    <t>594</t>
  </si>
  <si>
    <t>VIAPAR (04)</t>
  </si>
  <si>
    <t>1907</t>
  </si>
  <si>
    <t>GRUPO PERFIL</t>
  </si>
  <si>
    <t>1628</t>
  </si>
  <si>
    <t>GRUPO DESTAK (GEORGE)</t>
  </si>
  <si>
    <t>863</t>
  </si>
  <si>
    <t>PARATI DE ARAXA (03 LJS)</t>
  </si>
  <si>
    <t>1682</t>
  </si>
  <si>
    <t>GRUPO ALMEIDA</t>
  </si>
  <si>
    <t>1564</t>
  </si>
  <si>
    <t>GRUPO CLECIA</t>
  </si>
  <si>
    <t>1510</t>
  </si>
  <si>
    <t>GRUPO PIRAPOZINHO</t>
  </si>
  <si>
    <t>896</t>
  </si>
  <si>
    <t>NOVA CALCADOS</t>
  </si>
  <si>
    <t>818</t>
  </si>
  <si>
    <t>DUPE CALCADOS</t>
  </si>
  <si>
    <t>601</t>
  </si>
  <si>
    <t>SAYURI ROUPAS G (3)</t>
  </si>
  <si>
    <t>2062</t>
  </si>
  <si>
    <t>BIG LOJA</t>
  </si>
  <si>
    <t>1270</t>
  </si>
  <si>
    <t>GRUPO PASSO LIVRE</t>
  </si>
  <si>
    <t>1245</t>
  </si>
  <si>
    <t>MARCONE CALCADOS</t>
  </si>
  <si>
    <t>1262</t>
  </si>
  <si>
    <t>GRUPO BK CALCADOS</t>
  </si>
  <si>
    <t>1146</t>
  </si>
  <si>
    <t>ZE MARIA CALCADOS</t>
  </si>
  <si>
    <t>1274</t>
  </si>
  <si>
    <t>GRUPO SIQUEIRA E CUNHA</t>
  </si>
  <si>
    <t>2158</t>
  </si>
  <si>
    <t>GRUPO LEANDRO CALÇADOS</t>
  </si>
  <si>
    <t>2105</t>
  </si>
  <si>
    <t>ELIANE CENTER</t>
  </si>
  <si>
    <t>1649</t>
  </si>
  <si>
    <t>SO CALCADOS</t>
  </si>
  <si>
    <t>781</t>
  </si>
  <si>
    <t>KASSULA G(6)</t>
  </si>
  <si>
    <t>2073</t>
  </si>
  <si>
    <t>GRUPO GALERIA DOS CALCADOS</t>
  </si>
  <si>
    <t>192</t>
  </si>
  <si>
    <t>SCARPINI</t>
  </si>
  <si>
    <t>2200</t>
  </si>
  <si>
    <t>GRUPO OUTLET DE PARIS</t>
  </si>
  <si>
    <t>725</t>
  </si>
  <si>
    <t>DELE DELA G (3)</t>
  </si>
  <si>
    <t>1520</t>
  </si>
  <si>
    <t>GRUPO MODA PE</t>
  </si>
  <si>
    <t>1861</t>
  </si>
  <si>
    <t>GRUPO PONTO DO PÉ</t>
  </si>
  <si>
    <t>724</t>
  </si>
  <si>
    <t>ALYNE</t>
  </si>
  <si>
    <t>323</t>
  </si>
  <si>
    <t>LOJAS ESTRELA</t>
  </si>
  <si>
    <t>696</t>
  </si>
  <si>
    <t>BELLA SPORT</t>
  </si>
  <si>
    <t>163</t>
  </si>
  <si>
    <t>LUPALINA CALCADOS</t>
  </si>
  <si>
    <t>571</t>
  </si>
  <si>
    <t>PIOVESAN</t>
  </si>
  <si>
    <t>1956</t>
  </si>
  <si>
    <t>ATACAREJO BRASÍLIA (02)</t>
  </si>
  <si>
    <t>2259</t>
  </si>
  <si>
    <t>REDE PEDRO</t>
  </si>
  <si>
    <t>1321</t>
  </si>
  <si>
    <t>GRUPO CHINELO CALCADOS</t>
  </si>
  <si>
    <t>711</t>
  </si>
  <si>
    <t>ZUKEN SHOES</t>
  </si>
  <si>
    <t>1788</t>
  </si>
  <si>
    <t>GRUPO SODUPE (02)</t>
  </si>
  <si>
    <t>559</t>
  </si>
  <si>
    <t>VL DA CUNHA (4 LJS) - GOLD</t>
  </si>
  <si>
    <t>460</t>
  </si>
  <si>
    <t>GRUPO ROLETA</t>
  </si>
  <si>
    <t>143</t>
  </si>
  <si>
    <t>AMERICAN SHOES</t>
  </si>
  <si>
    <t>615</t>
  </si>
  <si>
    <t>BEBER</t>
  </si>
  <si>
    <t>307</t>
  </si>
  <si>
    <t>SHOPVEST</t>
  </si>
  <si>
    <t>1777</t>
  </si>
  <si>
    <t>GRUPO ALIANÇA</t>
  </si>
  <si>
    <t>211</t>
  </si>
  <si>
    <t>PISE BEM</t>
  </si>
  <si>
    <t>1230</t>
  </si>
  <si>
    <t>SHOEMIX CALCADOS</t>
  </si>
  <si>
    <t>28</t>
  </si>
  <si>
    <t>J. LONGO</t>
  </si>
  <si>
    <t>80</t>
  </si>
  <si>
    <t>CALCADOS CATARINENSE</t>
  </si>
  <si>
    <t>847</t>
  </si>
  <si>
    <t>LOJAS IPIRANGA G(3)</t>
  </si>
  <si>
    <t>1940</t>
  </si>
  <si>
    <t>GRUPO J E R CALCADOS</t>
  </si>
  <si>
    <t>2069</t>
  </si>
  <si>
    <t>ANA TERRA</t>
  </si>
  <si>
    <t>2274</t>
  </si>
  <si>
    <t>GRUPO J FURMANN</t>
  </si>
  <si>
    <t>2209</t>
  </si>
  <si>
    <t>GRUPO VIP SHOES</t>
  </si>
  <si>
    <t>987</t>
  </si>
  <si>
    <t>MOREIRA MARQUES REP 34</t>
  </si>
  <si>
    <t>201</t>
  </si>
  <si>
    <t>LOJAS BIDU</t>
  </si>
  <si>
    <t>1632</t>
  </si>
  <si>
    <t>ALUISIO CALÇADOS</t>
  </si>
  <si>
    <t>473</t>
  </si>
  <si>
    <t>CALCE BEM G (4)</t>
  </si>
  <si>
    <t>1132</t>
  </si>
  <si>
    <t>PIRES DE MORAES</t>
  </si>
  <si>
    <t>812</t>
  </si>
  <si>
    <t>GRUPO BARATAO (GO)</t>
  </si>
  <si>
    <t>1657</t>
  </si>
  <si>
    <t>CLASSI MAIS</t>
  </si>
  <si>
    <t>1843</t>
  </si>
  <si>
    <t>REAL MODAS</t>
  </si>
  <si>
    <t>2207</t>
  </si>
  <si>
    <t>GRUPO ROSA CLICHÊ</t>
  </si>
  <si>
    <t>1983</t>
  </si>
  <si>
    <t>GRUPO STAR CALÇADOS</t>
  </si>
  <si>
    <t>66</t>
  </si>
  <si>
    <t>RAQUEL CALCADOS G(33)</t>
  </si>
  <si>
    <t>1492</t>
  </si>
  <si>
    <t>JM CALCADOS</t>
  </si>
  <si>
    <t>728</t>
  </si>
  <si>
    <t>DORANE</t>
  </si>
  <si>
    <t>597</t>
  </si>
  <si>
    <t>JAPONESA HELIO G (3)</t>
  </si>
  <si>
    <t>984</t>
  </si>
  <si>
    <t>GRUPO PISALLE</t>
  </si>
  <si>
    <t>2102</t>
  </si>
  <si>
    <t>PLANETA COURO</t>
  </si>
  <si>
    <t>1495</t>
  </si>
  <si>
    <t>CHARME.COM</t>
  </si>
  <si>
    <t>782</t>
  </si>
  <si>
    <t>GRUPO VESTY G(4)</t>
  </si>
  <si>
    <t>327</t>
  </si>
  <si>
    <t>RASTRO DA MODA</t>
  </si>
  <si>
    <t>293</t>
  </si>
  <si>
    <t>GRUPO JORROVI</t>
  </si>
  <si>
    <t>1051</t>
  </si>
  <si>
    <t>GRUPO FLAVIA</t>
  </si>
  <si>
    <t>1180</t>
  </si>
  <si>
    <t>MERCOSUL</t>
  </si>
  <si>
    <t>1282</t>
  </si>
  <si>
    <t>GRUPO PAVONE</t>
  </si>
  <si>
    <t>2067</t>
  </si>
  <si>
    <t>OFICIAL MODAS</t>
  </si>
  <si>
    <t>2185</t>
  </si>
  <si>
    <t>GRUPO MEDELLIN CALÇADOS</t>
  </si>
  <si>
    <t>198</t>
  </si>
  <si>
    <t>MAXIMUNDIAL (AMIM)</t>
  </si>
  <si>
    <t>1383</t>
  </si>
  <si>
    <t>SANTANA MODAS</t>
  </si>
  <si>
    <t>344</t>
  </si>
  <si>
    <t>KABLER</t>
  </si>
  <si>
    <t>1235</t>
  </si>
  <si>
    <t>GRUPO LENITA</t>
  </si>
  <si>
    <t>474</t>
  </si>
  <si>
    <t>NACIONAL TECIDOS G (4)</t>
  </si>
  <si>
    <t>2136</t>
  </si>
  <si>
    <t>NOVA GRÉCIA</t>
  </si>
  <si>
    <t>1326</t>
  </si>
  <si>
    <t>DIGITAL CALCADOS</t>
  </si>
  <si>
    <t>1168</t>
  </si>
  <si>
    <t>SAO JOSE CALCADOS</t>
  </si>
  <si>
    <t>1208</t>
  </si>
  <si>
    <t>LOJAS BIS</t>
  </si>
  <si>
    <t>697</t>
  </si>
  <si>
    <t>GRUPO OBA OBA</t>
  </si>
  <si>
    <t>848</t>
  </si>
  <si>
    <t>CASA GERSON G(4)</t>
  </si>
  <si>
    <t>1084</t>
  </si>
  <si>
    <t>DINHO CALCADOS</t>
  </si>
  <si>
    <t>1476</t>
  </si>
  <si>
    <t>GRUPO TITANA FASHION (02)</t>
  </si>
  <si>
    <t>1142</t>
  </si>
  <si>
    <t>M TERESA</t>
  </si>
  <si>
    <t>1293</t>
  </si>
  <si>
    <t>GRUPO CRIATIVA</t>
  </si>
  <si>
    <t>1719</t>
  </si>
  <si>
    <t>MANFRON CENTER</t>
  </si>
  <si>
    <t>254</t>
  </si>
  <si>
    <t>TIMAX CALCADOS G(10)</t>
  </si>
  <si>
    <t>1376</t>
  </si>
  <si>
    <t>J M SCARPINI</t>
  </si>
  <si>
    <t>2245</t>
  </si>
  <si>
    <t>GRUPO L P QUINTAO</t>
  </si>
  <si>
    <t>1826</t>
  </si>
  <si>
    <t>LOJA FLORESTENSE</t>
  </si>
  <si>
    <t>2125</t>
  </si>
  <si>
    <t>D CALÇADOS</t>
  </si>
  <si>
    <t>2144</t>
  </si>
  <si>
    <t>GRUPO VICTORIA CHIC</t>
  </si>
  <si>
    <t>2201</t>
  </si>
  <si>
    <t>GRUPO PIPI KIDS</t>
  </si>
  <si>
    <t>1716</t>
  </si>
  <si>
    <t>FERREIRA NOBRE</t>
  </si>
  <si>
    <t>575</t>
  </si>
  <si>
    <t>ANDRADE</t>
  </si>
  <si>
    <t>695</t>
  </si>
  <si>
    <t>GRUPO SALTITTA(DF)</t>
  </si>
  <si>
    <t>1633</t>
  </si>
  <si>
    <t>GRUPO ALTERNATIVA CALÇADOS</t>
  </si>
  <si>
    <t>22</t>
  </si>
  <si>
    <t>CINDERELA CALCADOS</t>
  </si>
  <si>
    <t>973</t>
  </si>
  <si>
    <t>A SOBERANA</t>
  </si>
  <si>
    <t>1499</t>
  </si>
  <si>
    <t>C ENGEL E G.K</t>
  </si>
  <si>
    <t>124</t>
  </si>
  <si>
    <t>LOJAS PINHEIRO - RN</t>
  </si>
  <si>
    <t>587</t>
  </si>
  <si>
    <t>LOJA KETIS</t>
  </si>
  <si>
    <t>1723</t>
  </si>
  <si>
    <t>702</t>
  </si>
  <si>
    <t>PEZINHO &amp; CIA</t>
  </si>
  <si>
    <t>687</t>
  </si>
  <si>
    <t>MARAM G(2)</t>
  </si>
  <si>
    <t>114</t>
  </si>
  <si>
    <t>CASADO CALCADOS</t>
  </si>
  <si>
    <t>2031</t>
  </si>
  <si>
    <t>GRUPO BEBE FROES</t>
  </si>
  <si>
    <t>220</t>
  </si>
  <si>
    <t>LUART</t>
  </si>
  <si>
    <t>2198</t>
  </si>
  <si>
    <t>GRUPO ESPAÇO NOBRE</t>
  </si>
  <si>
    <t>706</t>
  </si>
  <si>
    <t>CELIA COUTINHO G[3]</t>
  </si>
  <si>
    <t>627</t>
  </si>
  <si>
    <t>GRUPO XAVIER</t>
  </si>
  <si>
    <t>944</t>
  </si>
  <si>
    <t>PRIMAVERA UBERLANDIA</t>
  </si>
  <si>
    <t>846</t>
  </si>
  <si>
    <t>BOROTO</t>
  </si>
  <si>
    <t>191</t>
  </si>
  <si>
    <t>PLANETA PE G(10)</t>
  </si>
  <si>
    <t>1580</t>
  </si>
  <si>
    <t>JUNIOR CALCADOS</t>
  </si>
  <si>
    <t>1776</t>
  </si>
  <si>
    <t>GRUPO MINAS (65)</t>
  </si>
  <si>
    <t>1139</t>
  </si>
  <si>
    <t>ELDORADO DE PARACATU</t>
  </si>
  <si>
    <t>374</t>
  </si>
  <si>
    <t>PIXOLE (13 LOJAS)</t>
  </si>
  <si>
    <t>2243</t>
  </si>
  <si>
    <t>BELISSIMA</t>
  </si>
  <si>
    <t>2038</t>
  </si>
  <si>
    <t>PAULLA MODAS</t>
  </si>
  <si>
    <t>1683</t>
  </si>
  <si>
    <t>GRUPO RISOL</t>
  </si>
  <si>
    <t>1112</t>
  </si>
  <si>
    <t>GRUPO SAVARIS</t>
  </si>
  <si>
    <t>2269</t>
  </si>
  <si>
    <t>GRUPO QUITÉRIA</t>
  </si>
  <si>
    <t>1806</t>
  </si>
  <si>
    <t>GRUPO SALDÃO</t>
  </si>
  <si>
    <t>42</t>
  </si>
  <si>
    <t>LOJA SANTOS CALCADOS</t>
  </si>
  <si>
    <t>1703</t>
  </si>
  <si>
    <t>GRUPO ARMARINHO ROCHA</t>
  </si>
  <si>
    <t>315</t>
  </si>
  <si>
    <t>LUIS MARINHO</t>
  </si>
  <si>
    <t>2124</t>
  </si>
  <si>
    <t>LOJAS AQUI</t>
  </si>
  <si>
    <t>548</t>
  </si>
  <si>
    <t>TERE G(9)</t>
  </si>
  <si>
    <t>1941</t>
  </si>
  <si>
    <t>PÉ QUENTI (REP 253)</t>
  </si>
  <si>
    <t>1763</t>
  </si>
  <si>
    <t>CLUBE DO PÉ</t>
  </si>
  <si>
    <t>1361</t>
  </si>
  <si>
    <t>GRUPO ANDRADE</t>
  </si>
  <si>
    <t>1160</t>
  </si>
  <si>
    <t>371</t>
  </si>
  <si>
    <t>MARCINIACK</t>
  </si>
  <si>
    <t>898</t>
  </si>
  <si>
    <t>L.M. CALCADOS</t>
  </si>
  <si>
    <t>1380</t>
  </si>
  <si>
    <t>GRUPO MARIA</t>
  </si>
  <si>
    <t>856</t>
  </si>
  <si>
    <t>FASCINIO</t>
  </si>
  <si>
    <t>1250</t>
  </si>
  <si>
    <t>BABY TEEN</t>
  </si>
  <si>
    <t>2047</t>
  </si>
  <si>
    <t>CACTUS (3)</t>
  </si>
  <si>
    <t>1118</t>
  </si>
  <si>
    <t>PAMPA CALCADOS</t>
  </si>
  <si>
    <t>1050</t>
  </si>
  <si>
    <t>GRUPO LIMA</t>
  </si>
  <si>
    <t>509</t>
  </si>
  <si>
    <t>YOUSSEF G(3)</t>
  </si>
  <si>
    <t>313</t>
  </si>
  <si>
    <t>CALCADOS NICE</t>
  </si>
  <si>
    <t>646</t>
  </si>
  <si>
    <t>SUREK</t>
  </si>
  <si>
    <t>2181</t>
  </si>
  <si>
    <t>GRUPO PEZINHO DE ANJO</t>
  </si>
  <si>
    <t>1078</t>
  </si>
  <si>
    <t>GRUPO BELLA GRIFF</t>
  </si>
  <si>
    <t>252</t>
  </si>
  <si>
    <t>PLANETA DO BEBE</t>
  </si>
  <si>
    <t>2145</t>
  </si>
  <si>
    <t>GRUPO LIANCE CALCADOS</t>
  </si>
  <si>
    <t>633</t>
  </si>
  <si>
    <t>DITA</t>
  </si>
  <si>
    <t>305</t>
  </si>
  <si>
    <t>LUCOBITHI</t>
  </si>
  <si>
    <t>1589</t>
  </si>
  <si>
    <t>SIALES</t>
  </si>
  <si>
    <t>1684</t>
  </si>
  <si>
    <t>GRUPO KENT</t>
  </si>
  <si>
    <t>1598</t>
  </si>
  <si>
    <t>EDILSON CALCADOS</t>
  </si>
  <si>
    <t>1161</t>
  </si>
  <si>
    <t>228</t>
  </si>
  <si>
    <t>AMPARATO CALCADOS G(3)</t>
  </si>
  <si>
    <t>1387</t>
  </si>
  <si>
    <t>15 CALCADOS</t>
  </si>
  <si>
    <t>1205</t>
  </si>
  <si>
    <t>VANIA CALCADOS</t>
  </si>
  <si>
    <t>2247</t>
  </si>
  <si>
    <t>CANTO KIDS</t>
  </si>
  <si>
    <t>1343</t>
  </si>
  <si>
    <t>GRUPO MADRI</t>
  </si>
  <si>
    <t>1731</t>
  </si>
  <si>
    <t>SACCONI (03)</t>
  </si>
  <si>
    <t>1521</t>
  </si>
  <si>
    <t>GRUPO BERTUOL</t>
  </si>
  <si>
    <t>2007</t>
  </si>
  <si>
    <t>GRUPO PAGUE MENOS/ PARANAGUA</t>
  </si>
  <si>
    <t>971</t>
  </si>
  <si>
    <t>GRUPO LUNNA</t>
  </si>
  <si>
    <t>1430</t>
  </si>
  <si>
    <t>GRUPO SMAIDI</t>
  </si>
  <si>
    <t>895</t>
  </si>
  <si>
    <t>VIA BRASIL</t>
  </si>
  <si>
    <t>893</t>
  </si>
  <si>
    <t>JN CALCADOS</t>
  </si>
  <si>
    <t>980</t>
  </si>
  <si>
    <t>GRUPO SCHVAMBACH</t>
  </si>
  <si>
    <t>236</t>
  </si>
  <si>
    <t>GRUPO MILLA (REP 208)</t>
  </si>
  <si>
    <t>1275</t>
  </si>
  <si>
    <t>GRUPO LUBB</t>
  </si>
  <si>
    <t>905</t>
  </si>
  <si>
    <t>FEIRAO DOS CALCADOS</t>
  </si>
  <si>
    <t>1726</t>
  </si>
  <si>
    <t>GRUPO H LERINHA</t>
  </si>
  <si>
    <t>693</t>
  </si>
  <si>
    <t>MOREIRA MARQUES</t>
  </si>
  <si>
    <t>744</t>
  </si>
  <si>
    <t>DALBERTO</t>
  </si>
  <si>
    <t>2139</t>
  </si>
  <si>
    <t>GRUPO STELLA MODAS</t>
  </si>
  <si>
    <t>1820</t>
  </si>
  <si>
    <t>GRUPO PROPE</t>
  </si>
  <si>
    <t>340</t>
  </si>
  <si>
    <t>MACEDOS</t>
  </si>
  <si>
    <t>2246</t>
  </si>
  <si>
    <t>GRUPO MINEIRINHO</t>
  </si>
  <si>
    <t>982</t>
  </si>
  <si>
    <t>LOJAS AMERICANAS</t>
  </si>
  <si>
    <t>1085</t>
  </si>
  <si>
    <t>CENTER SPORTS</t>
  </si>
  <si>
    <t>2036</t>
  </si>
  <si>
    <t>GRUPO URBANA CALÇADOS</t>
  </si>
  <si>
    <t>19</t>
  </si>
  <si>
    <t>PITTOL CALCADOS</t>
  </si>
  <si>
    <t>2155</t>
  </si>
  <si>
    <t>RIGO CONSTANTINA</t>
  </si>
  <si>
    <t>311</t>
  </si>
  <si>
    <t>GRUPO ESCOLASTICO</t>
  </si>
  <si>
    <t>275</t>
  </si>
  <si>
    <t>REIMA</t>
  </si>
  <si>
    <t>1436</t>
  </si>
  <si>
    <t>SAN RIO MODAS</t>
  </si>
  <si>
    <t>2161</t>
  </si>
  <si>
    <t>STILO SHOP</t>
  </si>
  <si>
    <t>1697</t>
  </si>
  <si>
    <t>GRUPO REDE CENTER</t>
  </si>
  <si>
    <t>2238</t>
  </si>
  <si>
    <t>ATACADÃO CALÇADOS</t>
  </si>
  <si>
    <t>45</t>
  </si>
  <si>
    <t>KI MALHA</t>
  </si>
  <si>
    <t>447</t>
  </si>
  <si>
    <t>PISSINATO G(3)</t>
  </si>
  <si>
    <t>2210</t>
  </si>
  <si>
    <t>GRUPO CASTELINI(266)</t>
  </si>
  <si>
    <t>681</t>
  </si>
  <si>
    <t>GRUPO NALIN</t>
  </si>
  <si>
    <t>2188</t>
  </si>
  <si>
    <t>GRUPO ELENA MODA INFANTIL</t>
  </si>
  <si>
    <t>1504</t>
  </si>
  <si>
    <t>TR 5 CALCADOS (2)</t>
  </si>
  <si>
    <t>2131</t>
  </si>
  <si>
    <t>PEDROSO &amp; FERREIRA</t>
  </si>
  <si>
    <t>626</t>
  </si>
  <si>
    <t>SALES</t>
  </si>
  <si>
    <t>2272</t>
  </si>
  <si>
    <t>GRUPO SILAN</t>
  </si>
  <si>
    <t>2162</t>
  </si>
  <si>
    <t>GRUPO REDE DE LOJA D´CRIANÇA</t>
  </si>
  <si>
    <t>1771</t>
  </si>
  <si>
    <t>KAROL BABY</t>
  </si>
  <si>
    <t>1529</t>
  </si>
  <si>
    <t>NALDO CONFECÇÕES</t>
  </si>
  <si>
    <t>583</t>
  </si>
  <si>
    <t>LOJA VENCAL</t>
  </si>
  <si>
    <t>1298</t>
  </si>
  <si>
    <t>GRUPO MARIA JULIA</t>
  </si>
  <si>
    <t>1015</t>
  </si>
  <si>
    <t>GRUPO RECANTO</t>
  </si>
  <si>
    <t>1071</t>
  </si>
  <si>
    <t>GRUPO SIBRAMA</t>
  </si>
  <si>
    <t>1804</t>
  </si>
  <si>
    <t>GRUPO PRO PE CALCADOS</t>
  </si>
  <si>
    <t>1823</t>
  </si>
  <si>
    <t>BEM CALÇADOS</t>
  </si>
  <si>
    <t>383</t>
  </si>
  <si>
    <t>PAULISTANAS &amp; ESTRELAS</t>
  </si>
  <si>
    <t>2156</t>
  </si>
  <si>
    <t>LOJAS WILSON</t>
  </si>
  <si>
    <t>1381</t>
  </si>
  <si>
    <t>GRUPO FUZUE</t>
  </si>
  <si>
    <t>1107</t>
  </si>
  <si>
    <t>GRUPO PEREIRA</t>
  </si>
  <si>
    <t>1259</t>
  </si>
  <si>
    <t>652</t>
  </si>
  <si>
    <t>ZANOELLO</t>
  </si>
  <si>
    <t>2204</t>
  </si>
  <si>
    <t>GRUPO PINDO D AGUA</t>
  </si>
  <si>
    <t>955</t>
  </si>
  <si>
    <t>MENON</t>
  </si>
  <si>
    <t>2189</t>
  </si>
  <si>
    <t>GRUPO HAVAM</t>
  </si>
  <si>
    <t>1466</t>
  </si>
  <si>
    <t>GRUPO MEIRELES</t>
  </si>
  <si>
    <t>1584</t>
  </si>
  <si>
    <t>ODILON CALÇADOS</t>
  </si>
  <si>
    <t>210</t>
  </si>
  <si>
    <t>EMANUELLE</t>
  </si>
  <si>
    <t>2134</t>
  </si>
  <si>
    <t>GRUPO IMPACTO (232)</t>
  </si>
  <si>
    <t>1053</t>
  </si>
  <si>
    <t>CALCADOS DO POVO - 65</t>
  </si>
  <si>
    <t>1049</t>
  </si>
  <si>
    <t>DUNOME CALCADOS - 168</t>
  </si>
  <si>
    <t>585</t>
  </si>
  <si>
    <t>LOJA GUIDOLIN</t>
  </si>
  <si>
    <t>1742</t>
  </si>
  <si>
    <t>ROSEMERI CALCADOS (02)</t>
  </si>
  <si>
    <t>1701</t>
  </si>
  <si>
    <t>DUTACIO</t>
  </si>
  <si>
    <t>826</t>
  </si>
  <si>
    <t>CALCE PAGUE</t>
  </si>
  <si>
    <t>18</t>
  </si>
  <si>
    <t>COMANDER CALCADOS</t>
  </si>
  <si>
    <t>1604</t>
  </si>
  <si>
    <t>CHARME CALCADOS</t>
  </si>
  <si>
    <t>284</t>
  </si>
  <si>
    <t>MITTIS CALCADOS</t>
  </si>
  <si>
    <t>1671</t>
  </si>
  <si>
    <t>CIA BELLA (02)</t>
  </si>
  <si>
    <t>1137</t>
  </si>
  <si>
    <t>NOVA ERA ARAGUARI</t>
  </si>
  <si>
    <t>783</t>
  </si>
  <si>
    <t>O CALCADAO</t>
  </si>
  <si>
    <t>1525</t>
  </si>
  <si>
    <t>GRUPO HARTMANN</t>
  </si>
  <si>
    <t>1357</t>
  </si>
  <si>
    <t>GRUPO SAVILLE</t>
  </si>
  <si>
    <t>2117</t>
  </si>
  <si>
    <t>GRUPO MDL</t>
  </si>
  <si>
    <t>1445</t>
  </si>
  <si>
    <t>GRUPO LOJAS MARISSOL</t>
  </si>
  <si>
    <t>1269</t>
  </si>
  <si>
    <t>GRUPO SOAVE</t>
  </si>
  <si>
    <t>195</t>
  </si>
  <si>
    <t>PLANETA PE</t>
  </si>
  <si>
    <t>1062</t>
  </si>
  <si>
    <t>GRUPO JULIVAN</t>
  </si>
  <si>
    <t>857</t>
  </si>
  <si>
    <t>ALTERNATIVA</t>
  </si>
  <si>
    <t>1184</t>
  </si>
  <si>
    <t>BENEDUZZI</t>
  </si>
  <si>
    <t>1467</t>
  </si>
  <si>
    <t>SAPASSOS</t>
  </si>
  <si>
    <t>1807</t>
  </si>
  <si>
    <t>BETO CALCADOS (03 LOJAS)</t>
  </si>
  <si>
    <t>2022</t>
  </si>
  <si>
    <t>GRUPO PE MENOR</t>
  </si>
  <si>
    <t>2077</t>
  </si>
  <si>
    <t>GRUPO MERCADINHO BABY KIDS</t>
  </si>
  <si>
    <t>850</t>
  </si>
  <si>
    <t>IZABELLE G(6)</t>
  </si>
  <si>
    <t>1330</t>
  </si>
  <si>
    <t>2194</t>
  </si>
  <si>
    <t>GRUPO JUNDIARA CALÇADOS</t>
  </si>
  <si>
    <t>469</t>
  </si>
  <si>
    <t>PARAIBANA G (3)</t>
  </si>
  <si>
    <t>685</t>
  </si>
  <si>
    <t>IMPACTO</t>
  </si>
  <si>
    <t>471</t>
  </si>
  <si>
    <t>LIMOZINHO</t>
  </si>
  <si>
    <t>1560</t>
  </si>
  <si>
    <t>GRUPO VIP</t>
  </si>
  <si>
    <t>2244</t>
  </si>
  <si>
    <t>EBENEZER</t>
  </si>
  <si>
    <t>2260</t>
  </si>
  <si>
    <t>GRUPO GRANATA</t>
  </si>
  <si>
    <t>2212</t>
  </si>
  <si>
    <t>TOFOLO</t>
  </si>
  <si>
    <t>1128</t>
  </si>
  <si>
    <t>GRUPO BIA BELLA MORE</t>
  </si>
  <si>
    <t>324</t>
  </si>
  <si>
    <t>LOJAS CERTEZA</t>
  </si>
  <si>
    <t>1664</t>
  </si>
  <si>
    <t>ZANUTO &amp; RODRIGUES</t>
  </si>
  <si>
    <t>634</t>
  </si>
  <si>
    <t>ANA CRISTINA</t>
  </si>
  <si>
    <t>1110</t>
  </si>
  <si>
    <t>GRUPO MARLENE SANTOS</t>
  </si>
  <si>
    <t>364</t>
  </si>
  <si>
    <t>PEDROSO E DONDERI</t>
  </si>
  <si>
    <t>1076</t>
  </si>
  <si>
    <t>GRUPO CONFORTO CALCADOS</t>
  </si>
  <si>
    <t>2221</t>
  </si>
  <si>
    <t>GRUPO CRIATIVA CALÇADOS</t>
  </si>
  <si>
    <t>721</t>
  </si>
  <si>
    <t>CENTER CAL.</t>
  </si>
  <si>
    <t>186</t>
  </si>
  <si>
    <t>GRUPO TECA</t>
  </si>
  <si>
    <t>1581</t>
  </si>
  <si>
    <t>KAROL CALCADOS</t>
  </si>
  <si>
    <t>861</t>
  </si>
  <si>
    <t>LOS NETO</t>
  </si>
  <si>
    <t>2017</t>
  </si>
  <si>
    <t>AMARAL (02)</t>
  </si>
  <si>
    <t>2164</t>
  </si>
  <si>
    <t>MARY BABY REP-11</t>
  </si>
  <si>
    <t>1769</t>
  </si>
  <si>
    <t>SMIDI</t>
  </si>
  <si>
    <t>412</t>
  </si>
  <si>
    <t>R.R. OLIVEIRA</t>
  </si>
  <si>
    <t>2028</t>
  </si>
  <si>
    <t>GRUPO STREET SHOES</t>
  </si>
  <si>
    <t>1592</t>
  </si>
  <si>
    <t>LACO E CADARÇO</t>
  </si>
  <si>
    <t>924</t>
  </si>
  <si>
    <t>KARINA MODAS</t>
  </si>
  <si>
    <t>986</t>
  </si>
  <si>
    <t>HAMUD SHOPPING</t>
  </si>
  <si>
    <t>2203</t>
  </si>
  <si>
    <t>GRUPO POTINHO DE MEL</t>
  </si>
  <si>
    <t>429</t>
  </si>
  <si>
    <t>UTHMAN</t>
  </si>
  <si>
    <t>164</t>
  </si>
  <si>
    <t>BAHIA CALCADOS</t>
  </si>
  <si>
    <t>1031</t>
  </si>
  <si>
    <t>GRUPO L D CALCADOS</t>
  </si>
  <si>
    <t>2083</t>
  </si>
  <si>
    <t>SAPATARIA AGUIAR</t>
  </si>
  <si>
    <t>1272</t>
  </si>
  <si>
    <t>BOA COMPANHIA</t>
  </si>
  <si>
    <t>1243</t>
  </si>
  <si>
    <t>MERCES CALCADOS</t>
  </si>
  <si>
    <t>1759</t>
  </si>
  <si>
    <t>PLANETA CALÇADOS</t>
  </si>
  <si>
    <t>2257</t>
  </si>
  <si>
    <t>PELAGIO</t>
  </si>
  <si>
    <t>1567</t>
  </si>
  <si>
    <t>GRUPO PASSO FIRME</t>
  </si>
  <si>
    <t>2050</t>
  </si>
  <si>
    <t>CASAS MANICA</t>
  </si>
  <si>
    <t>2126</t>
  </si>
  <si>
    <t>EF COMERCIO</t>
  </si>
  <si>
    <t>2180</t>
  </si>
  <si>
    <t>GRUPO BARÃO TUCURUI</t>
  </si>
  <si>
    <t>280</t>
  </si>
  <si>
    <t>GRUPO SILVA</t>
  </si>
  <si>
    <t>70</t>
  </si>
  <si>
    <t>CHARIFE EL KADRI G(3)</t>
  </si>
  <si>
    <t>1871</t>
  </si>
  <si>
    <t>GRUPO PRINCIPAL CALÇADOS</t>
  </si>
  <si>
    <t>1412</t>
  </si>
  <si>
    <t>DI ROMA</t>
  </si>
  <si>
    <t>1818</t>
  </si>
  <si>
    <t>GRUPO NIVEA</t>
  </si>
  <si>
    <t>388</t>
  </si>
  <si>
    <t>GRUPO PECANHA</t>
  </si>
  <si>
    <t>797</t>
  </si>
  <si>
    <t>RAMIRO DESTAKE</t>
  </si>
  <si>
    <t>1816</t>
  </si>
  <si>
    <t>CASA E CIA</t>
  </si>
  <si>
    <t>727</t>
  </si>
  <si>
    <t>LOJAS TOKIO</t>
  </si>
  <si>
    <t>595</t>
  </si>
  <si>
    <t>SUMMER G(4)</t>
  </si>
  <si>
    <t>537</t>
  </si>
  <si>
    <t>CORREA CARDOSO</t>
  </si>
  <si>
    <t>2255</t>
  </si>
  <si>
    <t>GRUPO FERRERO</t>
  </si>
  <si>
    <t>989</t>
  </si>
  <si>
    <t>MOREIRA MARQUES REP [11]</t>
  </si>
  <si>
    <t>25</t>
  </si>
  <si>
    <t>MARLOK E SHOEBIZ CALCADOS</t>
  </si>
  <si>
    <t>1327</t>
  </si>
  <si>
    <t>GRUPO H1 CALÇADOS</t>
  </si>
  <si>
    <t>1145</t>
  </si>
  <si>
    <t>GRUPO FEITICEIRA</t>
  </si>
  <si>
    <t>10</t>
  </si>
  <si>
    <t>BOM PRECO</t>
  </si>
  <si>
    <t>1846</t>
  </si>
  <si>
    <t>CALCELÂNDIA</t>
  </si>
  <si>
    <t>2012</t>
  </si>
  <si>
    <t>HIPER CALÇADOS</t>
  </si>
  <si>
    <t>2137</t>
  </si>
  <si>
    <t>CENTRAL DA CRIANÇA</t>
  </si>
  <si>
    <t>2267</t>
  </si>
  <si>
    <t>GRUPO COURO&amp;BOLSAS</t>
  </si>
  <si>
    <t>731</t>
  </si>
  <si>
    <t>IRANI G(4)</t>
  </si>
  <si>
    <t>1126</t>
  </si>
  <si>
    <t>GRUPO MASCOTE</t>
  </si>
  <si>
    <t>1210</t>
  </si>
  <si>
    <t>NELLISE KIDS</t>
  </si>
  <si>
    <t>1585</t>
  </si>
  <si>
    <t>SPORT LIDER</t>
  </si>
  <si>
    <t>1544</t>
  </si>
  <si>
    <t>DUDA</t>
  </si>
  <si>
    <t>2016</t>
  </si>
  <si>
    <t>AUREA CALÇADOS (02)</t>
  </si>
  <si>
    <t>1320</t>
  </si>
  <si>
    <t>1055</t>
  </si>
  <si>
    <t>GRUPO BARATAO REP 11</t>
  </si>
  <si>
    <t>778</t>
  </si>
  <si>
    <t>CASA KIT</t>
  </si>
  <si>
    <t>665</t>
  </si>
  <si>
    <t>ABYS MODAS - GOLD</t>
  </si>
  <si>
    <t>2027</t>
  </si>
  <si>
    <t>MAX50</t>
  </si>
  <si>
    <t>1211</t>
  </si>
  <si>
    <t>ZEZA CONFECA•ES</t>
  </si>
  <si>
    <t>50</t>
  </si>
  <si>
    <t>LUA DE CRISTAL G(2)</t>
  </si>
  <si>
    <t>1545</t>
  </si>
  <si>
    <t>VIA CERTA</t>
  </si>
  <si>
    <t>2171</t>
  </si>
  <si>
    <t>GRUPO OMEE</t>
  </si>
  <si>
    <t>2208</t>
  </si>
  <si>
    <t>GRUPO MAKEL</t>
  </si>
  <si>
    <t>157</t>
  </si>
  <si>
    <t>FERNANDA MODAS</t>
  </si>
  <si>
    <t>1514</t>
  </si>
  <si>
    <t>GRUPO MORAIS</t>
  </si>
  <si>
    <t>1029</t>
  </si>
  <si>
    <t>GRUPO LEA</t>
  </si>
  <si>
    <t>556</t>
  </si>
  <si>
    <t>POLLYSPORT G (3)</t>
  </si>
  <si>
    <t>2240</t>
  </si>
  <si>
    <t>GRUPO JAILMA</t>
  </si>
  <si>
    <t>462</t>
  </si>
  <si>
    <t>LAZINHO</t>
  </si>
  <si>
    <t>199</t>
  </si>
  <si>
    <t>CALCEAKI</t>
  </si>
  <si>
    <t>495</t>
  </si>
  <si>
    <t>PIRRALINHO</t>
  </si>
  <si>
    <t>1164</t>
  </si>
  <si>
    <t>GRUPO JUNITEX (19)</t>
  </si>
  <si>
    <t>2177</t>
  </si>
  <si>
    <t>GRUPO VIP VEST</t>
  </si>
  <si>
    <t>52</t>
  </si>
  <si>
    <t>DIGIERI CALCADOS</t>
  </si>
  <si>
    <t>761</t>
  </si>
  <si>
    <t>VIVA MODAS G(7)</t>
  </si>
  <si>
    <t>2094</t>
  </si>
  <si>
    <t>GRUPO VENDRAME</t>
  </si>
  <si>
    <t>957</t>
  </si>
  <si>
    <t>ARCO IRIS</t>
  </si>
  <si>
    <t>2179</t>
  </si>
  <si>
    <t>GRUPO MORTARI MAGAZINE</t>
  </si>
  <si>
    <t>2175</t>
  </si>
  <si>
    <t>RENATA CELLA</t>
  </si>
  <si>
    <t>1238</t>
  </si>
  <si>
    <t>GRUPO SARAIVA</t>
  </si>
  <si>
    <t>1489</t>
  </si>
  <si>
    <t>GRUPO LOJAS ENCANTO</t>
  </si>
  <si>
    <t>660</t>
  </si>
  <si>
    <t>LOJA AQUARIO</t>
  </si>
  <si>
    <t>2206</t>
  </si>
  <si>
    <t>GRUPO PRUPE</t>
  </si>
  <si>
    <t>869</t>
  </si>
  <si>
    <t>GELLIS</t>
  </si>
  <si>
    <t>580</t>
  </si>
  <si>
    <t>LOJA SOBERANA</t>
  </si>
  <si>
    <t>2211</t>
  </si>
  <si>
    <t>GRUPO KARA MELADA</t>
  </si>
  <si>
    <t>1170</t>
  </si>
  <si>
    <t>GRUPO ALICE CALCADOS</t>
  </si>
  <si>
    <t>2178</t>
  </si>
  <si>
    <t>MELO SHOES</t>
  </si>
  <si>
    <t>1574</t>
  </si>
  <si>
    <t>REGINALDO CALCADOS</t>
  </si>
  <si>
    <t>1772</t>
  </si>
  <si>
    <t>SIMIÃO CALÇADOS</t>
  </si>
  <si>
    <t>1079</t>
  </si>
  <si>
    <t>VEST BEM GRUPO</t>
  </si>
  <si>
    <t>616</t>
  </si>
  <si>
    <t>MICHELS</t>
  </si>
  <si>
    <t>2048</t>
  </si>
  <si>
    <t>STYLUS CALÇADOS</t>
  </si>
  <si>
    <t>1844</t>
  </si>
  <si>
    <t>THIAGO CALÇADOS</t>
  </si>
  <si>
    <t>887</t>
  </si>
  <si>
    <t>TODO VAPOR</t>
  </si>
  <si>
    <t>2265</t>
  </si>
  <si>
    <t>GRUPO ESPAÇO KIDS</t>
  </si>
  <si>
    <t>1140</t>
  </si>
  <si>
    <t>CALCADOS DUARTE</t>
  </si>
  <si>
    <t>1451</t>
  </si>
  <si>
    <t>GRUPO DOVA LIMA</t>
  </si>
  <si>
    <t>1867</t>
  </si>
  <si>
    <t>PROPASSO REP11</t>
  </si>
  <si>
    <t>2004</t>
  </si>
  <si>
    <t>GRUPO PAGUE MENOS/ MATINHO</t>
  </si>
  <si>
    <t>2186</t>
  </si>
  <si>
    <t>GRUPO PALAS</t>
  </si>
  <si>
    <t>1942</t>
  </si>
  <si>
    <t>GRUPO YZLU</t>
  </si>
  <si>
    <t>1542</t>
  </si>
  <si>
    <t>MARIA FATIMA</t>
  </si>
  <si>
    <t>2228</t>
  </si>
  <si>
    <t>CASA GLORIA</t>
  </si>
  <si>
    <t>586</t>
  </si>
  <si>
    <t>FARROUPILHA</t>
  </si>
  <si>
    <t>1946</t>
  </si>
  <si>
    <t>NACIONAL (REP 11)</t>
  </si>
  <si>
    <t>1995</t>
  </si>
  <si>
    <t>GRUPO LOJAS CRIATIVA</t>
  </si>
  <si>
    <t>1370</t>
  </si>
  <si>
    <t>GRUPO MARCELUS CALCADOS</t>
  </si>
  <si>
    <t>1979</t>
  </si>
  <si>
    <t>MUNIZ</t>
  </si>
  <si>
    <t>1638</t>
  </si>
  <si>
    <t>GRUPO DALVA</t>
  </si>
  <si>
    <t>838</t>
  </si>
  <si>
    <t>REIS E ANGELO</t>
  </si>
  <si>
    <t>1516</t>
  </si>
  <si>
    <t>VILA BRANCA</t>
  </si>
  <si>
    <t>2170</t>
  </si>
  <si>
    <t>CAPRI CALÇADOS</t>
  </si>
  <si>
    <t>2199</t>
  </si>
  <si>
    <t>GRUPO PLUFT KIDS</t>
  </si>
  <si>
    <t>2215</t>
  </si>
  <si>
    <t>LOJAS CIA BRASIL</t>
  </si>
  <si>
    <t>1426</t>
  </si>
  <si>
    <t>GRUPO BUZOLIN (04)</t>
  </si>
  <si>
    <t>1591</t>
  </si>
  <si>
    <t>DINIZ CALCADOS</t>
  </si>
  <si>
    <t>894</t>
  </si>
  <si>
    <t>RUIS</t>
  </si>
  <si>
    <t>1629</t>
  </si>
  <si>
    <t>GRUPO CLARA CALCADOS</t>
  </si>
  <si>
    <t>2157</t>
  </si>
  <si>
    <t>GRUPO TIP TOP KIDS</t>
  </si>
  <si>
    <t>1827</t>
  </si>
  <si>
    <t>GRUPO DERUASSI</t>
  </si>
  <si>
    <t>2220</t>
  </si>
  <si>
    <t>ROGERIO</t>
  </si>
  <si>
    <t>2160</t>
  </si>
  <si>
    <t>FENÍCIA</t>
  </si>
  <si>
    <t>897</t>
  </si>
  <si>
    <t>TECIDOS JOIA</t>
  </si>
  <si>
    <t>1460</t>
  </si>
  <si>
    <t>GRUPO PAULO MARQUES(05)</t>
  </si>
  <si>
    <t>2076</t>
  </si>
  <si>
    <t>LUH FASHION</t>
  </si>
  <si>
    <t>2261</t>
  </si>
  <si>
    <t>GRUPO CALITA CALÇADOS</t>
  </si>
  <si>
    <t>325</t>
  </si>
  <si>
    <t>SINOTTI</t>
  </si>
  <si>
    <t>2121</t>
  </si>
  <si>
    <t>LUNA CALÇADOS</t>
  </si>
  <si>
    <t>130</t>
  </si>
  <si>
    <t>SUPER MAGAZINE BRIENZE</t>
  </si>
  <si>
    <t>1171</t>
  </si>
  <si>
    <t>FERNANDA CALCADOS</t>
  </si>
  <si>
    <t>642</t>
  </si>
  <si>
    <t>NELSON PEDROSO</t>
  </si>
  <si>
    <t>2226</t>
  </si>
  <si>
    <t>GRUPO STELLE</t>
  </si>
  <si>
    <t>2014</t>
  </si>
  <si>
    <t>OFERTAO CHAPECÓ</t>
  </si>
  <si>
    <t>1922</t>
  </si>
  <si>
    <t>PEGA BEM (02)</t>
  </si>
  <si>
    <t>1443</t>
  </si>
  <si>
    <t>KAIUS (9LOJAS)</t>
  </si>
  <si>
    <t>1300</t>
  </si>
  <si>
    <t>GRUPO TECCHIO</t>
  </si>
  <si>
    <t>294</t>
  </si>
  <si>
    <t>GRUPO CANIPO</t>
  </si>
  <si>
    <t>579</t>
  </si>
  <si>
    <t>LOJAS MB</t>
  </si>
  <si>
    <t>2222</t>
  </si>
  <si>
    <t>GRUPO SAPATARIA NOSSA SENHORA</t>
  </si>
  <si>
    <t>2064</t>
  </si>
  <si>
    <t>GRUPO MANAUS</t>
  </si>
  <si>
    <t>1409</t>
  </si>
  <si>
    <t>LOJA CATS BARNEIA</t>
  </si>
  <si>
    <t>1670</t>
  </si>
  <si>
    <t>GRUPO PINHEIRÃO</t>
  </si>
  <si>
    <t>1374</t>
  </si>
  <si>
    <t>GRUPO MATTE</t>
  </si>
  <si>
    <t>1220</t>
  </si>
  <si>
    <t>BARUC CALCADOS</t>
  </si>
  <si>
    <t>683</t>
  </si>
  <si>
    <t>LUCIANO LOILA</t>
  </si>
  <si>
    <t>1154</t>
  </si>
  <si>
    <t>GRUPO MARRONI</t>
  </si>
  <si>
    <t>1987</t>
  </si>
  <si>
    <t>GRUPO TOPSTART</t>
  </si>
  <si>
    <t>2169</t>
  </si>
  <si>
    <t>ALCANTARA</t>
  </si>
  <si>
    <t>1780</t>
  </si>
  <si>
    <t>REDE SCHELLIN</t>
  </si>
  <si>
    <t>194</t>
  </si>
  <si>
    <t>PAGUE MENOS</t>
  </si>
  <si>
    <t>1204</t>
  </si>
  <si>
    <t>LA BELLE CALCADOS</t>
  </si>
  <si>
    <t>1439</t>
  </si>
  <si>
    <t>GRUPO IMPACTO</t>
  </si>
  <si>
    <t>1182</t>
  </si>
  <si>
    <t>PE &amp; PE</t>
  </si>
  <si>
    <t>1651</t>
  </si>
  <si>
    <t>GRUPO CASUAL CALCADOS</t>
  </si>
  <si>
    <t>1718</t>
  </si>
  <si>
    <t>REBECA DISTRIBUIDORA</t>
  </si>
  <si>
    <t>1176</t>
  </si>
  <si>
    <t>HORANGOTANGOS KIDS</t>
  </si>
  <si>
    <t>1618</t>
  </si>
  <si>
    <t>SANDOVAL CALCADOS</t>
  </si>
  <si>
    <t>387</t>
  </si>
  <si>
    <t>PANAMERICANA</t>
  </si>
  <si>
    <t>757</t>
  </si>
  <si>
    <t>CELLINI G(4)</t>
  </si>
  <si>
    <t>621</t>
  </si>
  <si>
    <t>1052</t>
  </si>
  <si>
    <t>GRUPO GERALDO REP 65</t>
  </si>
  <si>
    <t>736</t>
  </si>
  <si>
    <t>JOSIANE NATERCIA</t>
  </si>
  <si>
    <t>1926</t>
  </si>
  <si>
    <t>MYH</t>
  </si>
  <si>
    <t>1917</t>
  </si>
  <si>
    <t>GRUPO LADY SHOES</t>
  </si>
  <si>
    <t>1206</t>
  </si>
  <si>
    <t>ADRYS CALCADOS</t>
  </si>
  <si>
    <t>357</t>
  </si>
  <si>
    <t>MANIA CALCADOS G(2)</t>
  </si>
  <si>
    <t>180</t>
  </si>
  <si>
    <t>CASTOR CALCADOS</t>
  </si>
  <si>
    <t>1849</t>
  </si>
  <si>
    <t>MUNDO DOS BAIXINHOS</t>
  </si>
  <si>
    <t>650</t>
  </si>
  <si>
    <t>GRUPO MAIA</t>
  </si>
  <si>
    <t>2258</t>
  </si>
  <si>
    <t>GRUPO AO QUADRADO</t>
  </si>
  <si>
    <t>244</t>
  </si>
  <si>
    <t>FLAMBOYAN</t>
  </si>
  <si>
    <t>528</t>
  </si>
  <si>
    <t>MAGAZINE REZENDE</t>
  </si>
  <si>
    <t>2254</t>
  </si>
  <si>
    <t>GRUPO MARIA CORAGEM</t>
  </si>
  <si>
    <t>1900</t>
  </si>
  <si>
    <t>GRUPO MAGAZINE PASSOF</t>
  </si>
  <si>
    <t>2071</t>
  </si>
  <si>
    <t>GRUPO ECONOMIA</t>
  </si>
  <si>
    <t>975</t>
  </si>
  <si>
    <t>AMORIN CALCADOS</t>
  </si>
  <si>
    <t>951</t>
  </si>
  <si>
    <t>GOLDONI</t>
  </si>
  <si>
    <t>1517</t>
  </si>
  <si>
    <t>GRUPO ANDRIOLI</t>
  </si>
  <si>
    <t>1127</t>
  </si>
  <si>
    <t>GRUPO ALINE CALC</t>
  </si>
  <si>
    <t>954</t>
  </si>
  <si>
    <t>ANDERSON ATACADO</t>
  </si>
  <si>
    <t>2010</t>
  </si>
  <si>
    <t>GRUPO CANTINHO MAGICO</t>
  </si>
  <si>
    <t>1471</t>
  </si>
  <si>
    <t>TALENTOS</t>
  </si>
  <si>
    <t>438</t>
  </si>
  <si>
    <t>CASTELINI</t>
  </si>
  <si>
    <t>1033</t>
  </si>
  <si>
    <t>ROBALINHO</t>
  </si>
  <si>
    <t>1305</t>
  </si>
  <si>
    <t>GRUPO JAISA</t>
  </si>
  <si>
    <t>1241</t>
  </si>
  <si>
    <t>LOJAS SENSACAO</t>
  </si>
  <si>
    <t>1908</t>
  </si>
  <si>
    <t>DONA DO PE</t>
  </si>
  <si>
    <t>2163</t>
  </si>
  <si>
    <t>GRUPO NOVIDADE</t>
  </si>
  <si>
    <t>1453</t>
  </si>
  <si>
    <t>GRUPO S DUARTE</t>
  </si>
  <si>
    <t>865</t>
  </si>
  <si>
    <t>COTRIM</t>
  </si>
  <si>
    <t>2088</t>
  </si>
  <si>
    <t>GRUPO KIBARATO CAMPO MOURÃO</t>
  </si>
  <si>
    <t>2174</t>
  </si>
  <si>
    <t>GRUPO TRUPÉ CALÇADOS</t>
  </si>
  <si>
    <t>1070</t>
  </si>
  <si>
    <t>GRUPO MANSAN</t>
  </si>
  <si>
    <t>888</t>
  </si>
  <si>
    <t>DESTAQUE CALCADOS</t>
  </si>
  <si>
    <t>1576</t>
  </si>
  <si>
    <t>BOM PASSO</t>
  </si>
  <si>
    <t>2213</t>
  </si>
  <si>
    <t>GRIGOS</t>
  </si>
  <si>
    <t>227</t>
  </si>
  <si>
    <t>CHULEZINHO</t>
  </si>
  <si>
    <t>743</t>
  </si>
  <si>
    <t>CLERIS</t>
  </si>
  <si>
    <t>2275</t>
  </si>
  <si>
    <t>GRUPO CONFIANCA CALCADOS</t>
  </si>
  <si>
    <t>799</t>
  </si>
  <si>
    <t>SPIER G(4)</t>
  </si>
  <si>
    <t>1783</t>
  </si>
  <si>
    <t>WAGNER CALCADOS (02 LJS)</t>
  </si>
  <si>
    <t>926</t>
  </si>
  <si>
    <t>ANTONIO MAGAZINE</t>
  </si>
  <si>
    <t>1868</t>
  </si>
  <si>
    <t>JOSÉ TIAGO</t>
  </si>
  <si>
    <t>1203</t>
  </si>
  <si>
    <t>GRUPO LUZENITA</t>
  </si>
  <si>
    <t>1855</t>
  </si>
  <si>
    <t>PALOMA CALCADOS (02)</t>
  </si>
  <si>
    <t>854</t>
  </si>
  <si>
    <t>GARRA G(2)</t>
  </si>
  <si>
    <t>1058</t>
  </si>
  <si>
    <t>GRUPO ADRI</t>
  </si>
  <si>
    <t>72</t>
  </si>
  <si>
    <t>FANTASIA MODAS</t>
  </si>
  <si>
    <t>1850</t>
  </si>
  <si>
    <t>GRUPO WEDSON</t>
  </si>
  <si>
    <t>2249</t>
  </si>
  <si>
    <t>GRUPO SANTA FIORI</t>
  </si>
  <si>
    <t>1845</t>
  </si>
  <si>
    <t>VENÂNCIO</t>
  </si>
  <si>
    <t>467</t>
  </si>
  <si>
    <t>A CANGUSSU (2)</t>
  </si>
  <si>
    <t>964</t>
  </si>
  <si>
    <t>VIVIAN FERREIRA</t>
  </si>
  <si>
    <t>1911</t>
  </si>
  <si>
    <t>GRUPO MALU (02)</t>
  </si>
  <si>
    <t>2252</t>
  </si>
  <si>
    <t>GRUPO DECKER</t>
  </si>
  <si>
    <t>1437</t>
  </si>
  <si>
    <t>IMPERIAL CALCADOS</t>
  </si>
  <si>
    <t>2045</t>
  </si>
  <si>
    <t>GRUPO SOARES</t>
  </si>
  <si>
    <t>547</t>
  </si>
  <si>
    <t>LAURI CALCADOS</t>
  </si>
  <si>
    <t>2122</t>
  </si>
  <si>
    <t>PAMPULHA CALÇADOS</t>
  </si>
  <si>
    <t>1335</t>
  </si>
  <si>
    <t>GRUPO CARNEIRO</t>
  </si>
  <si>
    <t>1970</t>
  </si>
  <si>
    <t>GRUPO SAPATTOMANIA REP 41</t>
  </si>
  <si>
    <t>2074</t>
  </si>
  <si>
    <t>GRUPO TAQUETA</t>
  </si>
  <si>
    <t>1741</t>
  </si>
  <si>
    <t>BOMBOM CALÇADOS</t>
  </si>
  <si>
    <t>354</t>
  </si>
  <si>
    <t>BARATAO CALCADOS</t>
  </si>
  <si>
    <t>1910</t>
  </si>
  <si>
    <t>JAPONESA GUARULHOS</t>
  </si>
  <si>
    <t>953</t>
  </si>
  <si>
    <t>TROPICAL CALCADOS</t>
  </si>
  <si>
    <t>1418</t>
  </si>
  <si>
    <t>EN CALCADOS (2)</t>
  </si>
  <si>
    <t>1558</t>
  </si>
  <si>
    <t>LAVOSIER</t>
  </si>
  <si>
    <t>1048</t>
  </si>
  <si>
    <t>GRP ANA TERRA</t>
  </si>
  <si>
    <t>2192</t>
  </si>
  <si>
    <t>GRUPO MILLENA</t>
  </si>
  <si>
    <t>1577</t>
  </si>
  <si>
    <t>PINHEIRO CALCADOS</t>
  </si>
  <si>
    <t>121</t>
  </si>
  <si>
    <t>PURA MODA</t>
  </si>
  <si>
    <t>1895</t>
  </si>
  <si>
    <t>MERCADÃO ROSA CALCADOS</t>
  </si>
  <si>
    <t>720</t>
  </si>
  <si>
    <t>JM MODAS</t>
  </si>
  <si>
    <t>2061</t>
  </si>
  <si>
    <t>GRUPO MR CALCADOS</t>
  </si>
  <si>
    <t>336</t>
  </si>
  <si>
    <t>STYLLUS CALCADOS</t>
  </si>
  <si>
    <t>1348</t>
  </si>
  <si>
    <t>GRUPO TALU</t>
  </si>
  <si>
    <t>1236</t>
  </si>
  <si>
    <t>GRUPO SILVIA REZENDE</t>
  </si>
  <si>
    <t>1905</t>
  </si>
  <si>
    <t>CALÇADOS RAIMUNDO</t>
  </si>
  <si>
    <t>514</t>
  </si>
  <si>
    <t>PAULMEN G(3)</t>
  </si>
  <si>
    <t>1223</t>
  </si>
  <si>
    <t>1808</t>
  </si>
  <si>
    <t>GRUPO MAGALHÃES MODAS</t>
  </si>
  <si>
    <t>2166</t>
  </si>
  <si>
    <t>SANDALIARIA QUERENCIA</t>
  </si>
  <si>
    <t>1192</t>
  </si>
  <si>
    <t>F.C.F COMERCIO</t>
  </si>
  <si>
    <t>1442</t>
  </si>
  <si>
    <t>GRUPO PASSO CALCADOS (02)</t>
  </si>
  <si>
    <t>2248</t>
  </si>
  <si>
    <t>GRUPO RIBEIRO</t>
  </si>
  <si>
    <t>1531</t>
  </si>
  <si>
    <t>LÚCIA CALÇADOS</t>
  </si>
  <si>
    <t>1444</t>
  </si>
  <si>
    <t>GRUPO VAN ROI</t>
  </si>
  <si>
    <t>990</t>
  </si>
  <si>
    <t>MOREIRA MARQUES REP 169</t>
  </si>
  <si>
    <t>2018</t>
  </si>
  <si>
    <t>GRUPO SUZANA CALÇADOS</t>
  </si>
  <si>
    <t>2270</t>
  </si>
  <si>
    <t>GRUPO VIVI CALÇADOS</t>
  </si>
  <si>
    <t>297</t>
  </si>
  <si>
    <t>LOJAS REAL</t>
  </si>
  <si>
    <t>29</t>
  </si>
  <si>
    <t>LOJA BESNI</t>
  </si>
  <si>
    <t>475</t>
  </si>
  <si>
    <t>CASTELO G(2)</t>
  </si>
  <si>
    <t>1008</t>
  </si>
  <si>
    <t>GENESIS</t>
  </si>
  <si>
    <t>1830</t>
  </si>
  <si>
    <t>GRUPO TAUANY CALCADOS</t>
  </si>
  <si>
    <t>2056</t>
  </si>
  <si>
    <t>GRUPO BRINQUEDOLANDIA</t>
  </si>
  <si>
    <t>2172</t>
  </si>
  <si>
    <t>MAIDE</t>
  </si>
  <si>
    <t>751</t>
  </si>
  <si>
    <t>DUCAL G(4)</t>
  </si>
  <si>
    <t>2110</t>
  </si>
  <si>
    <t>GRUPO ELIVONETE</t>
  </si>
  <si>
    <t>203</t>
  </si>
  <si>
    <t>SCHIER</t>
  </si>
  <si>
    <t>27</t>
  </si>
  <si>
    <t>LOJA SALLES</t>
  </si>
  <si>
    <t>2232</t>
  </si>
  <si>
    <t>GRUPO COM PASSO</t>
  </si>
  <si>
    <t>1630</t>
  </si>
  <si>
    <t>GRUPO DA GLORIA</t>
  </si>
  <si>
    <t>1094</t>
  </si>
  <si>
    <t>PASSOLD CALCADOS</t>
  </si>
  <si>
    <t>445</t>
  </si>
  <si>
    <t>CALCEAKI - REP 18</t>
  </si>
  <si>
    <t>1894</t>
  </si>
  <si>
    <t>GRUPO EVELLYN CALÇADOS</t>
  </si>
  <si>
    <t>1712</t>
  </si>
  <si>
    <t>SOLEIDE</t>
  </si>
  <si>
    <t>179</t>
  </si>
  <si>
    <t>JN SERRA</t>
  </si>
  <si>
    <t>155</t>
  </si>
  <si>
    <t>PREGO CALCADOS</t>
  </si>
  <si>
    <t>2060</t>
  </si>
  <si>
    <t>GRUPO PASSO NOBRE</t>
  </si>
  <si>
    <t>1575</t>
  </si>
  <si>
    <t>JESSICA CALÇADOS</t>
  </si>
  <si>
    <t>2167</t>
  </si>
  <si>
    <t>MEDEIROS</t>
  </si>
  <si>
    <t>1973</t>
  </si>
  <si>
    <t>MADAME CHINELO (05)</t>
  </si>
  <si>
    <t>1698</t>
  </si>
  <si>
    <t>GRUPO MUNIZ (02)</t>
  </si>
  <si>
    <t>1518</t>
  </si>
  <si>
    <t>GRUPO LUCIA ROSA (3)</t>
  </si>
  <si>
    <t>2107</t>
  </si>
  <si>
    <t>GRUPO CASA ESTRELA</t>
  </si>
  <si>
    <t>1832</t>
  </si>
  <si>
    <t>GRUPO CASTELÃO</t>
  </si>
  <si>
    <t>1279</t>
  </si>
  <si>
    <t>GRUPO WESLEY</t>
  </si>
  <si>
    <t>37</t>
  </si>
  <si>
    <t>CERON CALCADOS</t>
  </si>
  <si>
    <t>1673</t>
  </si>
  <si>
    <t>GRUPO ANABI</t>
  </si>
  <si>
    <t>1494</t>
  </si>
  <si>
    <t>TROPICALCE</t>
  </si>
  <si>
    <t>1234</t>
  </si>
  <si>
    <t>JO PE CALCADOS</t>
  </si>
  <si>
    <t>2236</t>
  </si>
  <si>
    <t>GRUPO DOCE INFANCIA</t>
  </si>
  <si>
    <t>1133</t>
  </si>
  <si>
    <t>GRUPO STILLER</t>
  </si>
  <si>
    <t>2078</t>
  </si>
  <si>
    <t>GRUPO VILMA KIDS</t>
  </si>
  <si>
    <t>314</t>
  </si>
  <si>
    <t>MIRELLA CALCADOS G(6)</t>
  </si>
  <si>
    <t>760</t>
  </si>
  <si>
    <t>LEANDRINI</t>
  </si>
  <si>
    <t>1047</t>
  </si>
  <si>
    <t>PEGADA CALCADOS - 168</t>
  </si>
  <si>
    <t>1785</t>
  </si>
  <si>
    <t>M N CALÇADOS</t>
  </si>
  <si>
    <t>268</t>
  </si>
  <si>
    <t>GRUPO ETEL</t>
  </si>
  <si>
    <t>1548</t>
  </si>
  <si>
    <t>MEIRINHA</t>
  </si>
  <si>
    <t>780</t>
  </si>
  <si>
    <t>MARLY ANGELICA</t>
  </si>
  <si>
    <t>436</t>
  </si>
  <si>
    <t>DINARDI</t>
  </si>
  <si>
    <t>664</t>
  </si>
  <si>
    <t>GRUPO SANGLAR</t>
  </si>
  <si>
    <t>1842</t>
  </si>
  <si>
    <t>MÔNICA CALCADOS</t>
  </si>
  <si>
    <t>1491</t>
  </si>
  <si>
    <t>SKINAO DOS CALCADOS</t>
  </si>
  <si>
    <t>1485</t>
  </si>
  <si>
    <t>GRUPO MIAKI (MS)</t>
  </si>
  <si>
    <t>1896</t>
  </si>
  <si>
    <t>LI ANNA CALÇADOS</t>
  </si>
  <si>
    <t>341</t>
  </si>
  <si>
    <t>ANDATTO</t>
  </si>
  <si>
    <t>546</t>
  </si>
  <si>
    <t>LOJA SAMMY G(2)</t>
  </si>
  <si>
    <t>1898</t>
  </si>
  <si>
    <t>GRUPO TROPICAL CALCADOS</t>
  </si>
  <si>
    <t>1462</t>
  </si>
  <si>
    <t>SAPATILHAS.COM</t>
  </si>
  <si>
    <t>2191</t>
  </si>
  <si>
    <t>GRUPO BAMBINATTA SHOES</t>
  </si>
  <si>
    <t>1822</t>
  </si>
  <si>
    <t>GRUPO LOJAS JANA</t>
  </si>
  <si>
    <t>2103</t>
  </si>
  <si>
    <t>LUART - HARLEY</t>
  </si>
  <si>
    <t>732</t>
  </si>
  <si>
    <t>GRUPO MIB-43(17 LOJAS)</t>
  </si>
  <si>
    <t>1901</t>
  </si>
  <si>
    <t>ARTHUR MAGAZINE</t>
  </si>
  <si>
    <t>995</t>
  </si>
  <si>
    <t>RAINHA CALCADOS</t>
  </si>
  <si>
    <t>2154</t>
  </si>
  <si>
    <t>GRUPO MS CALCADOS</t>
  </si>
  <si>
    <t>2051</t>
  </si>
  <si>
    <t>GRUPO KINERHUUS</t>
  </si>
  <si>
    <t>1334</t>
  </si>
  <si>
    <t>GRUPO PAULISTA</t>
  </si>
  <si>
    <t>2057</t>
  </si>
  <si>
    <t>GRUPO ATUALLY</t>
  </si>
  <si>
    <t>1938</t>
  </si>
  <si>
    <t>EMANOEL MODAS</t>
  </si>
  <si>
    <t>610</t>
  </si>
  <si>
    <t>MILADY</t>
  </si>
  <si>
    <t>259</t>
  </si>
  <si>
    <t>TANGER</t>
  </si>
  <si>
    <t>1158</t>
  </si>
  <si>
    <t>BOA COMPRA</t>
  </si>
  <si>
    <t>1358</t>
  </si>
  <si>
    <t>GRUPO DUPASSO</t>
  </si>
  <si>
    <t>1652</t>
  </si>
  <si>
    <t>GRUPO MAXIPE CALÇADOS</t>
  </si>
  <si>
    <t>89</t>
  </si>
  <si>
    <t>FALASTINS</t>
  </si>
  <si>
    <t>1034</t>
  </si>
  <si>
    <t>DEVANIR</t>
  </si>
  <si>
    <t>480</t>
  </si>
  <si>
    <t>ACESSO G (4)</t>
  </si>
  <si>
    <t>1256</t>
  </si>
  <si>
    <t>MAGAZINE ALIANCA</t>
  </si>
  <si>
    <t>1825</t>
  </si>
  <si>
    <t>GRUPO TAKASHIBA</t>
  </si>
  <si>
    <t>672</t>
  </si>
  <si>
    <t>SERRANA</t>
  </si>
  <si>
    <t>1043</t>
  </si>
  <si>
    <t>GRUPO GALINARI</t>
  </si>
  <si>
    <t>2231</t>
  </si>
  <si>
    <t>SÓ CALÇADOS</t>
  </si>
  <si>
    <t>1030</t>
  </si>
  <si>
    <t>GRUPO TALHITA</t>
  </si>
  <si>
    <t>1667</t>
  </si>
  <si>
    <t>GRUPO LUZI</t>
  </si>
  <si>
    <t>1105</t>
  </si>
  <si>
    <t>LELOS CALC</t>
  </si>
  <si>
    <t>899</t>
  </si>
  <si>
    <t>ELLOS CALCADOS</t>
  </si>
  <si>
    <t>1595</t>
  </si>
  <si>
    <t>KIBUTY</t>
  </si>
  <si>
    <t>722</t>
  </si>
  <si>
    <t>SHOEMAX</t>
  </si>
  <si>
    <t>1949</t>
  </si>
  <si>
    <t>GRUPO SONHO ENCANTADO</t>
  </si>
  <si>
    <t>852</t>
  </si>
  <si>
    <t>GRUPO KIREY</t>
  </si>
  <si>
    <t>12</t>
  </si>
  <si>
    <t>SCARPE CALCADOS</t>
  </si>
  <si>
    <t>169</t>
  </si>
  <si>
    <t>CIA DOS PE</t>
  </si>
  <si>
    <t>1862</t>
  </si>
  <si>
    <t>VASCONCELOS</t>
  </si>
  <si>
    <t>1619</t>
  </si>
  <si>
    <t>VITAL CALCADOS</t>
  </si>
  <si>
    <t>1277</t>
  </si>
  <si>
    <t>GRUPO SCHIBICHEVSKI</t>
  </si>
  <si>
    <t>1943</t>
  </si>
  <si>
    <t>GRUPO DE BEBÊ KIDS</t>
  </si>
  <si>
    <t>1590</t>
  </si>
  <si>
    <t>TUDI CALCADOS</t>
  </si>
  <si>
    <t>667</t>
  </si>
  <si>
    <t>GRUPO ALCANTARA</t>
  </si>
  <si>
    <t>1423</t>
  </si>
  <si>
    <t>SILVANA</t>
  </si>
  <si>
    <t>2055</t>
  </si>
  <si>
    <t>GRUPO MAGAZINE GL</t>
  </si>
  <si>
    <t>2080</t>
  </si>
  <si>
    <t>SAPECA</t>
  </si>
  <si>
    <t>947</t>
  </si>
  <si>
    <t>CORCELLI</t>
  </si>
  <si>
    <t>159</t>
  </si>
  <si>
    <t>CINDERELA</t>
  </si>
  <si>
    <t>1586</t>
  </si>
  <si>
    <t>FRANCIELIA CALCADOS</t>
  </si>
  <si>
    <t>2263</t>
  </si>
  <si>
    <t>GRUPO SM CALÇADOS</t>
  </si>
  <si>
    <t>2025</t>
  </si>
  <si>
    <t xml:space="preserve"> GRUPO DGLAMOUR SHOES FASHIO</t>
  </si>
  <si>
    <t>2223</t>
  </si>
  <si>
    <t>KEIMA CALÇADOS</t>
  </si>
  <si>
    <t>1795</t>
  </si>
  <si>
    <t>LEVES E LEVES</t>
  </si>
  <si>
    <t>2266</t>
  </si>
  <si>
    <t>GRUPO CABIDE INFANTIL</t>
  </si>
  <si>
    <t>1264</t>
  </si>
  <si>
    <t>BRILHO NOVIDADES</t>
  </si>
  <si>
    <t>1906</t>
  </si>
  <si>
    <t>GRUPO OITENTA</t>
  </si>
  <si>
    <t>1563</t>
  </si>
  <si>
    <t>GRUPO CLARISMUNDO</t>
  </si>
  <si>
    <t>1666</t>
  </si>
  <si>
    <t>LINS CALÇADOS</t>
  </si>
  <si>
    <t>1054</t>
  </si>
  <si>
    <t>100 ETIQUETAS</t>
  </si>
  <si>
    <t>1615</t>
  </si>
  <si>
    <t>2253</t>
  </si>
  <si>
    <t>GRUPO LORDKIDS</t>
  </si>
  <si>
    <t>2120</t>
  </si>
  <si>
    <t>GRUPO ZAPATER</t>
  </si>
  <si>
    <t>965</t>
  </si>
  <si>
    <t>BATISTA [G2]</t>
  </si>
  <si>
    <t>562</t>
  </si>
  <si>
    <t>VERAO MODAS</t>
  </si>
  <si>
    <t>2235</t>
  </si>
  <si>
    <t>GRUPO FERNANDES CALÇADOS</t>
  </si>
  <si>
    <t>2114</t>
  </si>
  <si>
    <t>GRUPO PLANETA (34)</t>
  </si>
  <si>
    <t>717</t>
  </si>
  <si>
    <t>CARREIROS G (2)</t>
  </si>
  <si>
    <t>1982</t>
  </si>
  <si>
    <t>GRUPO CARVALHO</t>
  </si>
  <si>
    <t>2227</t>
  </si>
  <si>
    <t>GRUPO A DE MIRANDA</t>
  </si>
  <si>
    <t>658</t>
  </si>
  <si>
    <t>SUPIMPA</t>
  </si>
  <si>
    <t>430</t>
  </si>
  <si>
    <t>MARIN</t>
  </si>
  <si>
    <t>1912</t>
  </si>
  <si>
    <t>LOURENÇO CALÇADOS</t>
  </si>
  <si>
    <t>2202</t>
  </si>
  <si>
    <t>HAMUD</t>
  </si>
  <si>
    <t>378</t>
  </si>
  <si>
    <t>SABINO</t>
  </si>
  <si>
    <t>1306</t>
  </si>
  <si>
    <t>GRUPO RENILDO</t>
  </si>
  <si>
    <t>2148</t>
  </si>
  <si>
    <t>GRUPO OLIMPO</t>
  </si>
  <si>
    <t>1610</t>
  </si>
  <si>
    <t>SAPATARIA CORDEIRO</t>
  </si>
  <si>
    <t>1602</t>
  </si>
  <si>
    <t>JACIARA MODAS</t>
  </si>
  <si>
    <t>648</t>
  </si>
  <si>
    <t>IKERT</t>
  </si>
  <si>
    <t>2149</t>
  </si>
  <si>
    <t>GRUPO L F MODAS</t>
  </si>
  <si>
    <t>756</t>
  </si>
  <si>
    <t>LIS MAGAZINE G(5)</t>
  </si>
  <si>
    <t>431</t>
  </si>
  <si>
    <t>MAEMORI</t>
  </si>
  <si>
    <t>855</t>
  </si>
  <si>
    <t>GRUPO KLYK</t>
  </si>
  <si>
    <t>923</t>
  </si>
  <si>
    <t>DU PE CALCADOS</t>
  </si>
  <si>
    <t>536</t>
  </si>
  <si>
    <t>LOPES COMERCIO DE ARTIGOS ESPORTIVOS</t>
  </si>
  <si>
    <t>337</t>
  </si>
  <si>
    <t>FRANCISCO PINHEIRO G(7)</t>
  </si>
  <si>
    <t>1732</t>
  </si>
  <si>
    <t>LOJAS SUZANA (03)</t>
  </si>
  <si>
    <t>1886</t>
  </si>
  <si>
    <t>ARTE E MANHA (02)</t>
  </si>
  <si>
    <t>1981</t>
  </si>
  <si>
    <t>GRUPO MICHELI</t>
  </si>
  <si>
    <t>1627</t>
  </si>
  <si>
    <t>Y AGITA - MARINGA</t>
  </si>
  <si>
    <t>1613</t>
  </si>
  <si>
    <t>PLAYBOY</t>
  </si>
  <si>
    <t>1966</t>
  </si>
  <si>
    <t>BEATA</t>
  </si>
  <si>
    <t>1971</t>
  </si>
  <si>
    <t>GRUPO MUNDO KIDS</t>
  </si>
  <si>
    <t>2214</t>
  </si>
  <si>
    <t>ESTILLO KIDS</t>
  </si>
  <si>
    <t>491</t>
  </si>
  <si>
    <t>NITA CALCADOS</t>
  </si>
  <si>
    <t>1606</t>
  </si>
  <si>
    <t>SAO SEVERINO</t>
  </si>
  <si>
    <t>2026</t>
  </si>
  <si>
    <t>GRUPO LOJAS MA&amp;TE</t>
  </si>
  <si>
    <t>1880</t>
  </si>
  <si>
    <t>RAMAO DURE</t>
  </si>
  <si>
    <t>322</t>
  </si>
  <si>
    <t>DOCE LAR</t>
  </si>
  <si>
    <t>523</t>
  </si>
  <si>
    <t>DORIS MAGAZINE</t>
  </si>
  <si>
    <t>1025</t>
  </si>
  <si>
    <t>GRUPO ASSIS - 45</t>
  </si>
  <si>
    <t>2224</t>
  </si>
  <si>
    <t>GRUPO ARKO IRYS</t>
  </si>
  <si>
    <t>524</t>
  </si>
  <si>
    <t>LOJA DO ZEZINHO</t>
  </si>
  <si>
    <t>698</t>
  </si>
  <si>
    <t>GRUPO REI DO PANO</t>
  </si>
  <si>
    <t>1774</t>
  </si>
  <si>
    <t>MANAÍRA CALÇADOS</t>
  </si>
  <si>
    <t>2268</t>
  </si>
  <si>
    <t>GRUPO CIARAMELLO</t>
  </si>
  <si>
    <t>878</t>
  </si>
  <si>
    <t>OLUAP</t>
  </si>
  <si>
    <t>1945</t>
  </si>
  <si>
    <t>REDE KAKA CALÇADOS</t>
  </si>
  <si>
    <t>1835</t>
  </si>
  <si>
    <t>GRUPO DOQUINHO</t>
  </si>
  <si>
    <t>1130</t>
  </si>
  <si>
    <t>GRUPO MAGAZINE ADIB</t>
  </si>
  <si>
    <t>162</t>
  </si>
  <si>
    <t>PE A PE CALCADOS</t>
  </si>
  <si>
    <t>885</t>
  </si>
  <si>
    <t>ORLANDO MATOS</t>
  </si>
  <si>
    <t>1790</t>
  </si>
  <si>
    <t>LOJAO DO BRAZ (JOSNEI)</t>
  </si>
  <si>
    <t>137</t>
  </si>
  <si>
    <t>ALFREDO SPORT</t>
  </si>
  <si>
    <t>544</t>
  </si>
  <si>
    <t>1509</t>
  </si>
  <si>
    <t>FJA</t>
  </si>
  <si>
    <t>1642</t>
  </si>
  <si>
    <t>KEDS</t>
  </si>
  <si>
    <t>71</t>
  </si>
  <si>
    <t>REDE TUPI</t>
  </si>
  <si>
    <t>2111</t>
  </si>
  <si>
    <t>GRUPO DONDOCA</t>
  </si>
  <si>
    <t>801</t>
  </si>
  <si>
    <t>CELMA MODAS</t>
  </si>
  <si>
    <t>2099</t>
  </si>
  <si>
    <t>GRUPO D PAULA</t>
  </si>
  <si>
    <t>622</t>
  </si>
  <si>
    <t>ROCHELLI</t>
  </si>
  <si>
    <t>1372</t>
  </si>
  <si>
    <t>GRUPO DSTAK</t>
  </si>
  <si>
    <t>212</t>
  </si>
  <si>
    <t>TOKYO CALCADOS</t>
  </si>
  <si>
    <t>452</t>
  </si>
  <si>
    <t>FAVARELLI G(2)</t>
  </si>
  <si>
    <t>1496</t>
  </si>
  <si>
    <t>THAMY CALÇADOS</t>
  </si>
  <si>
    <t>770</t>
  </si>
  <si>
    <t>PATOTINHA (6 LJS) - GOLD</t>
  </si>
  <si>
    <t>1784</t>
  </si>
  <si>
    <t>GRUPO PÉ DE ANJO (34)</t>
  </si>
  <si>
    <t>1620</t>
  </si>
  <si>
    <t>EDUARDO CALCADOS</t>
  </si>
  <si>
    <t>2020</t>
  </si>
  <si>
    <t>GRUPO MELHEN</t>
  </si>
  <si>
    <t>2140</t>
  </si>
  <si>
    <t>GRUPO DOCE INFÂNCIA</t>
  </si>
  <si>
    <t>1828</t>
  </si>
  <si>
    <t>GRUPO DU PEZINHO</t>
  </si>
  <si>
    <t>2279</t>
  </si>
  <si>
    <t>GRUPO RONY CALÇADOS</t>
  </si>
  <si>
    <t>1173</t>
  </si>
  <si>
    <t>GRUPO AGRIMALDO</t>
  </si>
  <si>
    <t>1841</t>
  </si>
  <si>
    <t>MC CALCADO</t>
  </si>
  <si>
    <t>2081</t>
  </si>
  <si>
    <t>AGROACRE</t>
  </si>
  <si>
    <t>2070</t>
  </si>
  <si>
    <t>ENCANTO</t>
  </si>
  <si>
    <t>1493</t>
  </si>
  <si>
    <t>GRUPO DESTAK MS</t>
  </si>
  <si>
    <t>882</t>
  </si>
  <si>
    <t>MARINO CALCADOS</t>
  </si>
  <si>
    <t>448</t>
  </si>
  <si>
    <t>GALDINI G(3)</t>
  </si>
  <si>
    <t>645</t>
  </si>
  <si>
    <t>CALCADOS PARANA</t>
  </si>
  <si>
    <t>1951</t>
  </si>
  <si>
    <t>GRUPO AMC</t>
  </si>
  <si>
    <t>2239</t>
  </si>
  <si>
    <t>GRUPO ITV ARTIGOS</t>
  </si>
  <si>
    <t>158</t>
  </si>
  <si>
    <t>CRIATIVA</t>
  </si>
  <si>
    <t>2138</t>
  </si>
  <si>
    <t>CH SANTOS</t>
  </si>
  <si>
    <t>2029</t>
  </si>
  <si>
    <t>GRUPO DOCE PASSO</t>
  </si>
  <si>
    <t>2193</t>
  </si>
  <si>
    <t>GRUPO L &amp; L CONFECÇÕES</t>
  </si>
  <si>
    <t>487</t>
  </si>
  <si>
    <t>MANCHETE CALCADOS</t>
  </si>
  <si>
    <t>1643</t>
  </si>
  <si>
    <t>GRUPO TRÊS MARIAS</t>
  </si>
  <si>
    <t>2023</t>
  </si>
  <si>
    <t>VESTE BEM</t>
  </si>
  <si>
    <t>1676</t>
  </si>
  <si>
    <t>GRUPO EBENÉZER CALCADOS</t>
  </si>
  <si>
    <t>1778</t>
  </si>
  <si>
    <t>GRUPO CONTAINER BABY</t>
  </si>
  <si>
    <t>2218</t>
  </si>
  <si>
    <t>1524</t>
  </si>
  <si>
    <t>M A PEREIRA (02)</t>
  </si>
  <si>
    <t>1690</t>
  </si>
  <si>
    <t>GRUPO KITT VEST</t>
  </si>
  <si>
    <t>1178</t>
  </si>
  <si>
    <t>CALCELEVE</t>
  </si>
  <si>
    <t>2096</t>
  </si>
  <si>
    <t>NOVIDADE CALÇADOS</t>
  </si>
  <si>
    <t>1551</t>
  </si>
  <si>
    <t>DANTAS CONCEITO</t>
  </si>
  <si>
    <t>2271</t>
  </si>
  <si>
    <t>GRUPO SABRIN KIDS</t>
  </si>
  <si>
    <t>1965</t>
  </si>
  <si>
    <t>BETSAIDA (02)</t>
  </si>
  <si>
    <t>1859</t>
  </si>
  <si>
    <t>GRUPO ROUPAN</t>
  </si>
  <si>
    <t>1120</t>
  </si>
  <si>
    <t>MAGAZINE CAMILA</t>
  </si>
  <si>
    <t>1125</t>
  </si>
  <si>
    <t>GRUPO NOVA OPCAO</t>
  </si>
  <si>
    <t>450</t>
  </si>
  <si>
    <t>BINO</t>
  </si>
  <si>
    <t>2152</t>
  </si>
  <si>
    <t>GRUPO CENTRAL DO CHINELOS</t>
  </si>
  <si>
    <t>392</t>
  </si>
  <si>
    <t>JGG</t>
  </si>
  <si>
    <t>2118</t>
  </si>
  <si>
    <t>MARCELLA CALÇADOS</t>
  </si>
  <si>
    <t>1899</t>
  </si>
  <si>
    <t>PIRA CALÇADOS</t>
  </si>
  <si>
    <t>1739</t>
  </si>
  <si>
    <t>GRUPO ENERGIA DOS PES</t>
  </si>
  <si>
    <t>1103</t>
  </si>
  <si>
    <t>REBOUCAS CALC</t>
  </si>
  <si>
    <t>1658</t>
  </si>
  <si>
    <t>GRUPO LOJÃO DOS CALÇADOS</t>
  </si>
  <si>
    <t>77</t>
  </si>
  <si>
    <t>LISANI</t>
  </si>
  <si>
    <t>748</t>
  </si>
  <si>
    <t>GRUPO POP</t>
  </si>
  <si>
    <t>827</t>
  </si>
  <si>
    <t>RANIBEL</t>
  </si>
  <si>
    <t>1066</t>
  </si>
  <si>
    <t>GRUPO C E J CONFECCOES</t>
  </si>
  <si>
    <t>1688</t>
  </si>
  <si>
    <t>FELIPE CALCADOS (02)</t>
  </si>
  <si>
    <t>1218</t>
  </si>
  <si>
    <t>NEW CHARME</t>
  </si>
  <si>
    <t>1547</t>
  </si>
  <si>
    <t>JOANA</t>
  </si>
  <si>
    <t>1464</t>
  </si>
  <si>
    <t>LOJAS JB</t>
  </si>
  <si>
    <t>1138</t>
  </si>
  <si>
    <t>PASSO NOBRE</t>
  </si>
  <si>
    <t>1273</t>
  </si>
  <si>
    <t>GRUPO FALCAO</t>
  </si>
  <si>
    <t>1329</t>
  </si>
  <si>
    <t>TOCA DOS BAIXINHOS</t>
  </si>
  <si>
    <t>2079</t>
  </si>
  <si>
    <t>RODEIO BONITO</t>
  </si>
  <si>
    <t>418</t>
  </si>
  <si>
    <t>DURVAL</t>
  </si>
  <si>
    <t>1463</t>
  </si>
  <si>
    <t>GRUPO LETICIAS</t>
  </si>
  <si>
    <t>2196</t>
  </si>
  <si>
    <t>GRUPO VIVEZA MODAS</t>
  </si>
  <si>
    <t>91</t>
  </si>
  <si>
    <t>GRUPO BELLOS PES</t>
  </si>
  <si>
    <t>2219</t>
  </si>
  <si>
    <t>GRUPO CALÇADÃO DOS PRESENTES</t>
  </si>
  <si>
    <t>386</t>
  </si>
  <si>
    <t>SELMA CALCADOS</t>
  </si>
  <si>
    <t>1119</t>
  </si>
  <si>
    <t>HERCILIO CALCADO</t>
  </si>
  <si>
    <t>1063</t>
  </si>
  <si>
    <t>GRUPO TOPANOTT</t>
  </si>
  <si>
    <t>1903</t>
  </si>
  <si>
    <t>GRUPO TOM BRASIL</t>
  </si>
  <si>
    <t>2135</t>
  </si>
  <si>
    <t>NEGUINHO DO CHINELO</t>
  </si>
  <si>
    <t>1301</t>
  </si>
  <si>
    <t>GUT GUT</t>
  </si>
  <si>
    <t>1961</t>
  </si>
  <si>
    <t>GRUPO DAKEM</t>
  </si>
  <si>
    <t>979</t>
  </si>
  <si>
    <t>A E S MODA</t>
  </si>
  <si>
    <t>929</t>
  </si>
  <si>
    <t>BAMBOLE</t>
  </si>
  <si>
    <t>507</t>
  </si>
  <si>
    <t>EDILSON G(2)</t>
  </si>
  <si>
    <t>1216</t>
  </si>
  <si>
    <t>PE CALCE</t>
  </si>
  <si>
    <t>504</t>
  </si>
  <si>
    <t>SARTINI G(4)</t>
  </si>
  <si>
    <t>1814</t>
  </si>
  <si>
    <t>GRUPO PARTECA CALÇADOS</t>
  </si>
  <si>
    <t>1307</t>
  </si>
  <si>
    <t>LOJAS IMPACTO</t>
  </si>
  <si>
    <t>2089</t>
  </si>
  <si>
    <t>JALISON</t>
  </si>
  <si>
    <t>1699</t>
  </si>
  <si>
    <t>GRUPO FLAVIA CALCADOS</t>
  </si>
  <si>
    <t>79</t>
  </si>
  <si>
    <t>GRUPO SPASSO</t>
  </si>
  <si>
    <t>2130</t>
  </si>
  <si>
    <t>GRUPO ALGODAO BORDADOS</t>
  </si>
  <si>
    <t>1744</t>
  </si>
  <si>
    <t>GRUPO SAMYA</t>
  </si>
  <si>
    <t>1721</t>
  </si>
  <si>
    <t>DIMENSÃO</t>
  </si>
  <si>
    <t>1839</t>
  </si>
  <si>
    <t>CHARLO</t>
  </si>
  <si>
    <t>938</t>
  </si>
  <si>
    <t>GRUPO MALTAURO</t>
  </si>
  <si>
    <t>2053</t>
  </si>
  <si>
    <t>GRUPO GABY CALÇADOS</t>
  </si>
  <si>
    <t>1659</t>
  </si>
  <si>
    <t>OLÍVIA CALÇADOS</t>
  </si>
  <si>
    <t>2262</t>
  </si>
  <si>
    <t>GRUPO W A COMERCIO</t>
  </si>
  <si>
    <t>1730</t>
  </si>
  <si>
    <t>GRUPO CHRISKA KIDS</t>
  </si>
  <si>
    <t>1022</t>
  </si>
  <si>
    <t>ESPORTE 10 &amp; CALCADOS</t>
  </si>
  <si>
    <t>1316</t>
  </si>
  <si>
    <t>GRUPO PARAISO DOS CALCADOS</t>
  </si>
  <si>
    <t>1840</t>
  </si>
  <si>
    <t>DHEBORA</t>
  </si>
  <si>
    <t>1668</t>
  </si>
  <si>
    <t>GRUPO C.M.M. PAIVA</t>
  </si>
  <si>
    <t>668</t>
  </si>
  <si>
    <t>VIA 7</t>
  </si>
  <si>
    <t>2241</t>
  </si>
  <si>
    <t>GRUPO BONAVITTAS</t>
  </si>
  <si>
    <t>945</t>
  </si>
  <si>
    <t>LOJAS OPCAO</t>
  </si>
  <si>
    <t>800</t>
  </si>
  <si>
    <t>ELIANE</t>
  </si>
  <si>
    <t>1737</t>
  </si>
  <si>
    <t>AMANDA MODAS (03)</t>
  </si>
  <si>
    <t>1314</t>
  </si>
  <si>
    <t>GRUPO EXOTIC</t>
  </si>
  <si>
    <t>1456</t>
  </si>
  <si>
    <t>GRUPO MUNDI STORE (03)</t>
  </si>
  <si>
    <t>511</t>
  </si>
  <si>
    <t>YAMASITA G(3)</t>
  </si>
  <si>
    <t>2115</t>
  </si>
  <si>
    <t>1543</t>
  </si>
  <si>
    <t>MORAIS E SILVA</t>
  </si>
  <si>
    <t>1858</t>
  </si>
  <si>
    <t>RAMOS CALÇADOS (02)</t>
  </si>
  <si>
    <t>1553</t>
  </si>
  <si>
    <t>ADELIA</t>
  </si>
  <si>
    <t>204</t>
  </si>
  <si>
    <t>PR CALCADOS</t>
  </si>
  <si>
    <t>1931</t>
  </si>
  <si>
    <t>CEO NORTE</t>
  </si>
  <si>
    <t>163 - ALEXANDERSON - ALTO NOROESTE/SP</t>
  </si>
  <si>
    <t>948</t>
  </si>
  <si>
    <t>BOX 1 CALCADOS</t>
  </si>
  <si>
    <t>1939</t>
  </si>
  <si>
    <t>GRUPO SANTO ANTONIO</t>
  </si>
  <si>
    <t>1065</t>
  </si>
  <si>
    <t>GRUPO BAVARESCO</t>
  </si>
  <si>
    <t>1312</t>
  </si>
  <si>
    <t>GRUPO FM</t>
  </si>
  <si>
    <t>2217</t>
  </si>
  <si>
    <t>GRUPO MONDILY</t>
  </si>
  <si>
    <t>2127</t>
  </si>
  <si>
    <t>GRUPO LILA KIDS</t>
  </si>
  <si>
    <t>1254</t>
  </si>
  <si>
    <t>636</t>
  </si>
  <si>
    <t>HOLLIDAY</t>
  </si>
  <si>
    <t>2147</t>
  </si>
  <si>
    <t>PAIVA</t>
  </si>
  <si>
    <t>1578</t>
  </si>
  <si>
    <t>LAEL CALCADOS</t>
  </si>
  <si>
    <t>2165</t>
  </si>
  <si>
    <t>RENE DORIVAL DOS SANTOS</t>
  </si>
  <si>
    <t>1286</t>
  </si>
  <si>
    <t>SAPATARIA AMORIM</t>
  </si>
  <si>
    <t>2264</t>
  </si>
  <si>
    <t>GRUPO BABYLANDIA</t>
  </si>
  <si>
    <t>786</t>
  </si>
  <si>
    <t>SAPATARIA MAGIA</t>
  </si>
  <si>
    <t>832</t>
  </si>
  <si>
    <t>M MAMEDE</t>
  </si>
  <si>
    <t>367</t>
  </si>
  <si>
    <t>D CALCADOS</t>
  </si>
  <si>
    <t>389</t>
  </si>
  <si>
    <t>TUC</t>
  </si>
  <si>
    <t>1038</t>
  </si>
  <si>
    <t>COUTO PE - 93</t>
  </si>
  <si>
    <t>2133</t>
  </si>
  <si>
    <t>GRUPO A ESPECIALISTA</t>
  </si>
  <si>
    <t>1040</t>
  </si>
  <si>
    <t>FONTANIVE - 93</t>
  </si>
  <si>
    <t>100</t>
  </si>
  <si>
    <t>STUDIO Z</t>
  </si>
  <si>
    <t>1009</t>
  </si>
  <si>
    <t>CAMP FRALDAS</t>
  </si>
  <si>
    <t>1014</t>
  </si>
  <si>
    <t>GRUPO ELO</t>
  </si>
  <si>
    <t>1017</t>
  </si>
  <si>
    <t>MARIA ALICE TAIPAS</t>
  </si>
  <si>
    <t>1020</t>
  </si>
  <si>
    <t>LOJA POPULAE</t>
  </si>
  <si>
    <t>1036</t>
  </si>
  <si>
    <t>PIRAMIDE - 93</t>
  </si>
  <si>
    <t>1046</t>
  </si>
  <si>
    <t>PASSO CERTO - 168</t>
  </si>
  <si>
    <t>1057</t>
  </si>
  <si>
    <t>GRUPO LANA REP 11</t>
  </si>
  <si>
    <t>1061</t>
  </si>
  <si>
    <t>GRUPO MARTINS</t>
  </si>
  <si>
    <t>1064</t>
  </si>
  <si>
    <t>GRUPO DEBORTOLLI</t>
  </si>
  <si>
    <t>1075</t>
  </si>
  <si>
    <t>GRUPO MAIA E WEBER</t>
  </si>
  <si>
    <t>108</t>
  </si>
  <si>
    <t>BAMBINO</t>
  </si>
  <si>
    <t>1087</t>
  </si>
  <si>
    <t>SARAH CALCADOS</t>
  </si>
  <si>
    <t>1089</t>
  </si>
  <si>
    <t>ALISSON CALCADOS</t>
  </si>
  <si>
    <t>1097</t>
  </si>
  <si>
    <t>GRUPO BIA CALCADOS</t>
  </si>
  <si>
    <t>1108</t>
  </si>
  <si>
    <t>GRUPO ARCO IRIS</t>
  </si>
  <si>
    <t>111</t>
  </si>
  <si>
    <t>AGITTUS KERGINALDO</t>
  </si>
  <si>
    <t>1115</t>
  </si>
  <si>
    <t>LOJA CASA GRANDE</t>
  </si>
  <si>
    <t>113</t>
  </si>
  <si>
    <t>NORDESTE CALCADOS</t>
  </si>
  <si>
    <t>1149</t>
  </si>
  <si>
    <t>MAGAZINE DA CRIANCA</t>
  </si>
  <si>
    <t>1157</t>
  </si>
  <si>
    <t>PRIMAVERA CANAA</t>
  </si>
  <si>
    <t>1163</t>
  </si>
  <si>
    <t>REI DAS ROUPAS</t>
  </si>
  <si>
    <t>1215</t>
  </si>
  <si>
    <t>POTENCIA CALCADOS</t>
  </si>
  <si>
    <t>1239</t>
  </si>
  <si>
    <t>CURTUME</t>
  </si>
  <si>
    <t>1257</t>
  </si>
  <si>
    <t>GRUPO SANFFER</t>
  </si>
  <si>
    <t>1285</t>
  </si>
  <si>
    <t>QUEIROZ CALCADOS</t>
  </si>
  <si>
    <t>1292</t>
  </si>
  <si>
    <t>GRUPO JUCALLI</t>
  </si>
  <si>
    <t>1310</t>
  </si>
  <si>
    <t>GRUPO MARISSOL</t>
  </si>
  <si>
    <t>1313</t>
  </si>
  <si>
    <t>1318</t>
  </si>
  <si>
    <t>GRUPO RAINER</t>
  </si>
  <si>
    <t>1324</t>
  </si>
  <si>
    <t>SONIA CALCADOS</t>
  </si>
  <si>
    <t>1328</t>
  </si>
  <si>
    <t>MALHARIA BAL</t>
  </si>
  <si>
    <t>133</t>
  </si>
  <si>
    <t>GRUPO ESPERANCA VITUARIO</t>
  </si>
  <si>
    <t>1332</t>
  </si>
  <si>
    <t>GRUPO PRIOSTI (2)</t>
  </si>
  <si>
    <t>1333</t>
  </si>
  <si>
    <t>FIO DE OURO</t>
  </si>
  <si>
    <t>134</t>
  </si>
  <si>
    <t>LOJAS MILL</t>
  </si>
  <si>
    <t>1342</t>
  </si>
  <si>
    <t>GRUPO AGITTUS</t>
  </si>
  <si>
    <t>1344</t>
  </si>
  <si>
    <t>OLIVER KIDS</t>
  </si>
  <si>
    <t>1351</t>
  </si>
  <si>
    <t>MEGA PASSO CALCADOS</t>
  </si>
  <si>
    <t>1362</t>
  </si>
  <si>
    <t>GRUPO LUDIQUE</t>
  </si>
  <si>
    <t>1368</t>
  </si>
  <si>
    <t>GRUPO CHILLIS</t>
  </si>
  <si>
    <t>1369</t>
  </si>
  <si>
    <t>BRUNA CALÇADOS</t>
  </si>
  <si>
    <t>1382</t>
  </si>
  <si>
    <t>LEMON CALCADOS</t>
  </si>
  <si>
    <t>1413</t>
  </si>
  <si>
    <t>GENTE MIUDA</t>
  </si>
  <si>
    <t>1428</t>
  </si>
  <si>
    <t>LOJAS CONFIANCA</t>
  </si>
  <si>
    <t>1431</t>
  </si>
  <si>
    <t>GRUPO FERRAO CALCADOS (02)</t>
  </si>
  <si>
    <t>1447</t>
  </si>
  <si>
    <t>COOPERATIVA SANTA CLARA</t>
  </si>
  <si>
    <t>1452</t>
  </si>
  <si>
    <t>GRUPO FALCOES</t>
  </si>
  <si>
    <t>1468</t>
  </si>
  <si>
    <t>GRUPO MIX (02)</t>
  </si>
  <si>
    <t>1477</t>
  </si>
  <si>
    <t>PANTANAL CALCADOS</t>
  </si>
  <si>
    <t>1501</t>
  </si>
  <si>
    <t>MARIA LUISA RAIMUNDO</t>
  </si>
  <si>
    <t>1526</t>
  </si>
  <si>
    <t>GRUPO RESENDE</t>
  </si>
  <si>
    <t>1557</t>
  </si>
  <si>
    <t>VERÁS</t>
  </si>
  <si>
    <t>1562</t>
  </si>
  <si>
    <t>GRUPO ELESE</t>
  </si>
  <si>
    <t>1570</t>
  </si>
  <si>
    <t>GRUPO A &amp; B CALÇADOS</t>
  </si>
  <si>
    <t>1579</t>
  </si>
  <si>
    <t>SPORT LINE</t>
  </si>
  <si>
    <t>1587</t>
  </si>
  <si>
    <t>JOAO CALCADOS</t>
  </si>
  <si>
    <t>1597</t>
  </si>
  <si>
    <t>CANEDO</t>
  </si>
  <si>
    <t>1611</t>
  </si>
  <si>
    <t>1616</t>
  </si>
  <si>
    <t>MALHARIA SANTA MARIA</t>
  </si>
  <si>
    <t>1617</t>
  </si>
  <si>
    <t>INOCENCIA CALCADOS</t>
  </si>
  <si>
    <t>1624</t>
  </si>
  <si>
    <t>GRUPO TANIDRE (04)</t>
  </si>
  <si>
    <t>1625</t>
  </si>
  <si>
    <t>GRUPO PIMPOLHOS</t>
  </si>
  <si>
    <t>1634</t>
  </si>
  <si>
    <t>LUIS CLAUDIO (02)</t>
  </si>
  <si>
    <t>1635</t>
  </si>
  <si>
    <t>GRUPO RAFAELLA CALCADOS</t>
  </si>
  <si>
    <t>1637</t>
  </si>
  <si>
    <t>GRUPO REDE MUNDO DOS PÉS</t>
  </si>
  <si>
    <t>1645</t>
  </si>
  <si>
    <t>SCAPIN</t>
  </si>
  <si>
    <t>1669</t>
  </si>
  <si>
    <t>LOJAS GAUCHA (02)</t>
  </si>
  <si>
    <t>1672</t>
  </si>
  <si>
    <t>D.MICHELI</t>
  </si>
  <si>
    <t>1680</t>
  </si>
  <si>
    <t>GRUPO CAROL KIDSS</t>
  </si>
  <si>
    <t>1686</t>
  </si>
  <si>
    <t>BRANDILI</t>
  </si>
  <si>
    <t>1692</t>
  </si>
  <si>
    <t>KLUBEMIX</t>
  </si>
  <si>
    <t>1702</t>
  </si>
  <si>
    <t>BAGUNCA</t>
  </si>
  <si>
    <t>1707</t>
  </si>
  <si>
    <t>VANIA CALÇADOS</t>
  </si>
  <si>
    <t>1711</t>
  </si>
  <si>
    <t>1713</t>
  </si>
  <si>
    <t>TORRA TORRA</t>
  </si>
  <si>
    <t>1728</t>
  </si>
  <si>
    <t>GRUPO GIGANTE PERFUMARIA</t>
  </si>
  <si>
    <t>1733</t>
  </si>
  <si>
    <t>RIO SUL (02)</t>
  </si>
  <si>
    <t>1747</t>
  </si>
  <si>
    <t>TRANSAMODAS (02)</t>
  </si>
  <si>
    <t>1749</t>
  </si>
  <si>
    <t>SHOPPING CHINA</t>
  </si>
  <si>
    <t>PAULO DUARTE ELIAS</t>
  </si>
  <si>
    <t>1750</t>
  </si>
  <si>
    <t>ALEXANDRE</t>
  </si>
  <si>
    <t>1753</t>
  </si>
  <si>
    <t>GRUPO GLOBO MAGAZINE</t>
  </si>
  <si>
    <t>1765</t>
  </si>
  <si>
    <t>GRUPO TOKESHOES</t>
  </si>
  <si>
    <t>1775</t>
  </si>
  <si>
    <t>PRAUCHNER (02)</t>
  </si>
  <si>
    <t>1779</t>
  </si>
  <si>
    <t>GRUPO BIG CENTER</t>
  </si>
  <si>
    <t>1786</t>
  </si>
  <si>
    <t>GRUPO CARINHA DE ANJO</t>
  </si>
  <si>
    <t>1787</t>
  </si>
  <si>
    <t>GRUPO PODEROSO TIMÃO</t>
  </si>
  <si>
    <t>1793</t>
  </si>
  <si>
    <t>GRUPO SAPATTUS (MG)</t>
  </si>
  <si>
    <t>1802</t>
  </si>
  <si>
    <t>LOJAS ESTRELAS BY NADIA</t>
  </si>
  <si>
    <t>1824</t>
  </si>
  <si>
    <t>GRUPO DELMAR</t>
  </si>
  <si>
    <t>1836</t>
  </si>
  <si>
    <t>ESTAÇÃO CALÇADOS</t>
  </si>
  <si>
    <t>1854</t>
  </si>
  <si>
    <t>MAICO SHOES GRUPO</t>
  </si>
  <si>
    <t>1872</t>
  </si>
  <si>
    <t>ARMARIMHO KIDS</t>
  </si>
  <si>
    <t>1874</t>
  </si>
  <si>
    <t>CRESCI E PERDI (REP. 280)</t>
  </si>
  <si>
    <t>1876</t>
  </si>
  <si>
    <t>ESPAÇO INFANTIL</t>
  </si>
  <si>
    <t>1877</t>
  </si>
  <si>
    <t>GRUPO GLOBO</t>
  </si>
  <si>
    <t>1882</t>
  </si>
  <si>
    <t>GRUPO BARRACÃO</t>
  </si>
  <si>
    <t>1885</t>
  </si>
  <si>
    <t>GRUPO ESTRELA GUIA</t>
  </si>
  <si>
    <t>1891</t>
  </si>
  <si>
    <t>GRUPO R R CALCADOS</t>
  </si>
  <si>
    <t>1892</t>
  </si>
  <si>
    <t>ARAUJO CALCADOS</t>
  </si>
  <si>
    <t>1909</t>
  </si>
  <si>
    <t>CALECHE (04)</t>
  </si>
  <si>
    <t>1920</t>
  </si>
  <si>
    <t>GRUPO BELLA MORE KIDS</t>
  </si>
  <si>
    <t>1921</t>
  </si>
  <si>
    <t>ESPAÇO DA MODA (02)</t>
  </si>
  <si>
    <t>1928</t>
  </si>
  <si>
    <t>GRUPO VIA Z KIDS</t>
  </si>
  <si>
    <t>1929</t>
  </si>
  <si>
    <t>REPRESENTANTES REM</t>
  </si>
  <si>
    <t>1930</t>
  </si>
  <si>
    <t>REPRESENTANTES SP</t>
  </si>
  <si>
    <t>1932</t>
  </si>
  <si>
    <t>REPRESENTANTES SUL</t>
  </si>
  <si>
    <t>1933</t>
  </si>
  <si>
    <t>REPRESENTANTE NORTE/NORDESTE</t>
  </si>
  <si>
    <t>1934</t>
  </si>
  <si>
    <t>MON AMOUR STORE</t>
  </si>
  <si>
    <t>1954</t>
  </si>
  <si>
    <t>ALLEGRO (2)</t>
  </si>
  <si>
    <t>1964</t>
  </si>
  <si>
    <t>EXCLUSIVA (2)</t>
  </si>
  <si>
    <t>1977</t>
  </si>
  <si>
    <t>LF CALÇADOS</t>
  </si>
  <si>
    <t>1978</t>
  </si>
  <si>
    <t>GRUPO CRESCI E PERDI UBERABA</t>
  </si>
  <si>
    <t>1985</t>
  </si>
  <si>
    <t>RIZZIERI (02)</t>
  </si>
  <si>
    <t>2003</t>
  </si>
  <si>
    <t>GRUPO DK FASHION</t>
  </si>
  <si>
    <t>2005</t>
  </si>
  <si>
    <t>GRUPO PAGUE MENOS/ GUARATUBA</t>
  </si>
  <si>
    <t>2006</t>
  </si>
  <si>
    <t>GRUPO PAGUE MENOS/ GARUVA</t>
  </si>
  <si>
    <t>2009</t>
  </si>
  <si>
    <t>GRUPO MINAS CALÇADOS</t>
  </si>
  <si>
    <t>2013</t>
  </si>
  <si>
    <t>GRUPO DELI CONFORT</t>
  </si>
  <si>
    <t>2015</t>
  </si>
  <si>
    <t>PÉ NO CHÃO</t>
  </si>
  <si>
    <t>2035</t>
  </si>
  <si>
    <t>GRUPO FABRICIO COELHO</t>
  </si>
  <si>
    <t>2039</t>
  </si>
  <si>
    <t>MALU CALCADOS - GRUPO 2</t>
  </si>
  <si>
    <t>2040</t>
  </si>
  <si>
    <t>GRUPO GUIMARAES</t>
  </si>
  <si>
    <t>2042</t>
  </si>
  <si>
    <t>GRUPO PEQUENINOS (ODETE)</t>
  </si>
  <si>
    <t>2043</t>
  </si>
  <si>
    <t>LOJAS GODOI</t>
  </si>
  <si>
    <t>2046</t>
  </si>
  <si>
    <t>LOJAO DO BRAS CANDIDO DE ABREU</t>
  </si>
  <si>
    <t>2052</t>
  </si>
  <si>
    <t>2054</t>
  </si>
  <si>
    <t>E.K.S</t>
  </si>
  <si>
    <t>2058</t>
  </si>
  <si>
    <t>GRUPO BONANÇA CALCADOS</t>
  </si>
  <si>
    <t>2059</t>
  </si>
  <si>
    <t>GRUPO SUH CALÇADOS</t>
  </si>
  <si>
    <t>206</t>
  </si>
  <si>
    <t>DENGUINHO</t>
  </si>
  <si>
    <t>2066</t>
  </si>
  <si>
    <t>ALPS MAGAZINE</t>
  </si>
  <si>
    <t>2072</t>
  </si>
  <si>
    <t>GRUPO DALVA MODAS</t>
  </si>
  <si>
    <t>2075</t>
  </si>
  <si>
    <t>REDE MARITACA</t>
  </si>
  <si>
    <t>208</t>
  </si>
  <si>
    <t>DURSKI</t>
  </si>
  <si>
    <t>2084</t>
  </si>
  <si>
    <t>MK MALHARIA</t>
  </si>
  <si>
    <t>2085</t>
  </si>
  <si>
    <t>GRUPO PIMENTEL</t>
  </si>
  <si>
    <t>209</t>
  </si>
  <si>
    <t>GRUPO PRO PE</t>
  </si>
  <si>
    <t>2090</t>
  </si>
  <si>
    <t>BEBE DE OURO</t>
  </si>
  <si>
    <t>2092</t>
  </si>
  <si>
    <t>AC COMPANY</t>
  </si>
  <si>
    <t>2093</t>
  </si>
  <si>
    <t>SFERA CALÇADOS</t>
  </si>
  <si>
    <t>2095</t>
  </si>
  <si>
    <t>GRUPO IDEAL CALCADOS</t>
  </si>
  <si>
    <t>2097</t>
  </si>
  <si>
    <t>GRUPO AMORA</t>
  </si>
  <si>
    <t>2100</t>
  </si>
  <si>
    <t>GRUPO GALVÃO CALÇADOS</t>
  </si>
  <si>
    <t>2104</t>
  </si>
  <si>
    <t>CRESCI E PERDI PG</t>
  </si>
  <si>
    <t>2109</t>
  </si>
  <si>
    <t>LAIRIARA CALÇADOS</t>
  </si>
  <si>
    <t>2112</t>
  </si>
  <si>
    <t>ARENA BABY</t>
  </si>
  <si>
    <t>2116</t>
  </si>
  <si>
    <t>LIPE CALÇADOS</t>
  </si>
  <si>
    <t>2119</t>
  </si>
  <si>
    <t>GRUPO ARIETE</t>
  </si>
  <si>
    <t>2128</t>
  </si>
  <si>
    <t>LOEN KIDS</t>
  </si>
  <si>
    <t>2129</t>
  </si>
  <si>
    <t>REDE GILBIANE</t>
  </si>
  <si>
    <t>2132</t>
  </si>
  <si>
    <t>SONHO INFANTIL</t>
  </si>
  <si>
    <t>2141</t>
  </si>
  <si>
    <t>GRUPO COLORÊ</t>
  </si>
  <si>
    <t>2142</t>
  </si>
  <si>
    <t>ANNA PAULLA</t>
  </si>
  <si>
    <t>2146</t>
  </si>
  <si>
    <t>GRUPO AG CALÇADOS</t>
  </si>
  <si>
    <t>2150</t>
  </si>
  <si>
    <t>GRUPO GABRIELY CARDOSO</t>
  </si>
  <si>
    <t>2151</t>
  </si>
  <si>
    <t>GRUPO GIRA GIRÔ</t>
  </si>
  <si>
    <t>2159</t>
  </si>
  <si>
    <t>GRUPO JOBSON NASCIMENTO</t>
  </si>
  <si>
    <t>2168</t>
  </si>
  <si>
    <t>PAR PERFEITO</t>
  </si>
  <si>
    <t>2173</t>
  </si>
  <si>
    <t>MARLA LARIELE F. MARIANO</t>
  </si>
  <si>
    <t>235</t>
  </si>
  <si>
    <t>LOJAS ELDER</t>
  </si>
  <si>
    <t>239</t>
  </si>
  <si>
    <t>UNIPE CALCADOS</t>
  </si>
  <si>
    <t>265</t>
  </si>
  <si>
    <t>ATACADÃO DO SAPATO</t>
  </si>
  <si>
    <t>317</t>
  </si>
  <si>
    <t>KAZZU AZZE</t>
  </si>
  <si>
    <t>321</t>
  </si>
  <si>
    <t>PC FLORENTINO</t>
  </si>
  <si>
    <t>331</t>
  </si>
  <si>
    <t>MARIA DUCIVANIA MARTINS  G(3)</t>
  </si>
  <si>
    <t>339</t>
  </si>
  <si>
    <t>AUGUSTO BARROS G(9)</t>
  </si>
  <si>
    <t>348</t>
  </si>
  <si>
    <t>BARREIROS E ALMEIDA</t>
  </si>
  <si>
    <t>359</t>
  </si>
  <si>
    <t>R.MILET (09 LOJAS)</t>
  </si>
  <si>
    <t>373</t>
  </si>
  <si>
    <t>BINI CALCADOS</t>
  </si>
  <si>
    <t>381</t>
  </si>
  <si>
    <t>FAMILY CALCADOS G(6)</t>
  </si>
  <si>
    <t>384</t>
  </si>
  <si>
    <t>AGUIA SHOES</t>
  </si>
  <si>
    <t>398</t>
  </si>
  <si>
    <t>LOJAS A FORTALEZA</t>
  </si>
  <si>
    <t>402</t>
  </si>
  <si>
    <t>PARAISO</t>
  </si>
  <si>
    <t>407</t>
  </si>
  <si>
    <t>D GATA</t>
  </si>
  <si>
    <t>416</t>
  </si>
  <si>
    <t>ORIENTAL MAGAZINE</t>
  </si>
  <si>
    <t>444</t>
  </si>
  <si>
    <t>GRUPO FOKA VIVI</t>
  </si>
  <si>
    <t>453</t>
  </si>
  <si>
    <t>TUKA G(2)</t>
  </si>
  <si>
    <t>456</t>
  </si>
  <si>
    <t>GRUPO ROYAL G(12)</t>
  </si>
  <si>
    <t>457</t>
  </si>
  <si>
    <t>522</t>
  </si>
  <si>
    <t>REI DO ENXOVAL</t>
  </si>
  <si>
    <t>553</t>
  </si>
  <si>
    <t>ALANA CALCADOS</t>
  </si>
  <si>
    <t>566</t>
  </si>
  <si>
    <t>PE FRESCO</t>
  </si>
  <si>
    <t>598</t>
  </si>
  <si>
    <t>CASTELINHO PERUS G (2)</t>
  </si>
  <si>
    <t>599</t>
  </si>
  <si>
    <t>CASTELINHO OSASCO G (3)</t>
  </si>
  <si>
    <t>607</t>
  </si>
  <si>
    <t>EDSON CALCADOS</t>
  </si>
  <si>
    <t>609</t>
  </si>
  <si>
    <t>PLATAFORMA</t>
  </si>
  <si>
    <t>61</t>
  </si>
  <si>
    <t>CREACOES MAURICIO</t>
  </si>
  <si>
    <t>643</t>
  </si>
  <si>
    <t>ALCIMAR CAMPOS</t>
  </si>
  <si>
    <t>689</t>
  </si>
  <si>
    <t>D GALLAN</t>
  </si>
  <si>
    <t>700</t>
  </si>
  <si>
    <t>CHERRY CALCADOS</t>
  </si>
  <si>
    <t>704</t>
  </si>
  <si>
    <t>TIGRAO G(7)</t>
  </si>
  <si>
    <t>719</t>
  </si>
  <si>
    <t>REDS CAL.</t>
  </si>
  <si>
    <t>734</t>
  </si>
  <si>
    <t>CASA SANTOS G[4]</t>
  </si>
  <si>
    <t>735</t>
  </si>
  <si>
    <t>STYLUS CALCADOS</t>
  </si>
  <si>
    <t>759</t>
  </si>
  <si>
    <t>JEANNE G(3)</t>
  </si>
  <si>
    <t>763</t>
  </si>
  <si>
    <t>GRUPO 22 DE JULHO</t>
  </si>
  <si>
    <t>765</t>
  </si>
  <si>
    <t>BENETTI CALCADOS</t>
  </si>
  <si>
    <t>774</t>
  </si>
  <si>
    <t>REDE BIRI G(6)</t>
  </si>
  <si>
    <t>777</t>
  </si>
  <si>
    <t>HIPPER CALCADOS</t>
  </si>
  <si>
    <t>790</t>
  </si>
  <si>
    <t>GRUPO VANDA</t>
  </si>
  <si>
    <t>820</t>
  </si>
  <si>
    <t>GRUPO NILMAR</t>
  </si>
  <si>
    <t>823</t>
  </si>
  <si>
    <t>TIGUES CALCADOS</t>
  </si>
  <si>
    <t>83</t>
  </si>
  <si>
    <t>CASUAL CALCADOS</t>
  </si>
  <si>
    <t>836</t>
  </si>
  <si>
    <t>VERGUTZ FERNANDES</t>
  </si>
  <si>
    <t>853</t>
  </si>
  <si>
    <t>MOTOCA</t>
  </si>
  <si>
    <t>866</t>
  </si>
  <si>
    <t>MAGAZINE CARLAO</t>
  </si>
  <si>
    <t>871</t>
  </si>
  <si>
    <t>EXPO BUTS</t>
  </si>
  <si>
    <t>959</t>
  </si>
  <si>
    <t>RIO MODAS [G2]</t>
  </si>
  <si>
    <t>970</t>
  </si>
  <si>
    <t>GRUPO MORENTA-REP11</t>
  </si>
  <si>
    <t>974</t>
  </si>
  <si>
    <t>SNOB CALCADOS</t>
  </si>
  <si>
    <t>985</t>
  </si>
  <si>
    <t>BIROS</t>
  </si>
  <si>
    <t>Total Geral</t>
  </si>
  <si>
    <t>A</t>
  </si>
  <si>
    <t>B</t>
  </si>
  <si>
    <t>C</t>
  </si>
  <si>
    <t>ABC</t>
  </si>
  <si>
    <t>ACUMULADO</t>
  </si>
  <si>
    <t>PARTICIPAÇÃO</t>
  </si>
  <si>
    <t>2024 PRS</t>
  </si>
  <si>
    <t>2025 PRS</t>
  </si>
  <si>
    <t>REP</t>
  </si>
  <si>
    <t xml:space="preserve">ART 2025 </t>
  </si>
  <si>
    <t>ART 2026</t>
  </si>
  <si>
    <t xml:space="preserve"> </t>
  </si>
  <si>
    <t>COMPRA 2026</t>
  </si>
  <si>
    <t>STATUS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</si>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</sst>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-#,##0"/>
    <numFmt numFmtId="165" formatCode="#,##0.00\ ;\-#,##0.00"/>
    <numFmt numFmtId="166" formatCode="0.0%"/>
  </numFmts>
  <fonts count="5">
    <font>
      <sz val="11"/>
      <name val="Calibri"/>
    </font>
    <font>
      <sz val="11"/>
      <name val="Calibri"/>
      <family val="2"/>
    </font>
    <font>
      <sz val="10"/>
      <color indexed="64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/>
  </cellStyleXfs>
  <cellXfs count="32">
    <xf numFmtId="0" fontId="0" fillId="0" borderId="0" xfId="0"/>
    <xf numFmtId="0" fontId="3" fillId="2" borderId="1" xfId="2" applyFont="1" applyFill="1" applyAlignment="1">
      <alignment horizontal="center" vertical="center" wrapText="1"/>
    </xf>
    <xf numFmtId="164" fontId="3" fillId="2" borderId="1" xfId="2" applyNumberFormat="1" applyFont="1" applyFill="1" applyAlignment="1">
      <alignment horizontal="center" vertical="center" wrapText="1"/>
    </xf>
    <xf numFmtId="0" fontId="2" fillId="0" borderId="1" xfId="2" applyAlignment="1">
      <alignment horizontal="left" vertical="center" wrapText="1"/>
    </xf>
    <xf numFmtId="164" fontId="2" fillId="0" borderId="1" xfId="2" applyNumberFormat="1" applyAlignment="1">
      <alignment horizontal="left" vertical="center" wrapText="1"/>
    </xf>
    <xf numFmtId="164" fontId="2" fillId="0" borderId="1" xfId="2" applyNumberFormat="1" applyAlignment="1">
      <alignment horizontal="right" vertical="center"/>
    </xf>
    <xf numFmtId="165" fontId="2" fillId="0" borderId="1" xfId="2" applyNumberFormat="1" applyAlignment="1">
      <alignment horizontal="right" vertical="center"/>
    </xf>
    <xf numFmtId="0" fontId="4" fillId="0" borderId="1" xfId="2" applyFont="1" applyAlignment="1">
      <alignment horizontal="left" vertical="center" wrapText="1"/>
    </xf>
    <xf numFmtId="164" fontId="4" fillId="0" borderId="1" xfId="2" applyNumberFormat="1" applyFont="1" applyAlignment="1">
      <alignment horizontal="left" vertical="center" wrapText="1"/>
    </xf>
    <xf numFmtId="164" fontId="4" fillId="0" borderId="1" xfId="2" applyNumberFormat="1" applyFont="1" applyAlignment="1">
      <alignment horizontal="right" vertical="center"/>
    </xf>
    <xf numFmtId="165" fontId="4" fillId="0" borderId="1" xfId="2" applyNumberFormat="1" applyFont="1" applyAlignment="1">
      <alignment horizontal="right" vertical="center"/>
    </xf>
    <xf numFmtId="0" fontId="2" fillId="3" borderId="1" xfId="2" applyFill="1" applyAlignment="1">
      <alignment horizontal="left" vertical="center" wrapText="1"/>
    </xf>
    <xf numFmtId="164" fontId="2" fillId="3" borderId="1" xfId="2" applyNumberFormat="1" applyFill="1" applyAlignment="1">
      <alignment horizontal="left" vertical="center" wrapText="1"/>
    </xf>
    <xf numFmtId="164" fontId="2" fillId="3" borderId="1" xfId="2" applyNumberFormat="1" applyFill="1" applyAlignment="1">
      <alignment horizontal="right" vertical="center"/>
    </xf>
    <xf numFmtId="165" fontId="2" fillId="3" borderId="1" xfId="2" applyNumberFormat="1" applyFill="1" applyAlignment="1">
      <alignment horizontal="right" vertical="center"/>
    </xf>
    <xf numFmtId="0" fontId="2" fillId="4" borderId="1" xfId="2" applyFill="1" applyAlignment="1">
      <alignment horizontal="left" vertical="center" wrapText="1"/>
    </xf>
    <xf numFmtId="164" fontId="2" fillId="4" borderId="1" xfId="2" applyNumberFormat="1" applyFill="1" applyAlignment="1">
      <alignment horizontal="left" vertical="center" wrapText="1"/>
    </xf>
    <xf numFmtId="164" fontId="2" fillId="4" borderId="1" xfId="2" applyNumberFormat="1" applyFill="1" applyAlignment="1">
      <alignment horizontal="right" vertical="center"/>
    </xf>
    <xf numFmtId="165" fontId="2" fillId="4" borderId="1" xfId="2" applyNumberFormat="1" applyFill="1" applyAlignment="1">
      <alignment horizontal="right" vertical="center"/>
    </xf>
    <xf numFmtId="165" fontId="3" fillId="2" borderId="3" xfId="2" applyNumberFormat="1" applyFont="1" applyFill="1" applyBorder="1" applyAlignment="1">
      <alignment horizontal="center" vertical="center" wrapText="1"/>
    </xf>
    <xf numFmtId="165" fontId="2" fillId="4" borderId="3" xfId="2" applyNumberFormat="1" applyFill="1" applyBorder="1" applyAlignment="1">
      <alignment horizontal="right" vertical="center"/>
    </xf>
    <xf numFmtId="165" fontId="2" fillId="3" borderId="3" xfId="2" applyNumberFormat="1" applyFill="1" applyBorder="1" applyAlignment="1">
      <alignment horizontal="right" vertical="center"/>
    </xf>
    <xf numFmtId="165" fontId="2" fillId="0" borderId="3" xfId="2" applyNumberFormat="1" applyBorder="1" applyAlignment="1">
      <alignment horizontal="right" vertical="center"/>
    </xf>
    <xf numFmtId="165" fontId="3" fillId="2" borderId="4" xfId="2" applyNumberFormat="1" applyFont="1" applyFill="1" applyBorder="1" applyAlignment="1">
      <alignment horizontal="center" vertical="center" wrapText="1"/>
    </xf>
    <xf numFmtId="166" fontId="0" fillId="0" borderId="2" xfId="1" applyNumberFormat="1" applyFont="1" applyBorder="1"/>
    <xf numFmtId="166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/>
    <xf numFmtId="10" fontId="0" fillId="0" borderId="2" xfId="1" applyNumberFormat="1" applyFont="1" applyBorder="1" applyAlignment="1">
      <alignment horizontal="center"/>
    </xf>
    <xf numFmtId="10" fontId="0" fillId="0" borderId="0" xfId="1" applyNumberFormat="1" applyFont="1"/>
    <xf numFmtId="164" fontId="3" fillId="2" borderId="3" xfId="2" applyNumberFormat="1" applyFont="1" applyFill="1" applyBorder="1" applyAlignment="1">
      <alignment horizontal="center" vertical="center" wrapText="1"/>
    </xf>
    <xf numFmtId="164" fontId="3" fillId="2" borderId="4" xfId="2" applyNumberFormat="1" applyFont="1" applyFill="1" applyBorder="1" applyAlignment="1">
      <alignment horizontal="center" vertical="center" wrapText="1"/>
    </xf>
  </cellXfs>
  <cellStyles count="3">
    <cellStyle name="Detalhe_e28bf32c-a0d4-4c3f-bc58-4ce05854da8a" xfId="2" xr:uid="{00000000-0005-0000-0000-000000000000}"/>
    <cellStyle name="Normal" xfId="0" builtinId="0"/>
    <cellStyle name="Porcentagem" xfId="1" builtinId="5"/>
  </cellStyles>
  <dxfs count="34">
    <dxf>
      <fill>
        <patternFill>
          <bgColor theme="9"/>
        </patternFill>
      </fill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-0.24994659260841701"/>
        </patternFill>
      </fill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36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.85546875" customWidth="1"/>
    <col min="2" max="2" width="26.42578125" customWidth="1"/>
    <col min="3" max="3" width="8.7109375" customWidth="1"/>
    <col min="4" max="5" width="26.42578125" customWidth="1"/>
    <col min="6" max="7" width="15" customWidth="1"/>
    <col min="8" max="8" width="18.140625" bestFit="1" customWidth="1"/>
    <col min="9" max="9" width="16" bestFit="1" customWidth="1"/>
    <col min="10" max="10" width="15.28515625" customWidth="1"/>
    <col min="11" max="11" width="12.42578125" bestFit="1" customWidth="1"/>
    <col min="13" max="14" width="9.140625" style="29"/>
    <col min="15" max="15" width="22.42578125" customWidth="1"/>
    <col min="16" max="16" width="14.5703125" customWidth="1"/>
  </cols>
  <sheetData>
    <row r="1" spans="1:16" ht="24.95" customHeight="1">
      <c r="A1" s="1" t="s">
        <v>0</v>
      </c>
      <c r="B1" s="1" t="s">
        <v>1</v>
      </c>
      <c r="C1" s="2" t="s">
        <v>7524</v>
      </c>
      <c r="D1" s="1" t="s">
        <v>2</v>
      </c>
      <c r="E1" s="1" t="s">
        <v>3</v>
      </c>
      <c r="F1" s="2" t="s">
        <v>7522</v>
      </c>
      <c r="G1" s="2" t="s">
        <v>7523</v>
      </c>
      <c r="H1" s="2">
        <v>2024</v>
      </c>
      <c r="I1" s="19">
        <v>2025</v>
      </c>
      <c r="J1" s="23" t="s">
        <v>7521</v>
      </c>
      <c r="K1" s="23" t="s">
        <v>7520</v>
      </c>
      <c r="L1" s="23" t="s">
        <v>7519</v>
      </c>
      <c r="M1" s="23" t="s">
        <v>7525</v>
      </c>
      <c r="N1" s="23" t="s">
        <v>7526</v>
      </c>
      <c r="O1" s="30" t="s">
        <v>7528</v>
      </c>
      <c r="P1" s="31" t="s">
        <v>7529</v>
      </c>
    </row>
    <row r="2" spans="1:16" ht="25.5">
      <c r="A2" s="15" t="s">
        <v>7527</v>
      </c>
      <c r="B2" s="15" t="s">
        <v>5</v>
      </c>
      <c r="C2" s="16">
        <v>74</v>
      </c>
      <c r="D2" s="15" t="s">
        <v>6</v>
      </c>
      <c r="E2" s="15" t="s">
        <v>7</v>
      </c>
      <c r="F2" s="17">
        <v>12864</v>
      </c>
      <c r="G2" s="17">
        <v>31613</v>
      </c>
      <c r="H2" s="18">
        <v>748471.68</v>
      </c>
      <c r="I2" s="20">
        <v>1972967.96</v>
      </c>
      <c r="J2" s="24">
        <f>I2/$I$6364</f>
        <v>1.3670935573358321E-2</v>
      </c>
      <c r="K2" s="25">
        <f>J2</f>
        <v>1.3670935573358321E-2</v>
      </c>
      <c r="L2" s="26" t="s">
        <v>7516</v>
      </c>
      <c r="M2" s="28">
        <v>0.04</v>
      </c>
      <c r="N2" s="28">
        <v>1.8200000000000001E-2</v>
      </c>
      <c r="O2" s="20">
        <v>793933.44</v>
      </c>
      <c r="P2" s="27" t="str">
        <f>IF(O2&lt;=0,"vermelho",IFERROR(IF(O2/I2&lt;=0.5098,"amarelo",IF(O2/I2&lt;1,"laranja","verde")),"vermelho"))</f>
        <v>amarelo</v>
      </c>
    </row>
    <row r="3" spans="1:16" ht="25.5">
      <c r="A3" s="15" t="s">
        <v>4926</v>
      </c>
      <c r="B3" s="15" t="s">
        <v>4927</v>
      </c>
      <c r="C3" s="16">
        <v>15</v>
      </c>
      <c r="D3" s="15" t="s">
        <v>18</v>
      </c>
      <c r="E3" s="15" t="s">
        <v>16</v>
      </c>
      <c r="F3" s="17">
        <v>22008</v>
      </c>
      <c r="G3" s="17">
        <v>28326</v>
      </c>
      <c r="H3" s="18">
        <v>1162435.77</v>
      </c>
      <c r="I3" s="20">
        <v>1644401.82</v>
      </c>
      <c r="J3" s="24">
        <f t="shared" ref="J3:J66" si="0">I3/$I$6364</f>
        <v>1.1394260724808307E-2</v>
      </c>
      <c r="K3" s="25">
        <f>J3+K2</f>
        <v>2.5065196298166628E-2</v>
      </c>
      <c r="L3" s="26" t="s">
        <v>7516</v>
      </c>
      <c r="M3" s="28">
        <v>3.8800000000000001E-2</v>
      </c>
      <c r="N3" s="28">
        <v>6.6500000000000004E-2</v>
      </c>
      <c r="O3" s="20">
        <v>435574.01799999998</v>
      </c>
      <c r="P3" s="27" t="str">
        <f t="shared" ref="P3:P66" si="1">IF(O3&lt;=0,"vermelho",IFERROR(IF(O3/I3&lt;=0.5098,"amarelo",IF(O3/I3&lt;1,"laranja","verde")),"vermelho"))</f>
        <v>amarelo</v>
      </c>
    </row>
    <row r="4" spans="1:16" ht="25.5">
      <c r="A4" s="15" t="s">
        <v>4928</v>
      </c>
      <c r="B4" s="15" t="s">
        <v>4929</v>
      </c>
      <c r="C4" s="16">
        <v>194</v>
      </c>
      <c r="D4" s="15" t="s">
        <v>145</v>
      </c>
      <c r="E4" s="15" t="s">
        <v>16</v>
      </c>
      <c r="F4" s="17">
        <v>38196</v>
      </c>
      <c r="G4" s="17">
        <v>30936</v>
      </c>
      <c r="H4" s="18">
        <v>1719353.88</v>
      </c>
      <c r="I4" s="20">
        <v>1643248.86</v>
      </c>
      <c r="J4" s="24">
        <f t="shared" si="0"/>
        <v>1.13862717243794E-2</v>
      </c>
      <c r="K4" s="25">
        <f>J4+K3</f>
        <v>3.6451468022546028E-2</v>
      </c>
      <c r="L4" s="26" t="s">
        <v>7516</v>
      </c>
      <c r="M4" s="28">
        <v>7.3099999999999998E-2</v>
      </c>
      <c r="N4" s="28"/>
      <c r="O4" s="20">
        <v>520199.88</v>
      </c>
      <c r="P4" s="27" t="str">
        <f t="shared" si="1"/>
        <v>amarelo</v>
      </c>
    </row>
    <row r="5" spans="1:16" ht="25.5">
      <c r="A5" s="15" t="s">
        <v>4930</v>
      </c>
      <c r="B5" s="15" t="s">
        <v>4931</v>
      </c>
      <c r="C5" s="16">
        <v>41</v>
      </c>
      <c r="D5" s="15" t="s">
        <v>178</v>
      </c>
      <c r="E5" s="15" t="s">
        <v>41</v>
      </c>
      <c r="F5" s="17">
        <v>24318</v>
      </c>
      <c r="G5" s="17">
        <v>26301</v>
      </c>
      <c r="H5" s="18">
        <v>1288546.68</v>
      </c>
      <c r="I5" s="20">
        <v>1424657.2949999999</v>
      </c>
      <c r="J5" s="24">
        <f t="shared" si="0"/>
        <v>9.8716241160145043E-3</v>
      </c>
      <c r="K5" s="25">
        <f t="shared" ref="K5:K67" si="2">J5+K4</f>
        <v>4.6323092138560534E-2</v>
      </c>
      <c r="L5" s="26" t="s">
        <v>7516</v>
      </c>
      <c r="M5" s="28"/>
      <c r="N5" s="28">
        <v>2.6200000000000001E-2</v>
      </c>
      <c r="O5" s="20">
        <v>1024829.92</v>
      </c>
      <c r="P5" s="27" t="str">
        <f t="shared" si="1"/>
        <v>laranja</v>
      </c>
    </row>
    <row r="6" spans="1:16" ht="38.25">
      <c r="A6" s="15" t="s">
        <v>4932</v>
      </c>
      <c r="B6" s="15" t="s">
        <v>4933</v>
      </c>
      <c r="C6" s="16">
        <v>11</v>
      </c>
      <c r="D6" s="15" t="s">
        <v>61</v>
      </c>
      <c r="E6" s="15" t="s">
        <v>10</v>
      </c>
      <c r="F6" s="17">
        <v>10551</v>
      </c>
      <c r="G6" s="17">
        <v>23023</v>
      </c>
      <c r="H6" s="18">
        <v>629213.28</v>
      </c>
      <c r="I6" s="20">
        <v>1299860.4950000001</v>
      </c>
      <c r="J6" s="24">
        <f t="shared" si="0"/>
        <v>9.0068918714212957E-3</v>
      </c>
      <c r="K6" s="25">
        <f t="shared" si="2"/>
        <v>5.5329984009981834E-2</v>
      </c>
      <c r="L6" s="26" t="s">
        <v>7516</v>
      </c>
      <c r="M6" s="28">
        <v>4.3999999999999997E-2</v>
      </c>
      <c r="N6" s="28"/>
      <c r="O6" s="20">
        <v>387678.86099999998</v>
      </c>
      <c r="P6" s="27" t="str">
        <f t="shared" si="1"/>
        <v>amarelo</v>
      </c>
    </row>
    <row r="7" spans="1:16" ht="25.5">
      <c r="A7" s="15" t="s">
        <v>4934</v>
      </c>
      <c r="B7" s="15" t="s">
        <v>4935</v>
      </c>
      <c r="C7" s="16">
        <v>194</v>
      </c>
      <c r="D7" s="15" t="s">
        <v>145</v>
      </c>
      <c r="E7" s="15" t="s">
        <v>16</v>
      </c>
      <c r="F7" s="17">
        <v>23313</v>
      </c>
      <c r="G7" s="17">
        <v>24120</v>
      </c>
      <c r="H7" s="18">
        <v>1163233.83</v>
      </c>
      <c r="I7" s="20">
        <v>1282589.43</v>
      </c>
      <c r="J7" s="24">
        <f t="shared" si="0"/>
        <v>8.8872185560481022E-3</v>
      </c>
      <c r="K7" s="25">
        <f t="shared" si="2"/>
        <v>6.4217202566029932E-2</v>
      </c>
      <c r="L7" s="26" t="s">
        <v>7516</v>
      </c>
      <c r="M7" s="28">
        <v>-6.4000000000000003E-3</v>
      </c>
      <c r="N7" s="28">
        <v>6.6E-3</v>
      </c>
      <c r="O7" s="20">
        <v>165339.81</v>
      </c>
      <c r="P7" s="27" t="str">
        <f t="shared" si="1"/>
        <v>amarelo</v>
      </c>
    </row>
    <row r="8" spans="1:16" ht="25.5">
      <c r="A8" s="15" t="s">
        <v>4936</v>
      </c>
      <c r="B8" s="15" t="s">
        <v>4937</v>
      </c>
      <c r="C8" s="16">
        <v>317</v>
      </c>
      <c r="D8" s="15" t="s">
        <v>78</v>
      </c>
      <c r="E8" s="15" t="s">
        <v>10</v>
      </c>
      <c r="F8" s="17">
        <v>19482</v>
      </c>
      <c r="G8" s="17">
        <v>19854</v>
      </c>
      <c r="H8" s="18">
        <v>1169495.04</v>
      </c>
      <c r="I8" s="20">
        <v>1154264.1059999999</v>
      </c>
      <c r="J8" s="24">
        <f t="shared" si="0"/>
        <v>7.9980367383999679E-3</v>
      </c>
      <c r="K8" s="25">
        <f t="shared" si="2"/>
        <v>7.2215239304429898E-2</v>
      </c>
      <c r="L8" s="26" t="s">
        <v>7516</v>
      </c>
      <c r="M8" s="28">
        <v>1.7999999999999999E-2</v>
      </c>
      <c r="N8" s="28">
        <v>6.3E-3</v>
      </c>
      <c r="O8" s="20">
        <v>586957.47100000002</v>
      </c>
      <c r="P8" s="27" t="str">
        <f t="shared" si="1"/>
        <v>amarelo</v>
      </c>
    </row>
    <row r="9" spans="1:16" ht="38.25">
      <c r="A9" s="15" t="s">
        <v>4938</v>
      </c>
      <c r="B9" s="15" t="s">
        <v>4939</v>
      </c>
      <c r="C9" s="16">
        <v>371</v>
      </c>
      <c r="D9" s="15" t="s">
        <v>82</v>
      </c>
      <c r="E9" s="15" t="s">
        <v>49</v>
      </c>
      <c r="F9" s="17">
        <v>4743</v>
      </c>
      <c r="G9" s="17">
        <v>25947</v>
      </c>
      <c r="H9" s="18">
        <v>203563.20600000001</v>
      </c>
      <c r="I9" s="20">
        <v>1138841.7779999999</v>
      </c>
      <c r="J9" s="24">
        <f t="shared" si="0"/>
        <v>7.8911735471298983E-3</v>
      </c>
      <c r="K9" s="25">
        <f t="shared" si="2"/>
        <v>8.0106412851559797E-2</v>
      </c>
      <c r="L9" s="26" t="s">
        <v>7516</v>
      </c>
      <c r="M9" s="28">
        <v>7.3200000000000001E-2</v>
      </c>
      <c r="N9" s="28">
        <v>1.34E-2</v>
      </c>
      <c r="O9" s="20">
        <v>847424.95799999998</v>
      </c>
      <c r="P9" s="27" t="str">
        <f t="shared" si="1"/>
        <v>laranja</v>
      </c>
    </row>
    <row r="10" spans="1:16" ht="25.5">
      <c r="A10" s="15" t="s">
        <v>4940</v>
      </c>
      <c r="B10" s="15" t="s">
        <v>4941</v>
      </c>
      <c r="C10" s="16">
        <v>328</v>
      </c>
      <c r="D10" s="15" t="s">
        <v>215</v>
      </c>
      <c r="E10" s="15" t="s">
        <v>41</v>
      </c>
      <c r="F10" s="17">
        <v>11532</v>
      </c>
      <c r="G10" s="17">
        <v>19911</v>
      </c>
      <c r="H10" s="18">
        <v>594187.31999999995</v>
      </c>
      <c r="I10" s="20">
        <v>1110705.5160000001</v>
      </c>
      <c r="J10" s="24">
        <f t="shared" si="0"/>
        <v>7.6962139568701919E-3</v>
      </c>
      <c r="K10" s="25">
        <f t="shared" si="2"/>
        <v>8.7802626808429984E-2</v>
      </c>
      <c r="L10" s="26" t="s">
        <v>7516</v>
      </c>
      <c r="M10" s="28"/>
      <c r="N10" s="28"/>
      <c r="O10" s="20" t="s">
        <v>7530</v>
      </c>
      <c r="P10" s="27" t="str">
        <f t="shared" si="1"/>
        <v>vermelho</v>
      </c>
    </row>
    <row r="11" spans="1:16" ht="38.25">
      <c r="A11" s="15" t="s">
        <v>4942</v>
      </c>
      <c r="B11" s="15" t="s">
        <v>4943</v>
      </c>
      <c r="C11" s="16">
        <v>301</v>
      </c>
      <c r="D11" s="15" t="s">
        <v>519</v>
      </c>
      <c r="E11" s="15" t="s">
        <v>16</v>
      </c>
      <c r="F11" s="17">
        <v>16647</v>
      </c>
      <c r="G11" s="17">
        <v>18436</v>
      </c>
      <c r="H11" s="18">
        <v>857876.52</v>
      </c>
      <c r="I11" s="20">
        <v>1032919.085</v>
      </c>
      <c r="J11" s="24">
        <f t="shared" si="0"/>
        <v>7.1572222913986027E-3</v>
      </c>
      <c r="K11" s="25">
        <f t="shared" si="2"/>
        <v>9.4959849099828589E-2</v>
      </c>
      <c r="L11" s="26" t="s">
        <v>7516</v>
      </c>
      <c r="M11" s="28"/>
      <c r="N11" s="28"/>
      <c r="O11" s="20">
        <v>46920.51</v>
      </c>
      <c r="P11" s="27" t="str">
        <f t="shared" si="1"/>
        <v>amarelo</v>
      </c>
    </row>
    <row r="12" spans="1:16" ht="25.5">
      <c r="A12" s="15" t="s">
        <v>4944</v>
      </c>
      <c r="B12" s="15" t="s">
        <v>4945</v>
      </c>
      <c r="C12" s="16">
        <v>218</v>
      </c>
      <c r="D12" s="15" t="s">
        <v>104</v>
      </c>
      <c r="E12" s="15" t="s">
        <v>16</v>
      </c>
      <c r="F12" s="17">
        <v>46152</v>
      </c>
      <c r="G12" s="17">
        <v>18384</v>
      </c>
      <c r="H12" s="18">
        <v>1792881.6</v>
      </c>
      <c r="I12" s="20">
        <v>818856</v>
      </c>
      <c r="J12" s="24">
        <f t="shared" si="0"/>
        <v>5.6739530731446351E-3</v>
      </c>
      <c r="K12" s="25">
        <f t="shared" si="2"/>
        <v>0.10063380217297323</v>
      </c>
      <c r="L12" s="26" t="s">
        <v>7516</v>
      </c>
      <c r="M12" s="28"/>
      <c r="N12" s="28"/>
      <c r="O12" s="20" t="s">
        <v>7530</v>
      </c>
      <c r="P12" s="27" t="str">
        <f t="shared" si="1"/>
        <v>vermelho</v>
      </c>
    </row>
    <row r="13" spans="1:16" ht="25.5">
      <c r="A13" s="15" t="s">
        <v>4946</v>
      </c>
      <c r="B13" s="15" t="s">
        <v>4947</v>
      </c>
      <c r="C13" s="16">
        <v>178</v>
      </c>
      <c r="D13" s="15" t="s">
        <v>74</v>
      </c>
      <c r="E13" s="15" t="s">
        <v>7</v>
      </c>
      <c r="F13" s="17">
        <v>12759</v>
      </c>
      <c r="G13" s="17">
        <v>13254</v>
      </c>
      <c r="H13" s="18">
        <v>674681.52599999995</v>
      </c>
      <c r="I13" s="20">
        <v>797381.147</v>
      </c>
      <c r="J13" s="24">
        <f t="shared" si="0"/>
        <v>5.5251511981206022E-3</v>
      </c>
      <c r="K13" s="25">
        <f t="shared" si="2"/>
        <v>0.10615895337109382</v>
      </c>
      <c r="L13" s="26" t="s">
        <v>7516</v>
      </c>
      <c r="M13" s="28"/>
      <c r="N13" s="28"/>
      <c r="O13" s="20">
        <v>293855.51</v>
      </c>
      <c r="P13" s="27" t="str">
        <f t="shared" si="1"/>
        <v>amarelo</v>
      </c>
    </row>
    <row r="14" spans="1:16" ht="25.5">
      <c r="A14" s="15" t="s">
        <v>4948</v>
      </c>
      <c r="B14" s="15" t="s">
        <v>4949</v>
      </c>
      <c r="C14" s="16">
        <v>39</v>
      </c>
      <c r="D14" s="15" t="s">
        <v>26</v>
      </c>
      <c r="E14" s="15" t="s">
        <v>13</v>
      </c>
      <c r="F14" s="17">
        <v>17661</v>
      </c>
      <c r="G14" s="17">
        <v>12540</v>
      </c>
      <c r="H14" s="18">
        <v>846511.83</v>
      </c>
      <c r="I14" s="20">
        <v>759828.18299999996</v>
      </c>
      <c r="J14" s="24">
        <f t="shared" si="0"/>
        <v>5.2649421314550464E-3</v>
      </c>
      <c r="K14" s="25">
        <f t="shared" si="2"/>
        <v>0.11142389550254887</v>
      </c>
      <c r="L14" s="26" t="s">
        <v>7516</v>
      </c>
      <c r="M14" s="28"/>
      <c r="N14" s="28"/>
      <c r="O14" s="20" t="s">
        <v>7530</v>
      </c>
      <c r="P14" s="27" t="str">
        <f t="shared" si="1"/>
        <v>vermelho</v>
      </c>
    </row>
    <row r="15" spans="1:16" ht="25.5">
      <c r="A15" s="15" t="s">
        <v>4950</v>
      </c>
      <c r="B15" s="15" t="s">
        <v>4951</v>
      </c>
      <c r="C15" s="16">
        <v>335</v>
      </c>
      <c r="D15" s="15" t="s">
        <v>36</v>
      </c>
      <c r="E15" s="15" t="s">
        <v>7</v>
      </c>
      <c r="F15" s="17">
        <v>15024</v>
      </c>
      <c r="G15" s="17">
        <v>13596</v>
      </c>
      <c r="H15" s="18">
        <v>821043.72</v>
      </c>
      <c r="I15" s="20">
        <v>753194.353</v>
      </c>
      <c r="J15" s="24">
        <f t="shared" si="0"/>
        <v>5.2189755144732832E-3</v>
      </c>
      <c r="K15" s="25">
        <f t="shared" si="2"/>
        <v>0.11664287101702216</v>
      </c>
      <c r="L15" s="26" t="s">
        <v>7516</v>
      </c>
      <c r="M15" s="28"/>
      <c r="N15" s="28"/>
      <c r="O15" s="20">
        <v>176365.48199999999</v>
      </c>
      <c r="P15" s="27" t="str">
        <f t="shared" si="1"/>
        <v>amarelo</v>
      </c>
    </row>
    <row r="16" spans="1:16" ht="25.5">
      <c r="A16" s="15" t="s">
        <v>4952</v>
      </c>
      <c r="B16" s="15" t="s">
        <v>4953</v>
      </c>
      <c r="C16" s="16">
        <v>39</v>
      </c>
      <c r="D16" s="15" t="s">
        <v>26</v>
      </c>
      <c r="E16" s="15" t="s">
        <v>13</v>
      </c>
      <c r="F16" s="17">
        <v>9204</v>
      </c>
      <c r="G16" s="17">
        <v>12141</v>
      </c>
      <c r="H16" s="18">
        <v>469035.75300000003</v>
      </c>
      <c r="I16" s="20">
        <v>738721.91399999999</v>
      </c>
      <c r="J16" s="24">
        <f t="shared" si="0"/>
        <v>5.118694219911177E-3</v>
      </c>
      <c r="K16" s="25">
        <f t="shared" si="2"/>
        <v>0.12176156523693334</v>
      </c>
      <c r="L16" s="26" t="s">
        <v>7516</v>
      </c>
      <c r="M16" s="28"/>
      <c r="N16" s="28"/>
      <c r="O16" s="20">
        <v>171128.99</v>
      </c>
      <c r="P16" s="27" t="str">
        <f t="shared" si="1"/>
        <v>amarelo</v>
      </c>
    </row>
    <row r="17" spans="1:16" ht="25.5">
      <c r="A17" s="15" t="s">
        <v>4954</v>
      </c>
      <c r="B17" s="15" t="s">
        <v>4955</v>
      </c>
      <c r="C17" s="16">
        <v>61</v>
      </c>
      <c r="D17" s="15" t="s">
        <v>48</v>
      </c>
      <c r="E17" s="15" t="s">
        <v>49</v>
      </c>
      <c r="F17" s="17">
        <v>7883</v>
      </c>
      <c r="G17" s="17">
        <v>11985</v>
      </c>
      <c r="H17" s="18">
        <v>415625.97399999999</v>
      </c>
      <c r="I17" s="20">
        <v>721136.12399999995</v>
      </c>
      <c r="J17" s="24">
        <f t="shared" si="0"/>
        <v>4.9968401366362464E-3</v>
      </c>
      <c r="K17" s="25">
        <f t="shared" si="2"/>
        <v>0.12675840537356958</v>
      </c>
      <c r="L17" s="26" t="s">
        <v>7516</v>
      </c>
      <c r="M17" s="28"/>
      <c r="N17" s="28"/>
      <c r="O17" s="20">
        <v>178813.75899999999</v>
      </c>
      <c r="P17" s="27" t="str">
        <f t="shared" si="1"/>
        <v>amarelo</v>
      </c>
    </row>
    <row r="18" spans="1:16" ht="25.5">
      <c r="A18" s="15" t="s">
        <v>4956</v>
      </c>
      <c r="B18" s="15" t="s">
        <v>4957</v>
      </c>
      <c r="C18" s="16">
        <v>317</v>
      </c>
      <c r="D18" s="15" t="s">
        <v>78</v>
      </c>
      <c r="E18" s="15" t="s">
        <v>10</v>
      </c>
      <c r="F18" s="17">
        <v>16719</v>
      </c>
      <c r="G18" s="17">
        <v>11436</v>
      </c>
      <c r="H18" s="18">
        <v>758131.23</v>
      </c>
      <c r="I18" s="20">
        <v>702309.48</v>
      </c>
      <c r="J18" s="24">
        <f t="shared" si="0"/>
        <v>4.8663880246888466E-3</v>
      </c>
      <c r="K18" s="25">
        <f t="shared" si="2"/>
        <v>0.13162479339825842</v>
      </c>
      <c r="L18" s="26" t="s">
        <v>7516</v>
      </c>
      <c r="M18" s="28"/>
      <c r="N18" s="28"/>
      <c r="O18" s="20">
        <v>144096</v>
      </c>
      <c r="P18" s="27" t="str">
        <f t="shared" si="1"/>
        <v>amarelo</v>
      </c>
    </row>
    <row r="19" spans="1:16" ht="51">
      <c r="A19" s="15" t="s">
        <v>4958</v>
      </c>
      <c r="B19" s="15" t="s">
        <v>4959</v>
      </c>
      <c r="C19" s="16">
        <v>282</v>
      </c>
      <c r="D19" s="15" t="s">
        <v>12</v>
      </c>
      <c r="E19" s="15" t="s">
        <v>13</v>
      </c>
      <c r="F19" s="17">
        <v>22320</v>
      </c>
      <c r="G19" s="17">
        <v>15720</v>
      </c>
      <c r="H19" s="18">
        <v>915520.08</v>
      </c>
      <c r="I19" s="20">
        <v>691230.6</v>
      </c>
      <c r="J19" s="24">
        <f t="shared" si="0"/>
        <v>4.7896211142393896E-3</v>
      </c>
      <c r="K19" s="25">
        <f t="shared" si="2"/>
        <v>0.13641441451249781</v>
      </c>
      <c r="L19" s="26" t="s">
        <v>7516</v>
      </c>
      <c r="M19" s="28"/>
      <c r="N19" s="28"/>
      <c r="O19" s="20" t="s">
        <v>7530</v>
      </c>
      <c r="P19" s="27" t="str">
        <f t="shared" si="1"/>
        <v>vermelho</v>
      </c>
    </row>
    <row r="20" spans="1:16" ht="38.25">
      <c r="A20" s="11" t="s">
        <v>4960</v>
      </c>
      <c r="B20" s="11" t="s">
        <v>4961</v>
      </c>
      <c r="C20" s="12">
        <v>371</v>
      </c>
      <c r="D20" s="11" t="s">
        <v>82</v>
      </c>
      <c r="E20" s="11" t="s">
        <v>49</v>
      </c>
      <c r="F20" s="13">
        <v>14616</v>
      </c>
      <c r="G20" s="13">
        <v>13788</v>
      </c>
      <c r="H20" s="14">
        <v>612642.14099999995</v>
      </c>
      <c r="I20" s="21">
        <v>666780.90599999996</v>
      </c>
      <c r="J20" s="24">
        <f t="shared" si="0"/>
        <v>4.6202062031820779E-3</v>
      </c>
      <c r="K20" s="25">
        <f t="shared" si="2"/>
        <v>0.14103462071567988</v>
      </c>
      <c r="L20" s="26" t="s">
        <v>7516</v>
      </c>
      <c r="M20" s="28"/>
      <c r="N20" s="28"/>
      <c r="O20" s="20" t="s">
        <v>7530</v>
      </c>
      <c r="P20" s="27" t="str">
        <f t="shared" si="1"/>
        <v>vermelho</v>
      </c>
    </row>
    <row r="21" spans="1:16" ht="25.5">
      <c r="A21" s="15" t="s">
        <v>4964</v>
      </c>
      <c r="B21" s="15" t="s">
        <v>4965</v>
      </c>
      <c r="C21" s="16">
        <v>39</v>
      </c>
      <c r="D21" s="15" t="s">
        <v>26</v>
      </c>
      <c r="E21" s="15" t="s">
        <v>13</v>
      </c>
      <c r="F21" s="17">
        <v>5460</v>
      </c>
      <c r="G21" s="17">
        <v>9912</v>
      </c>
      <c r="H21" s="18">
        <v>248543.4</v>
      </c>
      <c r="I21" s="20">
        <v>633884.59</v>
      </c>
      <c r="J21" s="24">
        <f t="shared" si="0"/>
        <v>4.3922636183279197E-3</v>
      </c>
      <c r="K21" s="25">
        <f t="shared" si="2"/>
        <v>0.1454268843340078</v>
      </c>
      <c r="L21" s="26" t="s">
        <v>7516</v>
      </c>
      <c r="M21" s="28"/>
      <c r="N21" s="28"/>
      <c r="O21" s="20">
        <v>107924.97</v>
      </c>
      <c r="P21" s="27" t="str">
        <f t="shared" si="1"/>
        <v>amarelo</v>
      </c>
    </row>
    <row r="22" spans="1:16" ht="25.5">
      <c r="A22" s="15" t="s">
        <v>4962</v>
      </c>
      <c r="B22" s="15" t="s">
        <v>4963</v>
      </c>
      <c r="C22" s="16">
        <v>31</v>
      </c>
      <c r="D22" s="15" t="s">
        <v>194</v>
      </c>
      <c r="E22" s="15" t="s">
        <v>16</v>
      </c>
      <c r="F22" s="17">
        <v>14352</v>
      </c>
      <c r="G22" s="17">
        <v>10569</v>
      </c>
      <c r="H22" s="18">
        <v>759412.84199999995</v>
      </c>
      <c r="I22" s="20">
        <v>606710.86399999994</v>
      </c>
      <c r="J22" s="24">
        <f t="shared" si="0"/>
        <v>4.2039735573813179E-3</v>
      </c>
      <c r="K22" s="25">
        <f t="shared" si="2"/>
        <v>0.14963085789138911</v>
      </c>
      <c r="L22" s="26" t="s">
        <v>7516</v>
      </c>
      <c r="M22" s="28"/>
      <c r="N22" s="28"/>
      <c r="O22" s="20">
        <v>284940.21000000002</v>
      </c>
      <c r="P22" s="27" t="str">
        <f t="shared" si="1"/>
        <v>amarelo</v>
      </c>
    </row>
    <row r="23" spans="1:16" ht="25.5">
      <c r="A23" s="15" t="s">
        <v>4966</v>
      </c>
      <c r="B23" s="15" t="s">
        <v>4967</v>
      </c>
      <c r="C23" s="16">
        <v>317</v>
      </c>
      <c r="D23" s="15" t="s">
        <v>78</v>
      </c>
      <c r="E23" s="15" t="s">
        <v>10</v>
      </c>
      <c r="F23" s="17">
        <v>9288</v>
      </c>
      <c r="G23" s="17">
        <v>9861</v>
      </c>
      <c r="H23" s="18">
        <v>512972.4</v>
      </c>
      <c r="I23" s="20">
        <v>578830.01699999999</v>
      </c>
      <c r="J23" s="24">
        <f t="shared" si="0"/>
        <v>4.0107837688012436E-3</v>
      </c>
      <c r="K23" s="25">
        <f t="shared" si="2"/>
        <v>0.15364164166019034</v>
      </c>
      <c r="L23" s="26" t="s">
        <v>7516</v>
      </c>
      <c r="M23" s="28"/>
      <c r="N23" s="28"/>
      <c r="O23" s="20" t="s">
        <v>7530</v>
      </c>
      <c r="P23" s="27" t="str">
        <f t="shared" si="1"/>
        <v>vermelho</v>
      </c>
    </row>
    <row r="24" spans="1:16">
      <c r="A24" s="15" t="s">
        <v>4968</v>
      </c>
      <c r="B24" s="15" t="s">
        <v>4969</v>
      </c>
      <c r="C24" s="16">
        <v>15</v>
      </c>
      <c r="D24" s="15" t="s">
        <v>18</v>
      </c>
      <c r="E24" s="15" t="s">
        <v>16</v>
      </c>
      <c r="F24" s="17">
        <v>13188</v>
      </c>
      <c r="G24" s="17">
        <v>9150</v>
      </c>
      <c r="H24" s="18">
        <v>783224.76</v>
      </c>
      <c r="I24" s="20">
        <v>567266.69999999995</v>
      </c>
      <c r="J24" s="24">
        <f t="shared" si="0"/>
        <v>3.9306601353078143E-3</v>
      </c>
      <c r="K24" s="25">
        <f t="shared" si="2"/>
        <v>0.15757230179549817</v>
      </c>
      <c r="L24" s="26" t="s">
        <v>7516</v>
      </c>
      <c r="M24" s="28"/>
      <c r="N24" s="28"/>
      <c r="O24" s="20" t="s">
        <v>7530</v>
      </c>
      <c r="P24" s="27" t="str">
        <f t="shared" si="1"/>
        <v>vermelho</v>
      </c>
    </row>
    <row r="25" spans="1:16" ht="25.5">
      <c r="A25" s="15" t="s">
        <v>4970</v>
      </c>
      <c r="B25" s="15" t="s">
        <v>4971</v>
      </c>
      <c r="C25" s="16">
        <v>267</v>
      </c>
      <c r="D25" s="15" t="s">
        <v>125</v>
      </c>
      <c r="E25" s="15" t="s">
        <v>16</v>
      </c>
      <c r="F25" s="17">
        <v>10782</v>
      </c>
      <c r="G25" s="17">
        <v>11118</v>
      </c>
      <c r="H25" s="18">
        <v>508961.34</v>
      </c>
      <c r="I25" s="20">
        <v>545655.15</v>
      </c>
      <c r="J25" s="24">
        <f t="shared" si="0"/>
        <v>3.7809110701023095E-3</v>
      </c>
      <c r="K25" s="25">
        <f t="shared" si="2"/>
        <v>0.16135321286560048</v>
      </c>
      <c r="L25" s="26" t="s">
        <v>7516</v>
      </c>
      <c r="M25" s="28"/>
      <c r="N25" s="28"/>
      <c r="O25" s="20">
        <v>8100.12</v>
      </c>
      <c r="P25" s="27" t="str">
        <f t="shared" si="1"/>
        <v>amarelo</v>
      </c>
    </row>
    <row r="26" spans="1:16" ht="25.5">
      <c r="A26" s="15" t="s">
        <v>4972</v>
      </c>
      <c r="B26" s="15" t="s">
        <v>4973</v>
      </c>
      <c r="C26" s="16">
        <v>39</v>
      </c>
      <c r="D26" s="15" t="s">
        <v>26</v>
      </c>
      <c r="E26" s="15" t="s">
        <v>13</v>
      </c>
      <c r="F26" s="17">
        <v>3405</v>
      </c>
      <c r="G26" s="17">
        <v>9276</v>
      </c>
      <c r="H26" s="18">
        <v>181373.08199999999</v>
      </c>
      <c r="I26" s="20">
        <v>517798.85800000001</v>
      </c>
      <c r="J26" s="24">
        <f t="shared" si="0"/>
        <v>3.5878914261114072E-3</v>
      </c>
      <c r="K26" s="25">
        <f t="shared" si="2"/>
        <v>0.16494110429171188</v>
      </c>
      <c r="L26" s="26" t="s">
        <v>7516</v>
      </c>
      <c r="M26" s="28"/>
      <c r="N26" s="28"/>
      <c r="O26" s="20">
        <v>70423.12</v>
      </c>
      <c r="P26" s="27" t="str">
        <f t="shared" si="1"/>
        <v>amarelo</v>
      </c>
    </row>
    <row r="27" spans="1:16">
      <c r="A27" s="11" t="s">
        <v>4974</v>
      </c>
      <c r="B27" s="11" t="s">
        <v>4975</v>
      </c>
      <c r="C27" s="12">
        <v>15</v>
      </c>
      <c r="D27" s="11" t="s">
        <v>18</v>
      </c>
      <c r="E27" s="11" t="s">
        <v>16</v>
      </c>
      <c r="F27" s="13">
        <v>10485</v>
      </c>
      <c r="G27" s="13">
        <v>8142</v>
      </c>
      <c r="H27" s="14">
        <v>665343.48</v>
      </c>
      <c r="I27" s="21">
        <v>510701.37</v>
      </c>
      <c r="J27" s="24">
        <f t="shared" si="0"/>
        <v>3.5387120663104075E-3</v>
      </c>
      <c r="K27" s="25">
        <f t="shared" si="2"/>
        <v>0.16847981635802228</v>
      </c>
      <c r="L27" s="26" t="s">
        <v>7516</v>
      </c>
      <c r="M27" s="28"/>
      <c r="N27" s="28"/>
      <c r="O27" s="20" t="s">
        <v>7530</v>
      </c>
      <c r="P27" s="27" t="str">
        <f t="shared" si="1"/>
        <v>vermelho</v>
      </c>
    </row>
    <row r="28" spans="1:16" ht="25.5">
      <c r="A28" s="15" t="s">
        <v>4976</v>
      </c>
      <c r="B28" s="15" t="s">
        <v>4977</v>
      </c>
      <c r="C28" s="16">
        <v>39</v>
      </c>
      <c r="D28" s="15" t="s">
        <v>26</v>
      </c>
      <c r="E28" s="15" t="s">
        <v>13</v>
      </c>
      <c r="F28" s="17">
        <v>7443</v>
      </c>
      <c r="G28" s="17">
        <v>8268</v>
      </c>
      <c r="H28" s="18">
        <v>382063.17300000001</v>
      </c>
      <c r="I28" s="20">
        <v>495762.255</v>
      </c>
      <c r="J28" s="24">
        <f t="shared" si="0"/>
        <v>3.4351971168390585E-3</v>
      </c>
      <c r="K28" s="25">
        <f t="shared" si="2"/>
        <v>0.17191501347486135</v>
      </c>
      <c r="L28" s="26" t="s">
        <v>7516</v>
      </c>
      <c r="M28" s="28"/>
      <c r="N28" s="28"/>
      <c r="O28" s="20">
        <v>192422.73199999999</v>
      </c>
      <c r="P28" s="27" t="str">
        <f t="shared" si="1"/>
        <v>amarelo</v>
      </c>
    </row>
    <row r="29" spans="1:16">
      <c r="A29" s="11" t="s">
        <v>4978</v>
      </c>
      <c r="B29" s="11" t="s">
        <v>4979</v>
      </c>
      <c r="C29" s="12">
        <v>167</v>
      </c>
      <c r="D29" s="11" t="s">
        <v>251</v>
      </c>
      <c r="E29" s="11" t="s">
        <v>49</v>
      </c>
      <c r="F29" s="13">
        <v>10524</v>
      </c>
      <c r="G29" s="13">
        <v>8436</v>
      </c>
      <c r="H29" s="14">
        <v>532669.56000000006</v>
      </c>
      <c r="I29" s="21">
        <v>479367.32400000002</v>
      </c>
      <c r="J29" s="24">
        <f t="shared" si="0"/>
        <v>3.3215946407853395E-3</v>
      </c>
      <c r="K29" s="25">
        <f t="shared" si="2"/>
        <v>0.1752366081156467</v>
      </c>
      <c r="L29" s="26" t="s">
        <v>7516</v>
      </c>
      <c r="M29" s="28"/>
      <c r="N29" s="28"/>
      <c r="O29" s="20" t="s">
        <v>7530</v>
      </c>
      <c r="P29" s="27" t="str">
        <f t="shared" si="1"/>
        <v>vermelho</v>
      </c>
    </row>
    <row r="30" spans="1:16" ht="25.5">
      <c r="A30" s="15" t="s">
        <v>4980</v>
      </c>
      <c r="B30" s="15" t="s">
        <v>4981</v>
      </c>
      <c r="C30" s="16">
        <v>335</v>
      </c>
      <c r="D30" s="15" t="s">
        <v>36</v>
      </c>
      <c r="E30" s="15" t="s">
        <v>7</v>
      </c>
      <c r="F30" s="17">
        <v>5304</v>
      </c>
      <c r="G30" s="17">
        <v>8037</v>
      </c>
      <c r="H30" s="18">
        <v>316166.11200000002</v>
      </c>
      <c r="I30" s="20">
        <v>462512.75300000003</v>
      </c>
      <c r="J30" s="24">
        <f t="shared" si="0"/>
        <v>3.2048072631243292E-3</v>
      </c>
      <c r="K30" s="25">
        <f t="shared" si="2"/>
        <v>0.17844141537877103</v>
      </c>
      <c r="L30" s="26" t="s">
        <v>7516</v>
      </c>
      <c r="M30" s="28"/>
      <c r="N30" s="28"/>
      <c r="O30" s="20">
        <v>97280.217000000004</v>
      </c>
      <c r="P30" s="27" t="str">
        <f t="shared" si="1"/>
        <v>amarelo</v>
      </c>
    </row>
    <row r="31" spans="1:16" ht="51">
      <c r="A31" s="15" t="s">
        <v>4982</v>
      </c>
      <c r="B31" s="15" t="s">
        <v>4983</v>
      </c>
      <c r="C31" s="16">
        <v>282</v>
      </c>
      <c r="D31" s="15" t="s">
        <v>12</v>
      </c>
      <c r="E31" s="15" t="s">
        <v>13</v>
      </c>
      <c r="F31" s="17">
        <v>0</v>
      </c>
      <c r="G31" s="17">
        <v>10458</v>
      </c>
      <c r="H31" s="18">
        <v>0</v>
      </c>
      <c r="I31" s="20">
        <v>452028.71799999999</v>
      </c>
      <c r="J31" s="24">
        <f t="shared" si="0"/>
        <v>3.1321621062137049E-3</v>
      </c>
      <c r="K31" s="25">
        <f t="shared" si="2"/>
        <v>0.18157357748498473</v>
      </c>
      <c r="L31" s="26" t="s">
        <v>7516</v>
      </c>
      <c r="M31" s="28"/>
      <c r="N31" s="28"/>
      <c r="O31" s="20">
        <v>238345.09</v>
      </c>
      <c r="P31" s="27" t="str">
        <f t="shared" si="1"/>
        <v>laranja</v>
      </c>
    </row>
    <row r="32" spans="1:16" ht="25.5">
      <c r="A32" s="15" t="s">
        <v>4984</v>
      </c>
      <c r="B32" s="15" t="s">
        <v>4985</v>
      </c>
      <c r="C32" s="16">
        <v>299</v>
      </c>
      <c r="D32" s="15" t="s">
        <v>111</v>
      </c>
      <c r="E32" s="15" t="s">
        <v>49</v>
      </c>
      <c r="F32" s="17">
        <v>5031</v>
      </c>
      <c r="G32" s="17">
        <v>7722</v>
      </c>
      <c r="H32" s="18">
        <v>280252.11</v>
      </c>
      <c r="I32" s="20">
        <v>450526.07199999999</v>
      </c>
      <c r="J32" s="24">
        <f t="shared" si="0"/>
        <v>3.1217500888510081E-3</v>
      </c>
      <c r="K32" s="25">
        <f t="shared" si="2"/>
        <v>0.18469532757383575</v>
      </c>
      <c r="L32" s="26" t="s">
        <v>7516</v>
      </c>
      <c r="M32" s="28"/>
      <c r="N32" s="28"/>
      <c r="O32" s="20">
        <v>170242.95</v>
      </c>
      <c r="P32" s="27" t="str">
        <f t="shared" si="1"/>
        <v>amarelo</v>
      </c>
    </row>
    <row r="33" spans="1:16" ht="25.5">
      <c r="A33" s="15" t="s">
        <v>4986</v>
      </c>
      <c r="B33" s="15" t="s">
        <v>4987</v>
      </c>
      <c r="C33" s="16">
        <v>53</v>
      </c>
      <c r="D33" s="15" t="s">
        <v>34</v>
      </c>
      <c r="E33" s="15" t="s">
        <v>16</v>
      </c>
      <c r="F33" s="17">
        <v>8028</v>
      </c>
      <c r="G33" s="17">
        <v>7056</v>
      </c>
      <c r="H33" s="18">
        <v>450331.68</v>
      </c>
      <c r="I33" s="20">
        <v>437892.12</v>
      </c>
      <c r="J33" s="24">
        <f t="shared" si="0"/>
        <v>3.0342078948921657E-3</v>
      </c>
      <c r="K33" s="25">
        <f t="shared" si="2"/>
        <v>0.18772953546872792</v>
      </c>
      <c r="L33" s="26" t="s">
        <v>7516</v>
      </c>
      <c r="M33" s="28"/>
      <c r="N33" s="28"/>
      <c r="O33" s="20">
        <v>81242.22</v>
      </c>
      <c r="P33" s="27" t="str">
        <f t="shared" si="1"/>
        <v>amarelo</v>
      </c>
    </row>
    <row r="34" spans="1:16" ht="25.5">
      <c r="A34" s="15" t="s">
        <v>4988</v>
      </c>
      <c r="B34" s="15" t="s">
        <v>4989</v>
      </c>
      <c r="C34" s="16">
        <v>335</v>
      </c>
      <c r="D34" s="15" t="s">
        <v>36</v>
      </c>
      <c r="E34" s="15" t="s">
        <v>7</v>
      </c>
      <c r="F34" s="17">
        <v>5541</v>
      </c>
      <c r="G34" s="17">
        <v>7728</v>
      </c>
      <c r="H34" s="18">
        <v>292057.65000000002</v>
      </c>
      <c r="I34" s="20">
        <v>432157.98</v>
      </c>
      <c r="J34" s="24">
        <f t="shared" si="0"/>
        <v>2.9944753396262316E-3</v>
      </c>
      <c r="K34" s="25">
        <f t="shared" si="2"/>
        <v>0.19072401080835416</v>
      </c>
      <c r="L34" s="26" t="s">
        <v>7516</v>
      </c>
      <c r="M34" s="28"/>
      <c r="N34" s="28"/>
      <c r="O34" s="20">
        <v>191310.12</v>
      </c>
      <c r="P34" s="27" t="str">
        <f t="shared" si="1"/>
        <v>amarelo</v>
      </c>
    </row>
    <row r="35" spans="1:16">
      <c r="A35" s="15" t="s">
        <v>4990</v>
      </c>
      <c r="B35" s="15" t="s">
        <v>4991</v>
      </c>
      <c r="C35" s="16">
        <v>217</v>
      </c>
      <c r="D35" s="15" t="s">
        <v>91</v>
      </c>
      <c r="E35" s="15" t="s">
        <v>16</v>
      </c>
      <c r="F35" s="17">
        <v>6948</v>
      </c>
      <c r="G35" s="17">
        <v>7320</v>
      </c>
      <c r="H35" s="18">
        <v>358642.08</v>
      </c>
      <c r="I35" s="20">
        <v>431910.39</v>
      </c>
      <c r="J35" s="24">
        <f t="shared" si="0"/>
        <v>2.9927597583257592E-3</v>
      </c>
      <c r="K35" s="25">
        <f t="shared" si="2"/>
        <v>0.19371677056667991</v>
      </c>
      <c r="L35" s="26" t="s">
        <v>7516</v>
      </c>
      <c r="M35" s="28"/>
      <c r="N35" s="28"/>
      <c r="O35" s="20">
        <v>2402.88</v>
      </c>
      <c r="P35" s="27" t="str">
        <f t="shared" si="1"/>
        <v>amarelo</v>
      </c>
    </row>
    <row r="36" spans="1:16">
      <c r="A36" s="15" t="s">
        <v>4992</v>
      </c>
      <c r="B36" s="15" t="s">
        <v>4993</v>
      </c>
      <c r="C36" s="16">
        <v>217</v>
      </c>
      <c r="D36" s="15" t="s">
        <v>91</v>
      </c>
      <c r="E36" s="15" t="s">
        <v>16</v>
      </c>
      <c r="F36" s="17">
        <v>6642</v>
      </c>
      <c r="G36" s="17">
        <v>7632</v>
      </c>
      <c r="H36" s="18">
        <v>369691.02</v>
      </c>
      <c r="I36" s="20">
        <v>431391.174</v>
      </c>
      <c r="J36" s="24">
        <f t="shared" si="0"/>
        <v>2.989162047349927E-3</v>
      </c>
      <c r="K36" s="25">
        <f t="shared" si="2"/>
        <v>0.19670593261402983</v>
      </c>
      <c r="L36" s="26" t="s">
        <v>7516</v>
      </c>
      <c r="M36" s="28"/>
      <c r="N36" s="28"/>
      <c r="O36" s="20">
        <v>2940</v>
      </c>
      <c r="P36" s="27" t="str">
        <f t="shared" si="1"/>
        <v>amarelo</v>
      </c>
    </row>
    <row r="37" spans="1:16" ht="25.5">
      <c r="A37" s="15" t="s">
        <v>4994</v>
      </c>
      <c r="B37" s="15" t="s">
        <v>4995</v>
      </c>
      <c r="C37" s="16">
        <v>297</v>
      </c>
      <c r="D37" s="15" t="s">
        <v>115</v>
      </c>
      <c r="E37" s="15" t="s">
        <v>41</v>
      </c>
      <c r="F37" s="17">
        <v>6684</v>
      </c>
      <c r="G37" s="17">
        <v>7565</v>
      </c>
      <c r="H37" s="18">
        <v>339203.58</v>
      </c>
      <c r="I37" s="20">
        <v>430925.29399999999</v>
      </c>
      <c r="J37" s="24">
        <f t="shared" si="0"/>
        <v>2.9859339080217464E-3</v>
      </c>
      <c r="K37" s="25">
        <f t="shared" si="2"/>
        <v>0.19969186652205156</v>
      </c>
      <c r="L37" s="26" t="s">
        <v>7516</v>
      </c>
      <c r="M37" s="28"/>
      <c r="N37" s="28"/>
      <c r="O37" s="20">
        <v>26024.82</v>
      </c>
      <c r="P37" s="27" t="str">
        <f t="shared" si="1"/>
        <v>amarelo</v>
      </c>
    </row>
    <row r="38" spans="1:16" ht="25.5">
      <c r="A38" s="15" t="s">
        <v>4996</v>
      </c>
      <c r="B38" s="15" t="s">
        <v>4997</v>
      </c>
      <c r="C38" s="16">
        <v>74</v>
      </c>
      <c r="D38" s="15" t="s">
        <v>6</v>
      </c>
      <c r="E38" s="15" t="s">
        <v>7</v>
      </c>
      <c r="F38" s="17">
        <v>2553</v>
      </c>
      <c r="G38" s="17">
        <v>7053</v>
      </c>
      <c r="H38" s="18">
        <v>145839.26999999999</v>
      </c>
      <c r="I38" s="20">
        <v>421349.37</v>
      </c>
      <c r="J38" s="24">
        <f t="shared" si="0"/>
        <v>2.919581162962787E-3</v>
      </c>
      <c r="K38" s="25">
        <f t="shared" si="2"/>
        <v>0.20261144768501435</v>
      </c>
      <c r="L38" s="26" t="s">
        <v>7516</v>
      </c>
      <c r="M38" s="28"/>
      <c r="N38" s="28"/>
      <c r="O38" s="20">
        <v>95910</v>
      </c>
      <c r="P38" s="27" t="str">
        <f t="shared" si="1"/>
        <v>amarelo</v>
      </c>
    </row>
    <row r="39" spans="1:16" ht="38.25">
      <c r="A39" s="15" t="s">
        <v>4999</v>
      </c>
      <c r="B39" s="15" t="s">
        <v>4985</v>
      </c>
      <c r="C39" s="16">
        <v>301</v>
      </c>
      <c r="D39" s="15" t="s">
        <v>519</v>
      </c>
      <c r="E39" s="15" t="s">
        <v>16</v>
      </c>
      <c r="F39" s="17">
        <v>5163</v>
      </c>
      <c r="G39" s="17">
        <v>7836</v>
      </c>
      <c r="H39" s="18">
        <v>264051.81</v>
      </c>
      <c r="I39" s="20">
        <v>407915.64</v>
      </c>
      <c r="J39" s="24">
        <f t="shared" si="0"/>
        <v>2.8264972097191213E-3</v>
      </c>
      <c r="K39" s="25">
        <f t="shared" si="2"/>
        <v>0.20543794489473347</v>
      </c>
      <c r="L39" s="26" t="s">
        <v>7516</v>
      </c>
      <c r="M39" s="28"/>
      <c r="N39" s="28"/>
      <c r="O39" s="20">
        <v>170242.95</v>
      </c>
      <c r="P39" s="27" t="str">
        <f t="shared" si="1"/>
        <v>amarelo</v>
      </c>
    </row>
    <row r="40" spans="1:16" ht="25.5">
      <c r="A40" s="15" t="s">
        <v>5000</v>
      </c>
      <c r="B40" s="15" t="s">
        <v>5001</v>
      </c>
      <c r="C40" s="16">
        <v>328</v>
      </c>
      <c r="D40" s="15" t="s">
        <v>215</v>
      </c>
      <c r="E40" s="15" t="s">
        <v>41</v>
      </c>
      <c r="F40" s="17">
        <v>6573</v>
      </c>
      <c r="G40" s="17">
        <v>7110</v>
      </c>
      <c r="H40" s="18">
        <v>352370.67</v>
      </c>
      <c r="I40" s="20">
        <v>399088.39799999999</v>
      </c>
      <c r="J40" s="24">
        <f t="shared" si="0"/>
        <v>2.7653321735304731E-3</v>
      </c>
      <c r="K40" s="25">
        <f t="shared" si="2"/>
        <v>0.20820327706826394</v>
      </c>
      <c r="L40" s="26" t="s">
        <v>7516</v>
      </c>
      <c r="M40" s="28"/>
      <c r="N40" s="28"/>
      <c r="O40" s="20">
        <v>50046.444000000003</v>
      </c>
      <c r="P40" s="27" t="str">
        <f t="shared" si="1"/>
        <v>amarelo</v>
      </c>
    </row>
    <row r="41" spans="1:16" ht="25.5">
      <c r="A41" s="15" t="s">
        <v>5002</v>
      </c>
      <c r="B41" s="15" t="s">
        <v>5003</v>
      </c>
      <c r="C41" s="16">
        <v>74</v>
      </c>
      <c r="D41" s="15" t="s">
        <v>6</v>
      </c>
      <c r="E41" s="15" t="s">
        <v>7</v>
      </c>
      <c r="F41" s="17">
        <v>1779</v>
      </c>
      <c r="G41" s="17">
        <v>6516</v>
      </c>
      <c r="H41" s="18">
        <v>94382.620999999999</v>
      </c>
      <c r="I41" s="20">
        <v>397558.26299999998</v>
      </c>
      <c r="J41" s="24">
        <f t="shared" si="0"/>
        <v>2.7547296815348399E-3</v>
      </c>
      <c r="K41" s="25">
        <f t="shared" si="2"/>
        <v>0.21095800674979878</v>
      </c>
      <c r="L41" s="26" t="s">
        <v>7516</v>
      </c>
      <c r="M41" s="28"/>
      <c r="N41" s="28"/>
      <c r="O41" s="20">
        <v>126412.90300000001</v>
      </c>
      <c r="P41" s="27" t="str">
        <f t="shared" si="1"/>
        <v>amarelo</v>
      </c>
    </row>
    <row r="42" spans="1:16">
      <c r="A42" s="15" t="s">
        <v>5004</v>
      </c>
      <c r="B42" s="15" t="s">
        <v>5005</v>
      </c>
      <c r="C42" s="16">
        <v>15</v>
      </c>
      <c r="D42" s="15" t="s">
        <v>18</v>
      </c>
      <c r="E42" s="15" t="s">
        <v>16</v>
      </c>
      <c r="F42" s="17">
        <v>7530</v>
      </c>
      <c r="G42" s="17">
        <v>7029</v>
      </c>
      <c r="H42" s="18">
        <v>350369.07</v>
      </c>
      <c r="I42" s="20">
        <v>395281.44</v>
      </c>
      <c r="J42" s="24">
        <f t="shared" si="0"/>
        <v>2.738953297338038E-3</v>
      </c>
      <c r="K42" s="25">
        <f t="shared" si="2"/>
        <v>0.21369696004713681</v>
      </c>
      <c r="L42" s="26" t="s">
        <v>7516</v>
      </c>
      <c r="M42" s="28"/>
      <c r="N42" s="28"/>
      <c r="O42" s="20">
        <v>4785.12</v>
      </c>
      <c r="P42" s="27" t="str">
        <f t="shared" si="1"/>
        <v>amarelo</v>
      </c>
    </row>
    <row r="43" spans="1:16" ht="25.5">
      <c r="A43" s="15" t="s">
        <v>5008</v>
      </c>
      <c r="B43" s="15" t="s">
        <v>5009</v>
      </c>
      <c r="C43" s="16">
        <v>218</v>
      </c>
      <c r="D43" s="15" t="s">
        <v>104</v>
      </c>
      <c r="E43" s="15" t="s">
        <v>16</v>
      </c>
      <c r="F43" s="17">
        <v>3900</v>
      </c>
      <c r="G43" s="17">
        <v>8598</v>
      </c>
      <c r="H43" s="18">
        <v>154837.79999999999</v>
      </c>
      <c r="I43" s="20">
        <v>378290.64</v>
      </c>
      <c r="J43" s="24">
        <f t="shared" si="0"/>
        <v>2.6212219723246223E-3</v>
      </c>
      <c r="K43" s="25">
        <f t="shared" si="2"/>
        <v>0.21631818201946143</v>
      </c>
      <c r="L43" s="26" t="s">
        <v>7516</v>
      </c>
      <c r="M43" s="28"/>
      <c r="N43" s="28"/>
      <c r="O43" s="20" t="s">
        <v>7530</v>
      </c>
      <c r="P43" s="27" t="str">
        <f t="shared" si="1"/>
        <v>vermelho</v>
      </c>
    </row>
    <row r="44" spans="1:16" ht="25.5">
      <c r="A44" s="15" t="s">
        <v>5010</v>
      </c>
      <c r="B44" s="15" t="s">
        <v>5011</v>
      </c>
      <c r="C44" s="16">
        <v>39</v>
      </c>
      <c r="D44" s="15" t="s">
        <v>26</v>
      </c>
      <c r="E44" s="15" t="s">
        <v>13</v>
      </c>
      <c r="F44" s="17">
        <v>6099</v>
      </c>
      <c r="G44" s="17">
        <v>6132</v>
      </c>
      <c r="H44" s="18">
        <v>298540.473</v>
      </c>
      <c r="I44" s="20">
        <v>376558.49699999997</v>
      </c>
      <c r="J44" s="24">
        <f t="shared" si="0"/>
        <v>2.609219742264665E-3</v>
      </c>
      <c r="K44" s="25">
        <f t="shared" si="2"/>
        <v>0.21892740176172609</v>
      </c>
      <c r="L44" s="26" t="s">
        <v>7516</v>
      </c>
      <c r="M44" s="28"/>
      <c r="N44" s="28"/>
      <c r="O44" s="20">
        <v>41005.587</v>
      </c>
      <c r="P44" s="27" t="str">
        <f t="shared" si="1"/>
        <v>amarelo</v>
      </c>
    </row>
    <row r="45" spans="1:16" ht="38.25">
      <c r="A45" s="15" t="s">
        <v>5006</v>
      </c>
      <c r="B45" s="15" t="s">
        <v>5007</v>
      </c>
      <c r="C45" s="16">
        <v>301</v>
      </c>
      <c r="D45" s="15" t="s">
        <v>519</v>
      </c>
      <c r="E45" s="15" t="s">
        <v>16</v>
      </c>
      <c r="F45" s="17">
        <v>8826</v>
      </c>
      <c r="G45" s="17">
        <v>6258</v>
      </c>
      <c r="H45" s="18">
        <v>480573.18</v>
      </c>
      <c r="I45" s="20">
        <v>364726.5</v>
      </c>
      <c r="J45" s="24">
        <f t="shared" si="0"/>
        <v>2.5272343922891041E-3</v>
      </c>
      <c r="K45" s="25">
        <f t="shared" si="2"/>
        <v>0.2214546361540152</v>
      </c>
      <c r="L45" s="26" t="s">
        <v>7516</v>
      </c>
      <c r="M45" s="28"/>
      <c r="N45" s="28"/>
      <c r="O45" s="20">
        <v>155848.85999999999</v>
      </c>
      <c r="P45" s="27" t="str">
        <f t="shared" si="1"/>
        <v>amarelo</v>
      </c>
    </row>
    <row r="46" spans="1:16" ht="25.5">
      <c r="A46" s="15" t="s">
        <v>5012</v>
      </c>
      <c r="B46" s="15" t="s">
        <v>5013</v>
      </c>
      <c r="C46" s="16">
        <v>93</v>
      </c>
      <c r="D46" s="15" t="s">
        <v>20</v>
      </c>
      <c r="E46" s="15" t="s">
        <v>7</v>
      </c>
      <c r="F46" s="17">
        <v>5304</v>
      </c>
      <c r="G46" s="17">
        <v>5892</v>
      </c>
      <c r="H46" s="18">
        <v>292518.71999999997</v>
      </c>
      <c r="I46" s="20">
        <v>363898.56</v>
      </c>
      <c r="J46" s="24">
        <f t="shared" si="0"/>
        <v>2.5214974950722806E-3</v>
      </c>
      <c r="K46" s="25">
        <f t="shared" si="2"/>
        <v>0.22397613364908747</v>
      </c>
      <c r="L46" s="26" t="s">
        <v>7516</v>
      </c>
      <c r="M46" s="28"/>
      <c r="N46" s="28"/>
      <c r="O46" s="20">
        <v>74961.600000000006</v>
      </c>
      <c r="P46" s="27" t="str">
        <f t="shared" si="1"/>
        <v>amarelo</v>
      </c>
    </row>
    <row r="47" spans="1:16" ht="25.5">
      <c r="A47" s="15" t="s">
        <v>5014</v>
      </c>
      <c r="B47" s="15" t="s">
        <v>5015</v>
      </c>
      <c r="C47" s="16">
        <v>194</v>
      </c>
      <c r="D47" s="15" t="s">
        <v>145</v>
      </c>
      <c r="E47" s="15" t="s">
        <v>16</v>
      </c>
      <c r="F47" s="17">
        <v>11466</v>
      </c>
      <c r="G47" s="17">
        <v>7374</v>
      </c>
      <c r="H47" s="18">
        <v>582951.54</v>
      </c>
      <c r="I47" s="20">
        <v>363252.24</v>
      </c>
      <c r="J47" s="24">
        <f t="shared" si="0"/>
        <v>2.5170190649817215E-3</v>
      </c>
      <c r="K47" s="25">
        <f t="shared" si="2"/>
        <v>0.2264931527140692</v>
      </c>
      <c r="L47" s="26" t="s">
        <v>7516</v>
      </c>
      <c r="M47" s="28"/>
      <c r="N47" s="28"/>
      <c r="O47" s="20">
        <v>185318.31</v>
      </c>
      <c r="P47" s="27" t="str">
        <f t="shared" si="1"/>
        <v>laranja</v>
      </c>
    </row>
    <row r="48" spans="1:16" ht="25.5">
      <c r="A48" s="15" t="s">
        <v>5016</v>
      </c>
      <c r="B48" s="15" t="s">
        <v>5017</v>
      </c>
      <c r="C48" s="16">
        <v>74</v>
      </c>
      <c r="D48" s="15" t="s">
        <v>6</v>
      </c>
      <c r="E48" s="15" t="s">
        <v>7</v>
      </c>
      <c r="F48" s="17">
        <v>2991</v>
      </c>
      <c r="G48" s="17">
        <v>5406</v>
      </c>
      <c r="H48" s="18">
        <v>176011.08600000001</v>
      </c>
      <c r="I48" s="20">
        <v>362669.22</v>
      </c>
      <c r="J48" s="24">
        <f t="shared" si="0"/>
        <v>2.5129792483097975E-3</v>
      </c>
      <c r="K48" s="25">
        <f t="shared" si="2"/>
        <v>0.22900613196237898</v>
      </c>
      <c r="L48" s="26" t="s">
        <v>7516</v>
      </c>
      <c r="M48" s="28"/>
      <c r="N48" s="28"/>
      <c r="O48" s="20">
        <v>101664.93</v>
      </c>
      <c r="P48" s="27" t="str">
        <f t="shared" si="1"/>
        <v>amarelo</v>
      </c>
    </row>
    <row r="49" spans="1:16" ht="38.25">
      <c r="A49" s="15" t="s">
        <v>4998</v>
      </c>
      <c r="B49" s="15" t="s">
        <v>4935</v>
      </c>
      <c r="C49" s="16">
        <v>301</v>
      </c>
      <c r="D49" s="15" t="s">
        <v>519</v>
      </c>
      <c r="E49" s="15" t="s">
        <v>16</v>
      </c>
      <c r="F49" s="17">
        <v>5394</v>
      </c>
      <c r="G49" s="17">
        <v>6807</v>
      </c>
      <c r="H49" s="18">
        <v>267326.64</v>
      </c>
      <c r="I49" s="20">
        <v>358727.07</v>
      </c>
      <c r="J49" s="24">
        <f t="shared" si="0"/>
        <v>2.4856636102644062E-3</v>
      </c>
      <c r="K49" s="25">
        <f t="shared" si="2"/>
        <v>0.23149179557264338</v>
      </c>
      <c r="L49" s="26" t="s">
        <v>7516</v>
      </c>
      <c r="M49" s="28"/>
      <c r="N49" s="28"/>
      <c r="O49" s="20">
        <v>165339.81</v>
      </c>
      <c r="P49" s="27" t="str">
        <f t="shared" si="1"/>
        <v>amarelo</v>
      </c>
    </row>
    <row r="50" spans="1:16" ht="38.25">
      <c r="A50" s="15" t="s">
        <v>5018</v>
      </c>
      <c r="B50" s="15" t="s">
        <v>5019</v>
      </c>
      <c r="C50" s="16">
        <v>371</v>
      </c>
      <c r="D50" s="15" t="s">
        <v>82</v>
      </c>
      <c r="E50" s="15" t="s">
        <v>49</v>
      </c>
      <c r="F50" s="17">
        <v>10740</v>
      </c>
      <c r="G50" s="17">
        <v>7469</v>
      </c>
      <c r="H50" s="18">
        <v>460501.022</v>
      </c>
      <c r="I50" s="20">
        <v>349600.17</v>
      </c>
      <c r="J50" s="24">
        <f t="shared" si="0"/>
        <v>2.4224222072542507E-3</v>
      </c>
      <c r="K50" s="25">
        <f t="shared" si="2"/>
        <v>0.23391421777989763</v>
      </c>
      <c r="L50" s="26" t="s">
        <v>7516</v>
      </c>
      <c r="M50" s="28"/>
      <c r="N50" s="28"/>
      <c r="O50" s="20">
        <v>144474.85200000001</v>
      </c>
      <c r="P50" s="27" t="str">
        <f t="shared" si="1"/>
        <v>amarelo</v>
      </c>
    </row>
    <row r="51" spans="1:16" ht="25.5">
      <c r="A51" s="15" t="s">
        <v>4</v>
      </c>
      <c r="B51" s="15" t="s">
        <v>8</v>
      </c>
      <c r="C51" s="16">
        <v>261</v>
      </c>
      <c r="D51" s="15" t="s">
        <v>9</v>
      </c>
      <c r="E51" s="15" t="s">
        <v>10</v>
      </c>
      <c r="F51" s="17">
        <v>4389</v>
      </c>
      <c r="G51" s="17">
        <v>6246</v>
      </c>
      <c r="H51" s="18">
        <v>234346.62</v>
      </c>
      <c r="I51" s="20">
        <v>344023.23700000002</v>
      </c>
      <c r="J51" s="24">
        <f t="shared" si="0"/>
        <v>2.3837789584607249E-3</v>
      </c>
      <c r="K51" s="25">
        <f t="shared" si="2"/>
        <v>0.23629799673835836</v>
      </c>
      <c r="L51" s="26" t="s">
        <v>7516</v>
      </c>
      <c r="M51" s="28"/>
      <c r="N51" s="28"/>
      <c r="O51" s="20">
        <v>153325.90400000001</v>
      </c>
      <c r="P51" s="27" t="str">
        <f t="shared" si="1"/>
        <v>amarelo</v>
      </c>
    </row>
    <row r="52" spans="1:16" ht="25.5">
      <c r="A52" s="15" t="s">
        <v>5020</v>
      </c>
      <c r="B52" s="15" t="s">
        <v>5021</v>
      </c>
      <c r="C52" s="16">
        <v>93</v>
      </c>
      <c r="D52" s="15" t="s">
        <v>20</v>
      </c>
      <c r="E52" s="15" t="s">
        <v>7</v>
      </c>
      <c r="F52" s="17">
        <v>4317</v>
      </c>
      <c r="G52" s="17">
        <v>5889</v>
      </c>
      <c r="H52" s="18">
        <v>222936.39300000001</v>
      </c>
      <c r="I52" s="20">
        <v>339966.69</v>
      </c>
      <c r="J52" s="24">
        <f t="shared" si="0"/>
        <v>2.3556706496530642E-3</v>
      </c>
      <c r="K52" s="25">
        <f t="shared" si="2"/>
        <v>0.23865366738801141</v>
      </c>
      <c r="L52" s="26" t="s">
        <v>7516</v>
      </c>
      <c r="M52" s="28"/>
      <c r="N52" s="28"/>
      <c r="O52" s="20">
        <v>120879.12</v>
      </c>
      <c r="P52" s="27" t="str">
        <f t="shared" si="1"/>
        <v>amarelo</v>
      </c>
    </row>
    <row r="53" spans="1:16" ht="51">
      <c r="A53" s="15" t="s">
        <v>5022</v>
      </c>
      <c r="B53" s="15" t="s">
        <v>5023</v>
      </c>
      <c r="C53" s="16">
        <v>282</v>
      </c>
      <c r="D53" s="15" t="s">
        <v>12</v>
      </c>
      <c r="E53" s="15" t="s">
        <v>13</v>
      </c>
      <c r="F53" s="17">
        <v>7608</v>
      </c>
      <c r="G53" s="17">
        <v>5031</v>
      </c>
      <c r="H53" s="18">
        <v>434916</v>
      </c>
      <c r="I53" s="20">
        <v>310253.95799999998</v>
      </c>
      <c r="J53" s="24">
        <f t="shared" si="0"/>
        <v>2.1497875065327561E-3</v>
      </c>
      <c r="K53" s="25">
        <f t="shared" si="2"/>
        <v>0.24080345489454416</v>
      </c>
      <c r="L53" s="26" t="s">
        <v>7516</v>
      </c>
      <c r="M53" s="28"/>
      <c r="N53" s="28"/>
      <c r="O53" s="20">
        <v>135501.49799999999</v>
      </c>
      <c r="P53" s="27" t="str">
        <f t="shared" si="1"/>
        <v>amarelo</v>
      </c>
    </row>
    <row r="54" spans="1:16" ht="25.5">
      <c r="A54" s="3" t="s">
        <v>5024</v>
      </c>
      <c r="B54" s="3" t="s">
        <v>5025</v>
      </c>
      <c r="C54" s="4">
        <v>299</v>
      </c>
      <c r="D54" s="3" t="s">
        <v>111</v>
      </c>
      <c r="E54" s="3" t="s">
        <v>49</v>
      </c>
      <c r="F54" s="5">
        <v>5040</v>
      </c>
      <c r="G54" s="5">
        <v>5391</v>
      </c>
      <c r="H54" s="6">
        <v>286981.28999999998</v>
      </c>
      <c r="I54" s="22">
        <v>298361.39600000001</v>
      </c>
      <c r="J54" s="24">
        <f t="shared" si="0"/>
        <v>2.0673824942870583E-3</v>
      </c>
      <c r="K54" s="25">
        <f t="shared" si="2"/>
        <v>0.24287083738883122</v>
      </c>
      <c r="L54" s="26" t="s">
        <v>7516</v>
      </c>
      <c r="M54" s="28"/>
      <c r="N54" s="28"/>
      <c r="O54" s="20">
        <v>6030.9859999999999</v>
      </c>
      <c r="P54" s="27" t="str">
        <f t="shared" si="1"/>
        <v>amarelo</v>
      </c>
    </row>
    <row r="55" spans="1:16" ht="25.5">
      <c r="A55" s="3" t="s">
        <v>5026</v>
      </c>
      <c r="B55" s="3" t="s">
        <v>5027</v>
      </c>
      <c r="C55" s="4">
        <v>53</v>
      </c>
      <c r="D55" s="3" t="s">
        <v>34</v>
      </c>
      <c r="E55" s="3" t="s">
        <v>16</v>
      </c>
      <c r="F55" s="5">
        <v>3510</v>
      </c>
      <c r="G55" s="5">
        <v>4836</v>
      </c>
      <c r="H55" s="6">
        <v>179456.7</v>
      </c>
      <c r="I55" s="22">
        <v>297927.59999999998</v>
      </c>
      <c r="J55" s="24">
        <f t="shared" si="0"/>
        <v>2.064376668907116E-3</v>
      </c>
      <c r="K55" s="25">
        <f t="shared" si="2"/>
        <v>0.24493521405773833</v>
      </c>
      <c r="L55" s="26" t="s">
        <v>7516</v>
      </c>
      <c r="M55" s="28"/>
      <c r="N55" s="28"/>
      <c r="O55" s="20">
        <v>10431.36</v>
      </c>
      <c r="P55" s="27" t="str">
        <f t="shared" si="1"/>
        <v>amarelo</v>
      </c>
    </row>
    <row r="56" spans="1:16" ht="25.5">
      <c r="A56" s="3" t="s">
        <v>5028</v>
      </c>
      <c r="B56" s="3" t="s">
        <v>5029</v>
      </c>
      <c r="C56" s="4">
        <v>41</v>
      </c>
      <c r="D56" s="3" t="s">
        <v>178</v>
      </c>
      <c r="E56" s="3" t="s">
        <v>41</v>
      </c>
      <c r="F56" s="5">
        <v>6114</v>
      </c>
      <c r="G56" s="5">
        <v>5367</v>
      </c>
      <c r="H56" s="6">
        <v>339408.17599999998</v>
      </c>
      <c r="I56" s="22">
        <v>297736.81199999998</v>
      </c>
      <c r="J56" s="24">
        <f t="shared" si="0"/>
        <v>2.0630546755909295E-3</v>
      </c>
      <c r="K56" s="25">
        <f t="shared" si="2"/>
        <v>0.24699826873332925</v>
      </c>
      <c r="L56" s="26" t="s">
        <v>7516</v>
      </c>
      <c r="M56" s="28"/>
      <c r="N56" s="28"/>
      <c r="O56" s="20">
        <v>23615.82</v>
      </c>
      <c r="P56" s="27" t="str">
        <f t="shared" si="1"/>
        <v>amarelo</v>
      </c>
    </row>
    <row r="57" spans="1:16" ht="38.25">
      <c r="A57" s="3" t="s">
        <v>5030</v>
      </c>
      <c r="B57" s="3" t="s">
        <v>5031</v>
      </c>
      <c r="C57" s="4">
        <v>34</v>
      </c>
      <c r="D57" s="3" t="s">
        <v>54</v>
      </c>
      <c r="E57" s="3" t="s">
        <v>49</v>
      </c>
      <c r="F57" s="5">
        <v>2820</v>
      </c>
      <c r="G57" s="5">
        <v>4666</v>
      </c>
      <c r="H57" s="6">
        <v>170991.666</v>
      </c>
      <c r="I57" s="22">
        <v>297151.37</v>
      </c>
      <c r="J57" s="24">
        <f t="shared" si="0"/>
        <v>2.0589980765856738E-3</v>
      </c>
      <c r="K57" s="25">
        <f t="shared" si="2"/>
        <v>0.24905726680991491</v>
      </c>
      <c r="L57" s="26" t="s">
        <v>7516</v>
      </c>
      <c r="M57" s="28"/>
      <c r="N57" s="28"/>
      <c r="O57" s="20">
        <v>76703.42</v>
      </c>
      <c r="P57" s="27" t="str">
        <f t="shared" si="1"/>
        <v>amarelo</v>
      </c>
    </row>
    <row r="58" spans="1:16" ht="25.5">
      <c r="A58" s="3" t="s">
        <v>5034</v>
      </c>
      <c r="B58" s="3" t="s">
        <v>5035</v>
      </c>
      <c r="C58" s="4">
        <v>93</v>
      </c>
      <c r="D58" s="3" t="s">
        <v>20</v>
      </c>
      <c r="E58" s="3" t="s">
        <v>7</v>
      </c>
      <c r="F58" s="5">
        <v>492</v>
      </c>
      <c r="G58" s="5">
        <v>5163</v>
      </c>
      <c r="H58" s="6">
        <v>19897.439999999999</v>
      </c>
      <c r="I58" s="22">
        <v>295127.28000000003</v>
      </c>
      <c r="J58" s="24">
        <f t="shared" si="0"/>
        <v>2.0449729101634688E-3</v>
      </c>
      <c r="K58" s="25">
        <f t="shared" si="2"/>
        <v>0.25110223972007839</v>
      </c>
      <c r="L58" s="26" t="s">
        <v>7516</v>
      </c>
      <c r="M58" s="28"/>
      <c r="N58" s="28"/>
      <c r="O58" s="20">
        <v>37689</v>
      </c>
      <c r="P58" s="27" t="str">
        <f t="shared" si="1"/>
        <v>amarelo</v>
      </c>
    </row>
    <row r="59" spans="1:16" ht="38.25">
      <c r="A59" s="3" t="s">
        <v>5038</v>
      </c>
      <c r="B59" s="3" t="s">
        <v>5039</v>
      </c>
      <c r="C59" s="4">
        <v>34</v>
      </c>
      <c r="D59" s="3" t="s">
        <v>54</v>
      </c>
      <c r="E59" s="3" t="s">
        <v>49</v>
      </c>
      <c r="F59" s="5">
        <v>2553</v>
      </c>
      <c r="G59" s="5">
        <v>5032</v>
      </c>
      <c r="H59" s="6">
        <v>140404.872</v>
      </c>
      <c r="I59" s="22">
        <v>279915.52000000002</v>
      </c>
      <c r="J59" s="24">
        <f t="shared" si="0"/>
        <v>1.939568770241506E-3</v>
      </c>
      <c r="K59" s="25">
        <f t="shared" si="2"/>
        <v>0.25304180849031987</v>
      </c>
      <c r="L59" s="26" t="s">
        <v>7516</v>
      </c>
      <c r="M59" s="28"/>
      <c r="N59" s="28"/>
      <c r="O59" s="20">
        <v>68024.45</v>
      </c>
      <c r="P59" s="27" t="str">
        <f t="shared" si="1"/>
        <v>amarelo</v>
      </c>
    </row>
    <row r="60" spans="1:16" ht="25.5">
      <c r="A60" s="3" t="s">
        <v>5040</v>
      </c>
      <c r="B60" s="3" t="s">
        <v>5041</v>
      </c>
      <c r="C60" s="4">
        <v>267</v>
      </c>
      <c r="D60" s="3" t="s">
        <v>125</v>
      </c>
      <c r="E60" s="3" t="s">
        <v>16</v>
      </c>
      <c r="F60" s="5">
        <v>2988</v>
      </c>
      <c r="G60" s="5">
        <v>5772</v>
      </c>
      <c r="H60" s="6">
        <v>115605.72</v>
      </c>
      <c r="I60" s="22">
        <v>276696.71999999997</v>
      </c>
      <c r="J60" s="24">
        <f t="shared" si="0"/>
        <v>1.9172653125495087E-3</v>
      </c>
      <c r="K60" s="25">
        <f t="shared" si="2"/>
        <v>0.25495907380286936</v>
      </c>
      <c r="L60" s="26" t="s">
        <v>7516</v>
      </c>
      <c r="M60" s="28"/>
      <c r="N60" s="28"/>
      <c r="O60" s="20" t="s">
        <v>7530</v>
      </c>
      <c r="P60" s="27" t="str">
        <f t="shared" si="1"/>
        <v>vermelho</v>
      </c>
    </row>
    <row r="61" spans="1:16">
      <c r="A61" s="3" t="s">
        <v>5042</v>
      </c>
      <c r="B61" s="3" t="s">
        <v>5043</v>
      </c>
      <c r="C61" s="4">
        <v>15</v>
      </c>
      <c r="D61" s="3" t="s">
        <v>18</v>
      </c>
      <c r="E61" s="3" t="s">
        <v>16</v>
      </c>
      <c r="F61" s="5">
        <v>4221</v>
      </c>
      <c r="G61" s="5">
        <v>4530</v>
      </c>
      <c r="H61" s="6">
        <v>217757.43</v>
      </c>
      <c r="I61" s="22">
        <v>273651.71000000002</v>
      </c>
      <c r="J61" s="24">
        <f t="shared" si="0"/>
        <v>1.8961660669590068E-3</v>
      </c>
      <c r="K61" s="25">
        <f t="shared" si="2"/>
        <v>0.25685523986982839</v>
      </c>
      <c r="L61" s="26" t="s">
        <v>7516</v>
      </c>
      <c r="M61" s="28"/>
      <c r="N61" s="28"/>
      <c r="O61" s="20" t="s">
        <v>7530</v>
      </c>
      <c r="P61" s="27" t="str">
        <f t="shared" si="1"/>
        <v>vermelho</v>
      </c>
    </row>
    <row r="62" spans="1:16" ht="25.5">
      <c r="A62" s="3" t="s">
        <v>5044</v>
      </c>
      <c r="B62" s="3" t="s">
        <v>5045</v>
      </c>
      <c r="C62" s="4">
        <v>178</v>
      </c>
      <c r="D62" s="3" t="s">
        <v>74</v>
      </c>
      <c r="E62" s="3" t="s">
        <v>7</v>
      </c>
      <c r="F62" s="5">
        <v>5388</v>
      </c>
      <c r="G62" s="5">
        <v>4395</v>
      </c>
      <c r="H62" s="6">
        <v>283018.21500000003</v>
      </c>
      <c r="I62" s="22">
        <v>272839.46999999997</v>
      </c>
      <c r="J62" s="24">
        <f t="shared" si="0"/>
        <v>1.8905379569565995E-3</v>
      </c>
      <c r="K62" s="25">
        <f t="shared" si="2"/>
        <v>0.25874577782678498</v>
      </c>
      <c r="L62" s="26" t="s">
        <v>7516</v>
      </c>
      <c r="M62" s="28"/>
      <c r="N62" s="28"/>
      <c r="O62" s="20">
        <v>61954.17</v>
      </c>
      <c r="P62" s="27" t="str">
        <f t="shared" si="1"/>
        <v>amarelo</v>
      </c>
    </row>
    <row r="63" spans="1:16" ht="25.5">
      <c r="A63" s="3" t="s">
        <v>5048</v>
      </c>
      <c r="B63" s="3" t="s">
        <v>5049</v>
      </c>
      <c r="C63" s="4">
        <v>39</v>
      </c>
      <c r="D63" s="3" t="s">
        <v>26</v>
      </c>
      <c r="E63" s="3" t="s">
        <v>13</v>
      </c>
      <c r="F63" s="5">
        <v>2400</v>
      </c>
      <c r="G63" s="5">
        <v>4596</v>
      </c>
      <c r="H63" s="6">
        <v>122343.88800000001</v>
      </c>
      <c r="I63" s="22">
        <v>268816.071</v>
      </c>
      <c r="J63" s="24">
        <f t="shared" si="0"/>
        <v>1.862659334682919E-3</v>
      </c>
      <c r="K63" s="25">
        <f t="shared" si="2"/>
        <v>0.26060843716146792</v>
      </c>
      <c r="L63" s="26" t="s">
        <v>7516</v>
      </c>
      <c r="M63" s="28"/>
      <c r="N63" s="28"/>
      <c r="O63" s="20">
        <v>68848.751999999993</v>
      </c>
      <c r="P63" s="27" t="str">
        <f t="shared" si="1"/>
        <v>amarelo</v>
      </c>
    </row>
    <row r="64" spans="1:16" ht="38.25">
      <c r="A64" s="3" t="s">
        <v>5050</v>
      </c>
      <c r="B64" s="3" t="s">
        <v>5051</v>
      </c>
      <c r="C64" s="4">
        <v>371</v>
      </c>
      <c r="D64" s="3" t="s">
        <v>82</v>
      </c>
      <c r="E64" s="3" t="s">
        <v>49</v>
      </c>
      <c r="F64" s="5">
        <v>1626</v>
      </c>
      <c r="G64" s="5">
        <v>5712</v>
      </c>
      <c r="H64" s="6">
        <v>74919.161999999997</v>
      </c>
      <c r="I64" s="22">
        <v>259284.03599999999</v>
      </c>
      <c r="J64" s="24">
        <f t="shared" si="0"/>
        <v>1.7966107018566684E-3</v>
      </c>
      <c r="K64" s="25">
        <f t="shared" si="2"/>
        <v>0.26240504786332458</v>
      </c>
      <c r="L64" s="26" t="s">
        <v>7516</v>
      </c>
      <c r="M64" s="28"/>
      <c r="N64" s="28"/>
      <c r="O64" s="20">
        <v>145581.19200000001</v>
      </c>
      <c r="P64" s="27" t="str">
        <f t="shared" si="1"/>
        <v>laranja</v>
      </c>
    </row>
    <row r="65" spans="1:16" ht="25.5">
      <c r="A65" s="3" t="s">
        <v>5052</v>
      </c>
      <c r="B65" s="3" t="s">
        <v>5053</v>
      </c>
      <c r="C65" s="4">
        <v>335</v>
      </c>
      <c r="D65" s="3" t="s">
        <v>36</v>
      </c>
      <c r="E65" s="3" t="s">
        <v>7</v>
      </c>
      <c r="F65" s="5">
        <v>1296</v>
      </c>
      <c r="G65" s="5">
        <v>4632</v>
      </c>
      <c r="H65" s="6">
        <v>77576.160000000003</v>
      </c>
      <c r="I65" s="22">
        <v>258208.117</v>
      </c>
      <c r="J65" s="24">
        <f t="shared" si="0"/>
        <v>1.7891555279109384E-3</v>
      </c>
      <c r="K65" s="25">
        <f t="shared" si="2"/>
        <v>0.2641942033912355</v>
      </c>
      <c r="L65" s="26" t="s">
        <v>7516</v>
      </c>
      <c r="M65" s="28"/>
      <c r="N65" s="28"/>
      <c r="O65" s="20">
        <v>132372</v>
      </c>
      <c r="P65" s="27" t="str">
        <f t="shared" si="1"/>
        <v>laranja</v>
      </c>
    </row>
    <row r="66" spans="1:16" ht="51">
      <c r="A66" s="3" t="s">
        <v>5054</v>
      </c>
      <c r="B66" s="3" t="s">
        <v>5055</v>
      </c>
      <c r="C66" s="4">
        <v>282</v>
      </c>
      <c r="D66" s="3" t="s">
        <v>12</v>
      </c>
      <c r="E66" s="3" t="s">
        <v>13</v>
      </c>
      <c r="F66" s="5">
        <v>6025</v>
      </c>
      <c r="G66" s="5">
        <v>6467</v>
      </c>
      <c r="H66" s="6">
        <v>257471.497</v>
      </c>
      <c r="I66" s="22">
        <v>256103.149</v>
      </c>
      <c r="J66" s="24">
        <f t="shared" si="0"/>
        <v>1.7745699479646828E-3</v>
      </c>
      <c r="K66" s="25">
        <f t="shared" si="2"/>
        <v>0.26596877333920022</v>
      </c>
      <c r="L66" s="26" t="s">
        <v>7516</v>
      </c>
      <c r="M66" s="28">
        <v>-9.4900080790391293E-5</v>
      </c>
      <c r="N66" s="28"/>
      <c r="O66" s="20">
        <v>35875.64</v>
      </c>
      <c r="P66" s="27" t="str">
        <f t="shared" si="1"/>
        <v>amarelo</v>
      </c>
    </row>
    <row r="67" spans="1:16" ht="25.5">
      <c r="A67" s="3" t="s">
        <v>5056</v>
      </c>
      <c r="B67" s="3" t="s">
        <v>5057</v>
      </c>
      <c r="C67" s="4">
        <v>39</v>
      </c>
      <c r="D67" s="3" t="s">
        <v>26</v>
      </c>
      <c r="E67" s="3" t="s">
        <v>13</v>
      </c>
      <c r="F67" s="5">
        <v>16098</v>
      </c>
      <c r="G67" s="5">
        <v>4308</v>
      </c>
      <c r="H67" s="6">
        <v>571437.99199999997</v>
      </c>
      <c r="I67" s="22">
        <v>253647.008</v>
      </c>
      <c r="J67" s="24">
        <f t="shared" ref="J67:J130" si="3">I67/$I$6364</f>
        <v>1.7575510474803161E-3</v>
      </c>
      <c r="K67" s="25">
        <f t="shared" si="2"/>
        <v>0.26772632438668054</v>
      </c>
      <c r="L67" s="26" t="s">
        <v>7516</v>
      </c>
      <c r="M67" s="28"/>
      <c r="N67" s="28"/>
      <c r="O67" s="20">
        <v>15175.82</v>
      </c>
      <c r="P67" s="27" t="str">
        <f t="shared" ref="P67:P130" si="4">IF(O67&lt;=0,"vermelho",IFERROR(IF(O67/I67&lt;=0.5098,"amarelo",IF(O67/I67&lt;1,"laranja","verde")),"vermelho"))</f>
        <v>amarelo</v>
      </c>
    </row>
    <row r="68" spans="1:16" ht="51">
      <c r="A68" s="3" t="s">
        <v>4</v>
      </c>
      <c r="B68" s="3" t="s">
        <v>11</v>
      </c>
      <c r="C68" s="4">
        <v>282</v>
      </c>
      <c r="D68" s="3" t="s">
        <v>12</v>
      </c>
      <c r="E68" s="3" t="s">
        <v>13</v>
      </c>
      <c r="F68" s="5">
        <v>0</v>
      </c>
      <c r="G68" s="5">
        <v>4554</v>
      </c>
      <c r="H68" s="6">
        <v>0</v>
      </c>
      <c r="I68" s="22">
        <v>250648.44699999999</v>
      </c>
      <c r="J68" s="24">
        <f t="shared" si="3"/>
        <v>1.7367736526746828E-3</v>
      </c>
      <c r="K68" s="25">
        <f t="shared" ref="K68:K131" si="5">J68+K67</f>
        <v>0.2694630980393552</v>
      </c>
      <c r="L68" s="26" t="s">
        <v>7516</v>
      </c>
      <c r="M68" s="28"/>
      <c r="N68" s="28"/>
      <c r="O68" s="20" t="s">
        <v>7530</v>
      </c>
      <c r="P68" s="27" t="str">
        <f t="shared" si="4"/>
        <v>vermelho</v>
      </c>
    </row>
    <row r="69" spans="1:16" ht="38.25">
      <c r="A69" s="3" t="s">
        <v>5058</v>
      </c>
      <c r="B69" s="3" t="s">
        <v>5059</v>
      </c>
      <c r="C69" s="4">
        <v>45</v>
      </c>
      <c r="D69" s="3" t="s">
        <v>23</v>
      </c>
      <c r="E69" s="3" t="s">
        <v>7</v>
      </c>
      <c r="F69" s="5">
        <v>2382</v>
      </c>
      <c r="G69" s="5">
        <v>3930</v>
      </c>
      <c r="H69" s="6">
        <v>142355.818</v>
      </c>
      <c r="I69" s="22">
        <v>247380.75</v>
      </c>
      <c r="J69" s="24">
        <f t="shared" si="3"/>
        <v>1.7141313817073144E-3</v>
      </c>
      <c r="K69" s="25">
        <f t="shared" si="5"/>
        <v>0.27117722942106254</v>
      </c>
      <c r="L69" s="26" t="s">
        <v>7516</v>
      </c>
      <c r="M69" s="28"/>
      <c r="N69" s="28"/>
      <c r="O69" s="20">
        <v>72400.649999999994</v>
      </c>
      <c r="P69" s="27" t="str">
        <f t="shared" si="4"/>
        <v>amarelo</v>
      </c>
    </row>
    <row r="70" spans="1:16" ht="38.25">
      <c r="A70" s="3" t="s">
        <v>5046</v>
      </c>
      <c r="B70" s="3" t="s">
        <v>5047</v>
      </c>
      <c r="C70" s="4">
        <v>301</v>
      </c>
      <c r="D70" s="3" t="s">
        <v>519</v>
      </c>
      <c r="E70" s="3" t="s">
        <v>16</v>
      </c>
      <c r="F70" s="5">
        <v>4005</v>
      </c>
      <c r="G70" s="5">
        <v>4596</v>
      </c>
      <c r="H70" s="6">
        <v>202486.71</v>
      </c>
      <c r="I70" s="22">
        <v>244109.64</v>
      </c>
      <c r="J70" s="24">
        <f t="shared" si="3"/>
        <v>1.6914654616467738E-3</v>
      </c>
      <c r="K70" s="25">
        <f t="shared" si="5"/>
        <v>0.27286869488270932</v>
      </c>
      <c r="L70" s="26" t="s">
        <v>7516</v>
      </c>
      <c r="M70" s="28"/>
      <c r="N70" s="28"/>
      <c r="O70" s="20">
        <v>175595.85</v>
      </c>
      <c r="P70" s="27" t="str">
        <f t="shared" si="4"/>
        <v>laranja</v>
      </c>
    </row>
    <row r="71" spans="1:16" ht="25.5">
      <c r="A71" s="3" t="s">
        <v>4</v>
      </c>
      <c r="B71" s="3" t="s">
        <v>14</v>
      </c>
      <c r="C71" s="4">
        <v>208</v>
      </c>
      <c r="D71" s="3" t="s">
        <v>15</v>
      </c>
      <c r="E71" s="3" t="s">
        <v>16</v>
      </c>
      <c r="F71" s="5">
        <v>3300</v>
      </c>
      <c r="G71" s="5">
        <v>4188</v>
      </c>
      <c r="H71" s="6">
        <v>175055.4</v>
      </c>
      <c r="I71" s="22">
        <v>243861</v>
      </c>
      <c r="J71" s="24">
        <f t="shared" si="3"/>
        <v>1.6897426047682667E-3</v>
      </c>
      <c r="K71" s="25">
        <f t="shared" si="5"/>
        <v>0.2745584374874776</v>
      </c>
      <c r="L71" s="26" t="s">
        <v>7516</v>
      </c>
      <c r="M71" s="28"/>
      <c r="N71" s="28"/>
      <c r="O71" s="20">
        <v>60285.48</v>
      </c>
      <c r="P71" s="27" t="str">
        <f t="shared" si="4"/>
        <v>amarelo</v>
      </c>
    </row>
    <row r="72" spans="1:16" ht="25.5">
      <c r="A72" s="3" t="s">
        <v>5060</v>
      </c>
      <c r="B72" s="3" t="s">
        <v>5061</v>
      </c>
      <c r="C72" s="4">
        <v>19</v>
      </c>
      <c r="D72" s="3" t="s">
        <v>72</v>
      </c>
      <c r="E72" s="3" t="s">
        <v>41</v>
      </c>
      <c r="F72" s="5">
        <v>3354</v>
      </c>
      <c r="G72" s="5">
        <v>3957</v>
      </c>
      <c r="H72" s="6">
        <v>200487.47899999999</v>
      </c>
      <c r="I72" s="22">
        <v>243345.97</v>
      </c>
      <c r="J72" s="24">
        <f t="shared" si="3"/>
        <v>1.6861738990968645E-3</v>
      </c>
      <c r="K72" s="25">
        <f t="shared" si="5"/>
        <v>0.27624461138657447</v>
      </c>
      <c r="L72" s="26" t="s">
        <v>7516</v>
      </c>
      <c r="M72" s="28"/>
      <c r="N72" s="28"/>
      <c r="O72" s="20" t="s">
        <v>7530</v>
      </c>
      <c r="P72" s="27" t="str">
        <f t="shared" si="4"/>
        <v>vermelho</v>
      </c>
    </row>
    <row r="73" spans="1:16" ht="25.5">
      <c r="A73" s="3" t="s">
        <v>5062</v>
      </c>
      <c r="B73" s="3" t="s">
        <v>5063</v>
      </c>
      <c r="C73" s="4">
        <v>15</v>
      </c>
      <c r="D73" s="3" t="s">
        <v>18</v>
      </c>
      <c r="E73" s="3" t="s">
        <v>16</v>
      </c>
      <c r="F73" s="5">
        <v>9972</v>
      </c>
      <c r="G73" s="5">
        <v>4164</v>
      </c>
      <c r="H73" s="6">
        <v>481313.04</v>
      </c>
      <c r="I73" s="22">
        <v>241876.8</v>
      </c>
      <c r="J73" s="24">
        <f t="shared" si="3"/>
        <v>1.6759938410201428E-3</v>
      </c>
      <c r="K73" s="25">
        <f t="shared" si="5"/>
        <v>0.2779206052275946</v>
      </c>
      <c r="L73" s="26" t="s">
        <v>7516</v>
      </c>
      <c r="M73" s="28"/>
      <c r="N73" s="28"/>
      <c r="O73" s="20" t="s">
        <v>7530</v>
      </c>
      <c r="P73" s="27" t="str">
        <f t="shared" si="4"/>
        <v>vermelho</v>
      </c>
    </row>
    <row r="74" spans="1:16" ht="25.5">
      <c r="A74" s="3" t="s">
        <v>5064</v>
      </c>
      <c r="B74" s="3" t="s">
        <v>5065</v>
      </c>
      <c r="C74" s="4">
        <v>317</v>
      </c>
      <c r="D74" s="3" t="s">
        <v>78</v>
      </c>
      <c r="E74" s="3" t="s">
        <v>10</v>
      </c>
      <c r="F74" s="5">
        <v>1872</v>
      </c>
      <c r="G74" s="5">
        <v>3966</v>
      </c>
      <c r="H74" s="6">
        <v>109059.24</v>
      </c>
      <c r="I74" s="22">
        <v>233829.07</v>
      </c>
      <c r="J74" s="24">
        <f t="shared" si="3"/>
        <v>1.6202301385311361E-3</v>
      </c>
      <c r="K74" s="25">
        <f t="shared" si="5"/>
        <v>0.27954083536612573</v>
      </c>
      <c r="L74" s="26" t="s">
        <v>7516</v>
      </c>
      <c r="M74" s="28"/>
      <c r="N74" s="28"/>
      <c r="O74" s="20">
        <v>81056.203999999998</v>
      </c>
      <c r="P74" s="27" t="str">
        <f t="shared" si="4"/>
        <v>amarelo</v>
      </c>
    </row>
    <row r="75" spans="1:16" ht="38.25">
      <c r="A75" s="3" t="s">
        <v>5066</v>
      </c>
      <c r="B75" s="3" t="s">
        <v>5067</v>
      </c>
      <c r="C75" s="4">
        <v>143</v>
      </c>
      <c r="D75" s="3" t="s">
        <v>44</v>
      </c>
      <c r="E75" s="3" t="s">
        <v>41</v>
      </c>
      <c r="F75" s="5">
        <v>2652</v>
      </c>
      <c r="G75" s="5">
        <v>4296</v>
      </c>
      <c r="H75" s="6">
        <v>151825.07999999999</v>
      </c>
      <c r="I75" s="22">
        <v>231738.736</v>
      </c>
      <c r="J75" s="24">
        <f t="shared" si="3"/>
        <v>1.6057459593553118E-3</v>
      </c>
      <c r="K75" s="25">
        <f t="shared" si="5"/>
        <v>0.28114658132548104</v>
      </c>
      <c r="L75" s="26" t="s">
        <v>7516</v>
      </c>
      <c r="M75" s="28"/>
      <c r="N75" s="28"/>
      <c r="O75" s="20">
        <v>10064.196</v>
      </c>
      <c r="P75" s="27" t="str">
        <f t="shared" si="4"/>
        <v>amarelo</v>
      </c>
    </row>
    <row r="76" spans="1:16">
      <c r="A76" s="3" t="s">
        <v>4</v>
      </c>
      <c r="B76" s="3" t="s">
        <v>17</v>
      </c>
      <c r="C76" s="4">
        <v>15</v>
      </c>
      <c r="D76" s="3" t="s">
        <v>18</v>
      </c>
      <c r="E76" s="3" t="s">
        <v>16</v>
      </c>
      <c r="F76" s="5">
        <v>4596</v>
      </c>
      <c r="G76" s="5">
        <v>3672</v>
      </c>
      <c r="H76" s="6">
        <v>260659.44</v>
      </c>
      <c r="I76" s="22">
        <v>231492.48499999999</v>
      </c>
      <c r="J76" s="24">
        <f t="shared" si="3"/>
        <v>1.6040396561491132E-3</v>
      </c>
      <c r="K76" s="25">
        <f t="shared" si="5"/>
        <v>0.28275062098163017</v>
      </c>
      <c r="L76" s="26" t="s">
        <v>7516</v>
      </c>
      <c r="M76" s="28"/>
      <c r="N76" s="28"/>
      <c r="O76" s="20" t="s">
        <v>7530</v>
      </c>
      <c r="P76" s="27" t="str">
        <f t="shared" si="4"/>
        <v>vermelho</v>
      </c>
    </row>
    <row r="77" spans="1:16" ht="51">
      <c r="A77" s="11" t="s">
        <v>5068</v>
      </c>
      <c r="B77" s="11" t="s">
        <v>5069</v>
      </c>
      <c r="C77" s="12">
        <v>282</v>
      </c>
      <c r="D77" s="11" t="s">
        <v>12</v>
      </c>
      <c r="E77" s="11" t="s">
        <v>13</v>
      </c>
      <c r="F77" s="13">
        <v>444</v>
      </c>
      <c r="G77" s="13">
        <v>4464</v>
      </c>
      <c r="H77" s="14">
        <v>24078.54</v>
      </c>
      <c r="I77" s="21">
        <v>230010.17800000001</v>
      </c>
      <c r="J77" s="24">
        <f t="shared" si="3"/>
        <v>1.5937685701975007E-3</v>
      </c>
      <c r="K77" s="25">
        <f t="shared" si="5"/>
        <v>0.28434438955182767</v>
      </c>
      <c r="L77" s="26" t="s">
        <v>7516</v>
      </c>
      <c r="M77" s="28"/>
      <c r="N77" s="28"/>
      <c r="O77" s="20">
        <v>28301.866999999998</v>
      </c>
      <c r="P77" s="27" t="str">
        <f t="shared" si="4"/>
        <v>amarelo</v>
      </c>
    </row>
    <row r="78" spans="1:16">
      <c r="A78" s="3" t="s">
        <v>5070</v>
      </c>
      <c r="B78" s="3" t="s">
        <v>5071</v>
      </c>
      <c r="C78" s="4">
        <v>15</v>
      </c>
      <c r="D78" s="3" t="s">
        <v>18</v>
      </c>
      <c r="E78" s="3" t="s">
        <v>16</v>
      </c>
      <c r="F78" s="5">
        <v>4506</v>
      </c>
      <c r="G78" s="5">
        <v>3567</v>
      </c>
      <c r="H78" s="6">
        <v>268881.96000000002</v>
      </c>
      <c r="I78" s="22">
        <v>225628.5</v>
      </c>
      <c r="J78" s="24">
        <f t="shared" si="3"/>
        <v>1.563407389045222E-3</v>
      </c>
      <c r="K78" s="25">
        <f t="shared" si="5"/>
        <v>0.28590779694087287</v>
      </c>
      <c r="L78" s="26" t="s">
        <v>7516</v>
      </c>
      <c r="M78" s="28"/>
      <c r="N78" s="28"/>
      <c r="O78" s="20">
        <v>101033.04</v>
      </c>
      <c r="P78" s="27" t="str">
        <f t="shared" si="4"/>
        <v>amarelo</v>
      </c>
    </row>
    <row r="79" spans="1:16" ht="25.5">
      <c r="A79" s="3" t="s">
        <v>5072</v>
      </c>
      <c r="B79" s="3" t="s">
        <v>5073</v>
      </c>
      <c r="C79" s="4">
        <v>31</v>
      </c>
      <c r="D79" s="3" t="s">
        <v>194</v>
      </c>
      <c r="E79" s="3" t="s">
        <v>16</v>
      </c>
      <c r="F79" s="5">
        <v>4848</v>
      </c>
      <c r="G79" s="5">
        <v>3930</v>
      </c>
      <c r="H79" s="6">
        <v>272724.33</v>
      </c>
      <c r="I79" s="22">
        <v>221430.579</v>
      </c>
      <c r="J79" s="24">
        <f t="shared" si="3"/>
        <v>1.534319482552788E-3</v>
      </c>
      <c r="K79" s="25">
        <f t="shared" si="5"/>
        <v>0.28744211642342565</v>
      </c>
      <c r="L79" s="26" t="s">
        <v>7516</v>
      </c>
      <c r="M79" s="28"/>
      <c r="N79" s="28"/>
      <c r="O79" s="20" t="s">
        <v>7530</v>
      </c>
      <c r="P79" s="27" t="str">
        <f t="shared" si="4"/>
        <v>vermelho</v>
      </c>
    </row>
    <row r="80" spans="1:16" ht="25.5">
      <c r="A80" s="11" t="s">
        <v>5074</v>
      </c>
      <c r="B80" s="11" t="s">
        <v>5075</v>
      </c>
      <c r="C80" s="12">
        <v>316</v>
      </c>
      <c r="D80" s="11" t="s">
        <v>247</v>
      </c>
      <c r="E80" s="11" t="s">
        <v>10</v>
      </c>
      <c r="F80" s="13">
        <v>1980</v>
      </c>
      <c r="G80" s="13">
        <v>4365</v>
      </c>
      <c r="H80" s="14">
        <v>82273.8</v>
      </c>
      <c r="I80" s="21">
        <v>220408.2</v>
      </c>
      <c r="J80" s="24">
        <f t="shared" si="3"/>
        <v>1.5272352937955847E-3</v>
      </c>
      <c r="K80" s="25">
        <f t="shared" si="5"/>
        <v>0.28896935171722121</v>
      </c>
      <c r="L80" s="26" t="s">
        <v>7516</v>
      </c>
      <c r="M80" s="28"/>
      <c r="N80" s="28"/>
      <c r="O80" s="20">
        <v>30931.200000000001</v>
      </c>
      <c r="P80" s="27" t="str">
        <f t="shared" si="4"/>
        <v>amarelo</v>
      </c>
    </row>
    <row r="81" spans="1:16">
      <c r="A81" s="3" t="s">
        <v>5076</v>
      </c>
      <c r="B81" s="3" t="s">
        <v>5077</v>
      </c>
      <c r="C81" s="4">
        <v>15</v>
      </c>
      <c r="D81" s="3" t="s">
        <v>18</v>
      </c>
      <c r="E81" s="3" t="s">
        <v>16</v>
      </c>
      <c r="F81" s="5">
        <v>1980</v>
      </c>
      <c r="G81" s="5">
        <v>3372</v>
      </c>
      <c r="H81" s="6">
        <v>113020.8</v>
      </c>
      <c r="I81" s="22">
        <v>217757.16</v>
      </c>
      <c r="J81" s="24">
        <f t="shared" si="3"/>
        <v>1.5088659143747472E-3</v>
      </c>
      <c r="K81" s="25">
        <f t="shared" si="5"/>
        <v>0.29047821763159598</v>
      </c>
      <c r="L81" s="26" t="s">
        <v>7516</v>
      </c>
      <c r="M81" s="28"/>
      <c r="N81" s="28"/>
      <c r="O81" s="20">
        <v>20833.080000000002</v>
      </c>
      <c r="P81" s="27" t="str">
        <f t="shared" si="4"/>
        <v>amarelo</v>
      </c>
    </row>
    <row r="82" spans="1:16" ht="38.25">
      <c r="A82" s="3" t="s">
        <v>5079</v>
      </c>
      <c r="B82" s="3" t="s">
        <v>5080</v>
      </c>
      <c r="C82" s="4">
        <v>143</v>
      </c>
      <c r="D82" s="3" t="s">
        <v>44</v>
      </c>
      <c r="E82" s="3" t="s">
        <v>41</v>
      </c>
      <c r="F82" s="5">
        <v>4356</v>
      </c>
      <c r="G82" s="5">
        <v>3816</v>
      </c>
      <c r="H82" s="6">
        <v>245601.144</v>
      </c>
      <c r="I82" s="22">
        <v>213315.66</v>
      </c>
      <c r="J82" s="24">
        <f t="shared" si="3"/>
        <v>1.4780902192899315E-3</v>
      </c>
      <c r="K82" s="25">
        <f t="shared" si="5"/>
        <v>0.29195630785088589</v>
      </c>
      <c r="L82" s="26" t="s">
        <v>7516</v>
      </c>
      <c r="M82" s="28"/>
      <c r="N82" s="28"/>
      <c r="O82" s="20">
        <v>40499.64</v>
      </c>
      <c r="P82" s="27" t="str">
        <f t="shared" si="4"/>
        <v>amarelo</v>
      </c>
    </row>
    <row r="83" spans="1:16" ht="38.25">
      <c r="A83" s="3" t="s">
        <v>5081</v>
      </c>
      <c r="B83" s="3" t="s">
        <v>5082</v>
      </c>
      <c r="C83" s="4">
        <v>11</v>
      </c>
      <c r="D83" s="3" t="s">
        <v>61</v>
      </c>
      <c r="E83" s="3" t="s">
        <v>10</v>
      </c>
      <c r="F83" s="5">
        <v>4155</v>
      </c>
      <c r="G83" s="5">
        <v>3441</v>
      </c>
      <c r="H83" s="6">
        <v>256172.76</v>
      </c>
      <c r="I83" s="22">
        <v>212061.889</v>
      </c>
      <c r="J83" s="24">
        <f t="shared" si="3"/>
        <v>1.4694026871493967E-3</v>
      </c>
      <c r="K83" s="25">
        <f t="shared" si="5"/>
        <v>0.29342571053803529</v>
      </c>
      <c r="L83" s="26" t="s">
        <v>7516</v>
      </c>
      <c r="M83" s="28"/>
      <c r="N83" s="28"/>
      <c r="O83" s="20" t="s">
        <v>7530</v>
      </c>
      <c r="P83" s="27" t="str">
        <f t="shared" si="4"/>
        <v>vermelho</v>
      </c>
    </row>
    <row r="84" spans="1:16" ht="25.5">
      <c r="A84" s="3" t="s">
        <v>5083</v>
      </c>
      <c r="B84" s="3" t="s">
        <v>5084</v>
      </c>
      <c r="C84" s="4">
        <v>208</v>
      </c>
      <c r="D84" s="3" t="s">
        <v>15</v>
      </c>
      <c r="E84" s="3" t="s">
        <v>16</v>
      </c>
      <c r="F84" s="5">
        <v>3147</v>
      </c>
      <c r="G84" s="5">
        <v>3528</v>
      </c>
      <c r="H84" s="6">
        <v>176877.09</v>
      </c>
      <c r="I84" s="22">
        <v>210688.96</v>
      </c>
      <c r="J84" s="24">
        <f t="shared" si="3"/>
        <v>1.4598894946970494E-3</v>
      </c>
      <c r="K84" s="25">
        <f t="shared" si="5"/>
        <v>0.29488560003273234</v>
      </c>
      <c r="L84" s="26" t="s">
        <v>7516</v>
      </c>
      <c r="M84" s="28"/>
      <c r="N84" s="28"/>
      <c r="O84" s="20">
        <v>7286.9759999999997</v>
      </c>
      <c r="P84" s="27" t="str">
        <f t="shared" si="4"/>
        <v>amarelo</v>
      </c>
    </row>
    <row r="85" spans="1:16" ht="25.5">
      <c r="A85" s="3" t="s">
        <v>5036</v>
      </c>
      <c r="B85" s="3" t="s">
        <v>5037</v>
      </c>
      <c r="C85" s="4">
        <v>197</v>
      </c>
      <c r="D85" s="3" t="s">
        <v>66</v>
      </c>
      <c r="E85" s="3" t="s">
        <v>41</v>
      </c>
      <c r="F85" s="5">
        <v>2877</v>
      </c>
      <c r="G85" s="5">
        <v>3867</v>
      </c>
      <c r="H85" s="6">
        <v>152397.948</v>
      </c>
      <c r="I85" s="22">
        <v>208360.103</v>
      </c>
      <c r="J85" s="24">
        <f t="shared" si="3"/>
        <v>1.4437525605693585E-3</v>
      </c>
      <c r="K85" s="25">
        <f t="shared" si="5"/>
        <v>0.29632935259330168</v>
      </c>
      <c r="L85" s="26" t="s">
        <v>7516</v>
      </c>
      <c r="M85" s="28"/>
      <c r="N85" s="28"/>
      <c r="O85" s="20">
        <v>33080.985999999997</v>
      </c>
      <c r="P85" s="27" t="str">
        <f t="shared" si="4"/>
        <v>amarelo</v>
      </c>
    </row>
    <row r="86" spans="1:16">
      <c r="A86" s="3" t="s">
        <v>5085</v>
      </c>
      <c r="B86" s="3" t="s">
        <v>5086</v>
      </c>
      <c r="C86" s="4">
        <v>217</v>
      </c>
      <c r="D86" s="3" t="s">
        <v>91</v>
      </c>
      <c r="E86" s="3" t="s">
        <v>16</v>
      </c>
      <c r="F86" s="5">
        <v>1707</v>
      </c>
      <c r="G86" s="5">
        <v>3702</v>
      </c>
      <c r="H86" s="6">
        <v>89123.1</v>
      </c>
      <c r="I86" s="22">
        <v>207493.08</v>
      </c>
      <c r="J86" s="24">
        <f t="shared" si="3"/>
        <v>1.4377448524798566E-3</v>
      </c>
      <c r="K86" s="25">
        <f t="shared" si="5"/>
        <v>0.29776709744578156</v>
      </c>
      <c r="L86" s="26" t="s">
        <v>7516</v>
      </c>
      <c r="M86" s="28"/>
      <c r="N86" s="28"/>
      <c r="O86" s="20" t="s">
        <v>7530</v>
      </c>
      <c r="P86" s="27" t="str">
        <f t="shared" si="4"/>
        <v>vermelho</v>
      </c>
    </row>
    <row r="87" spans="1:16" ht="25.5">
      <c r="A87" s="3" t="s">
        <v>5087</v>
      </c>
      <c r="B87" s="3" t="s">
        <v>5088</v>
      </c>
      <c r="C87" s="4">
        <v>270</v>
      </c>
      <c r="D87" s="3" t="s">
        <v>266</v>
      </c>
      <c r="E87" s="3" t="s">
        <v>49</v>
      </c>
      <c r="F87" s="5">
        <v>6240</v>
      </c>
      <c r="G87" s="5">
        <v>3468</v>
      </c>
      <c r="H87" s="6">
        <v>343736.16</v>
      </c>
      <c r="I87" s="22">
        <v>205609.68</v>
      </c>
      <c r="J87" s="24">
        <f t="shared" si="3"/>
        <v>1.4246945442230195E-3</v>
      </c>
      <c r="K87" s="25">
        <f t="shared" si="5"/>
        <v>0.29919179199000456</v>
      </c>
      <c r="L87" s="26" t="s">
        <v>7516</v>
      </c>
      <c r="M87" s="28"/>
      <c r="N87" s="28"/>
      <c r="O87" s="20" t="s">
        <v>7530</v>
      </c>
      <c r="P87" s="27" t="str">
        <f t="shared" si="4"/>
        <v>vermelho</v>
      </c>
    </row>
    <row r="88" spans="1:16" ht="25.5">
      <c r="A88" s="3" t="s">
        <v>5089</v>
      </c>
      <c r="B88" s="3" t="s">
        <v>5090</v>
      </c>
      <c r="C88" s="4">
        <v>19</v>
      </c>
      <c r="D88" s="3" t="s">
        <v>72</v>
      </c>
      <c r="E88" s="3" t="s">
        <v>41</v>
      </c>
      <c r="F88" s="5">
        <v>3588</v>
      </c>
      <c r="G88" s="5">
        <v>3336</v>
      </c>
      <c r="H88" s="6">
        <v>212409.72</v>
      </c>
      <c r="I88" s="22">
        <v>205314.12</v>
      </c>
      <c r="J88" s="24">
        <f t="shared" si="3"/>
        <v>1.4226465729432114E-3</v>
      </c>
      <c r="K88" s="25">
        <f t="shared" si="5"/>
        <v>0.30061443856294778</v>
      </c>
      <c r="L88" s="26" t="s">
        <v>7516</v>
      </c>
      <c r="M88" s="28"/>
      <c r="N88" s="28"/>
      <c r="O88" s="20" t="s">
        <v>7530</v>
      </c>
      <c r="P88" s="27" t="str">
        <f t="shared" si="4"/>
        <v>vermelho</v>
      </c>
    </row>
    <row r="89" spans="1:16">
      <c r="A89" s="3" t="s">
        <v>5091</v>
      </c>
      <c r="B89" s="3" t="s">
        <v>5092</v>
      </c>
      <c r="C89" s="4">
        <v>240</v>
      </c>
      <c r="D89" s="3" t="s">
        <v>69</v>
      </c>
      <c r="E89" s="3" t="s">
        <v>16</v>
      </c>
      <c r="F89" s="5">
        <v>1818</v>
      </c>
      <c r="G89" s="5">
        <v>3633</v>
      </c>
      <c r="H89" s="6">
        <v>85502.52</v>
      </c>
      <c r="I89" s="22">
        <v>204704.36300000001</v>
      </c>
      <c r="J89" s="24">
        <f t="shared" si="3"/>
        <v>1.4184214923380484E-3</v>
      </c>
      <c r="K89" s="25">
        <f t="shared" si="5"/>
        <v>0.30203286005528585</v>
      </c>
      <c r="L89" s="26" t="s">
        <v>7516</v>
      </c>
      <c r="M89" s="28"/>
      <c r="N89" s="28"/>
      <c r="O89" s="20" t="s">
        <v>7530</v>
      </c>
      <c r="P89" s="27" t="str">
        <f t="shared" si="4"/>
        <v>vermelho</v>
      </c>
    </row>
    <row r="90" spans="1:16">
      <c r="A90" s="3" t="s">
        <v>5093</v>
      </c>
      <c r="B90" s="3" t="s">
        <v>5094</v>
      </c>
      <c r="C90" s="4">
        <v>167</v>
      </c>
      <c r="D90" s="3" t="s">
        <v>251</v>
      </c>
      <c r="E90" s="3" t="s">
        <v>49</v>
      </c>
      <c r="F90" s="5">
        <v>4830</v>
      </c>
      <c r="G90" s="5">
        <v>3942</v>
      </c>
      <c r="H90" s="6">
        <v>262509.75</v>
      </c>
      <c r="I90" s="22">
        <v>203259.18</v>
      </c>
      <c r="J90" s="24">
        <f t="shared" si="3"/>
        <v>1.4084076431092384E-3</v>
      </c>
      <c r="K90" s="25">
        <f t="shared" si="5"/>
        <v>0.30344126769839508</v>
      </c>
      <c r="L90" s="26" t="s">
        <v>7516</v>
      </c>
      <c r="M90" s="28"/>
      <c r="N90" s="28"/>
      <c r="O90" s="20">
        <v>61024.2</v>
      </c>
      <c r="P90" s="27" t="str">
        <f t="shared" si="4"/>
        <v>amarelo</v>
      </c>
    </row>
    <row r="91" spans="1:16" ht="25.5">
      <c r="A91" s="3" t="s">
        <v>5078</v>
      </c>
      <c r="B91" s="3" t="s">
        <v>4963</v>
      </c>
      <c r="C91" s="4">
        <v>194</v>
      </c>
      <c r="D91" s="3" t="s">
        <v>145</v>
      </c>
      <c r="E91" s="3" t="s">
        <v>16</v>
      </c>
      <c r="F91" s="5">
        <v>3075</v>
      </c>
      <c r="G91" s="5">
        <v>3516</v>
      </c>
      <c r="H91" s="6">
        <v>176311.29</v>
      </c>
      <c r="I91" s="22">
        <v>203186.01</v>
      </c>
      <c r="J91" s="24">
        <f t="shared" si="3"/>
        <v>1.4079006392570812E-3</v>
      </c>
      <c r="K91" s="25">
        <f t="shared" si="5"/>
        <v>0.30484916833765213</v>
      </c>
      <c r="L91" s="26" t="s">
        <v>7516</v>
      </c>
      <c r="M91" s="28"/>
      <c r="N91" s="28"/>
      <c r="O91" s="20">
        <v>284940.21000000002</v>
      </c>
      <c r="P91" s="27" t="str">
        <f t="shared" si="4"/>
        <v>verde</v>
      </c>
    </row>
    <row r="92" spans="1:16" ht="51">
      <c r="A92" s="3" t="s">
        <v>5095</v>
      </c>
      <c r="B92" s="3" t="s">
        <v>5096</v>
      </c>
      <c r="C92" s="4">
        <v>282</v>
      </c>
      <c r="D92" s="3" t="s">
        <v>12</v>
      </c>
      <c r="E92" s="3" t="s">
        <v>13</v>
      </c>
      <c r="F92" s="5">
        <v>3636</v>
      </c>
      <c r="G92" s="5">
        <v>4284</v>
      </c>
      <c r="H92" s="6">
        <v>149039.976</v>
      </c>
      <c r="I92" s="22">
        <v>200620.98199999999</v>
      </c>
      <c r="J92" s="24">
        <f t="shared" si="3"/>
        <v>1.3901272474723205E-3</v>
      </c>
      <c r="K92" s="25">
        <f t="shared" si="5"/>
        <v>0.30623929558512447</v>
      </c>
      <c r="L92" s="26" t="s">
        <v>7516</v>
      </c>
      <c r="M92" s="28"/>
      <c r="N92" s="28"/>
      <c r="O92" s="20">
        <v>70559.841</v>
      </c>
      <c r="P92" s="27" t="str">
        <f t="shared" si="4"/>
        <v>amarelo</v>
      </c>
    </row>
    <row r="93" spans="1:16" ht="25.5">
      <c r="A93" s="3" t="s">
        <v>5097</v>
      </c>
      <c r="B93" s="3" t="s">
        <v>5098</v>
      </c>
      <c r="C93" s="4">
        <v>194</v>
      </c>
      <c r="D93" s="3" t="s">
        <v>145</v>
      </c>
      <c r="E93" s="3" t="s">
        <v>16</v>
      </c>
      <c r="F93" s="5">
        <v>1896</v>
      </c>
      <c r="G93" s="5">
        <v>3789</v>
      </c>
      <c r="H93" s="6">
        <v>99487.86</v>
      </c>
      <c r="I93" s="22">
        <v>196526.58</v>
      </c>
      <c r="J93" s="24">
        <f t="shared" si="3"/>
        <v>1.3617566367537209E-3</v>
      </c>
      <c r="K93" s="25">
        <f t="shared" si="5"/>
        <v>0.30760105222187817</v>
      </c>
      <c r="L93" s="26" t="s">
        <v>7516</v>
      </c>
      <c r="M93" s="28"/>
      <c r="N93" s="28"/>
      <c r="O93" s="20">
        <v>2891.7</v>
      </c>
      <c r="P93" s="27" t="str">
        <f t="shared" si="4"/>
        <v>amarelo</v>
      </c>
    </row>
    <row r="94" spans="1:16" ht="25.5">
      <c r="A94" s="3" t="s">
        <v>5099</v>
      </c>
      <c r="B94" s="3" t="s">
        <v>5100</v>
      </c>
      <c r="C94" s="4">
        <v>74</v>
      </c>
      <c r="D94" s="3" t="s">
        <v>6</v>
      </c>
      <c r="E94" s="3" t="s">
        <v>7</v>
      </c>
      <c r="F94" s="5">
        <v>1125</v>
      </c>
      <c r="G94" s="5">
        <v>3090</v>
      </c>
      <c r="H94" s="6">
        <v>64472.586000000003</v>
      </c>
      <c r="I94" s="22">
        <v>193834.68</v>
      </c>
      <c r="J94" s="24">
        <f t="shared" si="3"/>
        <v>1.3431041334105226E-3</v>
      </c>
      <c r="K94" s="25">
        <f t="shared" si="5"/>
        <v>0.30894415635528871</v>
      </c>
      <c r="L94" s="26" t="s">
        <v>7516</v>
      </c>
      <c r="M94" s="28"/>
      <c r="N94" s="28"/>
      <c r="O94" s="20">
        <v>76959.240000000005</v>
      </c>
      <c r="P94" s="27" t="str">
        <f t="shared" si="4"/>
        <v>amarelo</v>
      </c>
    </row>
    <row r="95" spans="1:16">
      <c r="A95" s="3" t="s">
        <v>5101</v>
      </c>
      <c r="B95" s="3" t="s">
        <v>5102</v>
      </c>
      <c r="C95" s="4">
        <v>315</v>
      </c>
      <c r="D95" s="3" t="s">
        <v>63</v>
      </c>
      <c r="E95" s="3" t="s">
        <v>7</v>
      </c>
      <c r="F95" s="5">
        <v>2988</v>
      </c>
      <c r="G95" s="5">
        <v>3456</v>
      </c>
      <c r="H95" s="6">
        <v>183175.44</v>
      </c>
      <c r="I95" s="22">
        <v>192692.71900000001</v>
      </c>
      <c r="J95" s="24">
        <f t="shared" si="3"/>
        <v>1.335191346393805E-3</v>
      </c>
      <c r="K95" s="25">
        <f t="shared" si="5"/>
        <v>0.31027934770168253</v>
      </c>
      <c r="L95" s="26" t="s">
        <v>7516</v>
      </c>
      <c r="M95" s="28"/>
      <c r="N95" s="28"/>
      <c r="O95" s="20">
        <v>47944.589</v>
      </c>
      <c r="P95" s="27" t="str">
        <f t="shared" si="4"/>
        <v>amarelo</v>
      </c>
    </row>
    <row r="96" spans="1:16" ht="25.5">
      <c r="A96" s="3" t="s">
        <v>5103</v>
      </c>
      <c r="B96" s="3" t="s">
        <v>5104</v>
      </c>
      <c r="C96" s="4">
        <v>53</v>
      </c>
      <c r="D96" s="3" t="s">
        <v>34</v>
      </c>
      <c r="E96" s="3" t="s">
        <v>16</v>
      </c>
      <c r="F96" s="5">
        <v>1644</v>
      </c>
      <c r="G96" s="5">
        <v>2949</v>
      </c>
      <c r="H96" s="6">
        <v>95717.4</v>
      </c>
      <c r="I96" s="22">
        <v>187863.27</v>
      </c>
      <c r="J96" s="24">
        <f t="shared" si="3"/>
        <v>1.3017275053825096E-3</v>
      </c>
      <c r="K96" s="25">
        <f t="shared" si="5"/>
        <v>0.31158107520706502</v>
      </c>
      <c r="L96" s="26" t="s">
        <v>7516</v>
      </c>
      <c r="M96" s="28"/>
      <c r="N96" s="28"/>
      <c r="O96" s="20">
        <v>52236.24</v>
      </c>
      <c r="P96" s="27" t="str">
        <f t="shared" si="4"/>
        <v>amarelo</v>
      </c>
    </row>
    <row r="97" spans="1:16" ht="25.5">
      <c r="A97" s="3" t="s">
        <v>5105</v>
      </c>
      <c r="B97" s="3" t="s">
        <v>5106</v>
      </c>
      <c r="C97" s="4">
        <v>23</v>
      </c>
      <c r="D97" s="3" t="s">
        <v>87</v>
      </c>
      <c r="E97" s="3" t="s">
        <v>7</v>
      </c>
      <c r="F97" s="5">
        <v>804</v>
      </c>
      <c r="G97" s="5">
        <v>3150</v>
      </c>
      <c r="H97" s="6">
        <v>39041.730000000003</v>
      </c>
      <c r="I97" s="22">
        <v>187604.74</v>
      </c>
      <c r="J97" s="24">
        <f t="shared" si="3"/>
        <v>1.2999361194880421E-3</v>
      </c>
      <c r="K97" s="25">
        <f t="shared" si="5"/>
        <v>0.31288101132655305</v>
      </c>
      <c r="L97" s="26" t="s">
        <v>7516</v>
      </c>
      <c r="M97" s="28"/>
      <c r="N97" s="28"/>
      <c r="O97" s="20">
        <v>55777.32</v>
      </c>
      <c r="P97" s="27" t="str">
        <f t="shared" si="4"/>
        <v>amarelo</v>
      </c>
    </row>
    <row r="98" spans="1:16" ht="25.5">
      <c r="A98" s="3" t="s">
        <v>5107</v>
      </c>
      <c r="B98" s="3" t="s">
        <v>5108</v>
      </c>
      <c r="C98" s="4">
        <v>309</v>
      </c>
      <c r="D98" s="3" t="s">
        <v>5109</v>
      </c>
      <c r="E98" s="3" t="s">
        <v>16</v>
      </c>
      <c r="F98" s="5">
        <v>21658</v>
      </c>
      <c r="G98" s="5">
        <v>4777</v>
      </c>
      <c r="H98" s="6">
        <v>969987.89</v>
      </c>
      <c r="I98" s="22">
        <v>187035.29</v>
      </c>
      <c r="J98" s="24">
        <f t="shared" si="3"/>
        <v>1.2959903310008085E-3</v>
      </c>
      <c r="K98" s="25">
        <f t="shared" si="5"/>
        <v>0.31417700165755386</v>
      </c>
      <c r="L98" s="26" t="s">
        <v>7516</v>
      </c>
      <c r="M98" s="28"/>
      <c r="N98" s="28"/>
      <c r="O98" s="20" t="s">
        <v>7530</v>
      </c>
      <c r="P98" s="27" t="str">
        <f t="shared" si="4"/>
        <v>vermelho</v>
      </c>
    </row>
    <row r="99" spans="1:16" ht="25.5">
      <c r="A99" s="3" t="s">
        <v>4</v>
      </c>
      <c r="B99" s="3" t="s">
        <v>19</v>
      </c>
      <c r="C99" s="4">
        <v>93</v>
      </c>
      <c r="D99" s="3" t="s">
        <v>20</v>
      </c>
      <c r="E99" s="3" t="s">
        <v>7</v>
      </c>
      <c r="F99" s="5">
        <v>13331</v>
      </c>
      <c r="G99" s="5">
        <v>3120</v>
      </c>
      <c r="H99" s="6">
        <v>470740.82</v>
      </c>
      <c r="I99" s="22">
        <v>185246.13</v>
      </c>
      <c r="J99" s="24">
        <f t="shared" si="3"/>
        <v>1.2835930231953488E-3</v>
      </c>
      <c r="K99" s="25">
        <f t="shared" si="5"/>
        <v>0.31546059468074922</v>
      </c>
      <c r="L99" s="26" t="s">
        <v>7516</v>
      </c>
      <c r="M99" s="28"/>
      <c r="N99" s="28"/>
      <c r="O99" s="20">
        <v>21887.1</v>
      </c>
      <c r="P99" s="27" t="str">
        <f t="shared" si="4"/>
        <v>amarelo</v>
      </c>
    </row>
    <row r="100" spans="1:16" ht="25.5">
      <c r="A100" s="3" t="s">
        <v>5032</v>
      </c>
      <c r="B100" s="3" t="s">
        <v>5033</v>
      </c>
      <c r="C100" s="4">
        <v>270</v>
      </c>
      <c r="D100" s="3" t="s">
        <v>266</v>
      </c>
      <c r="E100" s="3" t="s">
        <v>49</v>
      </c>
      <c r="F100" s="5">
        <v>4800</v>
      </c>
      <c r="G100" s="5">
        <v>3177</v>
      </c>
      <c r="H100" s="6">
        <v>243019.38</v>
      </c>
      <c r="I100" s="22">
        <v>185138.31</v>
      </c>
      <c r="J100" s="24">
        <f t="shared" si="3"/>
        <v>1.2828459252680619E-3</v>
      </c>
      <c r="K100" s="25">
        <f t="shared" si="5"/>
        <v>0.31674344060601728</v>
      </c>
      <c r="L100" s="26" t="s">
        <v>7516</v>
      </c>
      <c r="M100" s="28"/>
      <c r="N100" s="28"/>
      <c r="O100" s="20">
        <v>12100.59</v>
      </c>
      <c r="P100" s="27" t="str">
        <f t="shared" si="4"/>
        <v>amarelo</v>
      </c>
    </row>
    <row r="101" spans="1:16" ht="25.5">
      <c r="A101" s="3" t="s">
        <v>5110</v>
      </c>
      <c r="B101" s="3" t="s">
        <v>5111</v>
      </c>
      <c r="C101" s="4">
        <v>74</v>
      </c>
      <c r="D101" s="3" t="s">
        <v>6</v>
      </c>
      <c r="E101" s="3" t="s">
        <v>7</v>
      </c>
      <c r="F101" s="5">
        <v>1698</v>
      </c>
      <c r="G101" s="5">
        <v>3114</v>
      </c>
      <c r="H101" s="6">
        <v>94195.656000000003</v>
      </c>
      <c r="I101" s="22">
        <v>178480.18599999999</v>
      </c>
      <c r="J101" s="24">
        <f t="shared" si="3"/>
        <v>1.2367109721979517E-3</v>
      </c>
      <c r="K101" s="25">
        <f t="shared" si="5"/>
        <v>0.31798015157821524</v>
      </c>
      <c r="L101" s="26" t="s">
        <v>7516</v>
      </c>
      <c r="M101" s="28"/>
      <c r="N101" s="28"/>
      <c r="O101" s="20">
        <v>40718.400000000001</v>
      </c>
      <c r="P101" s="27" t="str">
        <f t="shared" si="4"/>
        <v>amarelo</v>
      </c>
    </row>
    <row r="102" spans="1:16" ht="38.25">
      <c r="A102" s="3" t="s">
        <v>5112</v>
      </c>
      <c r="B102" s="3" t="s">
        <v>5113</v>
      </c>
      <c r="C102" s="4">
        <v>371</v>
      </c>
      <c r="D102" s="3" t="s">
        <v>82</v>
      </c>
      <c r="E102" s="3" t="s">
        <v>49</v>
      </c>
      <c r="F102" s="5">
        <v>3252</v>
      </c>
      <c r="G102" s="5">
        <v>3174</v>
      </c>
      <c r="H102" s="6">
        <v>166581.576</v>
      </c>
      <c r="I102" s="22">
        <v>177655.524</v>
      </c>
      <c r="J102" s="24">
        <f t="shared" si="3"/>
        <v>1.2309967886428388E-3</v>
      </c>
      <c r="K102" s="25">
        <f t="shared" si="5"/>
        <v>0.3192111483668581</v>
      </c>
      <c r="L102" s="26" t="s">
        <v>7516</v>
      </c>
      <c r="M102" s="28"/>
      <c r="N102" s="28"/>
      <c r="O102" s="20">
        <v>15462.468000000001</v>
      </c>
      <c r="P102" s="27" t="str">
        <f t="shared" si="4"/>
        <v>amarelo</v>
      </c>
    </row>
    <row r="103" spans="1:16" ht="25.5">
      <c r="A103" s="3" t="s">
        <v>5114</v>
      </c>
      <c r="B103" s="3" t="s">
        <v>5115</v>
      </c>
      <c r="C103" s="4">
        <v>39</v>
      </c>
      <c r="D103" s="3" t="s">
        <v>26</v>
      </c>
      <c r="E103" s="3" t="s">
        <v>13</v>
      </c>
      <c r="F103" s="5">
        <v>4944</v>
      </c>
      <c r="G103" s="5">
        <v>3246</v>
      </c>
      <c r="H103" s="6">
        <v>227607.25200000001</v>
      </c>
      <c r="I103" s="22">
        <v>176933.65</v>
      </c>
      <c r="J103" s="24">
        <f t="shared" si="3"/>
        <v>1.2259948356734239E-3</v>
      </c>
      <c r="K103" s="25">
        <f t="shared" si="5"/>
        <v>0.32043714320253153</v>
      </c>
      <c r="L103" s="26" t="s">
        <v>7516</v>
      </c>
      <c r="M103" s="28"/>
      <c r="N103" s="28"/>
      <c r="O103" s="20">
        <v>21020.155999999999</v>
      </c>
      <c r="P103" s="27" t="str">
        <f t="shared" si="4"/>
        <v>amarelo</v>
      </c>
    </row>
    <row r="104" spans="1:16" ht="38.25">
      <c r="A104" s="3" t="s">
        <v>5116</v>
      </c>
      <c r="B104" s="3" t="s">
        <v>5117</v>
      </c>
      <c r="C104" s="4">
        <v>371</v>
      </c>
      <c r="D104" s="3" t="s">
        <v>82</v>
      </c>
      <c r="E104" s="3" t="s">
        <v>49</v>
      </c>
      <c r="F104" s="5">
        <v>2598</v>
      </c>
      <c r="G104" s="5">
        <v>3411</v>
      </c>
      <c r="H104" s="6">
        <v>110836.74</v>
      </c>
      <c r="I104" s="22">
        <v>176272.41</v>
      </c>
      <c r="J104" s="24">
        <f t="shared" si="3"/>
        <v>1.2214130230835593E-3</v>
      </c>
      <c r="K104" s="25">
        <f t="shared" si="5"/>
        <v>0.32165855622561507</v>
      </c>
      <c r="L104" s="26" t="s">
        <v>7516</v>
      </c>
      <c r="M104" s="28"/>
      <c r="N104" s="28"/>
      <c r="O104" s="20" t="s">
        <v>7530</v>
      </c>
      <c r="P104" s="27" t="str">
        <f t="shared" si="4"/>
        <v>vermelho</v>
      </c>
    </row>
    <row r="105" spans="1:16" ht="25.5">
      <c r="A105" s="3" t="s">
        <v>5121</v>
      </c>
      <c r="B105" s="3" t="s">
        <v>5122</v>
      </c>
      <c r="C105" s="4">
        <v>299</v>
      </c>
      <c r="D105" s="3" t="s">
        <v>111</v>
      </c>
      <c r="E105" s="3" t="s">
        <v>49</v>
      </c>
      <c r="F105" s="5">
        <v>1683</v>
      </c>
      <c r="G105" s="5">
        <v>3252</v>
      </c>
      <c r="H105" s="6">
        <v>84962.97</v>
      </c>
      <c r="I105" s="22">
        <v>175930.62</v>
      </c>
      <c r="J105" s="24">
        <f t="shared" si="3"/>
        <v>1.2190447184965865E-3</v>
      </c>
      <c r="K105" s="25">
        <f t="shared" si="5"/>
        <v>0.32287760094411166</v>
      </c>
      <c r="L105" s="26" t="s">
        <v>7516</v>
      </c>
      <c r="M105" s="28"/>
      <c r="N105" s="28"/>
      <c r="O105" s="20" t="s">
        <v>7530</v>
      </c>
      <c r="P105" s="27" t="str">
        <f t="shared" si="4"/>
        <v>vermelho</v>
      </c>
    </row>
    <row r="106" spans="1:16" ht="25.5">
      <c r="A106" s="3" t="s">
        <v>5125</v>
      </c>
      <c r="B106" s="3" t="s">
        <v>5126</v>
      </c>
      <c r="C106" s="4">
        <v>261</v>
      </c>
      <c r="D106" s="3" t="s">
        <v>9</v>
      </c>
      <c r="E106" s="3" t="s">
        <v>10</v>
      </c>
      <c r="F106" s="5">
        <v>1026</v>
      </c>
      <c r="G106" s="5">
        <v>2772</v>
      </c>
      <c r="H106" s="6">
        <v>56866.74</v>
      </c>
      <c r="I106" s="22">
        <v>170434.72899999999</v>
      </c>
      <c r="J106" s="24">
        <f t="shared" si="3"/>
        <v>1.1809630196031084E-3</v>
      </c>
      <c r="K106" s="25">
        <f t="shared" si="5"/>
        <v>0.3240585639637148</v>
      </c>
      <c r="L106" s="26" t="s">
        <v>7516</v>
      </c>
      <c r="M106" s="28"/>
      <c r="N106" s="28"/>
      <c r="O106" s="20" t="s">
        <v>7530</v>
      </c>
      <c r="P106" s="27" t="str">
        <f t="shared" si="4"/>
        <v>vermelho</v>
      </c>
    </row>
    <row r="107" spans="1:16" ht="25.5">
      <c r="A107" s="3" t="s">
        <v>5129</v>
      </c>
      <c r="B107" s="3" t="s">
        <v>5130</v>
      </c>
      <c r="C107" s="4">
        <v>74</v>
      </c>
      <c r="D107" s="3" t="s">
        <v>6</v>
      </c>
      <c r="E107" s="3" t="s">
        <v>7</v>
      </c>
      <c r="F107" s="5">
        <v>1575</v>
      </c>
      <c r="G107" s="5">
        <v>2652</v>
      </c>
      <c r="H107" s="6">
        <v>90509.955000000002</v>
      </c>
      <c r="I107" s="22">
        <v>169646.73</v>
      </c>
      <c r="J107" s="24">
        <f t="shared" si="3"/>
        <v>1.1755028784455853E-3</v>
      </c>
      <c r="K107" s="25">
        <f t="shared" si="5"/>
        <v>0.32523406684216039</v>
      </c>
      <c r="L107" s="26" t="s">
        <v>7516</v>
      </c>
      <c r="M107" s="28"/>
      <c r="N107" s="28"/>
      <c r="O107" s="20">
        <v>7661.46</v>
      </c>
      <c r="P107" s="27" t="str">
        <f t="shared" si="4"/>
        <v>amarelo</v>
      </c>
    </row>
    <row r="108" spans="1:16" ht="25.5">
      <c r="A108" s="3" t="s">
        <v>5131</v>
      </c>
      <c r="B108" s="3" t="s">
        <v>5132</v>
      </c>
      <c r="C108" s="4">
        <v>335</v>
      </c>
      <c r="D108" s="3" t="s">
        <v>36</v>
      </c>
      <c r="E108" s="3" t="s">
        <v>7</v>
      </c>
      <c r="F108" s="5">
        <v>2568</v>
      </c>
      <c r="G108" s="5">
        <v>2955</v>
      </c>
      <c r="H108" s="6">
        <v>134401.68</v>
      </c>
      <c r="I108" s="22">
        <v>169219.209</v>
      </c>
      <c r="J108" s="24">
        <f t="shared" si="3"/>
        <v>1.1725405333058E-3</v>
      </c>
      <c r="K108" s="25">
        <f t="shared" si="5"/>
        <v>0.32640660737546617</v>
      </c>
      <c r="L108" s="26" t="s">
        <v>7516</v>
      </c>
      <c r="M108" s="28"/>
      <c r="N108" s="28"/>
      <c r="O108" s="20">
        <v>22354.59</v>
      </c>
      <c r="P108" s="27" t="str">
        <f t="shared" si="4"/>
        <v>amarelo</v>
      </c>
    </row>
    <row r="109" spans="1:16" ht="25.5">
      <c r="A109" s="3" t="s">
        <v>4</v>
      </c>
      <c r="B109" s="3" t="s">
        <v>21</v>
      </c>
      <c r="C109" s="4">
        <v>74</v>
      </c>
      <c r="D109" s="3" t="s">
        <v>6</v>
      </c>
      <c r="E109" s="3" t="s">
        <v>7</v>
      </c>
      <c r="F109" s="5">
        <v>4116</v>
      </c>
      <c r="G109" s="5">
        <v>2625</v>
      </c>
      <c r="H109" s="6">
        <v>247413.51</v>
      </c>
      <c r="I109" s="22">
        <v>168139.41</v>
      </c>
      <c r="J109" s="24">
        <f t="shared" si="3"/>
        <v>1.1650584743669531E-3</v>
      </c>
      <c r="K109" s="25">
        <f t="shared" si="5"/>
        <v>0.3275716658498331</v>
      </c>
      <c r="L109" s="26" t="s">
        <v>7516</v>
      </c>
      <c r="M109" s="28"/>
      <c r="N109" s="28"/>
      <c r="O109" s="20">
        <v>81797.37</v>
      </c>
      <c r="P109" s="27" t="str">
        <f t="shared" si="4"/>
        <v>amarelo</v>
      </c>
    </row>
    <row r="110" spans="1:16">
      <c r="A110" s="3" t="s">
        <v>5133</v>
      </c>
      <c r="B110" s="3" t="s">
        <v>5134</v>
      </c>
      <c r="C110" s="4">
        <v>231</v>
      </c>
      <c r="D110" s="3" t="s">
        <v>52</v>
      </c>
      <c r="E110" s="3" t="s">
        <v>7</v>
      </c>
      <c r="F110" s="5">
        <v>3054</v>
      </c>
      <c r="G110" s="5">
        <v>2636</v>
      </c>
      <c r="H110" s="6">
        <v>188722.26</v>
      </c>
      <c r="I110" s="22">
        <v>167445.85999999999</v>
      </c>
      <c r="J110" s="24">
        <f t="shared" si="3"/>
        <v>1.1602527818472921E-3</v>
      </c>
      <c r="K110" s="25">
        <f t="shared" si="5"/>
        <v>0.32873191863168039</v>
      </c>
      <c r="L110" s="26" t="s">
        <v>7516</v>
      </c>
      <c r="M110" s="28"/>
      <c r="N110" s="28"/>
      <c r="O110" s="20">
        <v>95031.96</v>
      </c>
      <c r="P110" s="27" t="str">
        <f t="shared" si="4"/>
        <v>laranja</v>
      </c>
    </row>
    <row r="111" spans="1:16" ht="38.25">
      <c r="A111" s="3" t="s">
        <v>4</v>
      </c>
      <c r="B111" s="3" t="s">
        <v>22</v>
      </c>
      <c r="C111" s="4">
        <v>45</v>
      </c>
      <c r="D111" s="3" t="s">
        <v>23</v>
      </c>
      <c r="E111" s="3" t="s">
        <v>7</v>
      </c>
      <c r="F111" s="5">
        <v>1470</v>
      </c>
      <c r="G111" s="5">
        <v>2655</v>
      </c>
      <c r="H111" s="6">
        <v>77131.17</v>
      </c>
      <c r="I111" s="22">
        <v>167311.89000000001</v>
      </c>
      <c r="J111" s="24">
        <f t="shared" si="3"/>
        <v>1.1593244873813432E-3</v>
      </c>
      <c r="K111" s="25">
        <f t="shared" si="5"/>
        <v>0.32989124311906171</v>
      </c>
      <c r="L111" s="26" t="s">
        <v>7516</v>
      </c>
      <c r="M111" s="28"/>
      <c r="N111" s="28"/>
      <c r="O111" s="20">
        <v>109502.31</v>
      </c>
      <c r="P111" s="27" t="str">
        <f t="shared" si="4"/>
        <v>laranja</v>
      </c>
    </row>
    <row r="112" spans="1:16" ht="25.5">
      <c r="A112" s="3" t="s">
        <v>5135</v>
      </c>
      <c r="B112" s="3" t="s">
        <v>5136</v>
      </c>
      <c r="C112" s="4">
        <v>316</v>
      </c>
      <c r="D112" s="3" t="s">
        <v>247</v>
      </c>
      <c r="E112" s="3" t="s">
        <v>10</v>
      </c>
      <c r="F112" s="5">
        <v>0</v>
      </c>
      <c r="G112" s="5">
        <v>2985</v>
      </c>
      <c r="H112" s="6">
        <v>0</v>
      </c>
      <c r="I112" s="22">
        <v>166682.79</v>
      </c>
      <c r="J112" s="24">
        <f t="shared" si="3"/>
        <v>1.1549653767705455E-3</v>
      </c>
      <c r="K112" s="25">
        <f t="shared" si="5"/>
        <v>0.33104620849583227</v>
      </c>
      <c r="L112" s="26" t="s">
        <v>7516</v>
      </c>
      <c r="M112" s="28"/>
      <c r="N112" s="28"/>
      <c r="O112" s="20">
        <v>29464.022000000001</v>
      </c>
      <c r="P112" s="27" t="str">
        <f t="shared" si="4"/>
        <v>amarelo</v>
      </c>
    </row>
    <row r="113" spans="1:16" ht="25.5">
      <c r="A113" s="3" t="s">
        <v>5137</v>
      </c>
      <c r="B113" s="3" t="s">
        <v>5138</v>
      </c>
      <c r="C113" s="4">
        <v>23</v>
      </c>
      <c r="D113" s="3" t="s">
        <v>87</v>
      </c>
      <c r="E113" s="3" t="s">
        <v>7</v>
      </c>
      <c r="F113" s="5">
        <v>0</v>
      </c>
      <c r="G113" s="5">
        <v>3087</v>
      </c>
      <c r="H113" s="6">
        <v>0</v>
      </c>
      <c r="I113" s="22">
        <v>166056.405</v>
      </c>
      <c r="J113" s="24">
        <f t="shared" si="3"/>
        <v>1.1506250787258079E-3</v>
      </c>
      <c r="K113" s="25">
        <f t="shared" si="5"/>
        <v>0.33219683357455809</v>
      </c>
      <c r="L113" s="26" t="s">
        <v>7516</v>
      </c>
      <c r="M113" s="28"/>
      <c r="N113" s="28"/>
      <c r="O113" s="20">
        <v>46659.67</v>
      </c>
      <c r="P113" s="27" t="str">
        <f t="shared" si="4"/>
        <v>amarelo</v>
      </c>
    </row>
    <row r="114" spans="1:16" ht="25.5">
      <c r="A114" s="3" t="s">
        <v>5139</v>
      </c>
      <c r="B114" s="3" t="s">
        <v>5140</v>
      </c>
      <c r="C114" s="4">
        <v>93</v>
      </c>
      <c r="D114" s="3" t="s">
        <v>20</v>
      </c>
      <c r="E114" s="3" t="s">
        <v>7</v>
      </c>
      <c r="F114" s="5">
        <v>3060</v>
      </c>
      <c r="G114" s="5">
        <v>2637</v>
      </c>
      <c r="H114" s="6">
        <v>180273.864</v>
      </c>
      <c r="I114" s="22">
        <v>163743.26999999999</v>
      </c>
      <c r="J114" s="24">
        <f t="shared" si="3"/>
        <v>1.1345970842532162E-3</v>
      </c>
      <c r="K114" s="25">
        <f t="shared" si="5"/>
        <v>0.33333143065881132</v>
      </c>
      <c r="L114" s="26" t="s">
        <v>7516</v>
      </c>
      <c r="M114" s="28"/>
      <c r="N114" s="28"/>
      <c r="O114" s="20">
        <v>67770.960000000006</v>
      </c>
      <c r="P114" s="27" t="str">
        <f t="shared" si="4"/>
        <v>amarelo</v>
      </c>
    </row>
    <row r="115" spans="1:16" ht="25.5">
      <c r="A115" s="3" t="s">
        <v>5127</v>
      </c>
      <c r="B115" s="3" t="s">
        <v>5128</v>
      </c>
      <c r="C115" s="4">
        <v>74</v>
      </c>
      <c r="D115" s="3" t="s">
        <v>6</v>
      </c>
      <c r="E115" s="3" t="s">
        <v>7</v>
      </c>
      <c r="F115" s="5">
        <v>2148</v>
      </c>
      <c r="G115" s="5">
        <v>2532</v>
      </c>
      <c r="H115" s="6">
        <v>132700.74</v>
      </c>
      <c r="I115" s="22">
        <v>162122.54999999999</v>
      </c>
      <c r="J115" s="24">
        <f t="shared" si="3"/>
        <v>1.1233669177468867E-3</v>
      </c>
      <c r="K115" s="25">
        <f t="shared" si="5"/>
        <v>0.33445479757655822</v>
      </c>
      <c r="L115" s="26" t="s">
        <v>7516</v>
      </c>
      <c r="M115" s="28"/>
      <c r="N115" s="28"/>
      <c r="O115" s="20">
        <v>37252.83</v>
      </c>
      <c r="P115" s="27" t="str">
        <f t="shared" si="4"/>
        <v>amarelo</v>
      </c>
    </row>
    <row r="116" spans="1:16">
      <c r="A116" s="3" t="s">
        <v>5141</v>
      </c>
      <c r="B116" s="3" t="s">
        <v>5142</v>
      </c>
      <c r="C116" s="4">
        <v>167</v>
      </c>
      <c r="D116" s="3" t="s">
        <v>251</v>
      </c>
      <c r="E116" s="3" t="s">
        <v>49</v>
      </c>
      <c r="F116" s="5">
        <v>1659</v>
      </c>
      <c r="G116" s="5">
        <v>3003</v>
      </c>
      <c r="H116" s="6">
        <v>88142.25</v>
      </c>
      <c r="I116" s="22">
        <v>158975.46</v>
      </c>
      <c r="J116" s="24">
        <f t="shared" si="3"/>
        <v>1.1015603473890183E-3</v>
      </c>
      <c r="K116" s="25">
        <f t="shared" si="5"/>
        <v>0.33555635792394722</v>
      </c>
      <c r="L116" s="26" t="s">
        <v>7516</v>
      </c>
      <c r="M116" s="28"/>
      <c r="N116" s="28"/>
      <c r="O116" s="20">
        <v>29262.66</v>
      </c>
      <c r="P116" s="27" t="str">
        <f t="shared" si="4"/>
        <v>amarelo</v>
      </c>
    </row>
    <row r="117" spans="1:16">
      <c r="A117" s="3" t="s">
        <v>5143</v>
      </c>
      <c r="B117" s="3" t="s">
        <v>5144</v>
      </c>
      <c r="C117" s="4">
        <v>240</v>
      </c>
      <c r="D117" s="3" t="s">
        <v>69</v>
      </c>
      <c r="E117" s="3" t="s">
        <v>16</v>
      </c>
      <c r="F117" s="5">
        <v>3600</v>
      </c>
      <c r="G117" s="5">
        <v>2781</v>
      </c>
      <c r="H117" s="6">
        <v>193065.18</v>
      </c>
      <c r="I117" s="22">
        <v>158913.598</v>
      </c>
      <c r="J117" s="24">
        <f t="shared" si="3"/>
        <v>1.101131698047729E-3</v>
      </c>
      <c r="K117" s="25">
        <f t="shared" si="5"/>
        <v>0.33665748962199493</v>
      </c>
      <c r="L117" s="26" t="s">
        <v>7516</v>
      </c>
      <c r="M117" s="28"/>
      <c r="N117" s="28"/>
      <c r="O117" s="20">
        <v>53429.37</v>
      </c>
      <c r="P117" s="27" t="str">
        <f t="shared" si="4"/>
        <v>amarelo</v>
      </c>
    </row>
    <row r="118" spans="1:16" ht="38.25">
      <c r="A118" s="3" t="s">
        <v>5145</v>
      </c>
      <c r="B118" s="3" t="s">
        <v>5146</v>
      </c>
      <c r="C118" s="4">
        <v>45</v>
      </c>
      <c r="D118" s="3" t="s">
        <v>23</v>
      </c>
      <c r="E118" s="3" t="s">
        <v>7</v>
      </c>
      <c r="F118" s="5">
        <v>1449</v>
      </c>
      <c r="G118" s="5">
        <v>2508</v>
      </c>
      <c r="H118" s="6">
        <v>79637.789999999994</v>
      </c>
      <c r="I118" s="22">
        <v>158106.03</v>
      </c>
      <c r="J118" s="24">
        <f t="shared" si="3"/>
        <v>1.0955359609030133E-3</v>
      </c>
      <c r="K118" s="25">
        <f t="shared" si="5"/>
        <v>0.33775302558289794</v>
      </c>
      <c r="L118" s="26" t="s">
        <v>7516</v>
      </c>
      <c r="M118" s="28"/>
      <c r="N118" s="28"/>
      <c r="O118" s="20">
        <v>95404.800000000003</v>
      </c>
      <c r="P118" s="27" t="str">
        <f t="shared" si="4"/>
        <v>laranja</v>
      </c>
    </row>
    <row r="119" spans="1:16">
      <c r="A119" s="3" t="s">
        <v>5147</v>
      </c>
      <c r="B119" s="3" t="s">
        <v>5148</v>
      </c>
      <c r="C119" s="4">
        <v>231</v>
      </c>
      <c r="D119" s="3" t="s">
        <v>52</v>
      </c>
      <c r="E119" s="3" t="s">
        <v>7</v>
      </c>
      <c r="F119" s="5">
        <v>2655</v>
      </c>
      <c r="G119" s="5">
        <v>2397</v>
      </c>
      <c r="H119" s="6">
        <v>155078.79</v>
      </c>
      <c r="I119" s="22">
        <v>155365.76999999999</v>
      </c>
      <c r="J119" s="24">
        <f t="shared" si="3"/>
        <v>1.0765483652229238E-3</v>
      </c>
      <c r="K119" s="25">
        <f t="shared" si="5"/>
        <v>0.33882957394812085</v>
      </c>
      <c r="L119" s="26" t="s">
        <v>7516</v>
      </c>
      <c r="M119" s="28"/>
      <c r="N119" s="28"/>
      <c r="O119" s="20">
        <v>66370.23</v>
      </c>
      <c r="P119" s="27" t="str">
        <f t="shared" si="4"/>
        <v>amarelo</v>
      </c>
    </row>
    <row r="120" spans="1:16" ht="38.25">
      <c r="A120" s="3" t="s">
        <v>5150</v>
      </c>
      <c r="B120" s="3" t="s">
        <v>5151</v>
      </c>
      <c r="C120" s="4">
        <v>301</v>
      </c>
      <c r="D120" s="3" t="s">
        <v>519</v>
      </c>
      <c r="E120" s="3" t="s">
        <v>16</v>
      </c>
      <c r="F120" s="5">
        <v>2318</v>
      </c>
      <c r="G120" s="5">
        <v>2715</v>
      </c>
      <c r="H120" s="6">
        <v>119296.74</v>
      </c>
      <c r="I120" s="22">
        <v>154615.85999999999</v>
      </c>
      <c r="J120" s="24">
        <f t="shared" si="3"/>
        <v>1.0713521473908728E-3</v>
      </c>
      <c r="K120" s="25">
        <f t="shared" si="5"/>
        <v>0.3399009260955117</v>
      </c>
      <c r="L120" s="26" t="s">
        <v>7516</v>
      </c>
      <c r="M120" s="28"/>
      <c r="N120" s="28"/>
      <c r="O120" s="20">
        <v>28193.43</v>
      </c>
      <c r="P120" s="27" t="str">
        <f t="shared" si="4"/>
        <v>amarelo</v>
      </c>
    </row>
    <row r="121" spans="1:16" ht="25.5">
      <c r="A121" s="3" t="s">
        <v>5152</v>
      </c>
      <c r="B121" s="3" t="s">
        <v>5153</v>
      </c>
      <c r="C121" s="4">
        <v>337</v>
      </c>
      <c r="D121" s="3" t="s">
        <v>202</v>
      </c>
      <c r="E121" s="3" t="s">
        <v>16</v>
      </c>
      <c r="F121" s="5">
        <v>0</v>
      </c>
      <c r="G121" s="5">
        <v>2244</v>
      </c>
      <c r="H121" s="6">
        <v>0</v>
      </c>
      <c r="I121" s="22">
        <v>154158.016</v>
      </c>
      <c r="J121" s="24">
        <f t="shared" si="3"/>
        <v>1.0681796904865812E-3</v>
      </c>
      <c r="K121" s="25">
        <f t="shared" si="5"/>
        <v>0.34096910578599826</v>
      </c>
      <c r="L121" s="26" t="s">
        <v>7516</v>
      </c>
      <c r="M121" s="28"/>
      <c r="N121" s="28"/>
      <c r="O121" s="20" t="s">
        <v>7530</v>
      </c>
      <c r="P121" s="27" t="str">
        <f t="shared" si="4"/>
        <v>vermelho</v>
      </c>
    </row>
    <row r="122" spans="1:16" ht="25.5">
      <c r="A122" s="3" t="s">
        <v>5155</v>
      </c>
      <c r="B122" s="3" t="s">
        <v>4987</v>
      </c>
      <c r="C122" s="4">
        <v>194</v>
      </c>
      <c r="D122" s="3" t="s">
        <v>145</v>
      </c>
      <c r="E122" s="3" t="s">
        <v>16</v>
      </c>
      <c r="F122" s="5">
        <v>2076</v>
      </c>
      <c r="G122" s="5">
        <v>2439</v>
      </c>
      <c r="H122" s="6">
        <v>120385.29</v>
      </c>
      <c r="I122" s="22">
        <v>150768.75</v>
      </c>
      <c r="J122" s="24">
        <f t="shared" si="3"/>
        <v>1.0446950530944086E-3</v>
      </c>
      <c r="K122" s="25">
        <f t="shared" si="5"/>
        <v>0.34201380083909266</v>
      </c>
      <c r="L122" s="26" t="s">
        <v>7516</v>
      </c>
      <c r="M122" s="28"/>
      <c r="N122" s="28"/>
      <c r="O122" s="20">
        <v>81242.22</v>
      </c>
      <c r="P122" s="27" t="str">
        <f t="shared" si="4"/>
        <v>laranja</v>
      </c>
    </row>
    <row r="123" spans="1:16" ht="25.5">
      <c r="A123" s="3" t="s">
        <v>5156</v>
      </c>
      <c r="B123" s="3" t="s">
        <v>5157</v>
      </c>
      <c r="C123" s="4">
        <v>316</v>
      </c>
      <c r="D123" s="3" t="s">
        <v>247</v>
      </c>
      <c r="E123" s="3" t="s">
        <v>10</v>
      </c>
      <c r="F123" s="5">
        <v>0</v>
      </c>
      <c r="G123" s="5">
        <v>3294</v>
      </c>
      <c r="H123" s="6">
        <v>0</v>
      </c>
      <c r="I123" s="22">
        <v>147350.34</v>
      </c>
      <c r="J123" s="24">
        <f t="shared" si="3"/>
        <v>1.0210084733724939E-3</v>
      </c>
      <c r="K123" s="25">
        <f t="shared" si="5"/>
        <v>0.34303480931246516</v>
      </c>
      <c r="L123" s="26" t="s">
        <v>7516</v>
      </c>
      <c r="M123" s="28"/>
      <c r="N123" s="28"/>
      <c r="O123" s="20" t="s">
        <v>7530</v>
      </c>
      <c r="P123" s="27" t="str">
        <f t="shared" si="4"/>
        <v>vermelho</v>
      </c>
    </row>
    <row r="124" spans="1:16" ht="25.5">
      <c r="A124" s="3" t="s">
        <v>5158</v>
      </c>
      <c r="B124" s="3" t="s">
        <v>5159</v>
      </c>
      <c r="C124" s="4">
        <v>299</v>
      </c>
      <c r="D124" s="3" t="s">
        <v>111</v>
      </c>
      <c r="E124" s="3" t="s">
        <v>49</v>
      </c>
      <c r="F124" s="5">
        <v>1164</v>
      </c>
      <c r="G124" s="5">
        <v>2487</v>
      </c>
      <c r="H124" s="6">
        <v>59542.667999999998</v>
      </c>
      <c r="I124" s="22">
        <v>147321.06899999999</v>
      </c>
      <c r="J124" s="24">
        <f t="shared" si="3"/>
        <v>1.020805651044265E-3</v>
      </c>
      <c r="K124" s="25">
        <f t="shared" si="5"/>
        <v>0.34405561496350945</v>
      </c>
      <c r="L124" s="26" t="s">
        <v>7516</v>
      </c>
      <c r="M124" s="28"/>
      <c r="N124" s="28"/>
      <c r="O124" s="20">
        <v>14142.6</v>
      </c>
      <c r="P124" s="27" t="str">
        <f t="shared" si="4"/>
        <v>amarelo</v>
      </c>
    </row>
    <row r="125" spans="1:16" ht="25.5">
      <c r="A125" s="3" t="s">
        <v>5162</v>
      </c>
      <c r="B125" s="3" t="s">
        <v>5163</v>
      </c>
      <c r="C125" s="4">
        <v>267</v>
      </c>
      <c r="D125" s="3" t="s">
        <v>125</v>
      </c>
      <c r="E125" s="3" t="s">
        <v>16</v>
      </c>
      <c r="F125" s="5">
        <v>1596</v>
      </c>
      <c r="G125" s="5">
        <v>3045</v>
      </c>
      <c r="H125" s="6">
        <v>67118.009999999995</v>
      </c>
      <c r="I125" s="22">
        <v>146565.93</v>
      </c>
      <c r="J125" s="24">
        <f t="shared" si="3"/>
        <v>1.0155732008336037E-3</v>
      </c>
      <c r="K125" s="25">
        <f t="shared" si="5"/>
        <v>0.34507118816434307</v>
      </c>
      <c r="L125" s="26" t="s">
        <v>7516</v>
      </c>
      <c r="M125" s="28"/>
      <c r="N125" s="28"/>
      <c r="O125" s="20">
        <v>24588.09</v>
      </c>
      <c r="P125" s="27" t="str">
        <f t="shared" si="4"/>
        <v>amarelo</v>
      </c>
    </row>
    <row r="126" spans="1:16" ht="25.5">
      <c r="A126" s="3" t="s">
        <v>5164</v>
      </c>
      <c r="B126" s="3" t="s">
        <v>5165</v>
      </c>
      <c r="C126" s="4">
        <v>41</v>
      </c>
      <c r="D126" s="3" t="s">
        <v>178</v>
      </c>
      <c r="E126" s="3" t="s">
        <v>41</v>
      </c>
      <c r="F126" s="5">
        <v>7401</v>
      </c>
      <c r="G126" s="5">
        <v>2904</v>
      </c>
      <c r="H126" s="6">
        <v>390579.27</v>
      </c>
      <c r="I126" s="22">
        <v>145402.99299999999</v>
      </c>
      <c r="J126" s="24">
        <f t="shared" si="3"/>
        <v>1.0075150685551278E-3</v>
      </c>
      <c r="K126" s="25">
        <f t="shared" si="5"/>
        <v>0.34607870323289819</v>
      </c>
      <c r="L126" s="26" t="s">
        <v>7516</v>
      </c>
      <c r="M126" s="28"/>
      <c r="N126" s="28"/>
      <c r="O126" s="20" t="s">
        <v>7530</v>
      </c>
      <c r="P126" s="27" t="str">
        <f t="shared" si="4"/>
        <v>vermelho</v>
      </c>
    </row>
    <row r="127" spans="1:16" ht="38.25">
      <c r="A127" s="3" t="s">
        <v>5166</v>
      </c>
      <c r="B127" s="3" t="s">
        <v>5167</v>
      </c>
      <c r="C127" s="4">
        <v>45</v>
      </c>
      <c r="D127" s="3" t="s">
        <v>23</v>
      </c>
      <c r="E127" s="3" t="s">
        <v>7</v>
      </c>
      <c r="F127" s="5">
        <v>1404</v>
      </c>
      <c r="G127" s="5">
        <v>2349</v>
      </c>
      <c r="H127" s="6">
        <v>84403.08</v>
      </c>
      <c r="I127" s="22">
        <v>144975.9</v>
      </c>
      <c r="J127" s="24">
        <f t="shared" si="3"/>
        <v>1.004555689079532E-3</v>
      </c>
      <c r="K127" s="25">
        <f t="shared" si="5"/>
        <v>0.34708325892197772</v>
      </c>
      <c r="L127" s="26" t="s">
        <v>7516</v>
      </c>
      <c r="M127" s="28"/>
      <c r="N127" s="28"/>
      <c r="O127" s="20">
        <v>100040.64</v>
      </c>
      <c r="P127" s="27" t="str">
        <f t="shared" si="4"/>
        <v>laranja</v>
      </c>
    </row>
    <row r="128" spans="1:16" ht="25.5">
      <c r="A128" s="3" t="s">
        <v>5168</v>
      </c>
      <c r="B128" s="3" t="s">
        <v>5169</v>
      </c>
      <c r="C128" s="4">
        <v>208</v>
      </c>
      <c r="D128" s="3" t="s">
        <v>15</v>
      </c>
      <c r="E128" s="3" t="s">
        <v>16</v>
      </c>
      <c r="F128" s="5">
        <v>1380</v>
      </c>
      <c r="G128" s="5">
        <v>2460</v>
      </c>
      <c r="H128" s="6">
        <v>80204.399999999994</v>
      </c>
      <c r="I128" s="22">
        <v>143704.32000000001</v>
      </c>
      <c r="J128" s="24">
        <f t="shared" si="3"/>
        <v>9.9574475620641477E-4</v>
      </c>
      <c r="K128" s="25">
        <f t="shared" si="5"/>
        <v>0.34807900367818412</v>
      </c>
      <c r="L128" s="26" t="s">
        <v>7516</v>
      </c>
      <c r="M128" s="28"/>
      <c r="N128" s="28"/>
      <c r="O128" s="20" t="s">
        <v>7530</v>
      </c>
      <c r="P128" s="27" t="str">
        <f t="shared" si="4"/>
        <v>vermelho</v>
      </c>
    </row>
    <row r="129" spans="1:16" ht="25.5">
      <c r="A129" s="3" t="s">
        <v>4</v>
      </c>
      <c r="B129" s="3" t="s">
        <v>24</v>
      </c>
      <c r="C129" s="4">
        <v>15</v>
      </c>
      <c r="D129" s="3" t="s">
        <v>18</v>
      </c>
      <c r="E129" s="3" t="s">
        <v>16</v>
      </c>
      <c r="F129" s="5">
        <v>894</v>
      </c>
      <c r="G129" s="5">
        <v>2340</v>
      </c>
      <c r="H129" s="6">
        <v>52015.86</v>
      </c>
      <c r="I129" s="22">
        <v>142979.76199999999</v>
      </c>
      <c r="J129" s="24">
        <f t="shared" si="3"/>
        <v>9.9072420547371997E-4</v>
      </c>
      <c r="K129" s="25">
        <f t="shared" si="5"/>
        <v>0.34906972788365787</v>
      </c>
      <c r="L129" s="26" t="s">
        <v>7516</v>
      </c>
      <c r="M129" s="28"/>
      <c r="N129" s="28"/>
      <c r="O129" s="20" t="s">
        <v>7530</v>
      </c>
      <c r="P129" s="27" t="str">
        <f t="shared" si="4"/>
        <v>vermelho</v>
      </c>
    </row>
    <row r="130" spans="1:16" ht="25.5">
      <c r="A130" s="3" t="s">
        <v>5170</v>
      </c>
      <c r="B130" s="3" t="s">
        <v>5171</v>
      </c>
      <c r="C130" s="4">
        <v>218</v>
      </c>
      <c r="D130" s="3" t="s">
        <v>104</v>
      </c>
      <c r="E130" s="3" t="s">
        <v>16</v>
      </c>
      <c r="F130" s="5">
        <v>2496</v>
      </c>
      <c r="G130" s="5">
        <v>3228</v>
      </c>
      <c r="H130" s="6">
        <v>99815.039999999994</v>
      </c>
      <c r="I130" s="22">
        <v>141870.6</v>
      </c>
      <c r="J130" s="24">
        <f t="shared" si="3"/>
        <v>9.8303868672742611E-4</v>
      </c>
      <c r="K130" s="25">
        <f t="shared" si="5"/>
        <v>0.35005276657038531</v>
      </c>
      <c r="L130" s="26" t="s">
        <v>7516</v>
      </c>
      <c r="M130" s="28"/>
      <c r="N130" s="28"/>
      <c r="O130" s="20" t="s">
        <v>7530</v>
      </c>
      <c r="P130" s="27" t="str">
        <f t="shared" si="4"/>
        <v>vermelho</v>
      </c>
    </row>
    <row r="131" spans="1:16" ht="25.5">
      <c r="A131" s="3" t="s">
        <v>5172</v>
      </c>
      <c r="B131" s="3" t="s">
        <v>5173</v>
      </c>
      <c r="C131" s="4">
        <v>39</v>
      </c>
      <c r="D131" s="3" t="s">
        <v>26</v>
      </c>
      <c r="E131" s="3" t="s">
        <v>13</v>
      </c>
      <c r="F131" s="5">
        <v>3360</v>
      </c>
      <c r="G131" s="5">
        <v>2616</v>
      </c>
      <c r="H131" s="6">
        <v>170018.06400000001</v>
      </c>
      <c r="I131" s="22">
        <v>141831.76</v>
      </c>
      <c r="J131" s="24">
        <f t="shared" ref="J131:J194" si="6">I131/$I$6364</f>
        <v>9.8276955963137887E-4</v>
      </c>
      <c r="K131" s="25">
        <f t="shared" si="5"/>
        <v>0.3510355361300167</v>
      </c>
      <c r="L131" s="26" t="s">
        <v>7516</v>
      </c>
      <c r="M131" s="28"/>
      <c r="N131" s="28"/>
      <c r="O131" s="20" t="s">
        <v>7530</v>
      </c>
      <c r="P131" s="27" t="str">
        <f t="shared" ref="P131:P194" si="7">IF(O131&lt;=0,"vermelho",IFERROR(IF(O131/I131&lt;=0.5098,"amarelo",IF(O131/I131&lt;1,"laranja","verde")),"vermelho"))</f>
        <v>vermelho</v>
      </c>
    </row>
    <row r="132" spans="1:16">
      <c r="A132" s="3" t="s">
        <v>5174</v>
      </c>
      <c r="B132" s="3" t="s">
        <v>5175</v>
      </c>
      <c r="C132" s="4">
        <v>15</v>
      </c>
      <c r="D132" s="3" t="s">
        <v>18</v>
      </c>
      <c r="E132" s="3" t="s">
        <v>16</v>
      </c>
      <c r="F132" s="5">
        <v>4605</v>
      </c>
      <c r="G132" s="5">
        <v>2469</v>
      </c>
      <c r="H132" s="6">
        <v>256734.33</v>
      </c>
      <c r="I132" s="22">
        <v>141531.6</v>
      </c>
      <c r="J132" s="24">
        <f t="shared" si="6"/>
        <v>9.8068971439065869E-4</v>
      </c>
      <c r="K132" s="25">
        <f t="shared" ref="K132:K195" si="8">J132+K131</f>
        <v>0.35201622584440734</v>
      </c>
      <c r="L132" s="26" t="s">
        <v>7516</v>
      </c>
      <c r="M132" s="28"/>
      <c r="N132" s="28"/>
      <c r="O132" s="20">
        <v>94156.2</v>
      </c>
      <c r="P132" s="27" t="str">
        <f t="shared" si="7"/>
        <v>laranja</v>
      </c>
    </row>
    <row r="133" spans="1:16" ht="25.5">
      <c r="A133" s="3" t="s">
        <v>4</v>
      </c>
      <c r="B133" s="3" t="s">
        <v>25</v>
      </c>
      <c r="C133" s="4">
        <v>39</v>
      </c>
      <c r="D133" s="3" t="s">
        <v>26</v>
      </c>
      <c r="E133" s="3" t="s">
        <v>13</v>
      </c>
      <c r="F133" s="5">
        <v>3912</v>
      </c>
      <c r="G133" s="5">
        <v>2967</v>
      </c>
      <c r="H133" s="6">
        <v>159448.54800000001</v>
      </c>
      <c r="I133" s="22">
        <v>141031.87400000001</v>
      </c>
      <c r="J133" s="24">
        <f t="shared" si="6"/>
        <v>9.7722705200138605E-4</v>
      </c>
      <c r="K133" s="25">
        <f t="shared" si="8"/>
        <v>0.35299345289640871</v>
      </c>
      <c r="L133" s="26" t="s">
        <v>7516</v>
      </c>
      <c r="M133" s="28"/>
      <c r="N133" s="28"/>
      <c r="O133" s="20" t="s">
        <v>7530</v>
      </c>
      <c r="P133" s="27" t="str">
        <f t="shared" si="7"/>
        <v>vermelho</v>
      </c>
    </row>
    <row r="134" spans="1:16" ht="25.5">
      <c r="A134" s="3" t="s">
        <v>5176</v>
      </c>
      <c r="B134" s="3" t="s">
        <v>5177</v>
      </c>
      <c r="C134" s="4">
        <v>178</v>
      </c>
      <c r="D134" s="3" t="s">
        <v>74</v>
      </c>
      <c r="E134" s="3" t="s">
        <v>7</v>
      </c>
      <c r="F134" s="5">
        <v>2274</v>
      </c>
      <c r="G134" s="5">
        <v>2250</v>
      </c>
      <c r="H134" s="6">
        <v>129576.522</v>
      </c>
      <c r="I134" s="22">
        <v>140350.95000000001</v>
      </c>
      <c r="J134" s="24">
        <f t="shared" si="6"/>
        <v>9.7250884657530635E-4</v>
      </c>
      <c r="K134" s="25">
        <f t="shared" si="8"/>
        <v>0.353965961742984</v>
      </c>
      <c r="L134" s="26" t="s">
        <v>7516</v>
      </c>
      <c r="M134" s="28"/>
      <c r="N134" s="28"/>
      <c r="O134" s="20">
        <v>44625.03</v>
      </c>
      <c r="P134" s="27" t="str">
        <f t="shared" si="7"/>
        <v>amarelo</v>
      </c>
    </row>
    <row r="135" spans="1:16">
      <c r="A135" s="3" t="s">
        <v>5178</v>
      </c>
      <c r="B135" s="3" t="s">
        <v>5179</v>
      </c>
      <c r="C135" s="4">
        <v>231</v>
      </c>
      <c r="D135" s="3" t="s">
        <v>52</v>
      </c>
      <c r="E135" s="3" t="s">
        <v>7</v>
      </c>
      <c r="F135" s="5">
        <v>4560</v>
      </c>
      <c r="G135" s="5">
        <v>2220</v>
      </c>
      <c r="H135" s="6">
        <v>268457.37</v>
      </c>
      <c r="I135" s="22">
        <v>139998.66</v>
      </c>
      <c r="J135" s="24">
        <f t="shared" si="6"/>
        <v>9.7006778620799131E-4</v>
      </c>
      <c r="K135" s="25">
        <f t="shared" si="8"/>
        <v>0.35493602952919201</v>
      </c>
      <c r="L135" s="26" t="s">
        <v>7516</v>
      </c>
      <c r="M135" s="28"/>
      <c r="N135" s="28"/>
      <c r="O135" s="20" t="s">
        <v>7530</v>
      </c>
      <c r="P135" s="27" t="str">
        <f t="shared" si="7"/>
        <v>vermelho</v>
      </c>
    </row>
    <row r="136" spans="1:16" ht="25.5">
      <c r="A136" s="3" t="s">
        <v>5180</v>
      </c>
      <c r="B136" s="3" t="s">
        <v>5181</v>
      </c>
      <c r="C136" s="4">
        <v>31</v>
      </c>
      <c r="D136" s="3" t="s">
        <v>194</v>
      </c>
      <c r="E136" s="3" t="s">
        <v>16</v>
      </c>
      <c r="F136" s="5">
        <v>1758</v>
      </c>
      <c r="G136" s="5">
        <v>2646</v>
      </c>
      <c r="H136" s="6">
        <v>81095.759999999995</v>
      </c>
      <c r="I136" s="22">
        <v>136465.174</v>
      </c>
      <c r="J136" s="24">
        <f t="shared" si="6"/>
        <v>9.4558383085001189E-4</v>
      </c>
      <c r="K136" s="25">
        <f t="shared" si="8"/>
        <v>0.35588161336004204</v>
      </c>
      <c r="L136" s="26" t="s">
        <v>7516</v>
      </c>
      <c r="M136" s="28"/>
      <c r="N136" s="28"/>
      <c r="O136" s="20" t="s">
        <v>7530</v>
      </c>
      <c r="P136" s="27" t="str">
        <f t="shared" si="7"/>
        <v>vermelho</v>
      </c>
    </row>
    <row r="137" spans="1:16" ht="25.5">
      <c r="A137" s="3" t="s">
        <v>5154</v>
      </c>
      <c r="B137" s="3" t="s">
        <v>4935</v>
      </c>
      <c r="C137" s="4">
        <v>194</v>
      </c>
      <c r="D137" s="3" t="s">
        <v>145</v>
      </c>
      <c r="E137" s="3" t="s">
        <v>16</v>
      </c>
      <c r="F137" s="5">
        <v>3210</v>
      </c>
      <c r="G137" s="5">
        <v>2514</v>
      </c>
      <c r="H137" s="6">
        <v>153838.92000000001</v>
      </c>
      <c r="I137" s="22">
        <v>135656.34</v>
      </c>
      <c r="J137" s="24">
        <f t="shared" si="6"/>
        <v>9.3997932143692349E-4</v>
      </c>
      <c r="K137" s="25">
        <f t="shared" si="8"/>
        <v>0.35682159268147895</v>
      </c>
      <c r="L137" s="26" t="s">
        <v>7516</v>
      </c>
      <c r="M137" s="28"/>
      <c r="N137" s="28"/>
      <c r="O137" s="20">
        <v>165339.81</v>
      </c>
      <c r="P137" s="27" t="str">
        <f t="shared" si="7"/>
        <v>verde</v>
      </c>
    </row>
    <row r="138" spans="1:16" ht="25.5">
      <c r="A138" s="3" t="s">
        <v>5182</v>
      </c>
      <c r="B138" s="3" t="s">
        <v>5183</v>
      </c>
      <c r="C138" s="4">
        <v>53</v>
      </c>
      <c r="D138" s="3" t="s">
        <v>34</v>
      </c>
      <c r="E138" s="3" t="s">
        <v>16</v>
      </c>
      <c r="F138" s="5">
        <v>4512</v>
      </c>
      <c r="G138" s="5">
        <v>2412</v>
      </c>
      <c r="H138" s="6">
        <v>226112.4</v>
      </c>
      <c r="I138" s="22">
        <v>134944.56</v>
      </c>
      <c r="J138" s="24">
        <f t="shared" si="6"/>
        <v>9.3504731102434435E-4</v>
      </c>
      <c r="K138" s="25">
        <f t="shared" si="8"/>
        <v>0.35775663999250329</v>
      </c>
      <c r="L138" s="26" t="s">
        <v>7516</v>
      </c>
      <c r="M138" s="28"/>
      <c r="N138" s="28"/>
      <c r="O138" s="20" t="s">
        <v>7530</v>
      </c>
      <c r="P138" s="27" t="str">
        <f t="shared" si="7"/>
        <v>vermelho</v>
      </c>
    </row>
    <row r="139" spans="1:16" ht="25.5">
      <c r="A139" s="3" t="s">
        <v>5184</v>
      </c>
      <c r="B139" s="3" t="s">
        <v>5185</v>
      </c>
      <c r="C139" s="4">
        <v>178</v>
      </c>
      <c r="D139" s="3" t="s">
        <v>74</v>
      </c>
      <c r="E139" s="3" t="s">
        <v>7</v>
      </c>
      <c r="F139" s="5">
        <v>2172</v>
      </c>
      <c r="G139" s="5">
        <v>2310</v>
      </c>
      <c r="H139" s="6">
        <v>124113.03</v>
      </c>
      <c r="I139" s="22">
        <v>134122.85999999999</v>
      </c>
      <c r="J139" s="24">
        <f t="shared" si="6"/>
        <v>9.2935365152840984E-4</v>
      </c>
      <c r="K139" s="25">
        <f t="shared" si="8"/>
        <v>0.3586859936440317</v>
      </c>
      <c r="L139" s="26" t="s">
        <v>7516</v>
      </c>
      <c r="M139" s="28"/>
      <c r="N139" s="28"/>
      <c r="O139" s="20">
        <v>61882.559999999998</v>
      </c>
      <c r="P139" s="27" t="str">
        <f t="shared" si="7"/>
        <v>amarelo</v>
      </c>
    </row>
    <row r="140" spans="1:16" ht="25.5">
      <c r="A140" s="3" t="s">
        <v>5186</v>
      </c>
      <c r="B140" s="3" t="s">
        <v>5187</v>
      </c>
      <c r="C140" s="4">
        <v>317</v>
      </c>
      <c r="D140" s="3" t="s">
        <v>78</v>
      </c>
      <c r="E140" s="3" t="s">
        <v>10</v>
      </c>
      <c r="F140" s="5">
        <v>915</v>
      </c>
      <c r="G140" s="5">
        <v>2061</v>
      </c>
      <c r="H140" s="6">
        <v>54708.03</v>
      </c>
      <c r="I140" s="22">
        <v>133673.4</v>
      </c>
      <c r="J140" s="24">
        <f t="shared" si="6"/>
        <v>9.262392883824409E-4</v>
      </c>
      <c r="K140" s="25">
        <f t="shared" si="8"/>
        <v>0.35961223293241412</v>
      </c>
      <c r="L140" s="26" t="s">
        <v>7516</v>
      </c>
      <c r="M140" s="28"/>
      <c r="N140" s="28"/>
      <c r="O140" s="20" t="s">
        <v>7530</v>
      </c>
      <c r="P140" s="27" t="str">
        <f t="shared" si="7"/>
        <v>vermelho</v>
      </c>
    </row>
    <row r="141" spans="1:16" ht="25.5">
      <c r="A141" s="3" t="s">
        <v>5188</v>
      </c>
      <c r="B141" s="3" t="s">
        <v>5189</v>
      </c>
      <c r="C141" s="4">
        <v>178</v>
      </c>
      <c r="D141" s="3" t="s">
        <v>74</v>
      </c>
      <c r="E141" s="3" t="s">
        <v>7</v>
      </c>
      <c r="F141" s="5">
        <v>1347</v>
      </c>
      <c r="G141" s="5">
        <v>2166</v>
      </c>
      <c r="H141" s="6">
        <v>68618.108999999997</v>
      </c>
      <c r="I141" s="22">
        <v>132966.42000000001</v>
      </c>
      <c r="J141" s="24">
        <f t="shared" si="6"/>
        <v>9.2134053775516124E-4</v>
      </c>
      <c r="K141" s="25">
        <f t="shared" si="8"/>
        <v>0.36053357347016929</v>
      </c>
      <c r="L141" s="26" t="s">
        <v>7516</v>
      </c>
      <c r="M141" s="28"/>
      <c r="N141" s="28"/>
      <c r="O141" s="20">
        <v>14988.6</v>
      </c>
      <c r="P141" s="27" t="str">
        <f t="shared" si="7"/>
        <v>amarelo</v>
      </c>
    </row>
    <row r="142" spans="1:16" ht="25.5">
      <c r="A142" s="3" t="s">
        <v>5190</v>
      </c>
      <c r="B142" s="3" t="s">
        <v>5191</v>
      </c>
      <c r="C142" s="4">
        <v>19</v>
      </c>
      <c r="D142" s="3" t="s">
        <v>72</v>
      </c>
      <c r="E142" s="3" t="s">
        <v>41</v>
      </c>
      <c r="F142" s="5">
        <v>2139</v>
      </c>
      <c r="G142" s="5">
        <v>2361</v>
      </c>
      <c r="H142" s="6">
        <v>113557.734</v>
      </c>
      <c r="I142" s="22">
        <v>132676.76</v>
      </c>
      <c r="J142" s="24">
        <f t="shared" si="6"/>
        <v>9.193334482947835E-4</v>
      </c>
      <c r="K142" s="25">
        <f t="shared" si="8"/>
        <v>0.36145290691846405</v>
      </c>
      <c r="L142" s="26" t="s">
        <v>7516</v>
      </c>
      <c r="M142" s="28"/>
      <c r="N142" s="28"/>
      <c r="O142" s="20">
        <v>40506.834000000003</v>
      </c>
      <c r="P142" s="27" t="str">
        <f t="shared" si="7"/>
        <v>amarelo</v>
      </c>
    </row>
    <row r="143" spans="1:16" ht="25.5">
      <c r="A143" s="3" t="s">
        <v>5192</v>
      </c>
      <c r="B143" s="3" t="s">
        <v>5193</v>
      </c>
      <c r="C143" s="4">
        <v>61</v>
      </c>
      <c r="D143" s="3" t="s">
        <v>48</v>
      </c>
      <c r="E143" s="3" t="s">
        <v>49</v>
      </c>
      <c r="F143" s="5">
        <v>1206</v>
      </c>
      <c r="G143" s="5">
        <v>2190</v>
      </c>
      <c r="H143" s="6">
        <v>60314.055</v>
      </c>
      <c r="I143" s="22">
        <v>132488.4</v>
      </c>
      <c r="J143" s="24">
        <f t="shared" si="6"/>
        <v>9.1802827888666093E-4</v>
      </c>
      <c r="K143" s="25">
        <f t="shared" si="8"/>
        <v>0.3623709351973507</v>
      </c>
      <c r="L143" s="26" t="s">
        <v>7516</v>
      </c>
      <c r="M143" s="28"/>
      <c r="N143" s="28"/>
      <c r="O143" s="20" t="s">
        <v>7530</v>
      </c>
      <c r="P143" s="27" t="str">
        <f t="shared" si="7"/>
        <v>vermelho</v>
      </c>
    </row>
    <row r="144" spans="1:16" ht="25.5">
      <c r="A144" s="3" t="s">
        <v>5194</v>
      </c>
      <c r="B144" s="3" t="s">
        <v>5195</v>
      </c>
      <c r="C144" s="4">
        <v>335</v>
      </c>
      <c r="D144" s="3" t="s">
        <v>36</v>
      </c>
      <c r="E144" s="3" t="s">
        <v>7</v>
      </c>
      <c r="F144" s="5">
        <v>3426</v>
      </c>
      <c r="G144" s="5">
        <v>1956</v>
      </c>
      <c r="H144" s="6">
        <v>216864.6</v>
      </c>
      <c r="I144" s="22">
        <v>132441.47</v>
      </c>
      <c r="J144" s="24">
        <f t="shared" si="6"/>
        <v>9.177030951941403E-4</v>
      </c>
      <c r="K144" s="25">
        <f t="shared" si="8"/>
        <v>0.36328863829254482</v>
      </c>
      <c r="L144" s="26" t="s">
        <v>7516</v>
      </c>
      <c r="M144" s="28"/>
      <c r="N144" s="28"/>
      <c r="O144" s="20">
        <v>56832.311999999998</v>
      </c>
      <c r="P144" s="27" t="str">
        <f t="shared" si="7"/>
        <v>amarelo</v>
      </c>
    </row>
    <row r="145" spans="1:16">
      <c r="A145" s="3" t="s">
        <v>5118</v>
      </c>
      <c r="B145" s="3" t="s">
        <v>5119</v>
      </c>
      <c r="C145" s="4">
        <v>342</v>
      </c>
      <c r="D145" s="3" t="s">
        <v>5120</v>
      </c>
      <c r="E145" s="3" t="s">
        <v>13</v>
      </c>
      <c r="F145" s="5">
        <v>7314</v>
      </c>
      <c r="G145" s="5">
        <v>1872</v>
      </c>
      <c r="H145" s="6">
        <v>409796.28</v>
      </c>
      <c r="I145" s="22">
        <v>131666.4</v>
      </c>
      <c r="J145" s="24">
        <f t="shared" si="6"/>
        <v>9.1233254065414522E-4</v>
      </c>
      <c r="K145" s="25">
        <f t="shared" si="8"/>
        <v>0.36420097083319897</v>
      </c>
      <c r="L145" s="26" t="s">
        <v>7516</v>
      </c>
      <c r="M145" s="28"/>
      <c r="N145" s="28"/>
      <c r="O145" s="20">
        <v>38205.599999999999</v>
      </c>
      <c r="P145" s="27" t="str">
        <f t="shared" si="7"/>
        <v>amarelo</v>
      </c>
    </row>
    <row r="146" spans="1:16" ht="25.5">
      <c r="A146" s="3" t="s">
        <v>5196</v>
      </c>
      <c r="B146" s="3" t="s">
        <v>5197</v>
      </c>
      <c r="C146" s="4">
        <v>335</v>
      </c>
      <c r="D146" s="3" t="s">
        <v>36</v>
      </c>
      <c r="E146" s="3" t="s">
        <v>7</v>
      </c>
      <c r="F146" s="5">
        <v>1884</v>
      </c>
      <c r="G146" s="5">
        <v>2364</v>
      </c>
      <c r="H146" s="6">
        <v>95251.86</v>
      </c>
      <c r="I146" s="22">
        <v>131222.655</v>
      </c>
      <c r="J146" s="24">
        <f t="shared" si="6"/>
        <v>9.0925777744004833E-4</v>
      </c>
      <c r="K146" s="25">
        <f t="shared" si="8"/>
        <v>0.36511022861063902</v>
      </c>
      <c r="L146" s="26" t="s">
        <v>7516</v>
      </c>
      <c r="M146" s="28"/>
      <c r="N146" s="28"/>
      <c r="O146" s="20">
        <v>42690.21</v>
      </c>
      <c r="P146" s="27" t="str">
        <f t="shared" si="7"/>
        <v>amarelo</v>
      </c>
    </row>
    <row r="147" spans="1:16" ht="25.5">
      <c r="A147" s="3" t="s">
        <v>5198</v>
      </c>
      <c r="B147" s="3" t="s">
        <v>5199</v>
      </c>
      <c r="C147" s="4">
        <v>197</v>
      </c>
      <c r="D147" s="3" t="s">
        <v>66</v>
      </c>
      <c r="E147" s="3" t="s">
        <v>41</v>
      </c>
      <c r="F147" s="5">
        <v>1428</v>
      </c>
      <c r="G147" s="5">
        <v>2124</v>
      </c>
      <c r="H147" s="6">
        <v>80943.648000000001</v>
      </c>
      <c r="I147" s="22">
        <v>130414.62</v>
      </c>
      <c r="J147" s="24">
        <f t="shared" si="6"/>
        <v>9.0365880439538786E-4</v>
      </c>
      <c r="K147" s="25">
        <f t="shared" si="8"/>
        <v>0.36601388741503443</v>
      </c>
      <c r="L147" s="26" t="s">
        <v>7516</v>
      </c>
      <c r="M147" s="28"/>
      <c r="N147" s="28"/>
      <c r="O147" s="20">
        <v>41933.269999999997</v>
      </c>
      <c r="P147" s="27" t="str">
        <f t="shared" si="7"/>
        <v>amarelo</v>
      </c>
    </row>
    <row r="148" spans="1:16" ht="25.5">
      <c r="A148" s="3" t="s">
        <v>4</v>
      </c>
      <c r="B148" s="3" t="s">
        <v>27</v>
      </c>
      <c r="C148" s="4">
        <v>74</v>
      </c>
      <c r="D148" s="3" t="s">
        <v>6</v>
      </c>
      <c r="E148" s="3" t="s">
        <v>7</v>
      </c>
      <c r="F148" s="5">
        <v>2028</v>
      </c>
      <c r="G148" s="5">
        <v>2034</v>
      </c>
      <c r="H148" s="6">
        <v>122487.24</v>
      </c>
      <c r="I148" s="22">
        <v>129308.85</v>
      </c>
      <c r="J148" s="24">
        <f t="shared" si="6"/>
        <v>8.9599678923070556E-4</v>
      </c>
      <c r="K148" s="25">
        <f t="shared" si="8"/>
        <v>0.36690988420426512</v>
      </c>
      <c r="L148" s="26" t="s">
        <v>7516</v>
      </c>
      <c r="M148" s="28"/>
      <c r="N148" s="28"/>
      <c r="O148" s="20">
        <v>55112.85</v>
      </c>
      <c r="P148" s="27" t="str">
        <f t="shared" si="7"/>
        <v>amarelo</v>
      </c>
    </row>
    <row r="149" spans="1:16" ht="38.25">
      <c r="A149" s="3" t="s">
        <v>5200</v>
      </c>
      <c r="B149" s="3" t="s">
        <v>5201</v>
      </c>
      <c r="C149" s="4">
        <v>34</v>
      </c>
      <c r="D149" s="3" t="s">
        <v>54</v>
      </c>
      <c r="E149" s="3" t="s">
        <v>49</v>
      </c>
      <c r="F149" s="5">
        <v>2526</v>
      </c>
      <c r="G149" s="5">
        <v>2052</v>
      </c>
      <c r="H149" s="6">
        <v>143429.622</v>
      </c>
      <c r="I149" s="22">
        <v>129075.6</v>
      </c>
      <c r="J149" s="24">
        <f t="shared" si="6"/>
        <v>8.9438057153881471E-4</v>
      </c>
      <c r="K149" s="25">
        <f t="shared" si="8"/>
        <v>0.36780426477580391</v>
      </c>
      <c r="L149" s="26" t="s">
        <v>7516</v>
      </c>
      <c r="M149" s="28"/>
      <c r="N149" s="28"/>
      <c r="O149" s="20">
        <v>10228.799999999999</v>
      </c>
      <c r="P149" s="27" t="str">
        <f t="shared" si="7"/>
        <v>amarelo</v>
      </c>
    </row>
    <row r="150" spans="1:16" ht="25.5">
      <c r="A150" s="3" t="s">
        <v>5204</v>
      </c>
      <c r="B150" s="3" t="s">
        <v>5205</v>
      </c>
      <c r="C150" s="4">
        <v>41</v>
      </c>
      <c r="D150" s="3" t="s">
        <v>178</v>
      </c>
      <c r="E150" s="3" t="s">
        <v>41</v>
      </c>
      <c r="F150" s="5">
        <v>4416</v>
      </c>
      <c r="G150" s="5">
        <v>2253</v>
      </c>
      <c r="H150" s="6">
        <v>238911.96599999999</v>
      </c>
      <c r="I150" s="22">
        <v>128139.655</v>
      </c>
      <c r="J150" s="24">
        <f t="shared" si="6"/>
        <v>8.8789529450714565E-4</v>
      </c>
      <c r="K150" s="25">
        <f t="shared" si="8"/>
        <v>0.36869216007031108</v>
      </c>
      <c r="L150" s="26" t="s">
        <v>7516</v>
      </c>
      <c r="M150" s="28"/>
      <c r="N150" s="28"/>
      <c r="O150" s="20">
        <v>60800.004999999997</v>
      </c>
      <c r="P150" s="27" t="str">
        <f t="shared" si="7"/>
        <v>amarelo</v>
      </c>
    </row>
    <row r="151" spans="1:16" ht="25.5">
      <c r="A151" s="3" t="s">
        <v>5206</v>
      </c>
      <c r="B151" s="3" t="s">
        <v>5207</v>
      </c>
      <c r="C151" s="4">
        <v>178</v>
      </c>
      <c r="D151" s="3" t="s">
        <v>74</v>
      </c>
      <c r="E151" s="3" t="s">
        <v>7</v>
      </c>
      <c r="F151" s="5">
        <v>1626</v>
      </c>
      <c r="G151" s="5">
        <v>2088</v>
      </c>
      <c r="H151" s="6">
        <v>87728.028999999995</v>
      </c>
      <c r="I151" s="22">
        <v>127995.251</v>
      </c>
      <c r="J151" s="24">
        <f t="shared" si="6"/>
        <v>8.8689470158290218E-4</v>
      </c>
      <c r="K151" s="25">
        <f t="shared" si="8"/>
        <v>0.36957905477189401</v>
      </c>
      <c r="L151" s="26" t="s">
        <v>7516</v>
      </c>
      <c r="M151" s="28"/>
      <c r="N151" s="28"/>
      <c r="O151" s="20">
        <v>62947.129000000001</v>
      </c>
      <c r="P151" s="27" t="str">
        <f t="shared" si="7"/>
        <v>amarelo</v>
      </c>
    </row>
    <row r="152" spans="1:16" ht="25.5">
      <c r="A152" s="3" t="s">
        <v>5208</v>
      </c>
      <c r="B152" s="3" t="s">
        <v>5209</v>
      </c>
      <c r="C152" s="4">
        <v>31</v>
      </c>
      <c r="D152" s="3" t="s">
        <v>194</v>
      </c>
      <c r="E152" s="3" t="s">
        <v>16</v>
      </c>
      <c r="F152" s="5">
        <v>2013</v>
      </c>
      <c r="G152" s="5">
        <v>2238</v>
      </c>
      <c r="H152" s="6">
        <v>111706.32</v>
      </c>
      <c r="I152" s="22">
        <v>127262.55</v>
      </c>
      <c r="J152" s="24">
        <f t="shared" si="6"/>
        <v>8.8181772701027134E-4</v>
      </c>
      <c r="K152" s="25">
        <f t="shared" si="8"/>
        <v>0.3704608724989043</v>
      </c>
      <c r="L152" s="26" t="s">
        <v>7516</v>
      </c>
      <c r="M152" s="28"/>
      <c r="N152" s="28"/>
      <c r="O152" s="20">
        <v>104235.18</v>
      </c>
      <c r="P152" s="27" t="str">
        <f t="shared" si="7"/>
        <v>laranja</v>
      </c>
    </row>
    <row r="153" spans="1:16" ht="25.5">
      <c r="A153" s="3" t="s">
        <v>5210</v>
      </c>
      <c r="B153" s="3" t="s">
        <v>5211</v>
      </c>
      <c r="C153" s="4">
        <v>61</v>
      </c>
      <c r="D153" s="3" t="s">
        <v>48</v>
      </c>
      <c r="E153" s="3" t="s">
        <v>49</v>
      </c>
      <c r="F153" s="5">
        <v>0</v>
      </c>
      <c r="G153" s="5">
        <v>2100</v>
      </c>
      <c r="H153" s="6">
        <v>0</v>
      </c>
      <c r="I153" s="22">
        <v>127257</v>
      </c>
      <c r="J153" s="24">
        <f t="shared" si="6"/>
        <v>8.8177927038351892E-4</v>
      </c>
      <c r="K153" s="25">
        <f t="shared" si="8"/>
        <v>0.37134265176928782</v>
      </c>
      <c r="L153" s="26" t="s">
        <v>7516</v>
      </c>
      <c r="M153" s="28"/>
      <c r="N153" s="28"/>
      <c r="O153" s="20" t="s">
        <v>7530</v>
      </c>
      <c r="P153" s="27" t="str">
        <f t="shared" si="7"/>
        <v>vermelho</v>
      </c>
    </row>
    <row r="154" spans="1:16" ht="25.5">
      <c r="A154" s="3" t="s">
        <v>4</v>
      </c>
      <c r="B154" s="3" t="s">
        <v>28</v>
      </c>
      <c r="C154" s="4">
        <v>93</v>
      </c>
      <c r="D154" s="3" t="s">
        <v>20</v>
      </c>
      <c r="E154" s="3" t="s">
        <v>7</v>
      </c>
      <c r="F154" s="5">
        <v>1959</v>
      </c>
      <c r="G154" s="5">
        <v>2037</v>
      </c>
      <c r="H154" s="6">
        <v>106605.174</v>
      </c>
      <c r="I154" s="22">
        <v>126831.9</v>
      </c>
      <c r="J154" s="24">
        <f t="shared" si="6"/>
        <v>8.7883370064794416E-4</v>
      </c>
      <c r="K154" s="25">
        <f t="shared" si="8"/>
        <v>0.37222148546993578</v>
      </c>
      <c r="L154" s="26" t="s">
        <v>7516</v>
      </c>
      <c r="M154" s="28"/>
      <c r="N154" s="28"/>
      <c r="O154" s="20">
        <v>42534.6</v>
      </c>
      <c r="P154" s="27" t="str">
        <f t="shared" si="7"/>
        <v>amarelo</v>
      </c>
    </row>
    <row r="155" spans="1:16" ht="25.5">
      <c r="A155" s="3" t="s">
        <v>5212</v>
      </c>
      <c r="B155" s="3" t="s">
        <v>5213</v>
      </c>
      <c r="C155" s="4">
        <v>317</v>
      </c>
      <c r="D155" s="3" t="s">
        <v>78</v>
      </c>
      <c r="E155" s="3" t="s">
        <v>10</v>
      </c>
      <c r="F155" s="5">
        <v>468</v>
      </c>
      <c r="G155" s="5">
        <v>2013</v>
      </c>
      <c r="H155" s="6">
        <v>25183.62</v>
      </c>
      <c r="I155" s="22">
        <v>125818.05</v>
      </c>
      <c r="J155" s="24">
        <f t="shared" si="6"/>
        <v>8.7180861037174464E-4</v>
      </c>
      <c r="K155" s="25">
        <f t="shared" si="8"/>
        <v>0.3730932940803075</v>
      </c>
      <c r="L155" s="26" t="s">
        <v>7516</v>
      </c>
      <c r="M155" s="28"/>
      <c r="N155" s="28"/>
      <c r="O155" s="20" t="s">
        <v>7530</v>
      </c>
      <c r="P155" s="27" t="str">
        <f t="shared" si="7"/>
        <v>vermelho</v>
      </c>
    </row>
    <row r="156" spans="1:16" ht="25.5">
      <c r="A156" s="3" t="s">
        <v>5214</v>
      </c>
      <c r="B156" s="3" t="s">
        <v>5215</v>
      </c>
      <c r="C156" s="4">
        <v>328</v>
      </c>
      <c r="D156" s="3" t="s">
        <v>215</v>
      </c>
      <c r="E156" s="3" t="s">
        <v>41</v>
      </c>
      <c r="F156" s="5">
        <v>2784</v>
      </c>
      <c r="G156" s="5">
        <v>2706</v>
      </c>
      <c r="H156" s="6">
        <v>153173.51999999999</v>
      </c>
      <c r="I156" s="22">
        <v>124207.98</v>
      </c>
      <c r="J156" s="24">
        <f t="shared" si="6"/>
        <v>8.6065223901404808E-4</v>
      </c>
      <c r="K156" s="25">
        <f t="shared" si="8"/>
        <v>0.37395394631932155</v>
      </c>
      <c r="L156" s="26" t="s">
        <v>7516</v>
      </c>
      <c r="M156" s="28"/>
      <c r="N156" s="28"/>
      <c r="O156" s="20" t="s">
        <v>7530</v>
      </c>
      <c r="P156" s="27" t="str">
        <f t="shared" si="7"/>
        <v>vermelho</v>
      </c>
    </row>
    <row r="157" spans="1:16" ht="38.25">
      <c r="A157" s="3" t="s">
        <v>5216</v>
      </c>
      <c r="B157" s="3" t="s">
        <v>5217</v>
      </c>
      <c r="C157" s="4">
        <v>11</v>
      </c>
      <c r="D157" s="3" t="s">
        <v>61</v>
      </c>
      <c r="E157" s="3" t="s">
        <v>10</v>
      </c>
      <c r="F157" s="5">
        <v>810</v>
      </c>
      <c r="G157" s="5">
        <v>2061</v>
      </c>
      <c r="H157" s="6">
        <v>46442.04</v>
      </c>
      <c r="I157" s="22">
        <v>124076.97</v>
      </c>
      <c r="J157" s="24">
        <f t="shared" si="6"/>
        <v>8.5974445474903364E-4</v>
      </c>
      <c r="K157" s="25">
        <f t="shared" si="8"/>
        <v>0.37481369077407056</v>
      </c>
      <c r="L157" s="26" t="s">
        <v>7516</v>
      </c>
      <c r="M157" s="28"/>
      <c r="N157" s="28"/>
      <c r="O157" s="20" t="s">
        <v>7530</v>
      </c>
      <c r="P157" s="27" t="str">
        <f t="shared" si="7"/>
        <v>vermelho</v>
      </c>
    </row>
    <row r="158" spans="1:16" ht="25.5">
      <c r="A158" s="3" t="s">
        <v>4</v>
      </c>
      <c r="B158" s="3" t="s">
        <v>29</v>
      </c>
      <c r="C158" s="4">
        <v>15</v>
      </c>
      <c r="D158" s="3" t="s">
        <v>18</v>
      </c>
      <c r="E158" s="3" t="s">
        <v>16</v>
      </c>
      <c r="F158" s="5">
        <v>1200</v>
      </c>
      <c r="G158" s="5">
        <v>2052</v>
      </c>
      <c r="H158" s="6">
        <v>70900.679999999993</v>
      </c>
      <c r="I158" s="22">
        <v>123680.16</v>
      </c>
      <c r="J158" s="24">
        <f t="shared" si="6"/>
        <v>8.56994909873067E-4</v>
      </c>
      <c r="K158" s="25">
        <f t="shared" si="8"/>
        <v>0.37567068568394363</v>
      </c>
      <c r="L158" s="26" t="s">
        <v>7516</v>
      </c>
      <c r="M158" s="28"/>
      <c r="N158" s="28"/>
      <c r="O158" s="20" t="s">
        <v>7530</v>
      </c>
      <c r="P158" s="27" t="str">
        <f t="shared" si="7"/>
        <v>vermelho</v>
      </c>
    </row>
    <row r="159" spans="1:16" ht="25.5">
      <c r="A159" s="3" t="s">
        <v>4</v>
      </c>
      <c r="B159" s="3" t="s">
        <v>30</v>
      </c>
      <c r="C159" s="4">
        <v>93</v>
      </c>
      <c r="D159" s="3" t="s">
        <v>20</v>
      </c>
      <c r="E159" s="3" t="s">
        <v>7</v>
      </c>
      <c r="F159" s="5">
        <v>0</v>
      </c>
      <c r="G159" s="5">
        <v>2208</v>
      </c>
      <c r="H159" s="6">
        <v>0</v>
      </c>
      <c r="I159" s="22">
        <v>122073.42</v>
      </c>
      <c r="J159" s="24">
        <f t="shared" si="6"/>
        <v>8.4586161249142189E-4</v>
      </c>
      <c r="K159" s="25">
        <f t="shared" si="8"/>
        <v>0.37651654729643502</v>
      </c>
      <c r="L159" s="26" t="s">
        <v>7516</v>
      </c>
      <c r="M159" s="28">
        <v>-6.6635489657300304E-2</v>
      </c>
      <c r="N159" s="28"/>
      <c r="O159" s="20">
        <v>50250.54</v>
      </c>
      <c r="P159" s="27" t="str">
        <f t="shared" si="7"/>
        <v>amarelo</v>
      </c>
    </row>
    <row r="160" spans="1:16" ht="25.5">
      <c r="A160" s="3" t="s">
        <v>5218</v>
      </c>
      <c r="B160" s="3" t="s">
        <v>5219</v>
      </c>
      <c r="C160" s="4">
        <v>178</v>
      </c>
      <c r="D160" s="3" t="s">
        <v>74</v>
      </c>
      <c r="E160" s="3" t="s">
        <v>7</v>
      </c>
      <c r="F160" s="5">
        <v>1536</v>
      </c>
      <c r="G160" s="5">
        <v>2079</v>
      </c>
      <c r="H160" s="6">
        <v>92247.96</v>
      </c>
      <c r="I160" s="22">
        <v>122052.45</v>
      </c>
      <c r="J160" s="24">
        <f t="shared" si="6"/>
        <v>8.457163088043953E-4</v>
      </c>
      <c r="K160" s="25">
        <f t="shared" si="8"/>
        <v>0.37736226360523945</v>
      </c>
      <c r="L160" s="26" t="s">
        <v>7516</v>
      </c>
      <c r="M160" s="28"/>
      <c r="N160" s="28"/>
      <c r="O160" s="20" t="s">
        <v>7530</v>
      </c>
      <c r="P160" s="27" t="str">
        <f t="shared" si="7"/>
        <v>vermelho</v>
      </c>
    </row>
    <row r="161" spans="1:16" ht="38.25">
      <c r="A161" s="11" t="s">
        <v>5220</v>
      </c>
      <c r="B161" s="11" t="s">
        <v>5221</v>
      </c>
      <c r="C161" s="12">
        <v>301</v>
      </c>
      <c r="D161" s="11" t="s">
        <v>519</v>
      </c>
      <c r="E161" s="11" t="s">
        <v>16</v>
      </c>
      <c r="F161" s="13">
        <v>2589</v>
      </c>
      <c r="G161" s="13">
        <v>2079</v>
      </c>
      <c r="H161" s="14">
        <v>134817.99</v>
      </c>
      <c r="I161" s="21">
        <v>121946.37</v>
      </c>
      <c r="J161" s="24">
        <f t="shared" si="6"/>
        <v>8.4498126754927935E-4</v>
      </c>
      <c r="K161" s="25">
        <f t="shared" si="8"/>
        <v>0.37820724487278873</v>
      </c>
      <c r="L161" s="26" t="s">
        <v>7516</v>
      </c>
      <c r="M161" s="28"/>
      <c r="N161" s="28"/>
      <c r="O161" s="20" t="s">
        <v>7530</v>
      </c>
      <c r="P161" s="27" t="str">
        <f t="shared" si="7"/>
        <v>vermelho</v>
      </c>
    </row>
    <row r="162" spans="1:16" ht="25.5">
      <c r="A162" s="3" t="s">
        <v>5222</v>
      </c>
      <c r="B162" s="3" t="s">
        <v>5223</v>
      </c>
      <c r="C162" s="4">
        <v>297</v>
      </c>
      <c r="D162" s="3" t="s">
        <v>115</v>
      </c>
      <c r="E162" s="3" t="s">
        <v>41</v>
      </c>
      <c r="F162" s="5">
        <v>1815</v>
      </c>
      <c r="G162" s="5">
        <v>2007</v>
      </c>
      <c r="H162" s="6">
        <v>107173.92</v>
      </c>
      <c r="I162" s="22">
        <v>121555.395</v>
      </c>
      <c r="J162" s="24">
        <f t="shared" si="6"/>
        <v>8.4227215409981735E-4</v>
      </c>
      <c r="K162" s="25">
        <f t="shared" si="8"/>
        <v>0.37904951702688855</v>
      </c>
      <c r="L162" s="26" t="s">
        <v>7516</v>
      </c>
      <c r="M162" s="28"/>
      <c r="N162" s="28"/>
      <c r="O162" s="20">
        <v>39031.572</v>
      </c>
      <c r="P162" s="27" t="str">
        <f t="shared" si="7"/>
        <v>amarelo</v>
      </c>
    </row>
    <row r="163" spans="1:16" ht="25.5">
      <c r="A163" s="3" t="s">
        <v>5224</v>
      </c>
      <c r="B163" s="3" t="s">
        <v>5225</v>
      </c>
      <c r="C163" s="4">
        <v>74</v>
      </c>
      <c r="D163" s="3" t="s">
        <v>6</v>
      </c>
      <c r="E163" s="3" t="s">
        <v>7</v>
      </c>
      <c r="F163" s="5">
        <v>1191</v>
      </c>
      <c r="G163" s="5">
        <v>1887</v>
      </c>
      <c r="H163" s="6">
        <v>71668.679999999993</v>
      </c>
      <c r="I163" s="22">
        <v>121138.5</v>
      </c>
      <c r="J163" s="24">
        <f t="shared" si="6"/>
        <v>8.3938343780973863E-4</v>
      </c>
      <c r="K163" s="25">
        <f t="shared" si="8"/>
        <v>0.37988890046469831</v>
      </c>
      <c r="L163" s="26" t="s">
        <v>7516</v>
      </c>
      <c r="M163" s="28"/>
      <c r="N163" s="28"/>
      <c r="O163" s="20">
        <v>26741.19</v>
      </c>
      <c r="P163" s="27" t="str">
        <f t="shared" si="7"/>
        <v>amarelo</v>
      </c>
    </row>
    <row r="164" spans="1:16" ht="38.25">
      <c r="A164" s="3" t="s">
        <v>4</v>
      </c>
      <c r="B164" s="3" t="s">
        <v>31</v>
      </c>
      <c r="C164" s="4">
        <v>74</v>
      </c>
      <c r="D164" s="3" t="s">
        <v>6</v>
      </c>
      <c r="E164" s="3" t="s">
        <v>7</v>
      </c>
      <c r="F164" s="5">
        <v>1338</v>
      </c>
      <c r="G164" s="5">
        <v>1881</v>
      </c>
      <c r="H164" s="6">
        <v>81403.649999999994</v>
      </c>
      <c r="I164" s="22">
        <v>121028.82</v>
      </c>
      <c r="J164" s="24">
        <f t="shared" si="6"/>
        <v>8.3862345171564832E-4</v>
      </c>
      <c r="K164" s="25">
        <f t="shared" si="8"/>
        <v>0.38072752391641396</v>
      </c>
      <c r="L164" s="26" t="s">
        <v>7516</v>
      </c>
      <c r="M164" s="28">
        <v>-5.2604224116582381E-2</v>
      </c>
      <c r="N164" s="28"/>
      <c r="O164" s="20">
        <v>66987.210000000006</v>
      </c>
      <c r="P164" s="27" t="str">
        <f t="shared" si="7"/>
        <v>laranja</v>
      </c>
    </row>
    <row r="165" spans="1:16" ht="25.5">
      <c r="A165" s="3" t="s">
        <v>5226</v>
      </c>
      <c r="B165" s="3" t="s">
        <v>5227</v>
      </c>
      <c r="C165" s="4">
        <v>297</v>
      </c>
      <c r="D165" s="3" t="s">
        <v>115</v>
      </c>
      <c r="E165" s="3" t="s">
        <v>41</v>
      </c>
      <c r="F165" s="5">
        <v>1950</v>
      </c>
      <c r="G165" s="5">
        <v>2129</v>
      </c>
      <c r="H165" s="6">
        <v>95653.02</v>
      </c>
      <c r="I165" s="22">
        <v>120451.477</v>
      </c>
      <c r="J165" s="24">
        <f t="shared" si="6"/>
        <v>8.3462297166896288E-4</v>
      </c>
      <c r="K165" s="25">
        <f t="shared" si="8"/>
        <v>0.38156214688808293</v>
      </c>
      <c r="L165" s="26" t="s">
        <v>7516</v>
      </c>
      <c r="M165" s="28"/>
      <c r="N165" s="28"/>
      <c r="O165" s="20">
        <v>7019.6760000000004</v>
      </c>
      <c r="P165" s="27" t="str">
        <f t="shared" si="7"/>
        <v>amarelo</v>
      </c>
    </row>
    <row r="166" spans="1:16" ht="25.5">
      <c r="A166" s="3" t="s">
        <v>5228</v>
      </c>
      <c r="B166" s="3" t="s">
        <v>5229</v>
      </c>
      <c r="C166" s="4">
        <v>61</v>
      </c>
      <c r="D166" s="3" t="s">
        <v>48</v>
      </c>
      <c r="E166" s="3" t="s">
        <v>49</v>
      </c>
      <c r="F166" s="5">
        <v>5316</v>
      </c>
      <c r="G166" s="5">
        <v>2052</v>
      </c>
      <c r="H166" s="6">
        <v>242940.72</v>
      </c>
      <c r="I166" s="22">
        <v>120149.16</v>
      </c>
      <c r="J166" s="24">
        <f t="shared" si="6"/>
        <v>8.3252818031222394E-4</v>
      </c>
      <c r="K166" s="25">
        <f t="shared" si="8"/>
        <v>0.38239467506839514</v>
      </c>
      <c r="L166" s="26" t="s">
        <v>7516</v>
      </c>
      <c r="M166" s="28"/>
      <c r="N166" s="28"/>
      <c r="O166" s="20">
        <v>83250.244000000006</v>
      </c>
      <c r="P166" s="27" t="str">
        <f t="shared" si="7"/>
        <v>laranja</v>
      </c>
    </row>
    <row r="167" spans="1:16">
      <c r="A167" s="3" t="s">
        <v>4</v>
      </c>
      <c r="B167" s="3" t="s">
        <v>32</v>
      </c>
      <c r="C167" s="4">
        <v>15</v>
      </c>
      <c r="D167" s="3" t="s">
        <v>18</v>
      </c>
      <c r="E167" s="3" t="s">
        <v>16</v>
      </c>
      <c r="F167" s="5">
        <v>2988</v>
      </c>
      <c r="G167" s="5">
        <v>2016</v>
      </c>
      <c r="H167" s="6">
        <v>168168.24</v>
      </c>
      <c r="I167" s="22">
        <v>120126.455</v>
      </c>
      <c r="J167" s="24">
        <f t="shared" si="6"/>
        <v>8.3237085459863603E-4</v>
      </c>
      <c r="K167" s="25">
        <f t="shared" si="8"/>
        <v>0.38322704592299378</v>
      </c>
      <c r="L167" s="26" t="s">
        <v>7516</v>
      </c>
      <c r="M167" s="28"/>
      <c r="N167" s="28"/>
      <c r="O167" s="20" t="s">
        <v>7530</v>
      </c>
      <c r="P167" s="27" t="str">
        <f t="shared" si="7"/>
        <v>vermelho</v>
      </c>
    </row>
    <row r="168" spans="1:16" ht="25.5">
      <c r="A168" s="3" t="s">
        <v>5149</v>
      </c>
      <c r="B168" s="3" t="s">
        <v>4963</v>
      </c>
      <c r="C168" s="4">
        <v>194</v>
      </c>
      <c r="D168" s="3" t="s">
        <v>145</v>
      </c>
      <c r="E168" s="3" t="s">
        <v>16</v>
      </c>
      <c r="F168" s="5">
        <v>1248</v>
      </c>
      <c r="G168" s="5">
        <v>2391</v>
      </c>
      <c r="H168" s="6">
        <v>70811.28</v>
      </c>
      <c r="I168" s="22">
        <v>119963.7</v>
      </c>
      <c r="J168" s="24">
        <f t="shared" si="6"/>
        <v>8.3124310535771979E-4</v>
      </c>
      <c r="K168" s="25">
        <f t="shared" si="8"/>
        <v>0.38405828902835148</v>
      </c>
      <c r="L168" s="26" t="s">
        <v>7516</v>
      </c>
      <c r="M168" s="28"/>
      <c r="N168" s="28"/>
      <c r="O168" s="20">
        <v>284940.21000000002</v>
      </c>
      <c r="P168" s="27" t="str">
        <f t="shared" si="7"/>
        <v>verde</v>
      </c>
    </row>
    <row r="169" spans="1:16" ht="25.5">
      <c r="A169" s="3" t="s">
        <v>4</v>
      </c>
      <c r="B169" s="3" t="s">
        <v>33</v>
      </c>
      <c r="C169" s="4">
        <v>53</v>
      </c>
      <c r="D169" s="3" t="s">
        <v>34</v>
      </c>
      <c r="E169" s="3" t="s">
        <v>16</v>
      </c>
      <c r="F169" s="5">
        <v>3033</v>
      </c>
      <c r="G169" s="5">
        <v>2097</v>
      </c>
      <c r="H169" s="6">
        <v>159527.28</v>
      </c>
      <c r="I169" s="22">
        <v>119714.1</v>
      </c>
      <c r="J169" s="24">
        <f t="shared" si="6"/>
        <v>8.2951359652215311E-4</v>
      </c>
      <c r="K169" s="25">
        <f t="shared" si="8"/>
        <v>0.38488780262487365</v>
      </c>
      <c r="L169" s="26" t="s">
        <v>7516</v>
      </c>
      <c r="M169" s="28">
        <v>-3.0843016284341069E-2</v>
      </c>
      <c r="N169" s="28"/>
      <c r="O169" s="20">
        <v>15896.88</v>
      </c>
      <c r="P169" s="27" t="str">
        <f t="shared" si="7"/>
        <v>amarelo</v>
      </c>
    </row>
    <row r="170" spans="1:16" ht="25.5">
      <c r="A170" s="3" t="s">
        <v>4</v>
      </c>
      <c r="B170" s="3" t="s">
        <v>35</v>
      </c>
      <c r="C170" s="4">
        <v>335</v>
      </c>
      <c r="D170" s="3" t="s">
        <v>36</v>
      </c>
      <c r="E170" s="3" t="s">
        <v>7</v>
      </c>
      <c r="F170" s="5">
        <v>2247</v>
      </c>
      <c r="G170" s="5">
        <v>1866</v>
      </c>
      <c r="H170" s="6">
        <v>131892.78</v>
      </c>
      <c r="I170" s="22">
        <v>119631.78599999999</v>
      </c>
      <c r="J170" s="24">
        <f t="shared" si="6"/>
        <v>8.2894323277900056E-4</v>
      </c>
      <c r="K170" s="25">
        <f t="shared" si="8"/>
        <v>0.38571674585765264</v>
      </c>
      <c r="L170" s="26" t="s">
        <v>7516</v>
      </c>
      <c r="M170" s="28"/>
      <c r="N170" s="28"/>
      <c r="O170" s="20">
        <v>55987.74</v>
      </c>
      <c r="P170" s="27" t="str">
        <f t="shared" si="7"/>
        <v>amarelo</v>
      </c>
    </row>
    <row r="171" spans="1:16">
      <c r="A171" s="3" t="s">
        <v>5123</v>
      </c>
      <c r="B171" s="3" t="s">
        <v>5124</v>
      </c>
      <c r="C171" s="4">
        <v>232</v>
      </c>
      <c r="D171" s="3" t="s">
        <v>174</v>
      </c>
      <c r="E171" s="3" t="s">
        <v>16</v>
      </c>
      <c r="F171" s="5">
        <v>1644</v>
      </c>
      <c r="G171" s="5">
        <v>2244</v>
      </c>
      <c r="H171" s="6">
        <v>81441.72</v>
      </c>
      <c r="I171" s="22">
        <v>119518.33199999999</v>
      </c>
      <c r="J171" s="24">
        <f t="shared" si="6"/>
        <v>8.2815709617871847E-4</v>
      </c>
      <c r="K171" s="25">
        <f t="shared" si="8"/>
        <v>0.38654490295383137</v>
      </c>
      <c r="L171" s="26" t="s">
        <v>7516</v>
      </c>
      <c r="M171" s="28"/>
      <c r="N171" s="28"/>
      <c r="O171" s="20">
        <v>26313.093000000001</v>
      </c>
      <c r="P171" s="27" t="str">
        <f t="shared" si="7"/>
        <v>amarelo</v>
      </c>
    </row>
    <row r="172" spans="1:16" ht="25.5">
      <c r="A172" s="3" t="s">
        <v>5202</v>
      </c>
      <c r="B172" s="3" t="s">
        <v>5203</v>
      </c>
      <c r="C172" s="4">
        <v>328</v>
      </c>
      <c r="D172" s="3" t="s">
        <v>215</v>
      </c>
      <c r="E172" s="3" t="s">
        <v>41</v>
      </c>
      <c r="F172" s="5">
        <v>591</v>
      </c>
      <c r="G172" s="5">
        <v>2036</v>
      </c>
      <c r="H172" s="6">
        <v>31110.240000000002</v>
      </c>
      <c r="I172" s="22">
        <v>119072.746</v>
      </c>
      <c r="J172" s="24">
        <f t="shared" si="6"/>
        <v>8.2506957645113487E-4</v>
      </c>
      <c r="K172" s="25">
        <f t="shared" si="8"/>
        <v>0.38736997253028249</v>
      </c>
      <c r="L172" s="26" t="s">
        <v>7516</v>
      </c>
      <c r="M172" s="28"/>
      <c r="N172" s="28"/>
      <c r="O172" s="20">
        <v>17278.596000000001</v>
      </c>
      <c r="P172" s="27" t="str">
        <f t="shared" si="7"/>
        <v>amarelo</v>
      </c>
    </row>
    <row r="173" spans="1:16" ht="25.5">
      <c r="A173" s="3" t="s">
        <v>4</v>
      </c>
      <c r="B173" s="3" t="s">
        <v>37</v>
      </c>
      <c r="C173" s="4">
        <v>39</v>
      </c>
      <c r="D173" s="3" t="s">
        <v>26</v>
      </c>
      <c r="E173" s="3" t="s">
        <v>13</v>
      </c>
      <c r="F173" s="5">
        <v>1146</v>
      </c>
      <c r="G173" s="5">
        <v>2523</v>
      </c>
      <c r="H173" s="6">
        <v>45010.5</v>
      </c>
      <c r="I173" s="22">
        <v>118967.364</v>
      </c>
      <c r="J173" s="24">
        <f t="shared" si="6"/>
        <v>8.2433937172313133E-4</v>
      </c>
      <c r="K173" s="25">
        <f t="shared" si="8"/>
        <v>0.3881943119020056</v>
      </c>
      <c r="L173" s="26" t="s">
        <v>7516</v>
      </c>
      <c r="M173" s="28"/>
      <c r="N173" s="28"/>
      <c r="O173" s="20">
        <v>6852.74</v>
      </c>
      <c r="P173" s="27" t="str">
        <f t="shared" si="7"/>
        <v>amarelo</v>
      </c>
    </row>
    <row r="174" spans="1:16" ht="25.5">
      <c r="A174" s="11" t="s">
        <v>4</v>
      </c>
      <c r="B174" s="11" t="s">
        <v>38</v>
      </c>
      <c r="C174" s="12">
        <v>74</v>
      </c>
      <c r="D174" s="11" t="s">
        <v>6</v>
      </c>
      <c r="E174" s="11" t="s">
        <v>7</v>
      </c>
      <c r="F174" s="13">
        <v>2208</v>
      </c>
      <c r="G174" s="13">
        <v>1761</v>
      </c>
      <c r="H174" s="14">
        <v>115453.243</v>
      </c>
      <c r="I174" s="21">
        <v>118539.36</v>
      </c>
      <c r="J174" s="24">
        <f t="shared" si="6"/>
        <v>8.213736798174504E-4</v>
      </c>
      <c r="K174" s="25">
        <f t="shared" si="8"/>
        <v>0.38901568558182303</v>
      </c>
      <c r="L174" s="26" t="s">
        <v>7516</v>
      </c>
      <c r="M174" s="28"/>
      <c r="N174" s="28"/>
      <c r="O174" s="20" t="s">
        <v>7530</v>
      </c>
      <c r="P174" s="27" t="str">
        <f t="shared" si="7"/>
        <v>vermelho</v>
      </c>
    </row>
    <row r="175" spans="1:16" ht="25.5">
      <c r="A175" s="3" t="s">
        <v>5230</v>
      </c>
      <c r="B175" s="3" t="s">
        <v>5231</v>
      </c>
      <c r="C175" s="4">
        <v>39</v>
      </c>
      <c r="D175" s="3" t="s">
        <v>26</v>
      </c>
      <c r="E175" s="3" t="s">
        <v>13</v>
      </c>
      <c r="F175" s="5">
        <v>2874</v>
      </c>
      <c r="G175" s="5">
        <v>2184</v>
      </c>
      <c r="H175" s="6">
        <v>148145.24400000001</v>
      </c>
      <c r="I175" s="22">
        <v>118326</v>
      </c>
      <c r="J175" s="24">
        <f t="shared" si="6"/>
        <v>8.1989528236089384E-4</v>
      </c>
      <c r="K175" s="25">
        <f t="shared" si="8"/>
        <v>0.38983558086418391</v>
      </c>
      <c r="L175" s="26" t="s">
        <v>7516</v>
      </c>
      <c r="M175" s="28"/>
      <c r="N175" s="28"/>
      <c r="O175" s="20">
        <v>18409.2</v>
      </c>
      <c r="P175" s="27" t="str">
        <f t="shared" si="7"/>
        <v>amarelo</v>
      </c>
    </row>
    <row r="176" spans="1:16" ht="25.5">
      <c r="A176" s="3" t="s">
        <v>5232</v>
      </c>
      <c r="B176" s="3" t="s">
        <v>5233</v>
      </c>
      <c r="C176" s="4">
        <v>266</v>
      </c>
      <c r="D176" s="3" t="s">
        <v>80</v>
      </c>
      <c r="E176" s="3" t="s">
        <v>10</v>
      </c>
      <c r="F176" s="5">
        <v>2256</v>
      </c>
      <c r="G176" s="5">
        <v>1992</v>
      </c>
      <c r="H176" s="6">
        <v>119379.48</v>
      </c>
      <c r="I176" s="22">
        <v>118059.796</v>
      </c>
      <c r="J176" s="24">
        <f t="shared" si="6"/>
        <v>8.1805072238467895E-4</v>
      </c>
      <c r="K176" s="25">
        <f t="shared" si="8"/>
        <v>0.39065363158656857</v>
      </c>
      <c r="L176" s="26" t="s">
        <v>7516</v>
      </c>
      <c r="M176" s="28"/>
      <c r="N176" s="28"/>
      <c r="O176" s="20">
        <v>208415.21900000001</v>
      </c>
      <c r="P176" s="27" t="str">
        <f t="shared" si="7"/>
        <v>verde</v>
      </c>
    </row>
    <row r="177" spans="1:16">
      <c r="A177" s="3" t="s">
        <v>5234</v>
      </c>
      <c r="B177" s="3" t="s">
        <v>5235</v>
      </c>
      <c r="C177" s="4">
        <v>231</v>
      </c>
      <c r="D177" s="3" t="s">
        <v>52</v>
      </c>
      <c r="E177" s="3" t="s">
        <v>7</v>
      </c>
      <c r="F177" s="5">
        <v>2121</v>
      </c>
      <c r="G177" s="5">
        <v>1980</v>
      </c>
      <c r="H177" s="6">
        <v>114243.09</v>
      </c>
      <c r="I177" s="22">
        <v>118036.53</v>
      </c>
      <c r="J177" s="24">
        <f t="shared" si="6"/>
        <v>8.1788950943368418E-4</v>
      </c>
      <c r="K177" s="25">
        <f t="shared" si="8"/>
        <v>0.39147152109600225</v>
      </c>
      <c r="L177" s="26" t="s">
        <v>7516</v>
      </c>
      <c r="M177" s="28"/>
      <c r="N177" s="28"/>
      <c r="O177" s="20">
        <v>25662.45</v>
      </c>
      <c r="P177" s="27" t="str">
        <f t="shared" si="7"/>
        <v>amarelo</v>
      </c>
    </row>
    <row r="178" spans="1:16" ht="38.25">
      <c r="A178" s="3" t="s">
        <v>5236</v>
      </c>
      <c r="B178" s="3" t="s">
        <v>5237</v>
      </c>
      <c r="C178" s="4">
        <v>34</v>
      </c>
      <c r="D178" s="3" t="s">
        <v>54</v>
      </c>
      <c r="E178" s="3" t="s">
        <v>49</v>
      </c>
      <c r="F178" s="5">
        <v>2736</v>
      </c>
      <c r="G178" s="5">
        <v>1812</v>
      </c>
      <c r="H178" s="6">
        <v>159825.93</v>
      </c>
      <c r="I178" s="22">
        <v>117253.08</v>
      </c>
      <c r="J178" s="24">
        <f t="shared" si="6"/>
        <v>8.1246088885185397E-4</v>
      </c>
      <c r="K178" s="25">
        <f t="shared" si="8"/>
        <v>0.39228398198485409</v>
      </c>
      <c r="L178" s="26" t="s">
        <v>7516</v>
      </c>
      <c r="M178" s="28"/>
      <c r="N178" s="28"/>
      <c r="O178" s="20">
        <v>88969.89</v>
      </c>
      <c r="P178" s="27" t="str">
        <f t="shared" si="7"/>
        <v>laranja</v>
      </c>
    </row>
    <row r="179" spans="1:16" ht="38.25">
      <c r="A179" s="3" t="s">
        <v>5238</v>
      </c>
      <c r="B179" s="3" t="s">
        <v>5239</v>
      </c>
      <c r="C179" s="4">
        <v>371</v>
      </c>
      <c r="D179" s="3" t="s">
        <v>82</v>
      </c>
      <c r="E179" s="3" t="s">
        <v>49</v>
      </c>
      <c r="F179" s="5">
        <v>600</v>
      </c>
      <c r="G179" s="5">
        <v>2424</v>
      </c>
      <c r="H179" s="6">
        <v>26394</v>
      </c>
      <c r="I179" s="22">
        <v>117104.046</v>
      </c>
      <c r="J179" s="24">
        <f t="shared" si="6"/>
        <v>8.1142821409304039E-4</v>
      </c>
      <c r="K179" s="25">
        <f t="shared" si="8"/>
        <v>0.39309541019894711</v>
      </c>
      <c r="L179" s="26" t="s">
        <v>7516</v>
      </c>
      <c r="M179" s="28"/>
      <c r="N179" s="28"/>
      <c r="O179" s="20">
        <v>22165.02</v>
      </c>
      <c r="P179" s="27" t="str">
        <f t="shared" si="7"/>
        <v>amarelo</v>
      </c>
    </row>
    <row r="180" spans="1:16" ht="25.5">
      <c r="A180" s="3" t="s">
        <v>5242</v>
      </c>
      <c r="B180" s="3" t="s">
        <v>5243</v>
      </c>
      <c r="C180" s="4">
        <v>194</v>
      </c>
      <c r="D180" s="3" t="s">
        <v>145</v>
      </c>
      <c r="E180" s="3" t="s">
        <v>16</v>
      </c>
      <c r="F180" s="5">
        <v>1302</v>
      </c>
      <c r="G180" s="5">
        <v>2064</v>
      </c>
      <c r="H180" s="6">
        <v>68564.94</v>
      </c>
      <c r="I180" s="22">
        <v>116927.726</v>
      </c>
      <c r="J180" s="24">
        <f t="shared" si="6"/>
        <v>8.1020647131304377E-4</v>
      </c>
      <c r="K180" s="25">
        <f t="shared" si="8"/>
        <v>0.39390561667026014</v>
      </c>
      <c r="L180" s="26" t="s">
        <v>7516</v>
      </c>
      <c r="M180" s="28"/>
      <c r="N180" s="28"/>
      <c r="O180" s="20">
        <v>59829.120000000003</v>
      </c>
      <c r="P180" s="27" t="str">
        <f t="shared" si="7"/>
        <v>laranja</v>
      </c>
    </row>
    <row r="181" spans="1:16" ht="25.5">
      <c r="A181" s="3" t="s">
        <v>4</v>
      </c>
      <c r="B181" s="3" t="s">
        <v>42</v>
      </c>
      <c r="C181" s="4">
        <v>74</v>
      </c>
      <c r="D181" s="3" t="s">
        <v>6</v>
      </c>
      <c r="E181" s="3" t="s">
        <v>7</v>
      </c>
      <c r="F181" s="5">
        <v>0</v>
      </c>
      <c r="G181" s="5">
        <v>1788</v>
      </c>
      <c r="H181" s="6">
        <v>0</v>
      </c>
      <c r="I181" s="22">
        <v>115802.928</v>
      </c>
      <c r="J181" s="24">
        <f t="shared" si="6"/>
        <v>8.0241260881613722E-4</v>
      </c>
      <c r="K181" s="25">
        <f t="shared" si="8"/>
        <v>0.39470802927907628</v>
      </c>
      <c r="L181" s="26" t="s">
        <v>7516</v>
      </c>
      <c r="M181" s="28">
        <v>2.7384091430067963E-2</v>
      </c>
      <c r="N181" s="28"/>
      <c r="O181" s="20">
        <v>77471.097999999998</v>
      </c>
      <c r="P181" s="27" t="str">
        <f t="shared" si="7"/>
        <v>laranja</v>
      </c>
    </row>
    <row r="182" spans="1:16" ht="51">
      <c r="A182" s="3" t="s">
        <v>5244</v>
      </c>
      <c r="B182" s="3" t="s">
        <v>5245</v>
      </c>
      <c r="C182" s="4">
        <v>282</v>
      </c>
      <c r="D182" s="3" t="s">
        <v>12</v>
      </c>
      <c r="E182" s="3" t="s">
        <v>13</v>
      </c>
      <c r="F182" s="5">
        <v>1206</v>
      </c>
      <c r="G182" s="5">
        <v>2010</v>
      </c>
      <c r="H182" s="6">
        <v>62326.29</v>
      </c>
      <c r="I182" s="22">
        <v>114961.09600000001</v>
      </c>
      <c r="J182" s="24">
        <f t="shared" si="6"/>
        <v>7.9657945223735971E-4</v>
      </c>
      <c r="K182" s="25">
        <f t="shared" si="8"/>
        <v>0.39550460873131366</v>
      </c>
      <c r="L182" s="26" t="s">
        <v>7516</v>
      </c>
      <c r="M182" s="28"/>
      <c r="N182" s="28"/>
      <c r="O182" s="20">
        <v>8664</v>
      </c>
      <c r="P182" s="27" t="str">
        <f t="shared" si="7"/>
        <v>amarelo</v>
      </c>
    </row>
    <row r="183" spans="1:16" ht="38.25">
      <c r="A183" s="3" t="s">
        <v>5250</v>
      </c>
      <c r="B183" s="3" t="s">
        <v>5251</v>
      </c>
      <c r="C183" s="4">
        <v>38</v>
      </c>
      <c r="D183" s="3" t="s">
        <v>184</v>
      </c>
      <c r="E183" s="3" t="s">
        <v>49</v>
      </c>
      <c r="F183" s="5">
        <v>2643</v>
      </c>
      <c r="G183" s="5">
        <v>1947</v>
      </c>
      <c r="H183" s="6">
        <v>139332.75</v>
      </c>
      <c r="I183" s="22">
        <v>113591.352</v>
      </c>
      <c r="J183" s="24">
        <f t="shared" si="6"/>
        <v>7.8708832903838272E-4</v>
      </c>
      <c r="K183" s="25">
        <f t="shared" si="8"/>
        <v>0.39629169706035206</v>
      </c>
      <c r="L183" s="26" t="s">
        <v>7516</v>
      </c>
      <c r="M183" s="28"/>
      <c r="N183" s="28"/>
      <c r="O183" s="20">
        <v>56032.77</v>
      </c>
      <c r="P183" s="27" t="str">
        <f t="shared" si="7"/>
        <v>amarelo</v>
      </c>
    </row>
    <row r="184" spans="1:16" ht="25.5">
      <c r="A184" s="3" t="s">
        <v>5252</v>
      </c>
      <c r="B184" s="3" t="s">
        <v>5253</v>
      </c>
      <c r="C184" s="4">
        <v>218</v>
      </c>
      <c r="D184" s="3" t="s">
        <v>104</v>
      </c>
      <c r="E184" s="3" t="s">
        <v>16</v>
      </c>
      <c r="F184" s="5">
        <v>1878</v>
      </c>
      <c r="G184" s="5">
        <v>2142</v>
      </c>
      <c r="H184" s="6">
        <v>98572.32</v>
      </c>
      <c r="I184" s="22">
        <v>113148.6</v>
      </c>
      <c r="J184" s="24">
        <f t="shared" si="6"/>
        <v>7.8402044644236969E-4</v>
      </c>
      <c r="K184" s="25">
        <f t="shared" si="8"/>
        <v>0.39707571750679443</v>
      </c>
      <c r="L184" s="26" t="s">
        <v>7516</v>
      </c>
      <c r="M184" s="28"/>
      <c r="N184" s="28"/>
      <c r="O184" s="20">
        <v>16617.12</v>
      </c>
      <c r="P184" s="27" t="str">
        <f t="shared" si="7"/>
        <v>amarelo</v>
      </c>
    </row>
    <row r="185" spans="1:16">
      <c r="A185" s="3" t="s">
        <v>5254</v>
      </c>
      <c r="B185" s="3" t="s">
        <v>5255</v>
      </c>
      <c r="C185" s="4">
        <v>167</v>
      </c>
      <c r="D185" s="3" t="s">
        <v>251</v>
      </c>
      <c r="E185" s="3" t="s">
        <v>49</v>
      </c>
      <c r="F185" s="5">
        <v>1962</v>
      </c>
      <c r="G185" s="5">
        <v>1836</v>
      </c>
      <c r="H185" s="6">
        <v>116582.88</v>
      </c>
      <c r="I185" s="22">
        <v>112860.36</v>
      </c>
      <c r="J185" s="24">
        <f t="shared" si="6"/>
        <v>7.8202319633514298E-4</v>
      </c>
      <c r="K185" s="25">
        <f t="shared" si="8"/>
        <v>0.39785774070312957</v>
      </c>
      <c r="L185" s="26" t="s">
        <v>7516</v>
      </c>
      <c r="M185" s="28"/>
      <c r="N185" s="28"/>
      <c r="O185" s="20" t="s">
        <v>7530</v>
      </c>
      <c r="P185" s="27" t="str">
        <f t="shared" si="7"/>
        <v>vermelho</v>
      </c>
    </row>
    <row r="186" spans="1:16" ht="38.25">
      <c r="A186" s="3" t="s">
        <v>5256</v>
      </c>
      <c r="B186" s="3" t="s">
        <v>5257</v>
      </c>
      <c r="C186" s="4">
        <v>45</v>
      </c>
      <c r="D186" s="3" t="s">
        <v>23</v>
      </c>
      <c r="E186" s="3" t="s">
        <v>7</v>
      </c>
      <c r="F186" s="5">
        <v>0</v>
      </c>
      <c r="G186" s="5">
        <v>1971</v>
      </c>
      <c r="H186" s="6">
        <v>0</v>
      </c>
      <c r="I186" s="22">
        <v>111947.81</v>
      </c>
      <c r="J186" s="24">
        <f t="shared" si="6"/>
        <v>7.7570002611119864E-4</v>
      </c>
      <c r="K186" s="25">
        <f t="shared" si="8"/>
        <v>0.39863344072924078</v>
      </c>
      <c r="L186" s="26" t="s">
        <v>7516</v>
      </c>
      <c r="M186" s="28"/>
      <c r="N186" s="28"/>
      <c r="O186" s="20" t="s">
        <v>7530</v>
      </c>
      <c r="P186" s="27" t="str">
        <f t="shared" si="7"/>
        <v>vermelho</v>
      </c>
    </row>
    <row r="187" spans="1:16" ht="25.5">
      <c r="A187" s="3" t="s">
        <v>5258</v>
      </c>
      <c r="B187" s="3" t="s">
        <v>5259</v>
      </c>
      <c r="C187" s="4">
        <v>261</v>
      </c>
      <c r="D187" s="3" t="s">
        <v>9</v>
      </c>
      <c r="E187" s="3" t="s">
        <v>10</v>
      </c>
      <c r="F187" s="5">
        <v>2865</v>
      </c>
      <c r="G187" s="5">
        <v>1962</v>
      </c>
      <c r="H187" s="6">
        <v>145944.18</v>
      </c>
      <c r="I187" s="22">
        <v>111612.65399999999</v>
      </c>
      <c r="J187" s="24">
        <f t="shared" si="6"/>
        <v>7.733776893191584E-4</v>
      </c>
      <c r="K187" s="25">
        <f t="shared" si="8"/>
        <v>0.39940681841855996</v>
      </c>
      <c r="L187" s="26" t="s">
        <v>7516</v>
      </c>
      <c r="M187" s="28"/>
      <c r="N187" s="28"/>
      <c r="O187" s="20" t="s">
        <v>7530</v>
      </c>
      <c r="P187" s="27" t="str">
        <f t="shared" si="7"/>
        <v>vermelho</v>
      </c>
    </row>
    <row r="188" spans="1:16" ht="25.5">
      <c r="A188" s="3" t="s">
        <v>5260</v>
      </c>
      <c r="B188" s="3" t="s">
        <v>5261</v>
      </c>
      <c r="C188" s="4">
        <v>197</v>
      </c>
      <c r="D188" s="3" t="s">
        <v>66</v>
      </c>
      <c r="E188" s="3" t="s">
        <v>41</v>
      </c>
      <c r="F188" s="5">
        <v>4356</v>
      </c>
      <c r="G188" s="5">
        <v>1980</v>
      </c>
      <c r="H188" s="6">
        <v>224527.2</v>
      </c>
      <c r="I188" s="22">
        <v>110764.04399999999</v>
      </c>
      <c r="J188" s="24">
        <f t="shared" si="6"/>
        <v>7.6749756715188938E-4</v>
      </c>
      <c r="K188" s="25">
        <f t="shared" si="8"/>
        <v>0.40017431598571185</v>
      </c>
      <c r="L188" s="26" t="s">
        <v>7516</v>
      </c>
      <c r="M188" s="28"/>
      <c r="N188" s="28"/>
      <c r="O188" s="20">
        <v>26842.644</v>
      </c>
      <c r="P188" s="27" t="str">
        <f t="shared" si="7"/>
        <v>amarelo</v>
      </c>
    </row>
    <row r="189" spans="1:16" ht="25.5">
      <c r="A189" s="3" t="s">
        <v>5262</v>
      </c>
      <c r="B189" s="3" t="s">
        <v>5263</v>
      </c>
      <c r="C189" s="4">
        <v>317</v>
      </c>
      <c r="D189" s="3" t="s">
        <v>78</v>
      </c>
      <c r="E189" s="3" t="s">
        <v>10</v>
      </c>
      <c r="F189" s="5">
        <v>348</v>
      </c>
      <c r="G189" s="5">
        <v>1863</v>
      </c>
      <c r="H189" s="6">
        <v>20454.240000000002</v>
      </c>
      <c r="I189" s="22">
        <v>109859.18399999999</v>
      </c>
      <c r="J189" s="24">
        <f t="shared" si="6"/>
        <v>7.6122768187564347E-4</v>
      </c>
      <c r="K189" s="25">
        <f t="shared" si="8"/>
        <v>0.40093554366758749</v>
      </c>
      <c r="L189" s="26" t="s">
        <v>7516</v>
      </c>
      <c r="M189" s="28"/>
      <c r="N189" s="28"/>
      <c r="O189" s="20">
        <v>8108.0219999999999</v>
      </c>
      <c r="P189" s="27" t="str">
        <f t="shared" si="7"/>
        <v>amarelo</v>
      </c>
    </row>
    <row r="190" spans="1:16" ht="25.5">
      <c r="A190" s="3" t="s">
        <v>5264</v>
      </c>
      <c r="B190" s="3" t="s">
        <v>5265</v>
      </c>
      <c r="C190" s="4">
        <v>335</v>
      </c>
      <c r="D190" s="3" t="s">
        <v>36</v>
      </c>
      <c r="E190" s="3" t="s">
        <v>7</v>
      </c>
      <c r="F190" s="5">
        <v>1707</v>
      </c>
      <c r="G190" s="5">
        <v>1881</v>
      </c>
      <c r="H190" s="6">
        <v>93011.46</v>
      </c>
      <c r="I190" s="22">
        <v>109308</v>
      </c>
      <c r="J190" s="24">
        <f t="shared" si="6"/>
        <v>7.5740846072971772E-4</v>
      </c>
      <c r="K190" s="25">
        <f t="shared" si="8"/>
        <v>0.40169295212831718</v>
      </c>
      <c r="L190" s="26" t="s">
        <v>7516</v>
      </c>
      <c r="M190" s="28"/>
      <c r="N190" s="28"/>
      <c r="O190" s="20">
        <v>57401.839</v>
      </c>
      <c r="P190" s="27" t="str">
        <f t="shared" si="7"/>
        <v>laranja</v>
      </c>
    </row>
    <row r="191" spans="1:16" ht="38.25">
      <c r="A191" s="3" t="s">
        <v>4</v>
      </c>
      <c r="B191" s="3" t="s">
        <v>43</v>
      </c>
      <c r="C191" s="4">
        <v>143</v>
      </c>
      <c r="D191" s="3" t="s">
        <v>44</v>
      </c>
      <c r="E191" s="3" t="s">
        <v>41</v>
      </c>
      <c r="F191" s="5">
        <v>1968</v>
      </c>
      <c r="G191" s="5">
        <v>1710</v>
      </c>
      <c r="H191" s="6">
        <v>115787.22</v>
      </c>
      <c r="I191" s="22">
        <v>108829.56</v>
      </c>
      <c r="J191" s="24">
        <f t="shared" si="6"/>
        <v>7.5409329163000384E-4</v>
      </c>
      <c r="K191" s="25">
        <f t="shared" si="8"/>
        <v>0.40244704541994719</v>
      </c>
      <c r="L191" s="26" t="s">
        <v>7516</v>
      </c>
      <c r="M191" s="28"/>
      <c r="N191" s="28"/>
      <c r="O191" s="20">
        <v>56667.12</v>
      </c>
      <c r="P191" s="27" t="str">
        <f t="shared" si="7"/>
        <v>laranja</v>
      </c>
    </row>
    <row r="192" spans="1:16" ht="25.5">
      <c r="A192" s="3" t="s">
        <v>5266</v>
      </c>
      <c r="B192" s="3" t="s">
        <v>5267</v>
      </c>
      <c r="C192" s="4">
        <v>74</v>
      </c>
      <c r="D192" s="3" t="s">
        <v>6</v>
      </c>
      <c r="E192" s="3" t="s">
        <v>7</v>
      </c>
      <c r="F192" s="5">
        <v>1176</v>
      </c>
      <c r="G192" s="5">
        <v>2010</v>
      </c>
      <c r="H192" s="6">
        <v>53384.639999999999</v>
      </c>
      <c r="I192" s="22">
        <v>108513.3</v>
      </c>
      <c r="J192" s="24">
        <f t="shared" si="6"/>
        <v>7.5190188752609214E-4</v>
      </c>
      <c r="K192" s="25">
        <f t="shared" si="8"/>
        <v>0.4031989473074733</v>
      </c>
      <c r="L192" s="26" t="s">
        <v>7516</v>
      </c>
      <c r="M192" s="28"/>
      <c r="N192" s="28"/>
      <c r="O192" s="20" t="s">
        <v>7530</v>
      </c>
      <c r="P192" s="27" t="str">
        <f t="shared" si="7"/>
        <v>vermelho</v>
      </c>
    </row>
    <row r="193" spans="1:16" ht="25.5">
      <c r="A193" s="3" t="s">
        <v>5268</v>
      </c>
      <c r="B193" s="3" t="s">
        <v>5269</v>
      </c>
      <c r="C193" s="4">
        <v>31</v>
      </c>
      <c r="D193" s="3" t="s">
        <v>194</v>
      </c>
      <c r="E193" s="3" t="s">
        <v>16</v>
      </c>
      <c r="F193" s="5">
        <v>1458</v>
      </c>
      <c r="G193" s="5">
        <v>1875</v>
      </c>
      <c r="H193" s="6">
        <v>77003.58</v>
      </c>
      <c r="I193" s="22">
        <v>108093.14</v>
      </c>
      <c r="J193" s="24">
        <f t="shared" si="6"/>
        <v>7.4899054765288804E-4</v>
      </c>
      <c r="K193" s="25">
        <f t="shared" si="8"/>
        <v>0.40394793785512617</v>
      </c>
      <c r="L193" s="26" t="s">
        <v>7516</v>
      </c>
      <c r="M193" s="28"/>
      <c r="N193" s="28"/>
      <c r="O193" s="20" t="s">
        <v>7530</v>
      </c>
      <c r="P193" s="27" t="str">
        <f t="shared" si="7"/>
        <v>vermelho</v>
      </c>
    </row>
    <row r="194" spans="1:16" ht="25.5">
      <c r="A194" s="3" t="s">
        <v>5270</v>
      </c>
      <c r="B194" s="3" t="s">
        <v>5271</v>
      </c>
      <c r="C194" s="4">
        <v>187</v>
      </c>
      <c r="D194" s="3" t="s">
        <v>96</v>
      </c>
      <c r="E194" s="3" t="s">
        <v>7</v>
      </c>
      <c r="F194" s="5">
        <v>855</v>
      </c>
      <c r="G194" s="5">
        <v>1608</v>
      </c>
      <c r="H194" s="6">
        <v>49275.77</v>
      </c>
      <c r="I194" s="22">
        <v>106494.75</v>
      </c>
      <c r="J194" s="24">
        <f t="shared" si="6"/>
        <v>7.3791510843941989E-4</v>
      </c>
      <c r="K194" s="25">
        <f t="shared" si="8"/>
        <v>0.40468585296356557</v>
      </c>
      <c r="L194" s="26" t="s">
        <v>7516</v>
      </c>
      <c r="M194" s="28"/>
      <c r="N194" s="28"/>
      <c r="O194" s="20">
        <v>43959.93</v>
      </c>
      <c r="P194" s="27" t="str">
        <f t="shared" si="7"/>
        <v>amarelo</v>
      </c>
    </row>
    <row r="195" spans="1:16" ht="25.5">
      <c r="A195" s="3" t="s">
        <v>5272</v>
      </c>
      <c r="B195" s="3" t="s">
        <v>5273</v>
      </c>
      <c r="C195" s="4">
        <v>261</v>
      </c>
      <c r="D195" s="3" t="s">
        <v>9</v>
      </c>
      <c r="E195" s="3" t="s">
        <v>10</v>
      </c>
      <c r="F195" s="5">
        <v>1092</v>
      </c>
      <c r="G195" s="5">
        <v>1887</v>
      </c>
      <c r="H195" s="6">
        <v>57526.2</v>
      </c>
      <c r="I195" s="22">
        <v>106434.81</v>
      </c>
      <c r="J195" s="24">
        <f t="shared" ref="J195:J258" si="9">I195/$I$6364</f>
        <v>7.3749977687049412E-4</v>
      </c>
      <c r="K195" s="25">
        <f t="shared" si="8"/>
        <v>0.40542335274043606</v>
      </c>
      <c r="L195" s="26" t="s">
        <v>7516</v>
      </c>
      <c r="M195" s="28"/>
      <c r="N195" s="28"/>
      <c r="O195" s="20" t="s">
        <v>7530</v>
      </c>
      <c r="P195" s="27" t="str">
        <f t="shared" ref="P195:P258" si="10">IF(O195&lt;=0,"vermelho",IFERROR(IF(O195/I195&lt;=0.5098,"amarelo",IF(O195/I195&lt;1,"laranja","verde")),"vermelho"))</f>
        <v>vermelho</v>
      </c>
    </row>
    <row r="196" spans="1:16" ht="38.25">
      <c r="A196" s="3" t="s">
        <v>4</v>
      </c>
      <c r="B196" s="3" t="s">
        <v>45</v>
      </c>
      <c r="C196" s="4">
        <v>45</v>
      </c>
      <c r="D196" s="3" t="s">
        <v>23</v>
      </c>
      <c r="E196" s="3" t="s">
        <v>7</v>
      </c>
      <c r="F196" s="5">
        <v>747</v>
      </c>
      <c r="G196" s="5">
        <v>1689</v>
      </c>
      <c r="H196" s="6">
        <v>41075.874000000003</v>
      </c>
      <c r="I196" s="22">
        <v>105794.79</v>
      </c>
      <c r="J196" s="24">
        <f t="shared" si="9"/>
        <v>7.3306500024814035E-4</v>
      </c>
      <c r="K196" s="25">
        <f t="shared" ref="K196:K259" si="11">J196+K195</f>
        <v>0.40615641774068423</v>
      </c>
      <c r="L196" s="26" t="s">
        <v>7516</v>
      </c>
      <c r="M196" s="28"/>
      <c r="N196" s="28"/>
      <c r="O196" s="20">
        <v>40306.199999999997</v>
      </c>
      <c r="P196" s="27" t="str">
        <f t="shared" si="10"/>
        <v>amarelo</v>
      </c>
    </row>
    <row r="197" spans="1:16" ht="25.5">
      <c r="A197" s="3" t="s">
        <v>5274</v>
      </c>
      <c r="B197" s="3" t="s">
        <v>5275</v>
      </c>
      <c r="C197" s="4">
        <v>267</v>
      </c>
      <c r="D197" s="3" t="s">
        <v>125</v>
      </c>
      <c r="E197" s="3" t="s">
        <v>16</v>
      </c>
      <c r="F197" s="5">
        <v>1302</v>
      </c>
      <c r="G197" s="5">
        <v>1866</v>
      </c>
      <c r="H197" s="6">
        <v>67203.48</v>
      </c>
      <c r="I197" s="22">
        <v>105684.3</v>
      </c>
      <c r="J197" s="24">
        <f t="shared" si="9"/>
        <v>7.3229940156528076E-4</v>
      </c>
      <c r="K197" s="25">
        <f t="shared" si="11"/>
        <v>0.4068887171422495</v>
      </c>
      <c r="L197" s="26" t="s">
        <v>7516</v>
      </c>
      <c r="M197" s="28"/>
      <c r="N197" s="28"/>
      <c r="O197" s="20" t="s">
        <v>7530</v>
      </c>
      <c r="P197" s="27" t="str">
        <f t="shared" si="10"/>
        <v>vermelho</v>
      </c>
    </row>
    <row r="198" spans="1:16" ht="38.25">
      <c r="A198" s="3" t="s">
        <v>5276</v>
      </c>
      <c r="B198" s="3" t="s">
        <v>5277</v>
      </c>
      <c r="C198" s="4">
        <v>45</v>
      </c>
      <c r="D198" s="3" t="s">
        <v>23</v>
      </c>
      <c r="E198" s="3" t="s">
        <v>7</v>
      </c>
      <c r="F198" s="5">
        <v>1959</v>
      </c>
      <c r="G198" s="5">
        <v>1737</v>
      </c>
      <c r="H198" s="6">
        <v>114009.66</v>
      </c>
      <c r="I198" s="22">
        <v>105096.51</v>
      </c>
      <c r="J198" s="24">
        <f t="shared" si="9"/>
        <v>7.2822653298171573E-4</v>
      </c>
      <c r="K198" s="25">
        <f t="shared" si="11"/>
        <v>0.40761694367523121</v>
      </c>
      <c r="L198" s="26" t="s">
        <v>7516</v>
      </c>
      <c r="M198" s="28"/>
      <c r="N198" s="28"/>
      <c r="O198" s="20">
        <v>69789.149999999994</v>
      </c>
      <c r="P198" s="27" t="str">
        <f t="shared" si="10"/>
        <v>laranja</v>
      </c>
    </row>
    <row r="199" spans="1:16" ht="25.5">
      <c r="A199" s="3" t="s">
        <v>5278</v>
      </c>
      <c r="B199" s="3" t="s">
        <v>5279</v>
      </c>
      <c r="C199" s="4">
        <v>267</v>
      </c>
      <c r="D199" s="3" t="s">
        <v>125</v>
      </c>
      <c r="E199" s="3" t="s">
        <v>16</v>
      </c>
      <c r="F199" s="5">
        <v>1995</v>
      </c>
      <c r="G199" s="5">
        <v>1962</v>
      </c>
      <c r="H199" s="6">
        <v>106218.81</v>
      </c>
      <c r="I199" s="22">
        <v>104736.21</v>
      </c>
      <c r="J199" s="24">
        <f t="shared" si="9"/>
        <v>7.2572997034768246E-4</v>
      </c>
      <c r="K199" s="25">
        <f t="shared" si="11"/>
        <v>0.40834267364557891</v>
      </c>
      <c r="L199" s="26" t="s">
        <v>7516</v>
      </c>
      <c r="M199" s="28"/>
      <c r="N199" s="28"/>
      <c r="O199" s="20">
        <v>114829.74</v>
      </c>
      <c r="P199" s="27" t="str">
        <f t="shared" si="10"/>
        <v>verde</v>
      </c>
    </row>
    <row r="200" spans="1:16" ht="25.5">
      <c r="A200" s="3" t="s">
        <v>5280</v>
      </c>
      <c r="B200" s="3" t="s">
        <v>5281</v>
      </c>
      <c r="C200" s="4">
        <v>261</v>
      </c>
      <c r="D200" s="3" t="s">
        <v>9</v>
      </c>
      <c r="E200" s="3" t="s">
        <v>10</v>
      </c>
      <c r="F200" s="5">
        <v>0</v>
      </c>
      <c r="G200" s="5">
        <v>1656</v>
      </c>
      <c r="H200" s="6">
        <v>0</v>
      </c>
      <c r="I200" s="22">
        <v>104595.33</v>
      </c>
      <c r="J200" s="24">
        <f t="shared" si="9"/>
        <v>7.2475379564914614E-4</v>
      </c>
      <c r="K200" s="25">
        <f t="shared" si="11"/>
        <v>0.40906742744122804</v>
      </c>
      <c r="L200" s="26" t="s">
        <v>7516</v>
      </c>
      <c r="M200" s="28"/>
      <c r="N200" s="28"/>
      <c r="O200" s="20">
        <v>84637.16</v>
      </c>
      <c r="P200" s="27" t="str">
        <f t="shared" si="10"/>
        <v>laranja</v>
      </c>
    </row>
    <row r="201" spans="1:16" ht="38.25">
      <c r="A201" s="3" t="s">
        <v>4</v>
      </c>
      <c r="B201" s="3" t="s">
        <v>46</v>
      </c>
      <c r="C201" s="4">
        <v>45</v>
      </c>
      <c r="D201" s="3" t="s">
        <v>23</v>
      </c>
      <c r="E201" s="3" t="s">
        <v>7</v>
      </c>
      <c r="F201" s="5">
        <v>0</v>
      </c>
      <c r="G201" s="5">
        <v>1695</v>
      </c>
      <c r="H201" s="6">
        <v>0</v>
      </c>
      <c r="I201" s="22">
        <v>104468.67</v>
      </c>
      <c r="J201" s="24">
        <f t="shared" si="9"/>
        <v>7.2387615306455922E-4</v>
      </c>
      <c r="K201" s="25">
        <f t="shared" si="11"/>
        <v>0.40979130359429261</v>
      </c>
      <c r="L201" s="26" t="s">
        <v>7516</v>
      </c>
      <c r="M201" s="28"/>
      <c r="N201" s="28">
        <v>7.9463337014581858E-2</v>
      </c>
      <c r="O201" s="20">
        <v>38667.57</v>
      </c>
      <c r="P201" s="27" t="str">
        <f t="shared" si="10"/>
        <v>amarelo</v>
      </c>
    </row>
    <row r="202" spans="1:16" ht="25.5">
      <c r="A202" s="3" t="s">
        <v>5282</v>
      </c>
      <c r="B202" s="3" t="s">
        <v>5283</v>
      </c>
      <c r="C202" s="4">
        <v>218</v>
      </c>
      <c r="D202" s="3" t="s">
        <v>104</v>
      </c>
      <c r="E202" s="3" t="s">
        <v>16</v>
      </c>
      <c r="F202" s="5">
        <v>1365</v>
      </c>
      <c r="G202" s="5">
        <v>1815</v>
      </c>
      <c r="H202" s="6">
        <v>60645.99</v>
      </c>
      <c r="I202" s="22">
        <v>103966.05</v>
      </c>
      <c r="J202" s="24">
        <f t="shared" si="9"/>
        <v>7.2039343779639988E-4</v>
      </c>
      <c r="K202" s="25">
        <f t="shared" si="11"/>
        <v>0.41051169703208901</v>
      </c>
      <c r="L202" s="26" t="s">
        <v>7516</v>
      </c>
      <c r="M202" s="28"/>
      <c r="N202" s="28"/>
      <c r="O202" s="20">
        <v>53596.5</v>
      </c>
      <c r="P202" s="27" t="str">
        <f t="shared" si="10"/>
        <v>laranja</v>
      </c>
    </row>
    <row r="203" spans="1:16" ht="25.5">
      <c r="A203" s="3" t="s">
        <v>5286</v>
      </c>
      <c r="B203" s="3" t="s">
        <v>5287</v>
      </c>
      <c r="C203" s="4">
        <v>178</v>
      </c>
      <c r="D203" s="3" t="s">
        <v>74</v>
      </c>
      <c r="E203" s="3" t="s">
        <v>7</v>
      </c>
      <c r="F203" s="5">
        <v>2982</v>
      </c>
      <c r="G203" s="5">
        <v>1773</v>
      </c>
      <c r="H203" s="6">
        <v>163935.372</v>
      </c>
      <c r="I203" s="22">
        <v>103355.31</v>
      </c>
      <c r="J203" s="24">
        <f t="shared" si="9"/>
        <v>7.1616154586437225E-4</v>
      </c>
      <c r="K203" s="25">
        <f t="shared" si="11"/>
        <v>0.41122785857795335</v>
      </c>
      <c r="L203" s="26" t="s">
        <v>7516</v>
      </c>
      <c r="M203" s="28"/>
      <c r="N203" s="28"/>
      <c r="O203" s="20">
        <v>67355.789999999994</v>
      </c>
      <c r="P203" s="27" t="str">
        <f t="shared" si="10"/>
        <v>laranja</v>
      </c>
    </row>
    <row r="204" spans="1:16" ht="25.5">
      <c r="A204" s="3" t="s">
        <v>4</v>
      </c>
      <c r="B204" s="3" t="s">
        <v>47</v>
      </c>
      <c r="C204" s="4">
        <v>61</v>
      </c>
      <c r="D204" s="3" t="s">
        <v>48</v>
      </c>
      <c r="E204" s="3" t="s">
        <v>49</v>
      </c>
      <c r="F204" s="5">
        <v>552</v>
      </c>
      <c r="G204" s="5">
        <v>1464</v>
      </c>
      <c r="H204" s="6">
        <v>29010.48</v>
      </c>
      <c r="I204" s="22">
        <v>103327.32</v>
      </c>
      <c r="J204" s="24">
        <f t="shared" si="9"/>
        <v>7.1596759974134542E-4</v>
      </c>
      <c r="K204" s="25">
        <f t="shared" si="11"/>
        <v>0.41194382617769471</v>
      </c>
      <c r="L204" s="26" t="s">
        <v>7516</v>
      </c>
      <c r="M204" s="28">
        <v>4.7210743195298136E-3</v>
      </c>
      <c r="N204" s="28"/>
      <c r="O204" s="20">
        <v>41547.839999999997</v>
      </c>
      <c r="P204" s="27" t="str">
        <f t="shared" si="10"/>
        <v>amarelo</v>
      </c>
    </row>
    <row r="205" spans="1:16">
      <c r="A205" s="3" t="s">
        <v>5288</v>
      </c>
      <c r="B205" s="3" t="s">
        <v>5289</v>
      </c>
      <c r="C205" s="4">
        <v>15</v>
      </c>
      <c r="D205" s="3" t="s">
        <v>18</v>
      </c>
      <c r="E205" s="3" t="s">
        <v>16</v>
      </c>
      <c r="F205" s="5">
        <v>828</v>
      </c>
      <c r="G205" s="5">
        <v>1728</v>
      </c>
      <c r="H205" s="6">
        <v>43074.720000000001</v>
      </c>
      <c r="I205" s="22">
        <v>103125</v>
      </c>
      <c r="J205" s="24">
        <f t="shared" si="9"/>
        <v>7.1456569979097724E-4</v>
      </c>
      <c r="K205" s="25">
        <f t="shared" si="11"/>
        <v>0.41265839187748571</v>
      </c>
      <c r="L205" s="26" t="s">
        <v>7516</v>
      </c>
      <c r="M205" s="28"/>
      <c r="N205" s="28"/>
      <c r="O205" s="20" t="s">
        <v>7530</v>
      </c>
      <c r="P205" s="27" t="str">
        <f t="shared" si="10"/>
        <v>vermelho</v>
      </c>
    </row>
    <row r="206" spans="1:16" ht="38.25">
      <c r="A206" s="3" t="s">
        <v>5290</v>
      </c>
      <c r="B206" s="3" t="s">
        <v>5291</v>
      </c>
      <c r="C206" s="4">
        <v>45</v>
      </c>
      <c r="D206" s="3" t="s">
        <v>23</v>
      </c>
      <c r="E206" s="3" t="s">
        <v>7</v>
      </c>
      <c r="F206" s="5">
        <v>0</v>
      </c>
      <c r="G206" s="5">
        <v>1740</v>
      </c>
      <c r="H206" s="6">
        <v>0</v>
      </c>
      <c r="I206" s="22">
        <v>102997.599</v>
      </c>
      <c r="J206" s="24">
        <f t="shared" si="9"/>
        <v>7.1368292272703474E-4</v>
      </c>
      <c r="K206" s="25">
        <f t="shared" si="11"/>
        <v>0.41337207480021276</v>
      </c>
      <c r="L206" s="26" t="s">
        <v>7516</v>
      </c>
      <c r="M206" s="28"/>
      <c r="N206" s="28"/>
      <c r="O206" s="20" t="s">
        <v>7530</v>
      </c>
      <c r="P206" s="27" t="str">
        <f t="shared" si="10"/>
        <v>vermelho</v>
      </c>
    </row>
    <row r="207" spans="1:16" ht="25.5">
      <c r="A207" s="3" t="s">
        <v>5292</v>
      </c>
      <c r="B207" s="3" t="s">
        <v>5293</v>
      </c>
      <c r="C207" s="4">
        <v>31</v>
      </c>
      <c r="D207" s="3" t="s">
        <v>194</v>
      </c>
      <c r="E207" s="3" t="s">
        <v>16</v>
      </c>
      <c r="F207" s="5">
        <v>2259</v>
      </c>
      <c r="G207" s="5">
        <v>1905</v>
      </c>
      <c r="H207" s="6">
        <v>122414.85</v>
      </c>
      <c r="I207" s="22">
        <v>102707.46</v>
      </c>
      <c r="J207" s="24">
        <f t="shared" si="9"/>
        <v>7.1167251421724908E-4</v>
      </c>
      <c r="K207" s="25">
        <f t="shared" si="11"/>
        <v>0.41408374731443004</v>
      </c>
      <c r="L207" s="26" t="s">
        <v>7516</v>
      </c>
      <c r="M207" s="28"/>
      <c r="N207" s="28"/>
      <c r="O207" s="20">
        <v>43036.02</v>
      </c>
      <c r="P207" s="27" t="str">
        <f t="shared" si="10"/>
        <v>amarelo</v>
      </c>
    </row>
    <row r="208" spans="1:16" ht="38.25">
      <c r="A208" s="3" t="s">
        <v>5294</v>
      </c>
      <c r="B208" s="3" t="s">
        <v>5295</v>
      </c>
      <c r="C208" s="4">
        <v>45</v>
      </c>
      <c r="D208" s="3" t="s">
        <v>23</v>
      </c>
      <c r="E208" s="3" t="s">
        <v>7</v>
      </c>
      <c r="F208" s="5">
        <v>1605</v>
      </c>
      <c r="G208" s="5">
        <v>1734</v>
      </c>
      <c r="H208" s="6">
        <v>86967.260999999999</v>
      </c>
      <c r="I208" s="22">
        <v>102617.65</v>
      </c>
      <c r="J208" s="24">
        <f t="shared" si="9"/>
        <v>7.1105020977605402E-4</v>
      </c>
      <c r="K208" s="25">
        <f t="shared" si="11"/>
        <v>0.41479479752420612</v>
      </c>
      <c r="L208" s="26" t="s">
        <v>7516</v>
      </c>
      <c r="M208" s="28"/>
      <c r="N208" s="28"/>
      <c r="O208" s="20">
        <v>59130.42</v>
      </c>
      <c r="P208" s="27" t="str">
        <f t="shared" si="10"/>
        <v>laranja</v>
      </c>
    </row>
    <row r="209" spans="1:16" ht="25.5">
      <c r="A209" s="3" t="s">
        <v>4</v>
      </c>
      <c r="B209" s="3" t="s">
        <v>50</v>
      </c>
      <c r="C209" s="4">
        <v>93</v>
      </c>
      <c r="D209" s="3" t="s">
        <v>20</v>
      </c>
      <c r="E209" s="3" t="s">
        <v>7</v>
      </c>
      <c r="F209" s="5">
        <v>264</v>
      </c>
      <c r="G209" s="5">
        <v>1475</v>
      </c>
      <c r="H209" s="6">
        <v>13527.972</v>
      </c>
      <c r="I209" s="22">
        <v>102593.88</v>
      </c>
      <c r="J209" s="24">
        <f t="shared" si="9"/>
        <v>7.1088550454760288E-4</v>
      </c>
      <c r="K209" s="25">
        <f t="shared" si="11"/>
        <v>0.41550568302875374</v>
      </c>
      <c r="L209" s="26" t="s">
        <v>7516</v>
      </c>
      <c r="M209" s="28"/>
      <c r="N209" s="28"/>
      <c r="O209" s="20">
        <v>57944.4</v>
      </c>
      <c r="P209" s="27" t="str">
        <f t="shared" si="10"/>
        <v>laranja</v>
      </c>
    </row>
    <row r="210" spans="1:16" ht="25.5">
      <c r="A210" s="3" t="s">
        <v>5296</v>
      </c>
      <c r="B210" s="3" t="s">
        <v>5297</v>
      </c>
      <c r="C210" s="4">
        <v>317</v>
      </c>
      <c r="D210" s="3" t="s">
        <v>78</v>
      </c>
      <c r="E210" s="3" t="s">
        <v>10</v>
      </c>
      <c r="F210" s="5">
        <v>2496</v>
      </c>
      <c r="G210" s="5">
        <v>1839</v>
      </c>
      <c r="H210" s="6">
        <v>144256.07999999999</v>
      </c>
      <c r="I210" s="22">
        <v>102228.87</v>
      </c>
      <c r="J210" s="24">
        <f t="shared" si="9"/>
        <v>7.0835630574924444E-4</v>
      </c>
      <c r="K210" s="25">
        <f t="shared" si="11"/>
        <v>0.41621403933450296</v>
      </c>
      <c r="L210" s="26" t="s">
        <v>7516</v>
      </c>
      <c r="M210" s="28"/>
      <c r="N210" s="28"/>
      <c r="O210" s="20" t="s">
        <v>7530</v>
      </c>
      <c r="P210" s="27" t="str">
        <f t="shared" si="10"/>
        <v>vermelho</v>
      </c>
    </row>
    <row r="211" spans="1:16" ht="25.5">
      <c r="A211" s="3" t="s">
        <v>5298</v>
      </c>
      <c r="B211" s="3" t="s">
        <v>5299</v>
      </c>
      <c r="C211" s="4">
        <v>23</v>
      </c>
      <c r="D211" s="3" t="s">
        <v>87</v>
      </c>
      <c r="E211" s="3" t="s">
        <v>7</v>
      </c>
      <c r="F211" s="5">
        <v>2076</v>
      </c>
      <c r="G211" s="5">
        <v>1731</v>
      </c>
      <c r="H211" s="6">
        <v>118242.48</v>
      </c>
      <c r="I211" s="22">
        <v>102010.53</v>
      </c>
      <c r="J211" s="24">
        <f t="shared" si="9"/>
        <v>7.0684340126543979E-4</v>
      </c>
      <c r="K211" s="25">
        <f t="shared" si="11"/>
        <v>0.41692088273576838</v>
      </c>
      <c r="L211" s="26" t="s">
        <v>7516</v>
      </c>
      <c r="M211" s="28"/>
      <c r="N211" s="28"/>
      <c r="O211" s="20">
        <v>95970.06</v>
      </c>
      <c r="P211" s="27" t="str">
        <f t="shared" si="10"/>
        <v>laranja</v>
      </c>
    </row>
    <row r="212" spans="1:16" ht="25.5">
      <c r="A212" s="3" t="s">
        <v>5302</v>
      </c>
      <c r="B212" s="3" t="s">
        <v>5303</v>
      </c>
      <c r="C212" s="4">
        <v>321</v>
      </c>
      <c r="D212" s="3" t="s">
        <v>136</v>
      </c>
      <c r="E212" s="3" t="s">
        <v>41</v>
      </c>
      <c r="F212" s="5">
        <v>1287</v>
      </c>
      <c r="G212" s="5">
        <v>1589</v>
      </c>
      <c r="H212" s="6">
        <v>72370.038</v>
      </c>
      <c r="I212" s="22">
        <v>100869.602</v>
      </c>
      <c r="J212" s="24">
        <f t="shared" si="9"/>
        <v>6.9893777203168344E-4</v>
      </c>
      <c r="K212" s="25">
        <f t="shared" si="11"/>
        <v>0.41761982050780005</v>
      </c>
      <c r="L212" s="26" t="s">
        <v>7516</v>
      </c>
      <c r="M212" s="28"/>
      <c r="N212" s="28"/>
      <c r="O212" s="20" t="s">
        <v>7530</v>
      </c>
      <c r="P212" s="27" t="str">
        <f t="shared" si="10"/>
        <v>vermelho</v>
      </c>
    </row>
    <row r="213" spans="1:16">
      <c r="A213" s="3" t="s">
        <v>5304</v>
      </c>
      <c r="B213" s="3" t="s">
        <v>5305</v>
      </c>
      <c r="C213" s="4">
        <v>315</v>
      </c>
      <c r="D213" s="3" t="s">
        <v>63</v>
      </c>
      <c r="E213" s="3" t="s">
        <v>7</v>
      </c>
      <c r="F213" s="5">
        <v>432</v>
      </c>
      <c r="G213" s="5">
        <v>1724</v>
      </c>
      <c r="H213" s="6">
        <v>22996.080000000002</v>
      </c>
      <c r="I213" s="22">
        <v>100823.05899999999</v>
      </c>
      <c r="J213" s="24">
        <f t="shared" si="9"/>
        <v>6.9861526990935255E-4</v>
      </c>
      <c r="K213" s="25">
        <f t="shared" si="11"/>
        <v>0.41831843577770939</v>
      </c>
      <c r="L213" s="26" t="s">
        <v>7516</v>
      </c>
      <c r="M213" s="28"/>
      <c r="N213" s="28"/>
      <c r="O213" s="20">
        <v>29725.496999999999</v>
      </c>
      <c r="P213" s="27" t="str">
        <f t="shared" si="10"/>
        <v>amarelo</v>
      </c>
    </row>
    <row r="214" spans="1:16">
      <c r="A214" s="3" t="s">
        <v>5306</v>
      </c>
      <c r="B214" s="3" t="s">
        <v>5307</v>
      </c>
      <c r="C214" s="4">
        <v>231</v>
      </c>
      <c r="D214" s="3" t="s">
        <v>52</v>
      </c>
      <c r="E214" s="3" t="s">
        <v>7</v>
      </c>
      <c r="F214" s="5">
        <v>636</v>
      </c>
      <c r="G214" s="5">
        <v>1548</v>
      </c>
      <c r="H214" s="6">
        <v>38845.74</v>
      </c>
      <c r="I214" s="22">
        <v>100742.16</v>
      </c>
      <c r="J214" s="24">
        <f t="shared" si="9"/>
        <v>6.9805471087374153E-4</v>
      </c>
      <c r="K214" s="25">
        <f t="shared" si="11"/>
        <v>0.41901649048858314</v>
      </c>
      <c r="L214" s="26" t="s">
        <v>7516</v>
      </c>
      <c r="M214" s="28"/>
      <c r="N214" s="28"/>
      <c r="O214" s="20">
        <v>67348.56</v>
      </c>
      <c r="P214" s="27" t="str">
        <f t="shared" si="10"/>
        <v>laranja</v>
      </c>
    </row>
    <row r="215" spans="1:16" ht="38.25">
      <c r="A215" s="3" t="s">
        <v>5308</v>
      </c>
      <c r="B215" s="3" t="s">
        <v>5309</v>
      </c>
      <c r="C215" s="4">
        <v>45</v>
      </c>
      <c r="D215" s="3" t="s">
        <v>23</v>
      </c>
      <c r="E215" s="3" t="s">
        <v>7</v>
      </c>
      <c r="F215" s="5">
        <v>1965</v>
      </c>
      <c r="G215" s="5">
        <v>1695</v>
      </c>
      <c r="H215" s="6">
        <v>96152.441999999995</v>
      </c>
      <c r="I215" s="22">
        <v>100708.65</v>
      </c>
      <c r="J215" s="24">
        <f t="shared" si="9"/>
        <v>6.9782251599762035E-4</v>
      </c>
      <c r="K215" s="25">
        <f t="shared" si="11"/>
        <v>0.41971431300458073</v>
      </c>
      <c r="L215" s="26" t="s">
        <v>7516</v>
      </c>
      <c r="M215" s="28"/>
      <c r="N215" s="28"/>
      <c r="O215" s="20">
        <v>41726.1</v>
      </c>
      <c r="P215" s="27" t="str">
        <f t="shared" si="10"/>
        <v>amarelo</v>
      </c>
    </row>
    <row r="216" spans="1:16" ht="38.25">
      <c r="A216" s="3" t="s">
        <v>5310</v>
      </c>
      <c r="B216" s="3" t="s">
        <v>5311</v>
      </c>
      <c r="C216" s="4">
        <v>38</v>
      </c>
      <c r="D216" s="3" t="s">
        <v>184</v>
      </c>
      <c r="E216" s="3" t="s">
        <v>49</v>
      </c>
      <c r="F216" s="5">
        <v>1800</v>
      </c>
      <c r="G216" s="5">
        <v>1566</v>
      </c>
      <c r="H216" s="6">
        <v>97702.373999999996</v>
      </c>
      <c r="I216" s="22">
        <v>100577.769</v>
      </c>
      <c r="J216" s="24">
        <f t="shared" si="9"/>
        <v>6.9691562558933586E-4</v>
      </c>
      <c r="K216" s="25">
        <f t="shared" si="11"/>
        <v>0.42041122863017005</v>
      </c>
      <c r="L216" s="26" t="s">
        <v>7516</v>
      </c>
      <c r="M216" s="28"/>
      <c r="N216" s="28"/>
      <c r="O216" s="20">
        <v>81499.02</v>
      </c>
      <c r="P216" s="27" t="str">
        <f t="shared" si="10"/>
        <v>laranja</v>
      </c>
    </row>
    <row r="217" spans="1:16">
      <c r="A217" s="3" t="s">
        <v>4</v>
      </c>
      <c r="B217" s="3" t="s">
        <v>51</v>
      </c>
      <c r="C217" s="4">
        <v>231</v>
      </c>
      <c r="D217" s="3" t="s">
        <v>52</v>
      </c>
      <c r="E217" s="3" t="s">
        <v>7</v>
      </c>
      <c r="F217" s="5">
        <v>792</v>
      </c>
      <c r="G217" s="5">
        <v>1545</v>
      </c>
      <c r="H217" s="6">
        <v>46456.08</v>
      </c>
      <c r="I217" s="22">
        <v>100422.81</v>
      </c>
      <c r="J217" s="24">
        <f t="shared" si="9"/>
        <v>6.9584189578304333E-4</v>
      </c>
      <c r="K217" s="25">
        <f t="shared" si="11"/>
        <v>0.42110707052595309</v>
      </c>
      <c r="L217" s="26" t="s">
        <v>7516</v>
      </c>
      <c r="M217" s="28"/>
      <c r="N217" s="28"/>
      <c r="O217" s="20">
        <v>39988.53</v>
      </c>
      <c r="P217" s="27" t="str">
        <f t="shared" si="10"/>
        <v>amarelo</v>
      </c>
    </row>
    <row r="218" spans="1:16" ht="25.5">
      <c r="A218" s="3" t="s">
        <v>5312</v>
      </c>
      <c r="B218" s="3" t="s">
        <v>5313</v>
      </c>
      <c r="C218" s="4">
        <v>74</v>
      </c>
      <c r="D218" s="3" t="s">
        <v>6</v>
      </c>
      <c r="E218" s="3" t="s">
        <v>7</v>
      </c>
      <c r="F218" s="5">
        <v>1137</v>
      </c>
      <c r="G218" s="5">
        <v>1650</v>
      </c>
      <c r="H218" s="6">
        <v>64997.58</v>
      </c>
      <c r="I218" s="22">
        <v>100212.09</v>
      </c>
      <c r="J218" s="24">
        <f t="shared" si="9"/>
        <v>6.9438179120840141E-4</v>
      </c>
      <c r="K218" s="25">
        <f t="shared" si="11"/>
        <v>0.42180145231716148</v>
      </c>
      <c r="L218" s="26" t="s">
        <v>7516</v>
      </c>
      <c r="M218" s="28"/>
      <c r="N218" s="28"/>
      <c r="O218" s="20">
        <v>53287.8</v>
      </c>
      <c r="P218" s="27" t="str">
        <f t="shared" si="10"/>
        <v>laranja</v>
      </c>
    </row>
    <row r="219" spans="1:16" ht="25.5">
      <c r="A219" s="3" t="s">
        <v>5314</v>
      </c>
      <c r="B219" s="3" t="s">
        <v>5315</v>
      </c>
      <c r="C219" s="4">
        <v>74</v>
      </c>
      <c r="D219" s="3" t="s">
        <v>6</v>
      </c>
      <c r="E219" s="3" t="s">
        <v>7</v>
      </c>
      <c r="F219" s="5">
        <v>1308</v>
      </c>
      <c r="G219" s="5">
        <v>1725</v>
      </c>
      <c r="H219" s="6">
        <v>77377.56</v>
      </c>
      <c r="I219" s="22">
        <v>99543.39</v>
      </c>
      <c r="J219" s="24">
        <f t="shared" si="9"/>
        <v>6.8974828736888402E-4</v>
      </c>
      <c r="K219" s="25">
        <f t="shared" si="11"/>
        <v>0.42249120060453038</v>
      </c>
      <c r="L219" s="26" t="s">
        <v>7516</v>
      </c>
      <c r="M219" s="28"/>
      <c r="N219" s="28"/>
      <c r="O219" s="20" t="s">
        <v>7530</v>
      </c>
      <c r="P219" s="27" t="str">
        <f t="shared" si="10"/>
        <v>vermelho</v>
      </c>
    </row>
    <row r="220" spans="1:16" ht="25.5">
      <c r="A220" s="3" t="s">
        <v>5316</v>
      </c>
      <c r="B220" s="3" t="s">
        <v>5317</v>
      </c>
      <c r="C220" s="4">
        <v>208</v>
      </c>
      <c r="D220" s="3" t="s">
        <v>15</v>
      </c>
      <c r="E220" s="3" t="s">
        <v>16</v>
      </c>
      <c r="F220" s="5">
        <v>1548</v>
      </c>
      <c r="G220" s="5">
        <v>1674</v>
      </c>
      <c r="H220" s="6">
        <v>89182.080000000002</v>
      </c>
      <c r="I220" s="22">
        <v>99416.94</v>
      </c>
      <c r="J220" s="24">
        <f t="shared" si="9"/>
        <v>6.8887209989990398E-4</v>
      </c>
      <c r="K220" s="25">
        <f t="shared" si="11"/>
        <v>0.42318007270443031</v>
      </c>
      <c r="L220" s="26" t="s">
        <v>7516</v>
      </c>
      <c r="M220" s="28"/>
      <c r="N220" s="28"/>
      <c r="O220" s="20">
        <v>10183.56</v>
      </c>
      <c r="P220" s="27" t="str">
        <f t="shared" si="10"/>
        <v>amarelo</v>
      </c>
    </row>
    <row r="221" spans="1:16" ht="25.5">
      <c r="A221" s="3" t="s">
        <v>5318</v>
      </c>
      <c r="B221" s="3" t="s">
        <v>5319</v>
      </c>
      <c r="C221" s="4">
        <v>39</v>
      </c>
      <c r="D221" s="3" t="s">
        <v>26</v>
      </c>
      <c r="E221" s="3" t="s">
        <v>13</v>
      </c>
      <c r="F221" s="5">
        <v>420</v>
      </c>
      <c r="G221" s="5">
        <v>1686</v>
      </c>
      <c r="H221" s="6">
        <v>24193.991999999998</v>
      </c>
      <c r="I221" s="22">
        <v>99029.64</v>
      </c>
      <c r="J221" s="24">
        <f t="shared" si="9"/>
        <v>6.8618845097356167E-4</v>
      </c>
      <c r="K221" s="25">
        <f t="shared" si="11"/>
        <v>0.42386626115540388</v>
      </c>
      <c r="L221" s="26" t="s">
        <v>7516</v>
      </c>
      <c r="M221" s="28"/>
      <c r="N221" s="28"/>
      <c r="O221" s="20" t="s">
        <v>7530</v>
      </c>
      <c r="P221" s="27" t="str">
        <f t="shared" si="10"/>
        <v>vermelho</v>
      </c>
    </row>
    <row r="222" spans="1:16" ht="38.25">
      <c r="A222" s="3" t="s">
        <v>5320</v>
      </c>
      <c r="B222" s="3" t="s">
        <v>5321</v>
      </c>
      <c r="C222" s="4">
        <v>11</v>
      </c>
      <c r="D222" s="3" t="s">
        <v>61</v>
      </c>
      <c r="E222" s="3" t="s">
        <v>10</v>
      </c>
      <c r="F222" s="5">
        <v>1440</v>
      </c>
      <c r="G222" s="5">
        <v>1440</v>
      </c>
      <c r="H222" s="6">
        <v>85653.36</v>
      </c>
      <c r="I222" s="22">
        <v>98733.84</v>
      </c>
      <c r="J222" s="24">
        <f t="shared" si="9"/>
        <v>6.8413881670448848E-4</v>
      </c>
      <c r="K222" s="25">
        <f t="shared" si="11"/>
        <v>0.42455039997210836</v>
      </c>
      <c r="L222" s="26" t="s">
        <v>7516</v>
      </c>
      <c r="M222" s="28"/>
      <c r="N222" s="28"/>
      <c r="O222" s="20">
        <v>105938.63400000001</v>
      </c>
      <c r="P222" s="27" t="str">
        <f t="shared" si="10"/>
        <v>verde</v>
      </c>
    </row>
    <row r="223" spans="1:16" ht="38.25">
      <c r="A223" s="3" t="s">
        <v>5324</v>
      </c>
      <c r="B223" s="3" t="s">
        <v>5325</v>
      </c>
      <c r="C223" s="4">
        <v>292</v>
      </c>
      <c r="D223" s="3" t="s">
        <v>57</v>
      </c>
      <c r="E223" s="3" t="s">
        <v>49</v>
      </c>
      <c r="F223" s="5">
        <v>0</v>
      </c>
      <c r="G223" s="5">
        <v>1876</v>
      </c>
      <c r="H223" s="6">
        <v>0</v>
      </c>
      <c r="I223" s="22">
        <v>97916.04</v>
      </c>
      <c r="J223" s="24">
        <f t="shared" si="9"/>
        <v>6.7847218078410975E-4</v>
      </c>
      <c r="K223" s="25">
        <f t="shared" si="11"/>
        <v>0.42522887215289246</v>
      </c>
      <c r="L223" s="26" t="s">
        <v>7516</v>
      </c>
      <c r="M223" s="28"/>
      <c r="N223" s="28"/>
      <c r="O223" s="20">
        <v>53029.190999999999</v>
      </c>
      <c r="P223" s="27" t="str">
        <f t="shared" si="10"/>
        <v>laranja</v>
      </c>
    </row>
    <row r="224" spans="1:16" ht="25.5">
      <c r="A224" s="3" t="s">
        <v>5326</v>
      </c>
      <c r="B224" s="3" t="s">
        <v>5327</v>
      </c>
      <c r="C224" s="4">
        <v>218</v>
      </c>
      <c r="D224" s="3" t="s">
        <v>104</v>
      </c>
      <c r="E224" s="3" t="s">
        <v>16</v>
      </c>
      <c r="F224" s="5">
        <v>1374</v>
      </c>
      <c r="G224" s="5">
        <v>1764</v>
      </c>
      <c r="H224" s="6">
        <v>68086.02</v>
      </c>
      <c r="I224" s="22">
        <v>97594.5</v>
      </c>
      <c r="J224" s="24">
        <f t="shared" si="9"/>
        <v>6.7624419091636876E-4</v>
      </c>
      <c r="K224" s="25">
        <f t="shared" si="11"/>
        <v>0.42590511634380884</v>
      </c>
      <c r="L224" s="26" t="s">
        <v>7516</v>
      </c>
      <c r="M224" s="28"/>
      <c r="N224" s="28"/>
      <c r="O224" s="20">
        <v>11504.16</v>
      </c>
      <c r="P224" s="27" t="str">
        <f t="shared" si="10"/>
        <v>amarelo</v>
      </c>
    </row>
    <row r="225" spans="1:16" ht="25.5">
      <c r="A225" s="3" t="s">
        <v>5328</v>
      </c>
      <c r="B225" s="3" t="s">
        <v>5329</v>
      </c>
      <c r="C225" s="4">
        <v>194</v>
      </c>
      <c r="D225" s="3" t="s">
        <v>145</v>
      </c>
      <c r="E225" s="3" t="s">
        <v>16</v>
      </c>
      <c r="F225" s="5">
        <v>1584</v>
      </c>
      <c r="G225" s="5">
        <v>1710</v>
      </c>
      <c r="H225" s="6">
        <v>75778.559999999998</v>
      </c>
      <c r="I225" s="22">
        <v>97508.22</v>
      </c>
      <c r="J225" s="24">
        <f t="shared" si="9"/>
        <v>6.756463462756128E-4</v>
      </c>
      <c r="K225" s="25">
        <f t="shared" si="11"/>
        <v>0.42658076269008444</v>
      </c>
      <c r="L225" s="26" t="s">
        <v>7516</v>
      </c>
      <c r="M225" s="28"/>
      <c r="N225" s="28"/>
      <c r="O225" s="20">
        <v>31577.13</v>
      </c>
      <c r="P225" s="27" t="str">
        <f t="shared" si="10"/>
        <v>amarelo</v>
      </c>
    </row>
    <row r="226" spans="1:16" ht="38.25">
      <c r="A226" s="3" t="s">
        <v>4</v>
      </c>
      <c r="B226" s="3" t="s">
        <v>53</v>
      </c>
      <c r="C226" s="4">
        <v>34</v>
      </c>
      <c r="D226" s="3" t="s">
        <v>54</v>
      </c>
      <c r="E226" s="3" t="s">
        <v>49</v>
      </c>
      <c r="F226" s="5">
        <v>0</v>
      </c>
      <c r="G226" s="5">
        <v>1553</v>
      </c>
      <c r="H226" s="6">
        <v>0</v>
      </c>
      <c r="I226" s="22">
        <v>97458.76</v>
      </c>
      <c r="J226" s="24">
        <f t="shared" si="9"/>
        <v>6.7530363190459054E-4</v>
      </c>
      <c r="K226" s="25">
        <f t="shared" si="11"/>
        <v>0.42725606632198904</v>
      </c>
      <c r="L226" s="26" t="s">
        <v>7516</v>
      </c>
      <c r="M226" s="28"/>
      <c r="N226" s="28"/>
      <c r="O226" s="20">
        <v>8145.24</v>
      </c>
      <c r="P226" s="27" t="str">
        <f t="shared" si="10"/>
        <v>amarelo</v>
      </c>
    </row>
    <row r="227" spans="1:16" ht="25.5">
      <c r="A227" s="3" t="s">
        <v>5332</v>
      </c>
      <c r="B227" s="3" t="s">
        <v>5333</v>
      </c>
      <c r="C227" s="4">
        <v>93</v>
      </c>
      <c r="D227" s="3" t="s">
        <v>20</v>
      </c>
      <c r="E227" s="3" t="s">
        <v>7</v>
      </c>
      <c r="F227" s="5">
        <v>1548</v>
      </c>
      <c r="G227" s="5">
        <v>1605</v>
      </c>
      <c r="H227" s="6">
        <v>87350.28</v>
      </c>
      <c r="I227" s="22">
        <v>96942.12</v>
      </c>
      <c r="J227" s="24">
        <f t="shared" si="9"/>
        <v>6.7172377034686924E-4</v>
      </c>
      <c r="K227" s="25">
        <f t="shared" si="11"/>
        <v>0.42792779009233589</v>
      </c>
      <c r="L227" s="26" t="s">
        <v>7516</v>
      </c>
      <c r="M227" s="28"/>
      <c r="N227" s="28"/>
      <c r="O227" s="20">
        <v>12925.56</v>
      </c>
      <c r="P227" s="27" t="str">
        <f t="shared" si="10"/>
        <v>amarelo</v>
      </c>
    </row>
    <row r="228" spans="1:16" ht="25.5">
      <c r="A228" s="3" t="s">
        <v>5334</v>
      </c>
      <c r="B228" s="3" t="s">
        <v>5335</v>
      </c>
      <c r="C228" s="4">
        <v>316</v>
      </c>
      <c r="D228" s="3" t="s">
        <v>247</v>
      </c>
      <c r="E228" s="3" t="s">
        <v>10</v>
      </c>
      <c r="F228" s="5">
        <v>0</v>
      </c>
      <c r="G228" s="5">
        <v>1536</v>
      </c>
      <c r="H228" s="6">
        <v>0</v>
      </c>
      <c r="I228" s="22">
        <v>96696.403999999995</v>
      </c>
      <c r="J228" s="24">
        <f t="shared" si="9"/>
        <v>6.7002117422090715E-4</v>
      </c>
      <c r="K228" s="25">
        <f t="shared" si="11"/>
        <v>0.42859781126655677</v>
      </c>
      <c r="L228" s="26" t="s">
        <v>7516</v>
      </c>
      <c r="M228" s="28"/>
      <c r="N228" s="28"/>
      <c r="O228" s="20" t="s">
        <v>7530</v>
      </c>
      <c r="P228" s="27" t="str">
        <f t="shared" si="10"/>
        <v>vermelho</v>
      </c>
    </row>
    <row r="229" spans="1:16">
      <c r="A229" s="3" t="s">
        <v>5336</v>
      </c>
      <c r="B229" s="3" t="s">
        <v>5337</v>
      </c>
      <c r="C229" s="4">
        <v>167</v>
      </c>
      <c r="D229" s="3" t="s">
        <v>251</v>
      </c>
      <c r="E229" s="3" t="s">
        <v>49</v>
      </c>
      <c r="F229" s="5">
        <v>1704</v>
      </c>
      <c r="G229" s="5">
        <v>1716</v>
      </c>
      <c r="H229" s="6">
        <v>92494.92</v>
      </c>
      <c r="I229" s="22">
        <v>95623.8</v>
      </c>
      <c r="J229" s="24">
        <f t="shared" si="9"/>
        <v>6.6258897031439955E-4</v>
      </c>
      <c r="K229" s="25">
        <f t="shared" si="11"/>
        <v>0.42926040023687118</v>
      </c>
      <c r="L229" s="26" t="s">
        <v>7516</v>
      </c>
      <c r="M229" s="28"/>
      <c r="N229" s="28"/>
      <c r="O229" s="20">
        <v>34032.959999999999</v>
      </c>
      <c r="P229" s="27" t="str">
        <f t="shared" si="10"/>
        <v>amarelo</v>
      </c>
    </row>
    <row r="230" spans="1:16" ht="25.5">
      <c r="A230" s="3" t="s">
        <v>5338</v>
      </c>
      <c r="B230" s="3" t="s">
        <v>5339</v>
      </c>
      <c r="C230" s="4">
        <v>208</v>
      </c>
      <c r="D230" s="3" t="s">
        <v>15</v>
      </c>
      <c r="E230" s="3" t="s">
        <v>16</v>
      </c>
      <c r="F230" s="5">
        <v>1641</v>
      </c>
      <c r="G230" s="5">
        <v>1512</v>
      </c>
      <c r="H230" s="6">
        <v>93699.18</v>
      </c>
      <c r="I230" s="22">
        <v>95334.96</v>
      </c>
      <c r="J230" s="24">
        <f t="shared" si="9"/>
        <v>6.6058756273401045E-4</v>
      </c>
      <c r="K230" s="25">
        <f t="shared" si="11"/>
        <v>0.42992098779960519</v>
      </c>
      <c r="L230" s="26" t="s">
        <v>7516</v>
      </c>
      <c r="M230" s="28"/>
      <c r="N230" s="28"/>
      <c r="O230" s="20">
        <v>44841.9</v>
      </c>
      <c r="P230" s="27" t="str">
        <f t="shared" si="10"/>
        <v>amarelo</v>
      </c>
    </row>
    <row r="231" spans="1:16" ht="25.5">
      <c r="A231" s="3" t="s">
        <v>5340</v>
      </c>
      <c r="B231" s="3" t="s">
        <v>5341</v>
      </c>
      <c r="C231" s="4">
        <v>23</v>
      </c>
      <c r="D231" s="3" t="s">
        <v>87</v>
      </c>
      <c r="E231" s="3" t="s">
        <v>7</v>
      </c>
      <c r="F231" s="5">
        <v>1425</v>
      </c>
      <c r="G231" s="5">
        <v>1482</v>
      </c>
      <c r="H231" s="6">
        <v>73154.67</v>
      </c>
      <c r="I231" s="22">
        <v>94308.707999999999</v>
      </c>
      <c r="J231" s="24">
        <f t="shared" si="9"/>
        <v>6.5347653748754357E-4</v>
      </c>
      <c r="K231" s="25">
        <f t="shared" si="11"/>
        <v>0.43057446433709273</v>
      </c>
      <c r="L231" s="26" t="s">
        <v>7516</v>
      </c>
      <c r="M231" s="28"/>
      <c r="N231" s="28"/>
      <c r="O231" s="20">
        <v>50617.881000000001</v>
      </c>
      <c r="P231" s="27" t="str">
        <f t="shared" si="10"/>
        <v>laranja</v>
      </c>
    </row>
    <row r="232" spans="1:16" ht="25.5">
      <c r="A232" s="3" t="s">
        <v>4</v>
      </c>
      <c r="B232" s="3" t="s">
        <v>55</v>
      </c>
      <c r="C232" s="4">
        <v>15</v>
      </c>
      <c r="D232" s="3" t="s">
        <v>18</v>
      </c>
      <c r="E232" s="3" t="s">
        <v>16</v>
      </c>
      <c r="F232" s="5">
        <v>3264</v>
      </c>
      <c r="G232" s="5">
        <v>1800</v>
      </c>
      <c r="H232" s="6">
        <v>152466.12</v>
      </c>
      <c r="I232" s="22">
        <v>93733.343999999997</v>
      </c>
      <c r="J232" s="24">
        <f t="shared" si="9"/>
        <v>6.4948977017317236E-4</v>
      </c>
      <c r="K232" s="25">
        <f t="shared" si="11"/>
        <v>0.43122395410726588</v>
      </c>
      <c r="L232" s="26" t="s">
        <v>7516</v>
      </c>
      <c r="M232" s="28"/>
      <c r="N232" s="28"/>
      <c r="O232" s="20" t="s">
        <v>7530</v>
      </c>
      <c r="P232" s="27" t="str">
        <f t="shared" si="10"/>
        <v>vermelho</v>
      </c>
    </row>
    <row r="233" spans="1:16">
      <c r="A233" s="3" t="s">
        <v>5342</v>
      </c>
      <c r="B233" s="3" t="s">
        <v>5343</v>
      </c>
      <c r="C233" s="4">
        <v>15</v>
      </c>
      <c r="D233" s="3" t="s">
        <v>18</v>
      </c>
      <c r="E233" s="3" t="s">
        <v>16</v>
      </c>
      <c r="F233" s="5">
        <v>1740</v>
      </c>
      <c r="G233" s="5">
        <v>1701</v>
      </c>
      <c r="H233" s="6">
        <v>84389.28</v>
      </c>
      <c r="I233" s="22">
        <v>93712.41</v>
      </c>
      <c r="J233" s="24">
        <f t="shared" si="9"/>
        <v>6.4934471593453556E-4</v>
      </c>
      <c r="K233" s="25">
        <f t="shared" si="11"/>
        <v>0.43187329882320041</v>
      </c>
      <c r="L233" s="26" t="s">
        <v>7516</v>
      </c>
      <c r="M233" s="28"/>
      <c r="N233" s="28"/>
      <c r="O233" s="20" t="s">
        <v>7530</v>
      </c>
      <c r="P233" s="27" t="str">
        <f t="shared" si="10"/>
        <v>vermelho</v>
      </c>
    </row>
    <row r="234" spans="1:16" ht="25.5">
      <c r="A234" s="3" t="s">
        <v>5344</v>
      </c>
      <c r="B234" s="3" t="s">
        <v>5345</v>
      </c>
      <c r="C234" s="4">
        <v>194</v>
      </c>
      <c r="D234" s="3" t="s">
        <v>145</v>
      </c>
      <c r="E234" s="3" t="s">
        <v>16</v>
      </c>
      <c r="F234" s="5">
        <v>2196</v>
      </c>
      <c r="G234" s="5">
        <v>2148</v>
      </c>
      <c r="H234" s="6">
        <v>83149.2</v>
      </c>
      <c r="I234" s="22">
        <v>93381.78</v>
      </c>
      <c r="J234" s="24">
        <f t="shared" si="9"/>
        <v>6.4705374034838381E-4</v>
      </c>
      <c r="K234" s="25">
        <f t="shared" si="11"/>
        <v>0.43252035256354882</v>
      </c>
      <c r="L234" s="26" t="s">
        <v>7516</v>
      </c>
      <c r="M234" s="28"/>
      <c r="N234" s="28"/>
      <c r="O234" s="20" t="s">
        <v>7530</v>
      </c>
      <c r="P234" s="27" t="str">
        <f t="shared" si="10"/>
        <v>vermelho</v>
      </c>
    </row>
    <row r="235" spans="1:16" ht="38.25">
      <c r="A235" s="3" t="s">
        <v>5346</v>
      </c>
      <c r="B235" s="3" t="s">
        <v>5347</v>
      </c>
      <c r="C235" s="4">
        <v>371</v>
      </c>
      <c r="D235" s="3" t="s">
        <v>82</v>
      </c>
      <c r="E235" s="3" t="s">
        <v>49</v>
      </c>
      <c r="F235" s="5">
        <v>2148</v>
      </c>
      <c r="G235" s="5">
        <v>1632</v>
      </c>
      <c r="H235" s="6">
        <v>104991.573</v>
      </c>
      <c r="I235" s="22">
        <v>93381.198000000004</v>
      </c>
      <c r="J235" s="24">
        <f t="shared" si="9"/>
        <v>6.4704970759941636E-4</v>
      </c>
      <c r="K235" s="25">
        <f t="shared" si="11"/>
        <v>0.43316740227114825</v>
      </c>
      <c r="L235" s="26" t="s">
        <v>7516</v>
      </c>
      <c r="M235" s="28"/>
      <c r="N235" s="28"/>
      <c r="O235" s="20">
        <v>20130.897000000001</v>
      </c>
      <c r="P235" s="27" t="str">
        <f t="shared" si="10"/>
        <v>amarelo</v>
      </c>
    </row>
    <row r="236" spans="1:16" ht="51">
      <c r="A236" s="3" t="s">
        <v>5348</v>
      </c>
      <c r="B236" s="3" t="s">
        <v>5349</v>
      </c>
      <c r="C236" s="4">
        <v>282</v>
      </c>
      <c r="D236" s="3" t="s">
        <v>12</v>
      </c>
      <c r="E236" s="3" t="s">
        <v>13</v>
      </c>
      <c r="F236" s="5">
        <v>3915</v>
      </c>
      <c r="G236" s="5">
        <v>1644</v>
      </c>
      <c r="H236" s="6">
        <v>209411.74799999999</v>
      </c>
      <c r="I236" s="22">
        <v>93289.21</v>
      </c>
      <c r="J236" s="24">
        <f t="shared" si="9"/>
        <v>6.4641231153064185E-4</v>
      </c>
      <c r="K236" s="25">
        <f t="shared" si="11"/>
        <v>0.43381381458267887</v>
      </c>
      <c r="L236" s="26" t="s">
        <v>7516</v>
      </c>
      <c r="M236" s="28"/>
      <c r="N236" s="28"/>
      <c r="O236" s="20" t="s">
        <v>7530</v>
      </c>
      <c r="P236" s="27" t="str">
        <f t="shared" si="10"/>
        <v>vermelho</v>
      </c>
    </row>
    <row r="237" spans="1:16" ht="25.5">
      <c r="A237" s="3" t="s">
        <v>5330</v>
      </c>
      <c r="B237" s="3" t="s">
        <v>5331</v>
      </c>
      <c r="C237" s="4">
        <v>317</v>
      </c>
      <c r="D237" s="3" t="s">
        <v>78</v>
      </c>
      <c r="E237" s="3" t="s">
        <v>10</v>
      </c>
      <c r="F237" s="5">
        <v>1389</v>
      </c>
      <c r="G237" s="5">
        <v>1431</v>
      </c>
      <c r="H237" s="6">
        <v>82759.59</v>
      </c>
      <c r="I237" s="22">
        <v>92356.5</v>
      </c>
      <c r="J237" s="24">
        <f t="shared" si="9"/>
        <v>6.399494502084402E-4</v>
      </c>
      <c r="K237" s="25">
        <f t="shared" si="11"/>
        <v>0.43445376403288732</v>
      </c>
      <c r="L237" s="26" t="s">
        <v>7516</v>
      </c>
      <c r="M237" s="28"/>
      <c r="N237" s="28"/>
      <c r="O237" s="20">
        <v>8762.1</v>
      </c>
      <c r="P237" s="27" t="str">
        <f t="shared" si="10"/>
        <v>amarelo</v>
      </c>
    </row>
    <row r="238" spans="1:16" ht="38.25">
      <c r="A238" s="3" t="s">
        <v>5350</v>
      </c>
      <c r="B238" s="3" t="s">
        <v>5351</v>
      </c>
      <c r="C238" s="4">
        <v>143</v>
      </c>
      <c r="D238" s="3" t="s">
        <v>44</v>
      </c>
      <c r="E238" s="3" t="s">
        <v>41</v>
      </c>
      <c r="F238" s="5">
        <v>999</v>
      </c>
      <c r="G238" s="5">
        <v>1605</v>
      </c>
      <c r="H238" s="6">
        <v>54957.99</v>
      </c>
      <c r="I238" s="22">
        <v>92121.953999999998</v>
      </c>
      <c r="J238" s="24">
        <f t="shared" si="9"/>
        <v>6.3832425237451843E-4</v>
      </c>
      <c r="K238" s="25">
        <f t="shared" si="11"/>
        <v>0.43509208828526186</v>
      </c>
      <c r="L238" s="26" t="s">
        <v>7516</v>
      </c>
      <c r="M238" s="28"/>
      <c r="N238" s="28"/>
      <c r="O238" s="20" t="s">
        <v>7530</v>
      </c>
      <c r="P238" s="27" t="str">
        <f t="shared" si="10"/>
        <v>vermelho</v>
      </c>
    </row>
    <row r="239" spans="1:16" ht="38.25">
      <c r="A239" s="3" t="s">
        <v>4</v>
      </c>
      <c r="B239" s="3" t="s">
        <v>56</v>
      </c>
      <c r="C239" s="4">
        <v>292</v>
      </c>
      <c r="D239" s="3" t="s">
        <v>57</v>
      </c>
      <c r="E239" s="3" t="s">
        <v>49</v>
      </c>
      <c r="F239" s="5">
        <v>1422</v>
      </c>
      <c r="G239" s="5">
        <v>1572</v>
      </c>
      <c r="H239" s="6">
        <v>81609.782999999996</v>
      </c>
      <c r="I239" s="22">
        <v>91942.32</v>
      </c>
      <c r="J239" s="24">
        <f t="shared" si="9"/>
        <v>6.3707954648442155E-4</v>
      </c>
      <c r="K239" s="25">
        <f t="shared" si="11"/>
        <v>0.43572916783174626</v>
      </c>
      <c r="L239" s="26" t="s">
        <v>7516</v>
      </c>
      <c r="M239" s="28"/>
      <c r="N239" s="28"/>
      <c r="O239" s="20">
        <v>40058.928999999996</v>
      </c>
      <c r="P239" s="27" t="str">
        <f t="shared" si="10"/>
        <v>amarelo</v>
      </c>
    </row>
    <row r="240" spans="1:16" ht="25.5">
      <c r="A240" s="3" t="s">
        <v>5352</v>
      </c>
      <c r="B240" s="3" t="s">
        <v>5353</v>
      </c>
      <c r="C240" s="4">
        <v>19</v>
      </c>
      <c r="D240" s="3" t="s">
        <v>72</v>
      </c>
      <c r="E240" s="3" t="s">
        <v>41</v>
      </c>
      <c r="F240" s="5">
        <v>1263</v>
      </c>
      <c r="G240" s="5">
        <v>1620</v>
      </c>
      <c r="H240" s="6">
        <v>69758.252999999997</v>
      </c>
      <c r="I240" s="22">
        <v>91459.464000000007</v>
      </c>
      <c r="J240" s="24">
        <f t="shared" si="9"/>
        <v>6.3373377838223219E-4</v>
      </c>
      <c r="K240" s="25">
        <f t="shared" si="11"/>
        <v>0.43636290161012847</v>
      </c>
      <c r="L240" s="26" t="s">
        <v>7516</v>
      </c>
      <c r="M240" s="28"/>
      <c r="N240" s="28"/>
      <c r="O240" s="20">
        <v>27896.22</v>
      </c>
      <c r="P240" s="27" t="str">
        <f t="shared" si="10"/>
        <v>amarelo</v>
      </c>
    </row>
    <row r="241" spans="1:16" ht="38.25">
      <c r="A241" s="3" t="s">
        <v>5354</v>
      </c>
      <c r="B241" s="3" t="s">
        <v>5355</v>
      </c>
      <c r="C241" s="4">
        <v>301</v>
      </c>
      <c r="D241" s="3" t="s">
        <v>519</v>
      </c>
      <c r="E241" s="3" t="s">
        <v>16</v>
      </c>
      <c r="F241" s="5">
        <v>2406</v>
      </c>
      <c r="G241" s="5">
        <v>1824</v>
      </c>
      <c r="H241" s="6">
        <v>118882.26</v>
      </c>
      <c r="I241" s="22">
        <v>91235.4</v>
      </c>
      <c r="J241" s="24">
        <f t="shared" si="9"/>
        <v>6.3218121160445791E-4</v>
      </c>
      <c r="K241" s="25">
        <f t="shared" si="11"/>
        <v>0.43699508282173294</v>
      </c>
      <c r="L241" s="26" t="s">
        <v>7516</v>
      </c>
      <c r="M241" s="28"/>
      <c r="N241" s="28"/>
      <c r="O241" s="20">
        <v>45500.01</v>
      </c>
      <c r="P241" s="27" t="str">
        <f t="shared" si="10"/>
        <v>amarelo</v>
      </c>
    </row>
    <row r="242" spans="1:16" ht="25.5">
      <c r="A242" s="3" t="s">
        <v>4</v>
      </c>
      <c r="B242" s="3" t="s">
        <v>59</v>
      </c>
      <c r="C242" s="4">
        <v>208</v>
      </c>
      <c r="D242" s="3" t="s">
        <v>15</v>
      </c>
      <c r="E242" s="3" t="s">
        <v>16</v>
      </c>
      <c r="F242" s="5">
        <v>1728</v>
      </c>
      <c r="G242" s="5">
        <v>1416</v>
      </c>
      <c r="H242" s="6">
        <v>100574.1</v>
      </c>
      <c r="I242" s="22">
        <v>90111</v>
      </c>
      <c r="J242" s="24">
        <f t="shared" si="9"/>
        <v>6.2439010689808246E-4</v>
      </c>
      <c r="K242" s="25">
        <f t="shared" si="11"/>
        <v>0.43761947292863101</v>
      </c>
      <c r="L242" s="26" t="s">
        <v>7516</v>
      </c>
      <c r="M242" s="28"/>
      <c r="N242" s="28"/>
      <c r="O242" s="20">
        <v>44529.72</v>
      </c>
      <c r="P242" s="27" t="str">
        <f t="shared" si="10"/>
        <v>amarelo</v>
      </c>
    </row>
    <row r="243" spans="1:16">
      <c r="A243" s="3" t="s">
        <v>5356</v>
      </c>
      <c r="B243" s="3" t="s">
        <v>5357</v>
      </c>
      <c r="C243" s="4">
        <v>240</v>
      </c>
      <c r="D243" s="3" t="s">
        <v>69</v>
      </c>
      <c r="E243" s="3" t="s">
        <v>16</v>
      </c>
      <c r="F243" s="5">
        <v>993</v>
      </c>
      <c r="G243" s="5">
        <v>1482</v>
      </c>
      <c r="H243" s="6">
        <v>52631.19</v>
      </c>
      <c r="I243" s="22">
        <v>90085.83</v>
      </c>
      <c r="J243" s="24">
        <f t="shared" si="9"/>
        <v>6.2421570089891889E-4</v>
      </c>
      <c r="K243" s="25">
        <f t="shared" si="11"/>
        <v>0.43824368862952995</v>
      </c>
      <c r="L243" s="26" t="s">
        <v>7516</v>
      </c>
      <c r="M243" s="28"/>
      <c r="N243" s="28"/>
      <c r="O243" s="20">
        <v>6342.87</v>
      </c>
      <c r="P243" s="27" t="str">
        <f t="shared" si="10"/>
        <v>amarelo</v>
      </c>
    </row>
    <row r="244" spans="1:16">
      <c r="A244" s="3" t="s">
        <v>5358</v>
      </c>
      <c r="B244" s="3" t="s">
        <v>5359</v>
      </c>
      <c r="C244" s="4">
        <v>217</v>
      </c>
      <c r="D244" s="3" t="s">
        <v>91</v>
      </c>
      <c r="E244" s="3" t="s">
        <v>16</v>
      </c>
      <c r="F244" s="5">
        <v>0</v>
      </c>
      <c r="G244" s="5">
        <v>1527</v>
      </c>
      <c r="H244" s="6">
        <v>0</v>
      </c>
      <c r="I244" s="22">
        <v>90024.45</v>
      </c>
      <c r="J244" s="24">
        <f t="shared" si="9"/>
        <v>6.2379039139440326E-4</v>
      </c>
      <c r="K244" s="25">
        <f t="shared" si="11"/>
        <v>0.43886747902092438</v>
      </c>
      <c r="L244" s="26" t="s">
        <v>7516</v>
      </c>
      <c r="M244" s="28"/>
      <c r="N244" s="28"/>
      <c r="O244" s="20" t="s">
        <v>7530</v>
      </c>
      <c r="P244" s="27" t="str">
        <f t="shared" si="10"/>
        <v>vermelho</v>
      </c>
    </row>
    <row r="245" spans="1:16" ht="25.5">
      <c r="A245" s="3" t="s">
        <v>5360</v>
      </c>
      <c r="B245" s="3" t="s">
        <v>5361</v>
      </c>
      <c r="C245" s="4">
        <v>297</v>
      </c>
      <c r="D245" s="3" t="s">
        <v>115</v>
      </c>
      <c r="E245" s="3" t="s">
        <v>41</v>
      </c>
      <c r="F245" s="5">
        <v>1461</v>
      </c>
      <c r="G245" s="5">
        <v>1554</v>
      </c>
      <c r="H245" s="6">
        <v>78834.044999999998</v>
      </c>
      <c r="I245" s="22">
        <v>90008.475999999995</v>
      </c>
      <c r="J245" s="24">
        <f t="shared" si="9"/>
        <v>6.2367970560057583E-4</v>
      </c>
      <c r="K245" s="25">
        <f t="shared" si="11"/>
        <v>0.43949115872652494</v>
      </c>
      <c r="L245" s="26" t="s">
        <v>7516</v>
      </c>
      <c r="M245" s="28"/>
      <c r="N245" s="28"/>
      <c r="O245" s="20">
        <v>3593.84</v>
      </c>
      <c r="P245" s="27" t="str">
        <f t="shared" si="10"/>
        <v>amarelo</v>
      </c>
    </row>
    <row r="246" spans="1:16" ht="25.5">
      <c r="A246" s="3" t="s">
        <v>5362</v>
      </c>
      <c r="B246" s="3" t="s">
        <v>5363</v>
      </c>
      <c r="C246" s="4">
        <v>39</v>
      </c>
      <c r="D246" s="3" t="s">
        <v>26</v>
      </c>
      <c r="E246" s="3" t="s">
        <v>13</v>
      </c>
      <c r="F246" s="5">
        <v>1896</v>
      </c>
      <c r="G246" s="5">
        <v>1608</v>
      </c>
      <c r="H246" s="6">
        <v>89711.748000000007</v>
      </c>
      <c r="I246" s="22">
        <v>89302.8</v>
      </c>
      <c r="J246" s="24">
        <f t="shared" si="9"/>
        <v>6.1878999054830236E-4</v>
      </c>
      <c r="K246" s="25">
        <f t="shared" si="11"/>
        <v>0.44010994871707326</v>
      </c>
      <c r="L246" s="26" t="s">
        <v>7516</v>
      </c>
      <c r="M246" s="28"/>
      <c r="N246" s="28"/>
      <c r="O246" s="20">
        <v>37046.160000000003</v>
      </c>
      <c r="P246" s="27" t="str">
        <f t="shared" si="10"/>
        <v>amarelo</v>
      </c>
    </row>
    <row r="247" spans="1:16" ht="25.5">
      <c r="A247" s="3" t="s">
        <v>5366</v>
      </c>
      <c r="B247" s="3" t="s">
        <v>5367</v>
      </c>
      <c r="C247" s="4">
        <v>337</v>
      </c>
      <c r="D247" s="3" t="s">
        <v>202</v>
      </c>
      <c r="E247" s="3" t="s">
        <v>16</v>
      </c>
      <c r="F247" s="5">
        <v>276</v>
      </c>
      <c r="G247" s="5">
        <v>1524</v>
      </c>
      <c r="H247" s="6">
        <v>14877.36</v>
      </c>
      <c r="I247" s="22">
        <v>88827.24</v>
      </c>
      <c r="J247" s="24">
        <f t="shared" si="9"/>
        <v>6.1549477731976819E-4</v>
      </c>
      <c r="K247" s="25">
        <f t="shared" si="11"/>
        <v>0.44072544349439302</v>
      </c>
      <c r="L247" s="26" t="s">
        <v>7516</v>
      </c>
      <c r="M247" s="28"/>
      <c r="N247" s="28"/>
      <c r="O247" s="20" t="s">
        <v>7530</v>
      </c>
      <c r="P247" s="27" t="str">
        <f t="shared" si="10"/>
        <v>vermelho</v>
      </c>
    </row>
    <row r="248" spans="1:16" ht="38.25">
      <c r="A248" s="3" t="s">
        <v>4</v>
      </c>
      <c r="B248" s="3" t="s">
        <v>60</v>
      </c>
      <c r="C248" s="4">
        <v>11</v>
      </c>
      <c r="D248" s="3" t="s">
        <v>61</v>
      </c>
      <c r="E248" s="3" t="s">
        <v>10</v>
      </c>
      <c r="F248" s="5">
        <v>1284</v>
      </c>
      <c r="G248" s="5">
        <v>1416</v>
      </c>
      <c r="H248" s="6">
        <v>75017.16</v>
      </c>
      <c r="I248" s="22">
        <v>88692.36</v>
      </c>
      <c r="J248" s="24">
        <f t="shared" si="9"/>
        <v>6.1456017735285603E-4</v>
      </c>
      <c r="K248" s="25">
        <f t="shared" si="11"/>
        <v>0.44134000367174586</v>
      </c>
      <c r="L248" s="26" t="s">
        <v>7516</v>
      </c>
      <c r="M248" s="28"/>
      <c r="N248" s="28"/>
      <c r="O248" s="20" t="s">
        <v>7530</v>
      </c>
      <c r="P248" s="27" t="str">
        <f t="shared" si="10"/>
        <v>vermelho</v>
      </c>
    </row>
    <row r="249" spans="1:16" ht="25.5">
      <c r="A249" s="3" t="s">
        <v>4</v>
      </c>
      <c r="B249" s="3" t="s">
        <v>62</v>
      </c>
      <c r="C249" s="4">
        <v>315</v>
      </c>
      <c r="D249" s="3" t="s">
        <v>63</v>
      </c>
      <c r="E249" s="3" t="s">
        <v>7</v>
      </c>
      <c r="F249" s="5">
        <v>0</v>
      </c>
      <c r="G249" s="5">
        <v>1932</v>
      </c>
      <c r="H249" s="6">
        <v>0</v>
      </c>
      <c r="I249" s="22">
        <v>88433.76</v>
      </c>
      <c r="J249" s="24">
        <f t="shared" si="9"/>
        <v>6.127683064198529E-4</v>
      </c>
      <c r="K249" s="25">
        <f t="shared" si="11"/>
        <v>0.44195277197816574</v>
      </c>
      <c r="L249" s="26" t="s">
        <v>7516</v>
      </c>
      <c r="M249" s="28"/>
      <c r="N249" s="28"/>
      <c r="O249" s="20" t="s">
        <v>7530</v>
      </c>
      <c r="P249" s="27" t="str">
        <f t="shared" si="10"/>
        <v>vermelho</v>
      </c>
    </row>
    <row r="250" spans="1:16" ht="38.25">
      <c r="A250" s="3" t="s">
        <v>5248</v>
      </c>
      <c r="B250" s="3" t="s">
        <v>5249</v>
      </c>
      <c r="C250" s="4">
        <v>11</v>
      </c>
      <c r="D250" s="3" t="s">
        <v>61</v>
      </c>
      <c r="E250" s="3" t="s">
        <v>10</v>
      </c>
      <c r="F250" s="5">
        <v>4047</v>
      </c>
      <c r="G250" s="5">
        <v>1527</v>
      </c>
      <c r="H250" s="6">
        <v>242097.36</v>
      </c>
      <c r="I250" s="22">
        <v>88231.111999999994</v>
      </c>
      <c r="J250" s="24">
        <f t="shared" si="9"/>
        <v>6.1136413371748932E-4</v>
      </c>
      <c r="K250" s="25">
        <f t="shared" si="11"/>
        <v>0.44256413611188322</v>
      </c>
      <c r="L250" s="26" t="s">
        <v>7516</v>
      </c>
      <c r="M250" s="28"/>
      <c r="N250" s="28"/>
      <c r="O250" s="20">
        <v>18154.936000000002</v>
      </c>
      <c r="P250" s="27" t="str">
        <f t="shared" si="10"/>
        <v>amarelo</v>
      </c>
    </row>
    <row r="251" spans="1:16" ht="25.5">
      <c r="A251" s="3" t="s">
        <v>5368</v>
      </c>
      <c r="B251" s="3" t="s">
        <v>5369</v>
      </c>
      <c r="C251" s="4">
        <v>194</v>
      </c>
      <c r="D251" s="3" t="s">
        <v>145</v>
      </c>
      <c r="E251" s="3" t="s">
        <v>16</v>
      </c>
      <c r="F251" s="5">
        <v>1290</v>
      </c>
      <c r="G251" s="5">
        <v>1522</v>
      </c>
      <c r="H251" s="6">
        <v>70839.12</v>
      </c>
      <c r="I251" s="22">
        <v>88204.88</v>
      </c>
      <c r="J251" s="24">
        <f t="shared" si="9"/>
        <v>6.1118236899082839E-4</v>
      </c>
      <c r="K251" s="25">
        <f t="shared" si="11"/>
        <v>0.44317531848087405</v>
      </c>
      <c r="L251" s="26" t="s">
        <v>7516</v>
      </c>
      <c r="M251" s="28"/>
      <c r="N251" s="28"/>
      <c r="O251" s="20">
        <v>25129.56</v>
      </c>
      <c r="P251" s="27" t="str">
        <f t="shared" si="10"/>
        <v>amarelo</v>
      </c>
    </row>
    <row r="252" spans="1:16" ht="25.5">
      <c r="A252" s="3" t="s">
        <v>5370</v>
      </c>
      <c r="B252" s="3" t="s">
        <v>5371</v>
      </c>
      <c r="C252" s="4">
        <v>218</v>
      </c>
      <c r="D252" s="3" t="s">
        <v>104</v>
      </c>
      <c r="E252" s="3" t="s">
        <v>16</v>
      </c>
      <c r="F252" s="5">
        <v>1032</v>
      </c>
      <c r="G252" s="5">
        <v>2088</v>
      </c>
      <c r="H252" s="6">
        <v>43065.36</v>
      </c>
      <c r="I252" s="22">
        <v>88122.96</v>
      </c>
      <c r="J252" s="24">
        <f t="shared" si="9"/>
        <v>6.106147353217193E-4</v>
      </c>
      <c r="K252" s="25">
        <f t="shared" si="11"/>
        <v>0.44378593321619575</v>
      </c>
      <c r="L252" s="26" t="s">
        <v>7516</v>
      </c>
      <c r="M252" s="28"/>
      <c r="N252" s="28"/>
      <c r="O252" s="20" t="s">
        <v>7530</v>
      </c>
      <c r="P252" s="27" t="str">
        <f t="shared" si="10"/>
        <v>vermelho</v>
      </c>
    </row>
    <row r="253" spans="1:16" ht="25.5">
      <c r="A253" s="3" t="s">
        <v>5372</v>
      </c>
      <c r="B253" s="3" t="s">
        <v>5373</v>
      </c>
      <c r="C253" s="4">
        <v>317</v>
      </c>
      <c r="D253" s="3" t="s">
        <v>78</v>
      </c>
      <c r="E253" s="3" t="s">
        <v>10</v>
      </c>
      <c r="F253" s="5">
        <v>903</v>
      </c>
      <c r="G253" s="5">
        <v>1590</v>
      </c>
      <c r="H253" s="6">
        <v>47994.66</v>
      </c>
      <c r="I253" s="22">
        <v>87853.89</v>
      </c>
      <c r="J253" s="24">
        <f t="shared" si="9"/>
        <v>6.087503164820319E-4</v>
      </c>
      <c r="K253" s="25">
        <f t="shared" si="11"/>
        <v>0.4443946835326778</v>
      </c>
      <c r="L253" s="26" t="s">
        <v>7516</v>
      </c>
      <c r="M253" s="28"/>
      <c r="N253" s="28"/>
      <c r="O253" s="20" t="s">
        <v>7530</v>
      </c>
      <c r="P253" s="27" t="str">
        <f t="shared" si="10"/>
        <v>vermelho</v>
      </c>
    </row>
    <row r="254" spans="1:16">
      <c r="A254" s="3" t="s">
        <v>5374</v>
      </c>
      <c r="B254" s="3" t="s">
        <v>5375</v>
      </c>
      <c r="C254" s="4">
        <v>15</v>
      </c>
      <c r="D254" s="3" t="s">
        <v>18</v>
      </c>
      <c r="E254" s="3" t="s">
        <v>16</v>
      </c>
      <c r="F254" s="5">
        <v>1485</v>
      </c>
      <c r="G254" s="5">
        <v>1362</v>
      </c>
      <c r="H254" s="6">
        <v>82237.11</v>
      </c>
      <c r="I254" s="22">
        <v>87269.82</v>
      </c>
      <c r="J254" s="24">
        <f t="shared" si="9"/>
        <v>6.0470322423207394E-4</v>
      </c>
      <c r="K254" s="25">
        <f t="shared" si="11"/>
        <v>0.44499938675690986</v>
      </c>
      <c r="L254" s="26" t="s">
        <v>7516</v>
      </c>
      <c r="M254" s="28"/>
      <c r="N254" s="28"/>
      <c r="O254" s="20">
        <v>19797.12</v>
      </c>
      <c r="P254" s="27" t="str">
        <f t="shared" si="10"/>
        <v>amarelo</v>
      </c>
    </row>
    <row r="255" spans="1:16" ht="38.25">
      <c r="A255" s="3" t="s">
        <v>4</v>
      </c>
      <c r="B255" s="3" t="s">
        <v>64</v>
      </c>
      <c r="C255" s="4">
        <v>45</v>
      </c>
      <c r="D255" s="3" t="s">
        <v>23</v>
      </c>
      <c r="E255" s="3" t="s">
        <v>7</v>
      </c>
      <c r="F255" s="5">
        <v>294</v>
      </c>
      <c r="G255" s="5">
        <v>1425</v>
      </c>
      <c r="H255" s="6">
        <v>15549.353999999999</v>
      </c>
      <c r="I255" s="22">
        <v>86998.26</v>
      </c>
      <c r="J255" s="24">
        <f t="shared" si="9"/>
        <v>6.0282155187876244E-4</v>
      </c>
      <c r="K255" s="25">
        <f t="shared" si="11"/>
        <v>0.44560220830878861</v>
      </c>
      <c r="L255" s="26" t="s">
        <v>7516</v>
      </c>
      <c r="M255" s="28"/>
      <c r="N255" s="28"/>
      <c r="O255" s="20" t="s">
        <v>7530</v>
      </c>
      <c r="P255" s="27" t="str">
        <f t="shared" si="10"/>
        <v>vermelho</v>
      </c>
    </row>
    <row r="256" spans="1:16" ht="25.5">
      <c r="A256" s="3" t="s">
        <v>4</v>
      </c>
      <c r="B256" s="3" t="s">
        <v>65</v>
      </c>
      <c r="C256" s="4">
        <v>197</v>
      </c>
      <c r="D256" s="3" t="s">
        <v>66</v>
      </c>
      <c r="E256" s="3" t="s">
        <v>41</v>
      </c>
      <c r="F256" s="5">
        <v>2412</v>
      </c>
      <c r="G256" s="5">
        <v>1752</v>
      </c>
      <c r="H256" s="6">
        <v>109425.397</v>
      </c>
      <c r="I256" s="22">
        <v>86987.304000000004</v>
      </c>
      <c r="J256" s="24">
        <f t="shared" si="9"/>
        <v>6.0274563641881675E-4</v>
      </c>
      <c r="K256" s="25">
        <f t="shared" si="11"/>
        <v>0.44620495394520743</v>
      </c>
      <c r="L256" s="26" t="s">
        <v>7516</v>
      </c>
      <c r="M256" s="28"/>
      <c r="N256" s="28"/>
      <c r="O256" s="20">
        <v>44585.957000000002</v>
      </c>
      <c r="P256" s="27" t="str">
        <f t="shared" si="10"/>
        <v>laranja</v>
      </c>
    </row>
    <row r="257" spans="1:16" ht="25.5">
      <c r="A257" s="3" t="s">
        <v>5284</v>
      </c>
      <c r="B257" s="3" t="s">
        <v>5285</v>
      </c>
      <c r="C257" s="4">
        <v>317</v>
      </c>
      <c r="D257" s="3" t="s">
        <v>78</v>
      </c>
      <c r="E257" s="3" t="s">
        <v>10</v>
      </c>
      <c r="F257" s="5">
        <v>1407</v>
      </c>
      <c r="G257" s="5">
        <v>1398</v>
      </c>
      <c r="H257" s="6">
        <v>81985.59</v>
      </c>
      <c r="I257" s="22">
        <v>86424.9</v>
      </c>
      <c r="J257" s="24">
        <f t="shared" si="9"/>
        <v>5.9884867052475369E-4</v>
      </c>
      <c r="K257" s="25">
        <f t="shared" si="11"/>
        <v>0.44680380261573216</v>
      </c>
      <c r="L257" s="26" t="s">
        <v>7516</v>
      </c>
      <c r="M257" s="28"/>
      <c r="N257" s="28"/>
      <c r="O257" s="20">
        <v>13253.76</v>
      </c>
      <c r="P257" s="27" t="str">
        <f t="shared" si="10"/>
        <v>amarelo</v>
      </c>
    </row>
    <row r="258" spans="1:16" ht="25.5">
      <c r="A258" s="3" t="s">
        <v>4</v>
      </c>
      <c r="B258" s="3" t="s">
        <v>67</v>
      </c>
      <c r="C258" s="4">
        <v>74</v>
      </c>
      <c r="D258" s="3" t="s">
        <v>6</v>
      </c>
      <c r="E258" s="3" t="s">
        <v>7</v>
      </c>
      <c r="F258" s="5">
        <v>786</v>
      </c>
      <c r="G258" s="5">
        <v>1404</v>
      </c>
      <c r="H258" s="6">
        <v>46568.58</v>
      </c>
      <c r="I258" s="22">
        <v>85976.28</v>
      </c>
      <c r="J258" s="24">
        <f t="shared" si="9"/>
        <v>5.957401278412121E-4</v>
      </c>
      <c r="K258" s="25">
        <f t="shared" si="11"/>
        <v>0.44739954274357335</v>
      </c>
      <c r="L258" s="26" t="s">
        <v>7516</v>
      </c>
      <c r="M258" s="28"/>
      <c r="N258" s="28"/>
      <c r="O258" s="20" t="s">
        <v>7530</v>
      </c>
      <c r="P258" s="27" t="str">
        <f t="shared" si="10"/>
        <v>vermelho</v>
      </c>
    </row>
    <row r="259" spans="1:16">
      <c r="A259" s="3" t="s">
        <v>5376</v>
      </c>
      <c r="B259" s="3" t="s">
        <v>5377</v>
      </c>
      <c r="C259" s="4">
        <v>231</v>
      </c>
      <c r="D259" s="3" t="s">
        <v>52</v>
      </c>
      <c r="E259" s="3" t="s">
        <v>7</v>
      </c>
      <c r="F259" s="5">
        <v>1104</v>
      </c>
      <c r="G259" s="5">
        <v>1479</v>
      </c>
      <c r="H259" s="6">
        <v>55006.478999999999</v>
      </c>
      <c r="I259" s="22">
        <v>85910.61</v>
      </c>
      <c r="J259" s="24">
        <f t="shared" ref="J259:J322" si="12">I259/$I$6364</f>
        <v>5.952850924035853E-4</v>
      </c>
      <c r="K259" s="25">
        <f t="shared" si="11"/>
        <v>0.44799482783597694</v>
      </c>
      <c r="L259" s="26" t="s">
        <v>7516</v>
      </c>
      <c r="M259" s="28"/>
      <c r="N259" s="28"/>
      <c r="O259" s="20" t="s">
        <v>7530</v>
      </c>
      <c r="P259" s="27" t="str">
        <f t="shared" ref="P259:P322" si="13">IF(O259&lt;=0,"vermelho",IFERROR(IF(O259/I259&lt;=0.5098,"amarelo",IF(O259/I259&lt;1,"laranja","verde")),"vermelho"))</f>
        <v>vermelho</v>
      </c>
    </row>
    <row r="260" spans="1:16" ht="25.5">
      <c r="A260" s="3" t="s">
        <v>5378</v>
      </c>
      <c r="B260" s="3" t="s">
        <v>5379</v>
      </c>
      <c r="C260" s="4">
        <v>39</v>
      </c>
      <c r="D260" s="3" t="s">
        <v>26</v>
      </c>
      <c r="E260" s="3" t="s">
        <v>13</v>
      </c>
      <c r="F260" s="5">
        <v>1176</v>
      </c>
      <c r="G260" s="5">
        <v>1632</v>
      </c>
      <c r="H260" s="6">
        <v>47898.239999999998</v>
      </c>
      <c r="I260" s="22">
        <v>85295.16</v>
      </c>
      <c r="J260" s="24">
        <f t="shared" si="12"/>
        <v>5.9102056430723271E-4</v>
      </c>
      <c r="K260" s="25">
        <f t="shared" ref="K260:K323" si="14">J260+K259</f>
        <v>0.44858584840028415</v>
      </c>
      <c r="L260" s="26" t="s">
        <v>7516</v>
      </c>
      <c r="M260" s="28"/>
      <c r="N260" s="28"/>
      <c r="O260" s="20">
        <v>33941.18</v>
      </c>
      <c r="P260" s="27" t="str">
        <f t="shared" si="13"/>
        <v>amarelo</v>
      </c>
    </row>
    <row r="261" spans="1:16" ht="25.5">
      <c r="A261" s="3" t="s">
        <v>5380</v>
      </c>
      <c r="B261" s="3" t="s">
        <v>5381</v>
      </c>
      <c r="C261" s="4">
        <v>23</v>
      </c>
      <c r="D261" s="3" t="s">
        <v>87</v>
      </c>
      <c r="E261" s="3" t="s">
        <v>7</v>
      </c>
      <c r="F261" s="5">
        <v>0</v>
      </c>
      <c r="G261" s="5">
        <v>1548</v>
      </c>
      <c r="H261" s="6">
        <v>0</v>
      </c>
      <c r="I261" s="22">
        <v>85014.278999999995</v>
      </c>
      <c r="J261" s="24">
        <f t="shared" si="12"/>
        <v>5.8907430560834308E-4</v>
      </c>
      <c r="K261" s="25">
        <f t="shared" si="14"/>
        <v>0.44917492270589249</v>
      </c>
      <c r="L261" s="26" t="s">
        <v>7516</v>
      </c>
      <c r="M261" s="28"/>
      <c r="N261" s="28"/>
      <c r="O261" s="20">
        <v>327150.05599999998</v>
      </c>
      <c r="P261" s="27" t="str">
        <f t="shared" si="13"/>
        <v>verde</v>
      </c>
    </row>
    <row r="262" spans="1:16">
      <c r="A262" s="3" t="s">
        <v>5382</v>
      </c>
      <c r="B262" s="3" t="s">
        <v>5383</v>
      </c>
      <c r="C262" s="4">
        <v>315</v>
      </c>
      <c r="D262" s="3" t="s">
        <v>63</v>
      </c>
      <c r="E262" s="3" t="s">
        <v>7</v>
      </c>
      <c r="F262" s="5">
        <v>1086</v>
      </c>
      <c r="G262" s="5">
        <v>1481</v>
      </c>
      <c r="H262" s="6">
        <v>53506.923000000003</v>
      </c>
      <c r="I262" s="22">
        <v>84773.505000000005</v>
      </c>
      <c r="J262" s="24">
        <f t="shared" si="12"/>
        <v>5.8740595320299553E-4</v>
      </c>
      <c r="K262" s="25">
        <f t="shared" si="14"/>
        <v>0.44976232865909549</v>
      </c>
      <c r="L262" s="26" t="s">
        <v>7516</v>
      </c>
      <c r="M262" s="28"/>
      <c r="N262" s="28"/>
      <c r="O262" s="20">
        <v>11294.394</v>
      </c>
      <c r="P262" s="27" t="str">
        <f t="shared" si="13"/>
        <v>amarelo</v>
      </c>
    </row>
    <row r="263" spans="1:16" ht="25.5">
      <c r="A263" s="3" t="s">
        <v>5384</v>
      </c>
      <c r="B263" s="3" t="s">
        <v>5385</v>
      </c>
      <c r="C263" s="4">
        <v>178</v>
      </c>
      <c r="D263" s="3" t="s">
        <v>74</v>
      </c>
      <c r="E263" s="3" t="s">
        <v>7</v>
      </c>
      <c r="F263" s="5">
        <v>798</v>
      </c>
      <c r="G263" s="5">
        <v>1476</v>
      </c>
      <c r="H263" s="6">
        <v>49792.83</v>
      </c>
      <c r="I263" s="22">
        <v>84641.16</v>
      </c>
      <c r="J263" s="24">
        <f t="shared" si="12"/>
        <v>5.8648891856019462E-4</v>
      </c>
      <c r="K263" s="25">
        <f t="shared" si="14"/>
        <v>0.45034881757765566</v>
      </c>
      <c r="L263" s="26" t="s">
        <v>7516</v>
      </c>
      <c r="M263" s="28"/>
      <c r="N263" s="28"/>
      <c r="O263" s="20">
        <v>53365.8</v>
      </c>
      <c r="P263" s="27" t="str">
        <f t="shared" si="13"/>
        <v>laranja</v>
      </c>
    </row>
    <row r="264" spans="1:16" ht="25.5">
      <c r="A264" s="3" t="s">
        <v>4</v>
      </c>
      <c r="B264" s="3" t="s">
        <v>68</v>
      </c>
      <c r="C264" s="4">
        <v>240</v>
      </c>
      <c r="D264" s="3" t="s">
        <v>69</v>
      </c>
      <c r="E264" s="3" t="s">
        <v>16</v>
      </c>
      <c r="F264" s="5">
        <v>1635</v>
      </c>
      <c r="G264" s="5">
        <v>1380</v>
      </c>
      <c r="H264" s="6">
        <v>91591.59</v>
      </c>
      <c r="I264" s="22">
        <v>84509.46</v>
      </c>
      <c r="J264" s="24">
        <f t="shared" si="12"/>
        <v>5.8557635320104348E-4</v>
      </c>
      <c r="K264" s="25">
        <f t="shared" si="14"/>
        <v>0.45093439393085671</v>
      </c>
      <c r="L264" s="26" t="s">
        <v>7516</v>
      </c>
      <c r="M264" s="28"/>
      <c r="N264" s="28"/>
      <c r="O264" s="20">
        <v>37238.85</v>
      </c>
      <c r="P264" s="27" t="str">
        <f t="shared" si="13"/>
        <v>amarelo</v>
      </c>
    </row>
    <row r="265" spans="1:16" ht="38.25">
      <c r="A265" s="3" t="s">
        <v>5386</v>
      </c>
      <c r="B265" s="3" t="s">
        <v>5387</v>
      </c>
      <c r="C265" s="4">
        <v>11</v>
      </c>
      <c r="D265" s="3" t="s">
        <v>61</v>
      </c>
      <c r="E265" s="3" t="s">
        <v>10</v>
      </c>
      <c r="F265" s="5">
        <v>228</v>
      </c>
      <c r="G265" s="5">
        <v>1356</v>
      </c>
      <c r="H265" s="6">
        <v>12127.56</v>
      </c>
      <c r="I265" s="22">
        <v>84334.251000000004</v>
      </c>
      <c r="J265" s="24">
        <f t="shared" si="12"/>
        <v>5.8436230867551934E-4</v>
      </c>
      <c r="K265" s="25">
        <f t="shared" si="14"/>
        <v>0.45151875623953225</v>
      </c>
      <c r="L265" s="26" t="s">
        <v>7516</v>
      </c>
      <c r="M265" s="28"/>
      <c r="N265" s="28"/>
      <c r="O265" s="20" t="s">
        <v>7530</v>
      </c>
      <c r="P265" s="27" t="str">
        <f t="shared" si="13"/>
        <v>vermelho</v>
      </c>
    </row>
    <row r="266" spans="1:16" ht="38.25">
      <c r="A266" s="3" t="s">
        <v>5036</v>
      </c>
      <c r="B266" s="3" t="s">
        <v>5037</v>
      </c>
      <c r="C266" s="4">
        <v>143</v>
      </c>
      <c r="D266" s="3" t="s">
        <v>44</v>
      </c>
      <c r="E266" s="3" t="s">
        <v>41</v>
      </c>
      <c r="F266" s="5">
        <v>1002</v>
      </c>
      <c r="G266" s="5">
        <v>1572</v>
      </c>
      <c r="H266" s="6">
        <v>51318.93</v>
      </c>
      <c r="I266" s="22">
        <v>84296.046000000002</v>
      </c>
      <c r="J266" s="24">
        <f t="shared" si="12"/>
        <v>5.8409758157190218E-4</v>
      </c>
      <c r="K266" s="25">
        <f t="shared" si="14"/>
        <v>0.45210285382110416</v>
      </c>
      <c r="L266" s="26" t="s">
        <v>7516</v>
      </c>
      <c r="M266" s="28"/>
      <c r="N266" s="28"/>
      <c r="O266" s="20">
        <v>33080.985999999997</v>
      </c>
      <c r="P266" s="27" t="str">
        <f t="shared" si="13"/>
        <v>amarelo</v>
      </c>
    </row>
    <row r="267" spans="1:16" ht="25.5">
      <c r="A267" s="3" t="s">
        <v>5388</v>
      </c>
      <c r="B267" s="3" t="s">
        <v>5389</v>
      </c>
      <c r="C267" s="4">
        <v>93</v>
      </c>
      <c r="D267" s="3" t="s">
        <v>20</v>
      </c>
      <c r="E267" s="3" t="s">
        <v>7</v>
      </c>
      <c r="F267" s="5">
        <v>954</v>
      </c>
      <c r="G267" s="5">
        <v>1323</v>
      </c>
      <c r="H267" s="6">
        <v>54913.74</v>
      </c>
      <c r="I267" s="22">
        <v>84218.85</v>
      </c>
      <c r="J267" s="24">
        <f t="shared" si="12"/>
        <v>5.8356268107482515E-4</v>
      </c>
      <c r="K267" s="25">
        <f t="shared" si="14"/>
        <v>0.452686416502179</v>
      </c>
      <c r="L267" s="26" t="s">
        <v>7516</v>
      </c>
      <c r="M267" s="28"/>
      <c r="N267" s="28"/>
      <c r="O267" s="20">
        <v>51912.39</v>
      </c>
      <c r="P267" s="27" t="str">
        <f t="shared" si="13"/>
        <v>laranja</v>
      </c>
    </row>
    <row r="268" spans="1:16" ht="38.25">
      <c r="A268" s="3" t="s">
        <v>5390</v>
      </c>
      <c r="B268" s="3" t="s">
        <v>5391</v>
      </c>
      <c r="C268" s="4">
        <v>45</v>
      </c>
      <c r="D268" s="3" t="s">
        <v>23</v>
      </c>
      <c r="E268" s="3" t="s">
        <v>7</v>
      </c>
      <c r="F268" s="5">
        <v>1506</v>
      </c>
      <c r="G268" s="5">
        <v>1332</v>
      </c>
      <c r="H268" s="6">
        <v>84652.721999999994</v>
      </c>
      <c r="I268" s="22">
        <v>83952.21</v>
      </c>
      <c r="J268" s="24">
        <f t="shared" si="12"/>
        <v>5.8171510000144561E-4</v>
      </c>
      <c r="K268" s="25">
        <f t="shared" si="14"/>
        <v>0.45326813160218044</v>
      </c>
      <c r="L268" s="26" t="s">
        <v>7516</v>
      </c>
      <c r="M268" s="28"/>
      <c r="N268" s="28"/>
      <c r="O268" s="20">
        <v>1864.32</v>
      </c>
      <c r="P268" s="27" t="str">
        <f t="shared" si="13"/>
        <v>amarelo</v>
      </c>
    </row>
    <row r="269" spans="1:16" ht="38.25">
      <c r="A269" s="3" t="s">
        <v>5392</v>
      </c>
      <c r="B269" s="3" t="s">
        <v>5393</v>
      </c>
      <c r="C269" s="4">
        <v>38</v>
      </c>
      <c r="D269" s="3" t="s">
        <v>184</v>
      </c>
      <c r="E269" s="3" t="s">
        <v>49</v>
      </c>
      <c r="F269" s="5">
        <v>1628</v>
      </c>
      <c r="G269" s="5">
        <v>1458</v>
      </c>
      <c r="H269" s="6">
        <v>76518.252999999997</v>
      </c>
      <c r="I269" s="22">
        <v>83854.17</v>
      </c>
      <c r="J269" s="24">
        <f t="shared" si="12"/>
        <v>5.8103576888670619E-4</v>
      </c>
      <c r="K269" s="25">
        <f t="shared" si="14"/>
        <v>0.45384916737106712</v>
      </c>
      <c r="L269" s="26" t="s">
        <v>7516</v>
      </c>
      <c r="M269" s="28"/>
      <c r="N269" s="28"/>
      <c r="O269" s="20">
        <v>18830.61</v>
      </c>
      <c r="P269" s="27" t="str">
        <f t="shared" si="13"/>
        <v>amarelo</v>
      </c>
    </row>
    <row r="270" spans="1:16" ht="38.25">
      <c r="A270" s="3" t="s">
        <v>4</v>
      </c>
      <c r="B270" s="3" t="s">
        <v>70</v>
      </c>
      <c r="C270" s="4">
        <v>74</v>
      </c>
      <c r="D270" s="3" t="s">
        <v>6</v>
      </c>
      <c r="E270" s="3" t="s">
        <v>7</v>
      </c>
      <c r="F270" s="5">
        <v>792</v>
      </c>
      <c r="G270" s="5">
        <v>1275</v>
      </c>
      <c r="H270" s="6">
        <v>48363.48</v>
      </c>
      <c r="I270" s="22">
        <v>83635.679999999993</v>
      </c>
      <c r="J270" s="24">
        <f t="shared" si="12"/>
        <v>5.7952182503461078E-4</v>
      </c>
      <c r="K270" s="25">
        <f t="shared" si="14"/>
        <v>0.45442868919610174</v>
      </c>
      <c r="L270" s="26" t="s">
        <v>7516</v>
      </c>
      <c r="M270" s="28">
        <v>-5.3194275470712322E-2</v>
      </c>
      <c r="N270" s="28">
        <v>7.0479423894333967E-2</v>
      </c>
      <c r="O270" s="20">
        <v>33921.839999999997</v>
      </c>
      <c r="P270" s="27" t="str">
        <f t="shared" si="13"/>
        <v>amarelo</v>
      </c>
    </row>
    <row r="271" spans="1:16" ht="25.5">
      <c r="A271" s="3" t="s">
        <v>4</v>
      </c>
      <c r="B271" s="3" t="s">
        <v>71</v>
      </c>
      <c r="C271" s="4">
        <v>19</v>
      </c>
      <c r="D271" s="3" t="s">
        <v>72</v>
      </c>
      <c r="E271" s="3" t="s">
        <v>41</v>
      </c>
      <c r="F271" s="5">
        <v>1083</v>
      </c>
      <c r="G271" s="5">
        <v>1332</v>
      </c>
      <c r="H271" s="6">
        <v>66395.754000000001</v>
      </c>
      <c r="I271" s="22">
        <v>83510.41</v>
      </c>
      <c r="J271" s="24">
        <f t="shared" si="12"/>
        <v>5.7865381392951682E-4</v>
      </c>
      <c r="K271" s="25">
        <f t="shared" si="14"/>
        <v>0.45500734301003126</v>
      </c>
      <c r="L271" s="26" t="s">
        <v>7516</v>
      </c>
      <c r="M271" s="28"/>
      <c r="N271" s="28"/>
      <c r="O271" s="20" t="s">
        <v>7530</v>
      </c>
      <c r="P271" s="27" t="str">
        <f t="shared" si="13"/>
        <v>vermelho</v>
      </c>
    </row>
    <row r="272" spans="1:16" ht="25.5">
      <c r="A272" s="3" t="s">
        <v>4</v>
      </c>
      <c r="B272" s="3" t="s">
        <v>73</v>
      </c>
      <c r="C272" s="4">
        <v>178</v>
      </c>
      <c r="D272" s="3" t="s">
        <v>74</v>
      </c>
      <c r="E272" s="3" t="s">
        <v>7</v>
      </c>
      <c r="F272" s="5">
        <v>390</v>
      </c>
      <c r="G272" s="5">
        <v>1377</v>
      </c>
      <c r="H272" s="6">
        <v>17956.89</v>
      </c>
      <c r="I272" s="22">
        <v>83288.19</v>
      </c>
      <c r="J272" s="24">
        <f t="shared" si="12"/>
        <v>5.771140244525951E-4</v>
      </c>
      <c r="K272" s="25">
        <f t="shared" si="14"/>
        <v>0.45558445703448386</v>
      </c>
      <c r="L272" s="26" t="s">
        <v>7516</v>
      </c>
      <c r="M272" s="28"/>
      <c r="N272" s="28"/>
      <c r="O272" s="20" t="s">
        <v>7530</v>
      </c>
      <c r="P272" s="27" t="str">
        <f t="shared" si="13"/>
        <v>vermelho</v>
      </c>
    </row>
    <row r="273" spans="1:16" ht="25.5">
      <c r="A273" s="3" t="s">
        <v>4</v>
      </c>
      <c r="B273" s="3" t="s">
        <v>75</v>
      </c>
      <c r="C273" s="4">
        <v>74</v>
      </c>
      <c r="D273" s="3" t="s">
        <v>6</v>
      </c>
      <c r="E273" s="3" t="s">
        <v>7</v>
      </c>
      <c r="F273" s="5">
        <v>990</v>
      </c>
      <c r="G273" s="5">
        <v>1277</v>
      </c>
      <c r="H273" s="6">
        <v>60327.48</v>
      </c>
      <c r="I273" s="22">
        <v>83147.38</v>
      </c>
      <c r="J273" s="24">
        <f t="shared" si="12"/>
        <v>5.7613833479259449E-4</v>
      </c>
      <c r="K273" s="25">
        <f t="shared" si="14"/>
        <v>0.45616059536927644</v>
      </c>
      <c r="L273" s="26" t="s">
        <v>7516</v>
      </c>
      <c r="M273" s="28"/>
      <c r="N273" s="28"/>
      <c r="O273" s="20">
        <v>43226.94</v>
      </c>
      <c r="P273" s="27" t="str">
        <f t="shared" si="13"/>
        <v>laranja</v>
      </c>
    </row>
    <row r="274" spans="1:16">
      <c r="A274" s="3" t="s">
        <v>5394</v>
      </c>
      <c r="B274" s="3" t="s">
        <v>5395</v>
      </c>
      <c r="C274" s="4">
        <v>217</v>
      </c>
      <c r="D274" s="3" t="s">
        <v>91</v>
      </c>
      <c r="E274" s="3" t="s">
        <v>16</v>
      </c>
      <c r="F274" s="5">
        <v>1806</v>
      </c>
      <c r="G274" s="5">
        <v>1404</v>
      </c>
      <c r="H274" s="6">
        <v>92608.8</v>
      </c>
      <c r="I274" s="22">
        <v>83017.8</v>
      </c>
      <c r="J274" s="24">
        <f t="shared" si="12"/>
        <v>5.7524045917195044E-4</v>
      </c>
      <c r="K274" s="25">
        <f t="shared" si="14"/>
        <v>0.4567358358284484</v>
      </c>
      <c r="L274" s="26" t="s">
        <v>7516</v>
      </c>
      <c r="M274" s="28"/>
      <c r="N274" s="28"/>
      <c r="O274" s="20" t="s">
        <v>7530</v>
      </c>
      <c r="P274" s="27" t="str">
        <f t="shared" si="13"/>
        <v>vermelho</v>
      </c>
    </row>
    <row r="275" spans="1:16" ht="25.5">
      <c r="A275" s="3" t="s">
        <v>5396</v>
      </c>
      <c r="B275" s="3" t="s">
        <v>5397</v>
      </c>
      <c r="C275" s="4">
        <v>335</v>
      </c>
      <c r="D275" s="3" t="s">
        <v>36</v>
      </c>
      <c r="E275" s="3" t="s">
        <v>7</v>
      </c>
      <c r="F275" s="5">
        <v>324</v>
      </c>
      <c r="G275" s="5">
        <v>1278</v>
      </c>
      <c r="H275" s="6">
        <v>17852.04</v>
      </c>
      <c r="I275" s="22">
        <v>82955.460000000006</v>
      </c>
      <c r="J275" s="24">
        <f t="shared" si="12"/>
        <v>5.7480849771037509E-4</v>
      </c>
      <c r="K275" s="25">
        <f t="shared" si="14"/>
        <v>0.45731064432615876</v>
      </c>
      <c r="L275" s="26" t="s">
        <v>7516</v>
      </c>
      <c r="M275" s="28"/>
      <c r="N275" s="28"/>
      <c r="O275" s="20">
        <v>82559.16</v>
      </c>
      <c r="P275" s="27" t="str">
        <f t="shared" si="13"/>
        <v>laranja</v>
      </c>
    </row>
    <row r="276" spans="1:16" ht="25.5">
      <c r="A276" s="3" t="s">
        <v>5240</v>
      </c>
      <c r="B276" s="3" t="s">
        <v>5241</v>
      </c>
      <c r="C276" s="4">
        <v>267</v>
      </c>
      <c r="D276" s="3" t="s">
        <v>125</v>
      </c>
      <c r="E276" s="3" t="s">
        <v>16</v>
      </c>
      <c r="F276" s="5">
        <v>1080</v>
      </c>
      <c r="G276" s="5">
        <v>1452</v>
      </c>
      <c r="H276" s="6">
        <v>56207.4</v>
      </c>
      <c r="I276" s="22">
        <v>82804.2</v>
      </c>
      <c r="J276" s="24">
        <f t="shared" si="12"/>
        <v>5.7376039872612881E-4</v>
      </c>
      <c r="K276" s="25">
        <f t="shared" si="14"/>
        <v>0.4578844047248849</v>
      </c>
      <c r="L276" s="26" t="s">
        <v>7516</v>
      </c>
      <c r="M276" s="28"/>
      <c r="N276" s="28"/>
      <c r="O276" s="20" t="s">
        <v>7530</v>
      </c>
      <c r="P276" s="27" t="str">
        <f t="shared" si="13"/>
        <v>vermelho</v>
      </c>
    </row>
    <row r="277" spans="1:16" ht="38.25">
      <c r="A277" s="3" t="s">
        <v>5398</v>
      </c>
      <c r="B277" s="3" t="s">
        <v>5399</v>
      </c>
      <c r="C277" s="4">
        <v>292</v>
      </c>
      <c r="D277" s="3" t="s">
        <v>57</v>
      </c>
      <c r="E277" s="3" t="s">
        <v>49</v>
      </c>
      <c r="F277" s="5">
        <v>1518</v>
      </c>
      <c r="G277" s="5">
        <v>1728</v>
      </c>
      <c r="H277" s="6">
        <v>68906.555999999997</v>
      </c>
      <c r="I277" s="22">
        <v>82392.12</v>
      </c>
      <c r="J277" s="24">
        <f t="shared" si="12"/>
        <v>5.7090504615817865E-4</v>
      </c>
      <c r="K277" s="25">
        <f t="shared" si="14"/>
        <v>0.4584553097710431</v>
      </c>
      <c r="L277" s="26" t="s">
        <v>7516</v>
      </c>
      <c r="M277" s="28"/>
      <c r="N277" s="28"/>
      <c r="O277" s="20" t="s">
        <v>7530</v>
      </c>
      <c r="P277" s="27" t="str">
        <f t="shared" si="13"/>
        <v>vermelho</v>
      </c>
    </row>
    <row r="278" spans="1:16" ht="25.5">
      <c r="A278" s="3" t="s">
        <v>5246</v>
      </c>
      <c r="B278" s="3" t="s">
        <v>5247</v>
      </c>
      <c r="C278" s="4">
        <v>31</v>
      </c>
      <c r="D278" s="3" t="s">
        <v>194</v>
      </c>
      <c r="E278" s="3" t="s">
        <v>16</v>
      </c>
      <c r="F278" s="5">
        <v>0</v>
      </c>
      <c r="G278" s="5">
        <v>1860</v>
      </c>
      <c r="H278" s="6">
        <v>0</v>
      </c>
      <c r="I278" s="22">
        <v>81747</v>
      </c>
      <c r="J278" s="24">
        <f t="shared" si="12"/>
        <v>5.6643493101394442E-4</v>
      </c>
      <c r="K278" s="25">
        <f t="shared" si="14"/>
        <v>0.45902174470205703</v>
      </c>
      <c r="L278" s="26" t="s">
        <v>7516</v>
      </c>
      <c r="M278" s="28"/>
      <c r="N278" s="28"/>
      <c r="O278" s="20">
        <v>22678.2</v>
      </c>
      <c r="P278" s="27" t="str">
        <f t="shared" si="13"/>
        <v>amarelo</v>
      </c>
    </row>
    <row r="279" spans="1:16" ht="25.5">
      <c r="A279" s="3" t="s">
        <v>4</v>
      </c>
      <c r="B279" s="3" t="s">
        <v>76</v>
      </c>
      <c r="C279" s="4">
        <v>61</v>
      </c>
      <c r="D279" s="3" t="s">
        <v>48</v>
      </c>
      <c r="E279" s="3" t="s">
        <v>49</v>
      </c>
      <c r="F279" s="5">
        <v>603</v>
      </c>
      <c r="G279" s="5">
        <v>1269</v>
      </c>
      <c r="H279" s="6">
        <v>35378.1</v>
      </c>
      <c r="I279" s="22">
        <v>81604.62</v>
      </c>
      <c r="J279" s="24">
        <f t="shared" si="12"/>
        <v>5.6544836263250201E-4</v>
      </c>
      <c r="K279" s="25">
        <f t="shared" si="14"/>
        <v>0.45958719306468954</v>
      </c>
      <c r="L279" s="26" t="s">
        <v>7516</v>
      </c>
      <c r="M279" s="28"/>
      <c r="N279" s="28"/>
      <c r="O279" s="20">
        <v>19129.080000000002</v>
      </c>
      <c r="P279" s="27" t="str">
        <f t="shared" si="13"/>
        <v>amarelo</v>
      </c>
    </row>
    <row r="280" spans="1:16" ht="25.5">
      <c r="A280" s="3" t="s">
        <v>5400</v>
      </c>
      <c r="B280" s="3" t="s">
        <v>5401</v>
      </c>
      <c r="C280" s="4">
        <v>93</v>
      </c>
      <c r="D280" s="3" t="s">
        <v>20</v>
      </c>
      <c r="E280" s="3" t="s">
        <v>7</v>
      </c>
      <c r="F280" s="5">
        <v>759</v>
      </c>
      <c r="G280" s="5">
        <v>1218</v>
      </c>
      <c r="H280" s="6">
        <v>45478.83</v>
      </c>
      <c r="I280" s="22">
        <v>81190.98</v>
      </c>
      <c r="J280" s="24">
        <f t="shared" si="12"/>
        <v>5.6258220063432952E-4</v>
      </c>
      <c r="K280" s="25">
        <f t="shared" si="14"/>
        <v>0.46014977526532386</v>
      </c>
      <c r="L280" s="26" t="s">
        <v>7516</v>
      </c>
      <c r="M280" s="28"/>
      <c r="N280" s="28"/>
      <c r="O280" s="20">
        <v>22425.84</v>
      </c>
      <c r="P280" s="27" t="str">
        <f t="shared" si="13"/>
        <v>amarelo</v>
      </c>
    </row>
    <row r="281" spans="1:16" ht="25.5">
      <c r="A281" s="3" t="s">
        <v>5402</v>
      </c>
      <c r="B281" s="3" t="s">
        <v>5403</v>
      </c>
      <c r="C281" s="4">
        <v>19</v>
      </c>
      <c r="D281" s="3" t="s">
        <v>72</v>
      </c>
      <c r="E281" s="3" t="s">
        <v>41</v>
      </c>
      <c r="F281" s="5">
        <v>948</v>
      </c>
      <c r="G281" s="5">
        <v>1263</v>
      </c>
      <c r="H281" s="6">
        <v>55674.741000000002</v>
      </c>
      <c r="I281" s="22">
        <v>80769.06</v>
      </c>
      <c r="J281" s="24">
        <f t="shared" si="12"/>
        <v>5.5965866550651566E-4</v>
      </c>
      <c r="K281" s="25">
        <f t="shared" si="14"/>
        <v>0.46070943393083036</v>
      </c>
      <c r="L281" s="26" t="s">
        <v>7516</v>
      </c>
      <c r="M281" s="28"/>
      <c r="N281" s="28"/>
      <c r="O281" s="20" t="s">
        <v>7530</v>
      </c>
      <c r="P281" s="27" t="str">
        <f t="shared" si="13"/>
        <v>vermelho</v>
      </c>
    </row>
    <row r="282" spans="1:16" ht="38.25">
      <c r="A282" s="3" t="s">
        <v>5160</v>
      </c>
      <c r="B282" s="3" t="s">
        <v>5161</v>
      </c>
      <c r="C282" s="4">
        <v>34</v>
      </c>
      <c r="D282" s="3" t="s">
        <v>54</v>
      </c>
      <c r="E282" s="3" t="s">
        <v>49</v>
      </c>
      <c r="F282" s="5">
        <v>1446</v>
      </c>
      <c r="G282" s="5">
        <v>1125</v>
      </c>
      <c r="H282" s="6">
        <v>80849.495999999999</v>
      </c>
      <c r="I282" s="22">
        <v>80568.78</v>
      </c>
      <c r="J282" s="24">
        <f t="shared" si="12"/>
        <v>5.5827090096489983E-4</v>
      </c>
      <c r="K282" s="25">
        <f t="shared" si="14"/>
        <v>0.46126770483179524</v>
      </c>
      <c r="L282" s="26" t="s">
        <v>7516</v>
      </c>
      <c r="M282" s="28"/>
      <c r="N282" s="28"/>
      <c r="O282" s="20">
        <v>30833.88</v>
      </c>
      <c r="P282" s="27" t="str">
        <f t="shared" si="13"/>
        <v>amarelo</v>
      </c>
    </row>
    <row r="283" spans="1:16" ht="25.5">
      <c r="A283" s="3" t="s">
        <v>4</v>
      </c>
      <c r="B283" s="3" t="s">
        <v>77</v>
      </c>
      <c r="C283" s="4">
        <v>317</v>
      </c>
      <c r="D283" s="3" t="s">
        <v>78</v>
      </c>
      <c r="E283" s="3" t="s">
        <v>10</v>
      </c>
      <c r="F283" s="5">
        <v>1353</v>
      </c>
      <c r="G283" s="5">
        <v>1311</v>
      </c>
      <c r="H283" s="6">
        <v>78513</v>
      </c>
      <c r="I283" s="22">
        <v>80324.460000000006</v>
      </c>
      <c r="J283" s="24">
        <f t="shared" si="12"/>
        <v>5.5657797789316233E-4</v>
      </c>
      <c r="K283" s="25">
        <f t="shared" si="14"/>
        <v>0.4618242828096884</v>
      </c>
      <c r="L283" s="26" t="s">
        <v>7516</v>
      </c>
      <c r="M283" s="28"/>
      <c r="N283" s="28"/>
      <c r="O283" s="20" t="s">
        <v>7530</v>
      </c>
      <c r="P283" s="27" t="str">
        <f t="shared" si="13"/>
        <v>vermelho</v>
      </c>
    </row>
    <row r="284" spans="1:16">
      <c r="A284" s="3" t="s">
        <v>5404</v>
      </c>
      <c r="B284" s="3" t="s">
        <v>5405</v>
      </c>
      <c r="C284" s="4">
        <v>232</v>
      </c>
      <c r="D284" s="3" t="s">
        <v>174</v>
      </c>
      <c r="E284" s="3" t="s">
        <v>16</v>
      </c>
      <c r="F284" s="5">
        <v>1791</v>
      </c>
      <c r="G284" s="5">
        <v>1488</v>
      </c>
      <c r="H284" s="6">
        <v>94864.5</v>
      </c>
      <c r="I284" s="22">
        <v>80251.884000000005</v>
      </c>
      <c r="J284" s="24">
        <f t="shared" si="12"/>
        <v>5.5607508993943595E-4</v>
      </c>
      <c r="K284" s="25">
        <f t="shared" si="14"/>
        <v>0.46238035789962784</v>
      </c>
      <c r="L284" s="26" t="s">
        <v>7516</v>
      </c>
      <c r="M284" s="28"/>
      <c r="N284" s="28"/>
      <c r="O284" s="20" t="s">
        <v>7530</v>
      </c>
      <c r="P284" s="27" t="str">
        <f t="shared" si="13"/>
        <v>vermelho</v>
      </c>
    </row>
    <row r="285" spans="1:16" ht="25.5">
      <c r="A285" s="3" t="s">
        <v>5406</v>
      </c>
      <c r="B285" s="3" t="s">
        <v>5407</v>
      </c>
      <c r="C285" s="4">
        <v>53</v>
      </c>
      <c r="D285" s="3" t="s">
        <v>34</v>
      </c>
      <c r="E285" s="3" t="s">
        <v>16</v>
      </c>
      <c r="F285" s="5">
        <v>1320</v>
      </c>
      <c r="G285" s="5">
        <v>1392</v>
      </c>
      <c r="H285" s="6">
        <v>65994.36</v>
      </c>
      <c r="I285" s="22">
        <v>79909.440000000002</v>
      </c>
      <c r="J285" s="24">
        <f t="shared" si="12"/>
        <v>5.5370225370671622E-4</v>
      </c>
      <c r="K285" s="25">
        <f t="shared" si="14"/>
        <v>0.46293406015333455</v>
      </c>
      <c r="L285" s="26" t="s">
        <v>7516</v>
      </c>
      <c r="M285" s="28"/>
      <c r="N285" s="28"/>
      <c r="O285" s="20" t="s">
        <v>7530</v>
      </c>
      <c r="P285" s="27" t="str">
        <f t="shared" si="13"/>
        <v>vermelho</v>
      </c>
    </row>
    <row r="286" spans="1:16" ht="25.5">
      <c r="A286" s="3" t="s">
        <v>4</v>
      </c>
      <c r="B286" s="3" t="s">
        <v>79</v>
      </c>
      <c r="C286" s="4">
        <v>266</v>
      </c>
      <c r="D286" s="3" t="s">
        <v>80</v>
      </c>
      <c r="E286" s="3" t="s">
        <v>10</v>
      </c>
      <c r="F286" s="5">
        <v>0</v>
      </c>
      <c r="G286" s="5">
        <v>1182</v>
      </c>
      <c r="H286" s="6">
        <v>0</v>
      </c>
      <c r="I286" s="22">
        <v>79884.600000000006</v>
      </c>
      <c r="J286" s="24">
        <f t="shared" si="12"/>
        <v>5.5353013431779202E-4</v>
      </c>
      <c r="K286" s="25">
        <f t="shared" si="14"/>
        <v>0.46348759028765235</v>
      </c>
      <c r="L286" s="26" t="s">
        <v>7516</v>
      </c>
      <c r="M286" s="28"/>
      <c r="N286" s="28"/>
      <c r="O286" s="20">
        <v>46268.34</v>
      </c>
      <c r="P286" s="27" t="str">
        <f t="shared" si="13"/>
        <v>laranja</v>
      </c>
    </row>
    <row r="287" spans="1:16" ht="25.5">
      <c r="A287" s="3" t="s">
        <v>5408</v>
      </c>
      <c r="B287" s="3" t="s">
        <v>5409</v>
      </c>
      <c r="C287" s="4">
        <v>261</v>
      </c>
      <c r="D287" s="3" t="s">
        <v>9</v>
      </c>
      <c r="E287" s="3" t="s">
        <v>10</v>
      </c>
      <c r="F287" s="5">
        <v>1644</v>
      </c>
      <c r="G287" s="5">
        <v>1371</v>
      </c>
      <c r="H287" s="6">
        <v>90444.09</v>
      </c>
      <c r="I287" s="22">
        <v>79726.191999999995</v>
      </c>
      <c r="J287" s="24">
        <f t="shared" si="12"/>
        <v>5.5243250596993755E-4</v>
      </c>
      <c r="K287" s="25">
        <f t="shared" si="14"/>
        <v>0.46404002279362228</v>
      </c>
      <c r="L287" s="26" t="s">
        <v>7516</v>
      </c>
      <c r="M287" s="28"/>
      <c r="N287" s="28"/>
      <c r="O287" s="20">
        <v>53512.203999999998</v>
      </c>
      <c r="P287" s="27" t="str">
        <f t="shared" si="13"/>
        <v>laranja</v>
      </c>
    </row>
    <row r="288" spans="1:16" ht="38.25">
      <c r="A288" s="3" t="s">
        <v>4</v>
      </c>
      <c r="B288" s="3" t="s">
        <v>81</v>
      </c>
      <c r="C288" s="4">
        <v>371</v>
      </c>
      <c r="D288" s="3" t="s">
        <v>82</v>
      </c>
      <c r="E288" s="3" t="s">
        <v>49</v>
      </c>
      <c r="F288" s="5">
        <v>1767</v>
      </c>
      <c r="G288" s="5">
        <v>1647</v>
      </c>
      <c r="H288" s="6">
        <v>73527.504000000001</v>
      </c>
      <c r="I288" s="22">
        <v>79331.778000000006</v>
      </c>
      <c r="J288" s="24">
        <f t="shared" si="12"/>
        <v>5.4969956327013297E-4</v>
      </c>
      <c r="K288" s="25">
        <f t="shared" si="14"/>
        <v>0.46458972235689239</v>
      </c>
      <c r="L288" s="26" t="s">
        <v>7516</v>
      </c>
      <c r="M288" s="28"/>
      <c r="N288" s="28"/>
      <c r="O288" s="20">
        <v>31516.488000000001</v>
      </c>
      <c r="P288" s="27" t="str">
        <f t="shared" si="13"/>
        <v>amarelo</v>
      </c>
    </row>
    <row r="289" spans="1:16" ht="25.5">
      <c r="A289" s="3" t="s">
        <v>5410</v>
      </c>
      <c r="B289" s="3" t="s">
        <v>5411</v>
      </c>
      <c r="C289" s="4">
        <v>261</v>
      </c>
      <c r="D289" s="3" t="s">
        <v>9</v>
      </c>
      <c r="E289" s="3" t="s">
        <v>10</v>
      </c>
      <c r="F289" s="5">
        <v>0</v>
      </c>
      <c r="G289" s="5">
        <v>1365</v>
      </c>
      <c r="H289" s="6">
        <v>0</v>
      </c>
      <c r="I289" s="22">
        <v>79270.05</v>
      </c>
      <c r="J289" s="24">
        <f t="shared" si="12"/>
        <v>5.4927184243118313E-4</v>
      </c>
      <c r="K289" s="25">
        <f t="shared" si="14"/>
        <v>0.46513899419932359</v>
      </c>
      <c r="L289" s="26" t="s">
        <v>7516</v>
      </c>
      <c r="M289" s="28"/>
      <c r="N289" s="28"/>
      <c r="O289" s="20">
        <v>8617.6200000000008</v>
      </c>
      <c r="P289" s="27" t="str">
        <f t="shared" si="13"/>
        <v>amarelo</v>
      </c>
    </row>
    <row r="290" spans="1:16" ht="25.5">
      <c r="A290" s="3" t="s">
        <v>5412</v>
      </c>
      <c r="B290" s="3" t="s">
        <v>5413</v>
      </c>
      <c r="C290" s="4">
        <v>93</v>
      </c>
      <c r="D290" s="3" t="s">
        <v>20</v>
      </c>
      <c r="E290" s="3" t="s">
        <v>7</v>
      </c>
      <c r="F290" s="5">
        <v>600</v>
      </c>
      <c r="G290" s="5">
        <v>1140</v>
      </c>
      <c r="H290" s="6">
        <v>32758.86</v>
      </c>
      <c r="I290" s="22">
        <v>79150.559999999998</v>
      </c>
      <c r="J290" s="24">
        <f t="shared" si="12"/>
        <v>5.4844388165088708E-4</v>
      </c>
      <c r="K290" s="25">
        <f t="shared" si="14"/>
        <v>0.46568743808097446</v>
      </c>
      <c r="L290" s="26" t="s">
        <v>7516</v>
      </c>
      <c r="M290" s="28"/>
      <c r="N290" s="28"/>
      <c r="O290" s="20">
        <v>32789.279999999999</v>
      </c>
      <c r="P290" s="27" t="str">
        <f t="shared" si="13"/>
        <v>amarelo</v>
      </c>
    </row>
    <row r="291" spans="1:16">
      <c r="A291" s="3" t="s">
        <v>4</v>
      </c>
      <c r="B291" s="3" t="s">
        <v>83</v>
      </c>
      <c r="C291" s="4">
        <v>231</v>
      </c>
      <c r="D291" s="3" t="s">
        <v>52</v>
      </c>
      <c r="E291" s="3" t="s">
        <v>7</v>
      </c>
      <c r="F291" s="5">
        <v>90</v>
      </c>
      <c r="G291" s="5">
        <v>1296</v>
      </c>
      <c r="H291" s="6">
        <v>3980.85</v>
      </c>
      <c r="I291" s="22">
        <v>79117.77</v>
      </c>
      <c r="J291" s="24">
        <f t="shared" si="12"/>
        <v>5.4821667574256089E-4</v>
      </c>
      <c r="K291" s="25">
        <f t="shared" si="14"/>
        <v>0.46623565475671702</v>
      </c>
      <c r="L291" s="26" t="s">
        <v>7516</v>
      </c>
      <c r="M291" s="28"/>
      <c r="N291" s="28"/>
      <c r="O291" s="20">
        <v>43590.78</v>
      </c>
      <c r="P291" s="27" t="str">
        <f t="shared" si="13"/>
        <v>laranja</v>
      </c>
    </row>
    <row r="292" spans="1:16">
      <c r="A292" s="3" t="s">
        <v>5414</v>
      </c>
      <c r="B292" s="3" t="s">
        <v>5415</v>
      </c>
      <c r="C292" s="4">
        <v>217</v>
      </c>
      <c r="D292" s="3" t="s">
        <v>91</v>
      </c>
      <c r="E292" s="3" t="s">
        <v>16</v>
      </c>
      <c r="F292" s="5">
        <v>468</v>
      </c>
      <c r="G292" s="5">
        <v>1404</v>
      </c>
      <c r="H292" s="6">
        <v>24388.2</v>
      </c>
      <c r="I292" s="22">
        <v>79002.720000000001</v>
      </c>
      <c r="J292" s="24">
        <f t="shared" si="12"/>
        <v>5.4741948026366678E-4</v>
      </c>
      <c r="K292" s="25">
        <f t="shared" si="14"/>
        <v>0.46678307423698068</v>
      </c>
      <c r="L292" s="26" t="s">
        <v>7516</v>
      </c>
      <c r="M292" s="28"/>
      <c r="N292" s="28"/>
      <c r="O292" s="20">
        <v>87973.56</v>
      </c>
      <c r="P292" s="27" t="str">
        <f t="shared" si="13"/>
        <v>verde</v>
      </c>
    </row>
    <row r="293" spans="1:16" ht="38.25">
      <c r="A293" s="3" t="s">
        <v>5416</v>
      </c>
      <c r="B293" s="3" t="s">
        <v>5417</v>
      </c>
      <c r="C293" s="4">
        <v>11</v>
      </c>
      <c r="D293" s="3" t="s">
        <v>61</v>
      </c>
      <c r="E293" s="3" t="s">
        <v>10</v>
      </c>
      <c r="F293" s="5">
        <v>1434</v>
      </c>
      <c r="G293" s="5">
        <v>1152</v>
      </c>
      <c r="H293" s="6">
        <v>88085.28</v>
      </c>
      <c r="I293" s="22">
        <v>78993.119999999995</v>
      </c>
      <c r="J293" s="24">
        <f t="shared" si="12"/>
        <v>5.4735296069306804E-4</v>
      </c>
      <c r="K293" s="25">
        <f t="shared" si="14"/>
        <v>0.46733042719767376</v>
      </c>
      <c r="L293" s="26" t="s">
        <v>7516</v>
      </c>
      <c r="M293" s="28"/>
      <c r="N293" s="28"/>
      <c r="O293" s="20">
        <v>51857.94</v>
      </c>
      <c r="P293" s="27" t="str">
        <f t="shared" si="13"/>
        <v>laranja</v>
      </c>
    </row>
    <row r="294" spans="1:16" ht="25.5">
      <c r="A294" s="3" t="s">
        <v>5418</v>
      </c>
      <c r="B294" s="3" t="s">
        <v>5419</v>
      </c>
      <c r="C294" s="4">
        <v>61</v>
      </c>
      <c r="D294" s="3" t="s">
        <v>48</v>
      </c>
      <c r="E294" s="3" t="s">
        <v>49</v>
      </c>
      <c r="F294" s="5">
        <v>657</v>
      </c>
      <c r="G294" s="5">
        <v>1227</v>
      </c>
      <c r="H294" s="6">
        <v>38586.43</v>
      </c>
      <c r="I294" s="22">
        <v>78963.87</v>
      </c>
      <c r="J294" s="24">
        <f t="shared" si="12"/>
        <v>5.4715028387639997E-4</v>
      </c>
      <c r="K294" s="25">
        <f t="shared" si="14"/>
        <v>0.46787757748155018</v>
      </c>
      <c r="L294" s="26" t="s">
        <v>7516</v>
      </c>
      <c r="M294" s="28"/>
      <c r="N294" s="28"/>
      <c r="O294" s="20">
        <v>52072.38</v>
      </c>
      <c r="P294" s="27" t="str">
        <f t="shared" si="13"/>
        <v>laranja</v>
      </c>
    </row>
    <row r="295" spans="1:16" ht="25.5">
      <c r="A295" s="3" t="s">
        <v>5420</v>
      </c>
      <c r="B295" s="3" t="s">
        <v>5421</v>
      </c>
      <c r="C295" s="4">
        <v>197</v>
      </c>
      <c r="D295" s="3" t="s">
        <v>66</v>
      </c>
      <c r="E295" s="3" t="s">
        <v>41</v>
      </c>
      <c r="F295" s="5">
        <v>1170</v>
      </c>
      <c r="G295" s="5">
        <v>1290</v>
      </c>
      <c r="H295" s="6">
        <v>68042.781000000003</v>
      </c>
      <c r="I295" s="22">
        <v>78196.986000000004</v>
      </c>
      <c r="J295" s="24">
        <f t="shared" si="12"/>
        <v>5.4183645112858433E-4</v>
      </c>
      <c r="K295" s="25">
        <f t="shared" si="14"/>
        <v>0.46841941393267877</v>
      </c>
      <c r="L295" s="26" t="s">
        <v>7516</v>
      </c>
      <c r="M295" s="28"/>
      <c r="N295" s="28"/>
      <c r="O295" s="20">
        <v>5444.41</v>
      </c>
      <c r="P295" s="27" t="str">
        <f t="shared" si="13"/>
        <v>amarelo</v>
      </c>
    </row>
    <row r="296" spans="1:16" ht="25.5">
      <c r="A296" s="3" t="s">
        <v>4</v>
      </c>
      <c r="B296" s="3" t="s">
        <v>84</v>
      </c>
      <c r="C296" s="4">
        <v>231</v>
      </c>
      <c r="D296" s="3" t="s">
        <v>52</v>
      </c>
      <c r="E296" s="3" t="s">
        <v>7</v>
      </c>
      <c r="F296" s="5">
        <v>1338</v>
      </c>
      <c r="G296" s="5">
        <v>1374</v>
      </c>
      <c r="H296" s="6">
        <v>72380.19</v>
      </c>
      <c r="I296" s="22">
        <v>77966.52</v>
      </c>
      <c r="J296" s="24">
        <f t="shared" si="12"/>
        <v>5.4023952411216705E-4</v>
      </c>
      <c r="K296" s="25">
        <f t="shared" si="14"/>
        <v>0.46895965345679091</v>
      </c>
      <c r="L296" s="26" t="s">
        <v>7516</v>
      </c>
      <c r="M296" s="28">
        <v>-7.6969967429440025E-2</v>
      </c>
      <c r="N296" s="28"/>
      <c r="O296" s="20">
        <v>28434.51</v>
      </c>
      <c r="P296" s="27" t="str">
        <f t="shared" si="13"/>
        <v>amarelo</v>
      </c>
    </row>
    <row r="297" spans="1:16" ht="25.5">
      <c r="A297" s="3" t="s">
        <v>5422</v>
      </c>
      <c r="B297" s="3" t="s">
        <v>5423</v>
      </c>
      <c r="C297" s="4">
        <v>93</v>
      </c>
      <c r="D297" s="3" t="s">
        <v>20</v>
      </c>
      <c r="E297" s="3" t="s">
        <v>7</v>
      </c>
      <c r="F297" s="5">
        <v>0</v>
      </c>
      <c r="G297" s="5">
        <v>1440</v>
      </c>
      <c r="H297" s="6">
        <v>0</v>
      </c>
      <c r="I297" s="22">
        <v>77929.56</v>
      </c>
      <c r="J297" s="24">
        <f t="shared" si="12"/>
        <v>5.3998342376536195E-4</v>
      </c>
      <c r="K297" s="25">
        <f t="shared" si="14"/>
        <v>0.46949963688055629</v>
      </c>
      <c r="L297" s="26" t="s">
        <v>7516</v>
      </c>
      <c r="M297" s="28"/>
      <c r="N297" s="28"/>
      <c r="O297" s="20" t="s">
        <v>7530</v>
      </c>
      <c r="P297" s="27" t="str">
        <f t="shared" si="13"/>
        <v>vermelho</v>
      </c>
    </row>
    <row r="298" spans="1:16" ht="25.5">
      <c r="A298" s="3" t="s">
        <v>4</v>
      </c>
      <c r="B298" s="3" t="s">
        <v>85</v>
      </c>
      <c r="C298" s="4">
        <v>93</v>
      </c>
      <c r="D298" s="3" t="s">
        <v>20</v>
      </c>
      <c r="E298" s="3" t="s">
        <v>7</v>
      </c>
      <c r="F298" s="5">
        <v>426</v>
      </c>
      <c r="G298" s="5">
        <v>1266</v>
      </c>
      <c r="H298" s="6">
        <v>22685.22</v>
      </c>
      <c r="I298" s="22">
        <v>77777.820000000007</v>
      </c>
      <c r="J298" s="24">
        <f t="shared" si="12"/>
        <v>5.3893199880258587E-4</v>
      </c>
      <c r="K298" s="25">
        <f t="shared" si="14"/>
        <v>0.47003856887935885</v>
      </c>
      <c r="L298" s="26" t="s">
        <v>7516</v>
      </c>
      <c r="M298" s="28"/>
      <c r="N298" s="28"/>
      <c r="O298" s="20">
        <v>14907.36</v>
      </c>
      <c r="P298" s="27" t="str">
        <f t="shared" si="13"/>
        <v>amarelo</v>
      </c>
    </row>
    <row r="299" spans="1:16" ht="25.5">
      <c r="A299" s="3" t="s">
        <v>4</v>
      </c>
      <c r="B299" s="3" t="s">
        <v>86</v>
      </c>
      <c r="C299" s="4">
        <v>23</v>
      </c>
      <c r="D299" s="3" t="s">
        <v>87</v>
      </c>
      <c r="E299" s="3" t="s">
        <v>7</v>
      </c>
      <c r="F299" s="5">
        <v>0</v>
      </c>
      <c r="G299" s="5">
        <v>1164</v>
      </c>
      <c r="H299" s="6">
        <v>0</v>
      </c>
      <c r="I299" s="22">
        <v>77480.009999999995</v>
      </c>
      <c r="J299" s="24">
        <f t="shared" si="12"/>
        <v>5.3686843699841849E-4</v>
      </c>
      <c r="K299" s="25">
        <f t="shared" si="14"/>
        <v>0.47057543731635726</v>
      </c>
      <c r="L299" s="26" t="s">
        <v>7516</v>
      </c>
      <c r="M299" s="28"/>
      <c r="N299" s="28"/>
      <c r="O299" s="20">
        <v>22491.33</v>
      </c>
      <c r="P299" s="27" t="str">
        <f t="shared" si="13"/>
        <v>amarelo</v>
      </c>
    </row>
    <row r="300" spans="1:16" ht="38.25">
      <c r="A300" s="3" t="s">
        <v>4</v>
      </c>
      <c r="B300" s="3" t="s">
        <v>88</v>
      </c>
      <c r="C300" s="4">
        <v>371</v>
      </c>
      <c r="D300" s="3" t="s">
        <v>82</v>
      </c>
      <c r="E300" s="3" t="s">
        <v>49</v>
      </c>
      <c r="F300" s="5">
        <v>1011</v>
      </c>
      <c r="G300" s="5">
        <v>1470</v>
      </c>
      <c r="H300" s="6">
        <v>43813.944000000003</v>
      </c>
      <c r="I300" s="22">
        <v>77443.62</v>
      </c>
      <c r="J300" s="24">
        <f t="shared" si="12"/>
        <v>5.3661628625111771E-4</v>
      </c>
      <c r="K300" s="25">
        <f t="shared" si="14"/>
        <v>0.47111205360260838</v>
      </c>
      <c r="L300" s="26" t="s">
        <v>7516</v>
      </c>
      <c r="M300" s="28"/>
      <c r="N300" s="28"/>
      <c r="O300" s="20">
        <v>5398.6980000000003</v>
      </c>
      <c r="P300" s="27" t="str">
        <f t="shared" si="13"/>
        <v>amarelo</v>
      </c>
    </row>
    <row r="301" spans="1:16">
      <c r="A301" s="3" t="s">
        <v>5424</v>
      </c>
      <c r="B301" s="3" t="s">
        <v>5425</v>
      </c>
      <c r="C301" s="4">
        <v>232</v>
      </c>
      <c r="D301" s="3" t="s">
        <v>174</v>
      </c>
      <c r="E301" s="3" t="s">
        <v>16</v>
      </c>
      <c r="F301" s="5">
        <v>0</v>
      </c>
      <c r="G301" s="5">
        <v>1260</v>
      </c>
      <c r="H301" s="6">
        <v>0</v>
      </c>
      <c r="I301" s="22">
        <v>77271.206999999995</v>
      </c>
      <c r="J301" s="24">
        <f t="shared" si="12"/>
        <v>5.3542161555053048E-4</v>
      </c>
      <c r="K301" s="25">
        <f t="shared" si="14"/>
        <v>0.47164747521815892</v>
      </c>
      <c r="L301" s="26" t="s">
        <v>7516</v>
      </c>
      <c r="M301" s="28"/>
      <c r="N301" s="28"/>
      <c r="O301" s="20" t="s">
        <v>7530</v>
      </c>
      <c r="P301" s="27" t="str">
        <f t="shared" si="13"/>
        <v>vermelho</v>
      </c>
    </row>
    <row r="302" spans="1:16" ht="25.5">
      <c r="A302" s="3" t="s">
        <v>5426</v>
      </c>
      <c r="B302" s="3" t="s">
        <v>5427</v>
      </c>
      <c r="C302" s="4">
        <v>197</v>
      </c>
      <c r="D302" s="3" t="s">
        <v>66</v>
      </c>
      <c r="E302" s="3" t="s">
        <v>41</v>
      </c>
      <c r="F302" s="5">
        <v>513</v>
      </c>
      <c r="G302" s="5">
        <v>1257</v>
      </c>
      <c r="H302" s="6">
        <v>31654.38</v>
      </c>
      <c r="I302" s="22">
        <v>76563.042000000001</v>
      </c>
      <c r="J302" s="24">
        <f t="shared" si="12"/>
        <v>5.3051465391375501E-4</v>
      </c>
      <c r="K302" s="25">
        <f t="shared" si="14"/>
        <v>0.47217798987207266</v>
      </c>
      <c r="L302" s="26" t="s">
        <v>7516</v>
      </c>
      <c r="M302" s="28"/>
      <c r="N302" s="28"/>
      <c r="O302" s="20" t="s">
        <v>7530</v>
      </c>
      <c r="P302" s="27" t="str">
        <f t="shared" si="13"/>
        <v>vermelho</v>
      </c>
    </row>
    <row r="303" spans="1:16" ht="38.25">
      <c r="A303" s="3" t="s">
        <v>5428</v>
      </c>
      <c r="B303" s="3" t="s">
        <v>5429</v>
      </c>
      <c r="C303" s="4">
        <v>301</v>
      </c>
      <c r="D303" s="3" t="s">
        <v>519</v>
      </c>
      <c r="E303" s="3" t="s">
        <v>16</v>
      </c>
      <c r="F303" s="5">
        <v>858</v>
      </c>
      <c r="G303" s="5">
        <v>1578</v>
      </c>
      <c r="H303" s="6">
        <v>41676.9</v>
      </c>
      <c r="I303" s="22">
        <v>76341.539999999994</v>
      </c>
      <c r="J303" s="24">
        <f t="shared" si="12"/>
        <v>5.2897983954638429E-4</v>
      </c>
      <c r="K303" s="25">
        <f t="shared" si="14"/>
        <v>0.47270696971161902</v>
      </c>
      <c r="L303" s="26" t="s">
        <v>7516</v>
      </c>
      <c r="M303" s="28"/>
      <c r="N303" s="28"/>
      <c r="O303" s="20">
        <v>59257.26</v>
      </c>
      <c r="P303" s="27" t="str">
        <f t="shared" si="13"/>
        <v>laranja</v>
      </c>
    </row>
    <row r="304" spans="1:16">
      <c r="A304" s="3" t="s">
        <v>5430</v>
      </c>
      <c r="B304" s="3" t="s">
        <v>5431</v>
      </c>
      <c r="C304" s="4">
        <v>15</v>
      </c>
      <c r="D304" s="3" t="s">
        <v>18</v>
      </c>
      <c r="E304" s="3" t="s">
        <v>16</v>
      </c>
      <c r="F304" s="5">
        <v>2085</v>
      </c>
      <c r="G304" s="5">
        <v>1188</v>
      </c>
      <c r="H304" s="6">
        <v>118367.97</v>
      </c>
      <c r="I304" s="22">
        <v>76073.820000000007</v>
      </c>
      <c r="J304" s="24">
        <f t="shared" si="12"/>
        <v>5.2712477502131244E-4</v>
      </c>
      <c r="K304" s="25">
        <f t="shared" si="14"/>
        <v>0.47323409448664033</v>
      </c>
      <c r="L304" s="26" t="s">
        <v>7516</v>
      </c>
      <c r="M304" s="28"/>
      <c r="N304" s="28"/>
      <c r="O304" s="20" t="s">
        <v>7530</v>
      </c>
      <c r="P304" s="27" t="str">
        <f t="shared" si="13"/>
        <v>vermelho</v>
      </c>
    </row>
    <row r="305" spans="1:16">
      <c r="A305" s="3" t="s">
        <v>4</v>
      </c>
      <c r="B305" s="3" t="s">
        <v>89</v>
      </c>
      <c r="C305" s="4">
        <v>15</v>
      </c>
      <c r="D305" s="3" t="s">
        <v>18</v>
      </c>
      <c r="E305" s="3" t="s">
        <v>16</v>
      </c>
      <c r="F305" s="5">
        <v>936</v>
      </c>
      <c r="G305" s="5">
        <v>1128</v>
      </c>
      <c r="H305" s="6">
        <v>59809.919999999998</v>
      </c>
      <c r="I305" s="22">
        <v>75944.52</v>
      </c>
      <c r="J305" s="24">
        <f t="shared" si="12"/>
        <v>5.2622883955481088E-4</v>
      </c>
      <c r="K305" s="25">
        <f t="shared" si="14"/>
        <v>0.47376032332619517</v>
      </c>
      <c r="L305" s="26" t="s">
        <v>7516</v>
      </c>
      <c r="M305" s="28"/>
      <c r="N305" s="28"/>
      <c r="O305" s="20" t="s">
        <v>7530</v>
      </c>
      <c r="P305" s="27" t="str">
        <f t="shared" si="13"/>
        <v>vermelho</v>
      </c>
    </row>
    <row r="306" spans="1:16">
      <c r="A306" s="3" t="s">
        <v>4</v>
      </c>
      <c r="B306" s="3" t="s">
        <v>90</v>
      </c>
      <c r="C306" s="4">
        <v>217</v>
      </c>
      <c r="D306" s="3" t="s">
        <v>91</v>
      </c>
      <c r="E306" s="3" t="s">
        <v>16</v>
      </c>
      <c r="F306" s="5">
        <v>1086</v>
      </c>
      <c r="G306" s="5">
        <v>1221</v>
      </c>
      <c r="H306" s="6">
        <v>61161.24</v>
      </c>
      <c r="I306" s="22">
        <v>75921.09</v>
      </c>
      <c r="J306" s="24">
        <f t="shared" si="12"/>
        <v>5.2606649022781836E-4</v>
      </c>
      <c r="K306" s="25">
        <f t="shared" si="14"/>
        <v>0.47428638981642296</v>
      </c>
      <c r="L306" s="26" t="s">
        <v>7516</v>
      </c>
      <c r="M306" s="28"/>
      <c r="N306" s="28">
        <v>4.3144924297345575E-3</v>
      </c>
      <c r="O306" s="20">
        <v>9888.2999999999993</v>
      </c>
      <c r="P306" s="27" t="str">
        <f t="shared" si="13"/>
        <v>amarelo</v>
      </c>
    </row>
    <row r="307" spans="1:16" ht="25.5">
      <c r="A307" s="3" t="s">
        <v>4</v>
      </c>
      <c r="B307" s="3" t="s">
        <v>92</v>
      </c>
      <c r="C307" s="4">
        <v>23</v>
      </c>
      <c r="D307" s="3" t="s">
        <v>87</v>
      </c>
      <c r="E307" s="3" t="s">
        <v>7</v>
      </c>
      <c r="F307" s="5">
        <v>1773</v>
      </c>
      <c r="G307" s="5">
        <v>1410</v>
      </c>
      <c r="H307" s="6">
        <v>92378.46</v>
      </c>
      <c r="I307" s="22">
        <v>75887.334000000003</v>
      </c>
      <c r="J307" s="24">
        <f t="shared" si="12"/>
        <v>5.2583259078770061E-4</v>
      </c>
      <c r="K307" s="25">
        <f t="shared" si="14"/>
        <v>0.47481222240721066</v>
      </c>
      <c r="L307" s="26" t="s">
        <v>7516</v>
      </c>
      <c r="M307" s="28"/>
      <c r="N307" s="28"/>
      <c r="O307" s="20">
        <v>16079.04</v>
      </c>
      <c r="P307" s="27" t="str">
        <f t="shared" si="13"/>
        <v>amarelo</v>
      </c>
    </row>
    <row r="308" spans="1:16" ht="25.5">
      <c r="A308" s="3" t="s">
        <v>4</v>
      </c>
      <c r="B308" s="3" t="s">
        <v>93</v>
      </c>
      <c r="C308" s="4">
        <v>74</v>
      </c>
      <c r="D308" s="3" t="s">
        <v>6</v>
      </c>
      <c r="E308" s="3" t="s">
        <v>7</v>
      </c>
      <c r="F308" s="5">
        <v>1245</v>
      </c>
      <c r="G308" s="5">
        <v>1146</v>
      </c>
      <c r="H308" s="6">
        <v>74114.22</v>
      </c>
      <c r="I308" s="22">
        <v>75715.92</v>
      </c>
      <c r="J308" s="24">
        <f t="shared" si="12"/>
        <v>5.2464484227992875E-4</v>
      </c>
      <c r="K308" s="25">
        <f t="shared" si="14"/>
        <v>0.47533686724949059</v>
      </c>
      <c r="L308" s="26" t="s">
        <v>7516</v>
      </c>
      <c r="M308" s="28">
        <v>4.3142285134402845E-2</v>
      </c>
      <c r="N308" s="28"/>
      <c r="O308" s="20">
        <v>25503.27</v>
      </c>
      <c r="P308" s="27" t="str">
        <f t="shared" si="13"/>
        <v>amarelo</v>
      </c>
    </row>
    <row r="309" spans="1:16" ht="38.25">
      <c r="A309" s="3" t="s">
        <v>5432</v>
      </c>
      <c r="B309" s="3" t="s">
        <v>5433</v>
      </c>
      <c r="C309" s="4">
        <v>292</v>
      </c>
      <c r="D309" s="3" t="s">
        <v>57</v>
      </c>
      <c r="E309" s="3" t="s">
        <v>49</v>
      </c>
      <c r="F309" s="5">
        <v>2076</v>
      </c>
      <c r="G309" s="5">
        <v>1464</v>
      </c>
      <c r="H309" s="6">
        <v>97309.370999999999</v>
      </c>
      <c r="I309" s="22">
        <v>75700.86</v>
      </c>
      <c r="J309" s="24">
        <f t="shared" si="12"/>
        <v>5.24540489703552E-4</v>
      </c>
      <c r="K309" s="25">
        <f t="shared" si="14"/>
        <v>0.47586140773919416</v>
      </c>
      <c r="L309" s="26" t="s">
        <v>7516</v>
      </c>
      <c r="M309" s="28"/>
      <c r="N309" s="28"/>
      <c r="O309" s="20">
        <v>6152.58</v>
      </c>
      <c r="P309" s="27" t="str">
        <f t="shared" si="13"/>
        <v>amarelo</v>
      </c>
    </row>
    <row r="310" spans="1:16" ht="51">
      <c r="A310" s="11" t="s">
        <v>4</v>
      </c>
      <c r="B310" s="11" t="s">
        <v>94</v>
      </c>
      <c r="C310" s="12">
        <v>282</v>
      </c>
      <c r="D310" s="11" t="s">
        <v>12</v>
      </c>
      <c r="E310" s="11" t="s">
        <v>13</v>
      </c>
      <c r="F310" s="13">
        <v>1824</v>
      </c>
      <c r="G310" s="13">
        <v>1008</v>
      </c>
      <c r="H310" s="14">
        <v>86546.4</v>
      </c>
      <c r="I310" s="21">
        <v>75106.080000000002</v>
      </c>
      <c r="J310" s="24">
        <f t="shared" si="12"/>
        <v>5.2041918655764481E-4</v>
      </c>
      <c r="K310" s="25">
        <f t="shared" si="14"/>
        <v>0.47638182692575182</v>
      </c>
      <c r="L310" s="26" t="s">
        <v>7516</v>
      </c>
      <c r="M310" s="28"/>
      <c r="N310" s="28"/>
      <c r="O310" s="20" t="s">
        <v>7530</v>
      </c>
      <c r="P310" s="27" t="str">
        <f t="shared" si="13"/>
        <v>vermelho</v>
      </c>
    </row>
    <row r="311" spans="1:16" ht="38.25">
      <c r="A311" s="3" t="s">
        <v>5434</v>
      </c>
      <c r="B311" s="3" t="s">
        <v>5435</v>
      </c>
      <c r="C311" s="4">
        <v>45</v>
      </c>
      <c r="D311" s="3" t="s">
        <v>23</v>
      </c>
      <c r="E311" s="3" t="s">
        <v>7</v>
      </c>
      <c r="F311" s="5">
        <v>372</v>
      </c>
      <c r="G311" s="5">
        <v>1248</v>
      </c>
      <c r="H311" s="6">
        <v>17897.112000000001</v>
      </c>
      <c r="I311" s="22">
        <v>75088.44</v>
      </c>
      <c r="J311" s="24">
        <f t="shared" si="12"/>
        <v>5.2029695684666967E-4</v>
      </c>
      <c r="K311" s="25">
        <f t="shared" si="14"/>
        <v>0.47690212388259851</v>
      </c>
      <c r="L311" s="26" t="s">
        <v>7516</v>
      </c>
      <c r="M311" s="28"/>
      <c r="N311" s="28"/>
      <c r="O311" s="20" t="s">
        <v>7530</v>
      </c>
      <c r="P311" s="27" t="str">
        <f t="shared" si="13"/>
        <v>vermelho</v>
      </c>
    </row>
    <row r="312" spans="1:16" ht="25.5">
      <c r="A312" s="3" t="s">
        <v>4</v>
      </c>
      <c r="B312" s="3" t="s">
        <v>95</v>
      </c>
      <c r="C312" s="4">
        <v>187</v>
      </c>
      <c r="D312" s="3" t="s">
        <v>96</v>
      </c>
      <c r="E312" s="3" t="s">
        <v>7</v>
      </c>
      <c r="F312" s="5">
        <v>1335</v>
      </c>
      <c r="G312" s="5">
        <v>1182</v>
      </c>
      <c r="H312" s="6">
        <v>75934.035000000003</v>
      </c>
      <c r="I312" s="22">
        <v>75084.36</v>
      </c>
      <c r="J312" s="24">
        <f t="shared" si="12"/>
        <v>5.2026868602916517E-4</v>
      </c>
      <c r="K312" s="25">
        <f t="shared" si="14"/>
        <v>0.47742239256862767</v>
      </c>
      <c r="L312" s="26" t="s">
        <v>7516</v>
      </c>
      <c r="M312" s="28"/>
      <c r="N312" s="28">
        <v>8.2793369518073312E-2</v>
      </c>
      <c r="O312" s="20">
        <v>50321.4</v>
      </c>
      <c r="P312" s="27" t="str">
        <f t="shared" si="13"/>
        <v>laranja</v>
      </c>
    </row>
    <row r="313" spans="1:16">
      <c r="A313" s="3" t="s">
        <v>5436</v>
      </c>
      <c r="B313" s="3" t="s">
        <v>5437</v>
      </c>
      <c r="C313" s="4">
        <v>217</v>
      </c>
      <c r="D313" s="3" t="s">
        <v>91</v>
      </c>
      <c r="E313" s="3" t="s">
        <v>16</v>
      </c>
      <c r="F313" s="5">
        <v>1977</v>
      </c>
      <c r="G313" s="5">
        <v>1617</v>
      </c>
      <c r="H313" s="6">
        <v>96443.55</v>
      </c>
      <c r="I313" s="22">
        <v>75067.5</v>
      </c>
      <c r="J313" s="24">
        <f t="shared" si="12"/>
        <v>5.2015186103330114E-4</v>
      </c>
      <c r="K313" s="25">
        <f t="shared" si="14"/>
        <v>0.477942544429661</v>
      </c>
      <c r="L313" s="26" t="s">
        <v>7516</v>
      </c>
      <c r="M313" s="28"/>
      <c r="N313" s="28"/>
      <c r="O313" s="20">
        <v>11566.8</v>
      </c>
      <c r="P313" s="27" t="str">
        <f t="shared" si="13"/>
        <v>amarelo</v>
      </c>
    </row>
    <row r="314" spans="1:16" ht="25.5">
      <c r="A314" s="3" t="s">
        <v>5438</v>
      </c>
      <c r="B314" s="3" t="s">
        <v>5439</v>
      </c>
      <c r="C314" s="4">
        <v>93</v>
      </c>
      <c r="D314" s="3" t="s">
        <v>20</v>
      </c>
      <c r="E314" s="3" t="s">
        <v>7</v>
      </c>
      <c r="F314" s="5">
        <v>501</v>
      </c>
      <c r="G314" s="5">
        <v>1197</v>
      </c>
      <c r="H314" s="6">
        <v>24107.366999999998</v>
      </c>
      <c r="I314" s="22">
        <v>74891.94</v>
      </c>
      <c r="J314" s="24">
        <f t="shared" si="12"/>
        <v>5.1893538438597703E-4</v>
      </c>
      <c r="K314" s="25">
        <f t="shared" si="14"/>
        <v>0.47846147981404696</v>
      </c>
      <c r="L314" s="26" t="s">
        <v>7516</v>
      </c>
      <c r="M314" s="28"/>
      <c r="N314" s="28"/>
      <c r="O314" s="20">
        <v>35256.239999999998</v>
      </c>
      <c r="P314" s="27" t="str">
        <f t="shared" si="13"/>
        <v>amarelo</v>
      </c>
    </row>
    <row r="315" spans="1:16" ht="25.5">
      <c r="A315" s="3" t="s">
        <v>4</v>
      </c>
      <c r="B315" s="3" t="s">
        <v>97</v>
      </c>
      <c r="C315" s="4">
        <v>74</v>
      </c>
      <c r="D315" s="3" t="s">
        <v>6</v>
      </c>
      <c r="E315" s="3" t="s">
        <v>7</v>
      </c>
      <c r="F315" s="5">
        <v>645</v>
      </c>
      <c r="G315" s="5">
        <v>1137</v>
      </c>
      <c r="H315" s="6">
        <v>38092.74</v>
      </c>
      <c r="I315" s="22">
        <v>74799.12</v>
      </c>
      <c r="J315" s="24">
        <f t="shared" si="12"/>
        <v>5.1829222328775054E-4</v>
      </c>
      <c r="K315" s="25">
        <f t="shared" si="14"/>
        <v>0.47897977203733472</v>
      </c>
      <c r="L315" s="26" t="s">
        <v>7516</v>
      </c>
      <c r="M315" s="28">
        <v>-1.3269128519587463E-2</v>
      </c>
      <c r="N315" s="28"/>
      <c r="O315" s="20">
        <v>40767.39</v>
      </c>
      <c r="P315" s="27" t="str">
        <f t="shared" si="13"/>
        <v>laranja</v>
      </c>
    </row>
    <row r="316" spans="1:16">
      <c r="A316" s="3" t="s">
        <v>5440</v>
      </c>
      <c r="B316" s="3" t="s">
        <v>5441</v>
      </c>
      <c r="C316" s="4">
        <v>232</v>
      </c>
      <c r="D316" s="3" t="s">
        <v>174</v>
      </c>
      <c r="E316" s="3" t="s">
        <v>16</v>
      </c>
      <c r="F316" s="5">
        <v>0</v>
      </c>
      <c r="G316" s="5">
        <v>1560</v>
      </c>
      <c r="H316" s="6">
        <v>0</v>
      </c>
      <c r="I316" s="22">
        <v>73831.385999999999</v>
      </c>
      <c r="J316" s="24">
        <f t="shared" si="12"/>
        <v>5.1158667639881463E-4</v>
      </c>
      <c r="K316" s="25">
        <f t="shared" si="14"/>
        <v>0.47949135871373355</v>
      </c>
      <c r="L316" s="26" t="s">
        <v>7516</v>
      </c>
      <c r="M316" s="28"/>
      <c r="N316" s="28"/>
      <c r="O316" s="20">
        <v>19602.624</v>
      </c>
      <c r="P316" s="27" t="str">
        <f t="shared" si="13"/>
        <v>amarelo</v>
      </c>
    </row>
    <row r="317" spans="1:16" ht="38.25">
      <c r="A317" s="3" t="s">
        <v>5442</v>
      </c>
      <c r="B317" s="3" t="s">
        <v>5443</v>
      </c>
      <c r="C317" s="4">
        <v>143</v>
      </c>
      <c r="D317" s="3" t="s">
        <v>44</v>
      </c>
      <c r="E317" s="3" t="s">
        <v>41</v>
      </c>
      <c r="F317" s="5">
        <v>600</v>
      </c>
      <c r="G317" s="5">
        <v>1296</v>
      </c>
      <c r="H317" s="6">
        <v>32104.560000000001</v>
      </c>
      <c r="I317" s="22">
        <v>73660.800000000003</v>
      </c>
      <c r="J317" s="24">
        <f t="shared" si="12"/>
        <v>5.10404665204007E-4</v>
      </c>
      <c r="K317" s="25">
        <f t="shared" si="14"/>
        <v>0.48000176337893757</v>
      </c>
      <c r="L317" s="26" t="s">
        <v>7516</v>
      </c>
      <c r="M317" s="28"/>
      <c r="N317" s="28"/>
      <c r="O317" s="20" t="s">
        <v>7530</v>
      </c>
      <c r="P317" s="27" t="str">
        <f t="shared" si="13"/>
        <v>vermelho</v>
      </c>
    </row>
    <row r="318" spans="1:16" ht="38.25">
      <c r="A318" s="3" t="s">
        <v>4</v>
      </c>
      <c r="B318" s="3" t="s">
        <v>98</v>
      </c>
      <c r="C318" s="4">
        <v>11</v>
      </c>
      <c r="D318" s="3" t="s">
        <v>61</v>
      </c>
      <c r="E318" s="3" t="s">
        <v>10</v>
      </c>
      <c r="F318" s="5">
        <v>990</v>
      </c>
      <c r="G318" s="5">
        <v>1209</v>
      </c>
      <c r="H318" s="6">
        <v>58465.1</v>
      </c>
      <c r="I318" s="22">
        <v>73603.86</v>
      </c>
      <c r="J318" s="24">
        <f t="shared" si="12"/>
        <v>5.1001012100089331E-4</v>
      </c>
      <c r="K318" s="25">
        <f t="shared" si="14"/>
        <v>0.48051177349993845</v>
      </c>
      <c r="L318" s="26" t="s">
        <v>7516</v>
      </c>
      <c r="M318" s="28"/>
      <c r="N318" s="28"/>
      <c r="O318" s="20" t="s">
        <v>7530</v>
      </c>
      <c r="P318" s="27" t="str">
        <f t="shared" si="13"/>
        <v>vermelho</v>
      </c>
    </row>
    <row r="319" spans="1:16" ht="38.25">
      <c r="A319" s="3" t="s">
        <v>5444</v>
      </c>
      <c r="B319" s="3" t="s">
        <v>5445</v>
      </c>
      <c r="C319" s="4">
        <v>45</v>
      </c>
      <c r="D319" s="3" t="s">
        <v>23</v>
      </c>
      <c r="E319" s="3" t="s">
        <v>7</v>
      </c>
      <c r="F319" s="5">
        <v>1344</v>
      </c>
      <c r="G319" s="5">
        <v>1221</v>
      </c>
      <c r="H319" s="6">
        <v>72970.119000000006</v>
      </c>
      <c r="I319" s="22">
        <v>73469.19</v>
      </c>
      <c r="J319" s="24">
        <f t="shared" si="12"/>
        <v>5.0907697614958804E-4</v>
      </c>
      <c r="K319" s="25">
        <f t="shared" si="14"/>
        <v>0.48102085047608806</v>
      </c>
      <c r="L319" s="26" t="s">
        <v>7516</v>
      </c>
      <c r="M319" s="28"/>
      <c r="N319" s="28"/>
      <c r="O319" s="20">
        <v>35199.449999999997</v>
      </c>
      <c r="P319" s="27" t="str">
        <f t="shared" si="13"/>
        <v>amarelo</v>
      </c>
    </row>
    <row r="320" spans="1:16" ht="25.5">
      <c r="A320" s="3" t="s">
        <v>4</v>
      </c>
      <c r="B320" s="3" t="s">
        <v>99</v>
      </c>
      <c r="C320" s="4">
        <v>327</v>
      </c>
      <c r="D320" s="3" t="s">
        <v>100</v>
      </c>
      <c r="E320" s="3" t="s">
        <v>7</v>
      </c>
      <c r="F320" s="5">
        <v>636</v>
      </c>
      <c r="G320" s="5">
        <v>1200</v>
      </c>
      <c r="H320" s="6">
        <v>34566.720000000001</v>
      </c>
      <c r="I320" s="22">
        <v>73458.66</v>
      </c>
      <c r="J320" s="24">
        <f t="shared" si="12"/>
        <v>5.0900401249558765E-4</v>
      </c>
      <c r="K320" s="25">
        <f t="shared" si="14"/>
        <v>0.48152985448858365</v>
      </c>
      <c r="L320" s="26" t="s">
        <v>7516</v>
      </c>
      <c r="M320" s="28"/>
      <c r="N320" s="28"/>
      <c r="O320" s="20" t="s">
        <v>7530</v>
      </c>
      <c r="P320" s="27" t="str">
        <f t="shared" si="13"/>
        <v>vermelho</v>
      </c>
    </row>
    <row r="321" spans="1:16" ht="51">
      <c r="A321" s="3" t="s">
        <v>4</v>
      </c>
      <c r="B321" s="3" t="s">
        <v>101</v>
      </c>
      <c r="C321" s="4">
        <v>282</v>
      </c>
      <c r="D321" s="3" t="s">
        <v>12</v>
      </c>
      <c r="E321" s="3" t="s">
        <v>13</v>
      </c>
      <c r="F321" s="5">
        <v>72</v>
      </c>
      <c r="G321" s="5">
        <v>1548</v>
      </c>
      <c r="H321" s="6">
        <v>3167.28</v>
      </c>
      <c r="I321" s="22">
        <v>72999.983999999997</v>
      </c>
      <c r="J321" s="24">
        <f t="shared" si="12"/>
        <v>5.0582579056184375E-4</v>
      </c>
      <c r="K321" s="25">
        <f t="shared" si="14"/>
        <v>0.48203568027914551</v>
      </c>
      <c r="L321" s="26" t="s">
        <v>7516</v>
      </c>
      <c r="M321" s="28"/>
      <c r="N321" s="28"/>
      <c r="O321" s="20">
        <v>20215.62</v>
      </c>
      <c r="P321" s="27" t="str">
        <f t="shared" si="13"/>
        <v>amarelo</v>
      </c>
    </row>
    <row r="322" spans="1:16" ht="38.25">
      <c r="A322" s="3" t="s">
        <v>5446</v>
      </c>
      <c r="B322" s="3" t="s">
        <v>5447</v>
      </c>
      <c r="C322" s="4">
        <v>34</v>
      </c>
      <c r="D322" s="3" t="s">
        <v>54</v>
      </c>
      <c r="E322" s="3" t="s">
        <v>49</v>
      </c>
      <c r="F322" s="5">
        <v>1032</v>
      </c>
      <c r="G322" s="5">
        <v>1056</v>
      </c>
      <c r="H322" s="6">
        <v>55799.063999999998</v>
      </c>
      <c r="I322" s="22">
        <v>72046.5</v>
      </c>
      <c r="J322" s="24">
        <f t="shared" si="12"/>
        <v>4.992189836605153E-4</v>
      </c>
      <c r="K322" s="25">
        <f t="shared" si="14"/>
        <v>0.48253489926280602</v>
      </c>
      <c r="L322" s="26" t="s">
        <v>7516</v>
      </c>
      <c r="M322" s="28"/>
      <c r="N322" s="28"/>
      <c r="O322" s="20">
        <v>20676.78</v>
      </c>
      <c r="P322" s="27" t="str">
        <f t="shared" si="13"/>
        <v>amarelo</v>
      </c>
    </row>
    <row r="323" spans="1:16">
      <c r="A323" s="3" t="s">
        <v>4</v>
      </c>
      <c r="B323" s="3" t="s">
        <v>102</v>
      </c>
      <c r="C323" s="4">
        <v>15</v>
      </c>
      <c r="D323" s="3" t="s">
        <v>18</v>
      </c>
      <c r="E323" s="3" t="s">
        <v>16</v>
      </c>
      <c r="F323" s="5">
        <v>462</v>
      </c>
      <c r="G323" s="5">
        <v>1269</v>
      </c>
      <c r="H323" s="6">
        <v>25673.58</v>
      </c>
      <c r="I323" s="22">
        <v>72018.509999999995</v>
      </c>
      <c r="J323" s="24">
        <f t="shared" ref="J323:J386" si="15">I323/$I$6364</f>
        <v>4.9902503753748836E-4</v>
      </c>
      <c r="K323" s="25">
        <f t="shared" si="14"/>
        <v>0.48303392430034353</v>
      </c>
      <c r="L323" s="26" t="s">
        <v>7516</v>
      </c>
      <c r="M323" s="28"/>
      <c r="N323" s="28">
        <v>2.9602262347352044E-2</v>
      </c>
      <c r="O323" s="20">
        <v>48217.86</v>
      </c>
      <c r="P323" s="27" t="str">
        <f t="shared" ref="P323:P386" si="16">IF(O323&lt;=0,"vermelho",IFERROR(IF(O323/I323&lt;=0.5098,"amarelo",IF(O323/I323&lt;1,"laranja","verde")),"vermelho"))</f>
        <v>laranja</v>
      </c>
    </row>
    <row r="324" spans="1:16" ht="38.25">
      <c r="A324" s="3" t="s">
        <v>5448</v>
      </c>
      <c r="B324" s="3" t="s">
        <v>5449</v>
      </c>
      <c r="C324" s="4">
        <v>371</v>
      </c>
      <c r="D324" s="3" t="s">
        <v>82</v>
      </c>
      <c r="E324" s="3" t="s">
        <v>49</v>
      </c>
      <c r="F324" s="5">
        <v>441</v>
      </c>
      <c r="G324" s="5">
        <v>1467</v>
      </c>
      <c r="H324" s="6">
        <v>17868.411</v>
      </c>
      <c r="I324" s="22">
        <v>71862.123000000007</v>
      </c>
      <c r="J324" s="24">
        <f t="shared" si="15"/>
        <v>4.9794141294506942E-4</v>
      </c>
      <c r="K324" s="25">
        <f t="shared" ref="K324:K387" si="17">J324+K323</f>
        <v>0.4835318657132886</v>
      </c>
      <c r="L324" s="26" t="s">
        <v>7516</v>
      </c>
      <c r="M324" s="28"/>
      <c r="N324" s="28"/>
      <c r="O324" s="20">
        <v>20248.542000000001</v>
      </c>
      <c r="P324" s="27" t="str">
        <f t="shared" si="16"/>
        <v>amarelo</v>
      </c>
    </row>
    <row r="325" spans="1:16" ht="38.25">
      <c r="A325" s="3" t="s">
        <v>5450</v>
      </c>
      <c r="B325" s="3" t="s">
        <v>5451</v>
      </c>
      <c r="C325" s="4">
        <v>45</v>
      </c>
      <c r="D325" s="3" t="s">
        <v>23</v>
      </c>
      <c r="E325" s="3" t="s">
        <v>7</v>
      </c>
      <c r="F325" s="5">
        <v>942</v>
      </c>
      <c r="G325" s="5">
        <v>1203</v>
      </c>
      <c r="H325" s="6">
        <v>46016.807999999997</v>
      </c>
      <c r="I325" s="22">
        <v>71475.899999999994</v>
      </c>
      <c r="J325" s="24">
        <f t="shared" si="15"/>
        <v>4.9526522668305367E-4</v>
      </c>
      <c r="K325" s="25">
        <f t="shared" si="17"/>
        <v>0.48402713093997163</v>
      </c>
      <c r="L325" s="26" t="s">
        <v>7516</v>
      </c>
      <c r="M325" s="28"/>
      <c r="N325" s="28"/>
      <c r="O325" s="20" t="s">
        <v>7530</v>
      </c>
      <c r="P325" s="27" t="str">
        <f t="shared" si="16"/>
        <v>vermelho</v>
      </c>
    </row>
    <row r="326" spans="1:16">
      <c r="A326" s="3" t="s">
        <v>5452</v>
      </c>
      <c r="B326" s="3" t="s">
        <v>5453</v>
      </c>
      <c r="C326" s="4">
        <v>315</v>
      </c>
      <c r="D326" s="3" t="s">
        <v>63</v>
      </c>
      <c r="E326" s="3" t="s">
        <v>7</v>
      </c>
      <c r="F326" s="5">
        <v>258</v>
      </c>
      <c r="G326" s="5">
        <v>1204</v>
      </c>
      <c r="H326" s="6">
        <v>12545.46</v>
      </c>
      <c r="I326" s="22">
        <v>71461.203999999998</v>
      </c>
      <c r="J326" s="24">
        <f t="shared" si="15"/>
        <v>4.9516339630706211E-4</v>
      </c>
      <c r="K326" s="25">
        <f t="shared" si="17"/>
        <v>0.48452229433627869</v>
      </c>
      <c r="L326" s="26" t="s">
        <v>7516</v>
      </c>
      <c r="M326" s="28"/>
      <c r="N326" s="28"/>
      <c r="O326" s="20" t="s">
        <v>7530</v>
      </c>
      <c r="P326" s="27" t="str">
        <f t="shared" si="16"/>
        <v>vermelho</v>
      </c>
    </row>
    <row r="327" spans="1:16" ht="38.25">
      <c r="A327" s="3" t="s">
        <v>4</v>
      </c>
      <c r="B327" s="3" t="s">
        <v>103</v>
      </c>
      <c r="C327" s="4">
        <v>218</v>
      </c>
      <c r="D327" s="3" t="s">
        <v>104</v>
      </c>
      <c r="E327" s="3" t="s">
        <v>16</v>
      </c>
      <c r="F327" s="5">
        <v>702</v>
      </c>
      <c r="G327" s="5">
        <v>1266</v>
      </c>
      <c r="H327" s="6">
        <v>37823.760000000002</v>
      </c>
      <c r="I327" s="22">
        <v>71204.759999999995</v>
      </c>
      <c r="J327" s="24">
        <f t="shared" si="15"/>
        <v>4.9338646456095596E-4</v>
      </c>
      <c r="K327" s="25">
        <f t="shared" si="17"/>
        <v>0.48501568080083962</v>
      </c>
      <c r="L327" s="26" t="s">
        <v>7516</v>
      </c>
      <c r="M327" s="28"/>
      <c r="N327" s="28"/>
      <c r="O327" s="20">
        <v>11185.74</v>
      </c>
      <c r="P327" s="27" t="str">
        <f t="shared" si="16"/>
        <v>amarelo</v>
      </c>
    </row>
    <row r="328" spans="1:16" ht="25.5">
      <c r="A328" s="3" t="s">
        <v>5454</v>
      </c>
      <c r="B328" s="3" t="s">
        <v>5417</v>
      </c>
      <c r="C328" s="4">
        <v>31</v>
      </c>
      <c r="D328" s="3" t="s">
        <v>194</v>
      </c>
      <c r="E328" s="3" t="s">
        <v>16</v>
      </c>
      <c r="F328" s="5">
        <v>1926</v>
      </c>
      <c r="G328" s="5">
        <v>1164</v>
      </c>
      <c r="H328" s="6">
        <v>108492.54</v>
      </c>
      <c r="I328" s="22">
        <v>70800.960000000006</v>
      </c>
      <c r="J328" s="24">
        <f t="shared" si="15"/>
        <v>4.9058848512264716E-4</v>
      </c>
      <c r="K328" s="25">
        <f t="shared" si="17"/>
        <v>0.48550626928596224</v>
      </c>
      <c r="L328" s="26" t="s">
        <v>7516</v>
      </c>
      <c r="M328" s="28"/>
      <c r="N328" s="28"/>
      <c r="O328" s="20">
        <v>51857.94</v>
      </c>
      <c r="P328" s="27" t="str">
        <f t="shared" si="16"/>
        <v>laranja</v>
      </c>
    </row>
    <row r="329" spans="1:16" ht="25.5">
      <c r="A329" s="3" t="s">
        <v>5455</v>
      </c>
      <c r="B329" s="3" t="s">
        <v>5456</v>
      </c>
      <c r="C329" s="4">
        <v>266</v>
      </c>
      <c r="D329" s="3" t="s">
        <v>80</v>
      </c>
      <c r="E329" s="3" t="s">
        <v>10</v>
      </c>
      <c r="F329" s="5">
        <v>456</v>
      </c>
      <c r="G329" s="5">
        <v>1140</v>
      </c>
      <c r="H329" s="6">
        <v>27975.599999999999</v>
      </c>
      <c r="I329" s="22">
        <v>70797.539999999994</v>
      </c>
      <c r="J329" s="24">
        <f t="shared" si="15"/>
        <v>4.905647875256213E-4</v>
      </c>
      <c r="K329" s="25">
        <f t="shared" si="17"/>
        <v>0.48599683407348787</v>
      </c>
      <c r="L329" s="26" t="s">
        <v>7516</v>
      </c>
      <c r="M329" s="28"/>
      <c r="N329" s="28"/>
      <c r="O329" s="20" t="s">
        <v>7530</v>
      </c>
      <c r="P329" s="27" t="str">
        <f t="shared" si="16"/>
        <v>vermelho</v>
      </c>
    </row>
    <row r="330" spans="1:16" ht="25.5">
      <c r="A330" s="3" t="s">
        <v>4</v>
      </c>
      <c r="B330" s="3" t="s">
        <v>105</v>
      </c>
      <c r="C330" s="4">
        <v>231</v>
      </c>
      <c r="D330" s="3" t="s">
        <v>52</v>
      </c>
      <c r="E330" s="3" t="s">
        <v>7</v>
      </c>
      <c r="F330" s="5">
        <v>294</v>
      </c>
      <c r="G330" s="5">
        <v>1143</v>
      </c>
      <c r="H330" s="6">
        <v>18913.62</v>
      </c>
      <c r="I330" s="22">
        <v>70469.039999999994</v>
      </c>
      <c r="J330" s="24">
        <f t="shared" si="15"/>
        <v>4.8828857096919621E-4</v>
      </c>
      <c r="K330" s="25">
        <f t="shared" si="17"/>
        <v>0.48648512264445709</v>
      </c>
      <c r="L330" s="26" t="s">
        <v>7516</v>
      </c>
      <c r="M330" s="28"/>
      <c r="N330" s="28"/>
      <c r="O330" s="20" t="s">
        <v>7530</v>
      </c>
      <c r="P330" s="27" t="str">
        <f t="shared" si="16"/>
        <v>vermelho</v>
      </c>
    </row>
    <row r="331" spans="1:16" ht="38.25">
      <c r="A331" s="3" t="s">
        <v>5457</v>
      </c>
      <c r="B331" s="3" t="s">
        <v>5458</v>
      </c>
      <c r="C331" s="4">
        <v>34</v>
      </c>
      <c r="D331" s="3" t="s">
        <v>54</v>
      </c>
      <c r="E331" s="3" t="s">
        <v>49</v>
      </c>
      <c r="F331" s="5">
        <v>1431</v>
      </c>
      <c r="G331" s="5">
        <v>1011</v>
      </c>
      <c r="H331" s="6">
        <v>85143.107999999993</v>
      </c>
      <c r="I331" s="22">
        <v>70350.3</v>
      </c>
      <c r="J331" s="24">
        <f t="shared" si="15"/>
        <v>4.8746580703035337E-4</v>
      </c>
      <c r="K331" s="25">
        <f t="shared" si="17"/>
        <v>0.48697258845148744</v>
      </c>
      <c r="L331" s="26" t="s">
        <v>7516</v>
      </c>
      <c r="M331" s="28"/>
      <c r="N331" s="28"/>
      <c r="O331" s="20" t="s">
        <v>7530</v>
      </c>
      <c r="P331" s="27" t="str">
        <f t="shared" si="16"/>
        <v>vermelho</v>
      </c>
    </row>
    <row r="332" spans="1:16" ht="25.5">
      <c r="A332" s="3" t="s">
        <v>5459</v>
      </c>
      <c r="B332" s="3" t="s">
        <v>5460</v>
      </c>
      <c r="C332" s="4">
        <v>31</v>
      </c>
      <c r="D332" s="3" t="s">
        <v>194</v>
      </c>
      <c r="E332" s="3" t="s">
        <v>16</v>
      </c>
      <c r="F332" s="5">
        <v>480</v>
      </c>
      <c r="G332" s="5">
        <v>1167</v>
      </c>
      <c r="H332" s="6">
        <v>24175.200000000001</v>
      </c>
      <c r="I332" s="22">
        <v>69921.990000000005</v>
      </c>
      <c r="J332" s="24">
        <f t="shared" si="15"/>
        <v>4.8449799481335969E-4</v>
      </c>
      <c r="K332" s="25">
        <f t="shared" si="17"/>
        <v>0.48745708644630081</v>
      </c>
      <c r="L332" s="26" t="s">
        <v>7516</v>
      </c>
      <c r="M332" s="28"/>
      <c r="N332" s="28"/>
      <c r="O332" s="20">
        <v>67325.7</v>
      </c>
      <c r="P332" s="27" t="str">
        <f t="shared" si="16"/>
        <v>laranja</v>
      </c>
    </row>
    <row r="333" spans="1:16" ht="25.5">
      <c r="A333" s="3" t="s">
        <v>4</v>
      </c>
      <c r="B333" s="3" t="s">
        <v>106</v>
      </c>
      <c r="C333" s="4">
        <v>53</v>
      </c>
      <c r="D333" s="3" t="s">
        <v>34</v>
      </c>
      <c r="E333" s="3" t="s">
        <v>16</v>
      </c>
      <c r="F333" s="5">
        <v>1644</v>
      </c>
      <c r="G333" s="5">
        <v>1188</v>
      </c>
      <c r="H333" s="6">
        <v>91103.88</v>
      </c>
      <c r="I333" s="22">
        <v>69813.240000000005</v>
      </c>
      <c r="J333" s="24">
        <f t="shared" si="15"/>
        <v>4.8374445280267099E-4</v>
      </c>
      <c r="K333" s="25">
        <f t="shared" si="17"/>
        <v>0.48794083089910351</v>
      </c>
      <c r="L333" s="26" t="s">
        <v>7516</v>
      </c>
      <c r="M333" s="28"/>
      <c r="N333" s="28"/>
      <c r="O333" s="20">
        <v>76857.72</v>
      </c>
      <c r="P333" s="27" t="str">
        <f t="shared" si="16"/>
        <v>verde</v>
      </c>
    </row>
    <row r="334" spans="1:16" ht="25.5">
      <c r="A334" s="3" t="s">
        <v>4</v>
      </c>
      <c r="B334" s="3" t="s">
        <v>107</v>
      </c>
      <c r="C334" s="4">
        <v>218</v>
      </c>
      <c r="D334" s="3" t="s">
        <v>104</v>
      </c>
      <c r="E334" s="3" t="s">
        <v>16</v>
      </c>
      <c r="F334" s="5">
        <v>1263</v>
      </c>
      <c r="G334" s="5">
        <v>1260</v>
      </c>
      <c r="H334" s="6">
        <v>63919.98</v>
      </c>
      <c r="I334" s="22">
        <v>69672.960000000006</v>
      </c>
      <c r="J334" s="24">
        <f t="shared" si="15"/>
        <v>4.8277243557729718E-4</v>
      </c>
      <c r="K334" s="25">
        <f t="shared" si="17"/>
        <v>0.48842360333468082</v>
      </c>
      <c r="L334" s="26" t="s">
        <v>7516</v>
      </c>
      <c r="M334" s="28"/>
      <c r="N334" s="28"/>
      <c r="O334" s="20" t="s">
        <v>7530</v>
      </c>
      <c r="P334" s="27" t="str">
        <f t="shared" si="16"/>
        <v>vermelho</v>
      </c>
    </row>
    <row r="335" spans="1:16" ht="25.5">
      <c r="A335" s="3" t="s">
        <v>5461</v>
      </c>
      <c r="B335" s="3" t="s">
        <v>5462</v>
      </c>
      <c r="C335" s="4">
        <v>320</v>
      </c>
      <c r="D335" s="3" t="s">
        <v>218</v>
      </c>
      <c r="E335" s="3" t="s">
        <v>49</v>
      </c>
      <c r="F335" s="5">
        <v>0</v>
      </c>
      <c r="G335" s="5">
        <v>1041</v>
      </c>
      <c r="H335" s="6">
        <v>0</v>
      </c>
      <c r="I335" s="22">
        <v>69642.539999999994</v>
      </c>
      <c r="J335" s="24">
        <f t="shared" si="15"/>
        <v>4.8256165168796239E-4</v>
      </c>
      <c r="K335" s="25">
        <f t="shared" si="17"/>
        <v>0.4889061649863688</v>
      </c>
      <c r="L335" s="26" t="s">
        <v>7516</v>
      </c>
      <c r="M335" s="28"/>
      <c r="N335" s="28"/>
      <c r="O335" s="20" t="s">
        <v>7530</v>
      </c>
      <c r="P335" s="27" t="str">
        <f t="shared" si="16"/>
        <v>vermelho</v>
      </c>
    </row>
    <row r="336" spans="1:16" ht="38.25">
      <c r="A336" s="3" t="s">
        <v>5463</v>
      </c>
      <c r="B336" s="3" t="s">
        <v>5464</v>
      </c>
      <c r="C336" s="4">
        <v>45</v>
      </c>
      <c r="D336" s="3" t="s">
        <v>23</v>
      </c>
      <c r="E336" s="3" t="s">
        <v>7</v>
      </c>
      <c r="F336" s="5">
        <v>2436</v>
      </c>
      <c r="G336" s="5">
        <v>1236</v>
      </c>
      <c r="H336" s="6">
        <v>128818.73699999999</v>
      </c>
      <c r="I336" s="22">
        <v>69589.919999999998</v>
      </c>
      <c r="J336" s="24">
        <f t="shared" si="15"/>
        <v>4.8219704129161815E-4</v>
      </c>
      <c r="K336" s="25">
        <f t="shared" si="17"/>
        <v>0.4893883620276604</v>
      </c>
      <c r="L336" s="26" t="s">
        <v>7516</v>
      </c>
      <c r="M336" s="28"/>
      <c r="N336" s="28"/>
      <c r="O336" s="20" t="s">
        <v>7530</v>
      </c>
      <c r="P336" s="27" t="str">
        <f t="shared" si="16"/>
        <v>vermelho</v>
      </c>
    </row>
    <row r="337" spans="1:16" ht="25.5">
      <c r="A337" s="3" t="s">
        <v>4</v>
      </c>
      <c r="B337" s="3" t="s">
        <v>108</v>
      </c>
      <c r="C337" s="4">
        <v>93</v>
      </c>
      <c r="D337" s="3" t="s">
        <v>20</v>
      </c>
      <c r="E337" s="3" t="s">
        <v>7</v>
      </c>
      <c r="F337" s="5">
        <v>447</v>
      </c>
      <c r="G337" s="5">
        <v>1155</v>
      </c>
      <c r="H337" s="6">
        <v>25006.65</v>
      </c>
      <c r="I337" s="22">
        <v>69254.039999999994</v>
      </c>
      <c r="J337" s="24">
        <f t="shared" si="15"/>
        <v>4.7986968781529529E-4</v>
      </c>
      <c r="K337" s="25">
        <f t="shared" si="17"/>
        <v>0.48986823171547567</v>
      </c>
      <c r="L337" s="26" t="s">
        <v>7516</v>
      </c>
      <c r="M337" s="28"/>
      <c r="N337" s="28"/>
      <c r="O337" s="20">
        <v>26425.71</v>
      </c>
      <c r="P337" s="27" t="str">
        <f t="shared" si="16"/>
        <v>amarelo</v>
      </c>
    </row>
    <row r="338" spans="1:16">
      <c r="A338" s="3" t="s">
        <v>4</v>
      </c>
      <c r="B338" s="3" t="s">
        <v>109</v>
      </c>
      <c r="C338" s="4">
        <v>15</v>
      </c>
      <c r="D338" s="3" t="s">
        <v>18</v>
      </c>
      <c r="E338" s="3" t="s">
        <v>16</v>
      </c>
      <c r="F338" s="5">
        <v>1293</v>
      </c>
      <c r="G338" s="5">
        <v>1200</v>
      </c>
      <c r="H338" s="6">
        <v>67046.25</v>
      </c>
      <c r="I338" s="22">
        <v>69052.800000000003</v>
      </c>
      <c r="J338" s="24">
        <f t="shared" si="15"/>
        <v>4.7847527131661958E-4</v>
      </c>
      <c r="K338" s="25">
        <f t="shared" si="17"/>
        <v>0.49034670698679228</v>
      </c>
      <c r="L338" s="26" t="s">
        <v>7516</v>
      </c>
      <c r="M338" s="28"/>
      <c r="N338" s="28"/>
      <c r="O338" s="20">
        <v>19427.88</v>
      </c>
      <c r="P338" s="27" t="str">
        <f t="shared" si="16"/>
        <v>amarelo</v>
      </c>
    </row>
    <row r="339" spans="1:16" ht="25.5">
      <c r="A339" s="3" t="s">
        <v>5467</v>
      </c>
      <c r="B339" s="3" t="s">
        <v>5468</v>
      </c>
      <c r="C339" s="4">
        <v>23</v>
      </c>
      <c r="D339" s="3" t="s">
        <v>87</v>
      </c>
      <c r="E339" s="3" t="s">
        <v>7</v>
      </c>
      <c r="F339" s="5">
        <v>921</v>
      </c>
      <c r="G339" s="5">
        <v>1071</v>
      </c>
      <c r="H339" s="6">
        <v>56482.790999999997</v>
      </c>
      <c r="I339" s="22">
        <v>68539.17</v>
      </c>
      <c r="J339" s="24">
        <f t="shared" si="15"/>
        <v>4.7491626641592971E-4</v>
      </c>
      <c r="K339" s="25">
        <f t="shared" si="17"/>
        <v>0.49082162325320822</v>
      </c>
      <c r="L339" s="26" t="s">
        <v>7516</v>
      </c>
      <c r="M339" s="28"/>
      <c r="N339" s="28"/>
      <c r="O339" s="20">
        <v>43628.7</v>
      </c>
      <c r="P339" s="27" t="str">
        <f t="shared" si="16"/>
        <v>laranja</v>
      </c>
    </row>
    <row r="340" spans="1:16" ht="25.5">
      <c r="A340" s="3" t="s">
        <v>5469</v>
      </c>
      <c r="B340" s="3" t="s">
        <v>5470</v>
      </c>
      <c r="C340" s="4">
        <v>194</v>
      </c>
      <c r="D340" s="3" t="s">
        <v>145</v>
      </c>
      <c r="E340" s="3" t="s">
        <v>16</v>
      </c>
      <c r="F340" s="5">
        <v>972</v>
      </c>
      <c r="G340" s="5">
        <v>1247</v>
      </c>
      <c r="H340" s="6">
        <v>55092.6</v>
      </c>
      <c r="I340" s="22">
        <v>68120.41</v>
      </c>
      <c r="J340" s="24">
        <f t="shared" si="15"/>
        <v>4.7201462731343794E-4</v>
      </c>
      <c r="K340" s="25">
        <f t="shared" si="17"/>
        <v>0.49129363788052166</v>
      </c>
      <c r="L340" s="26" t="s">
        <v>7516</v>
      </c>
      <c r="M340" s="28"/>
      <c r="N340" s="28"/>
      <c r="O340" s="20">
        <v>11772.36</v>
      </c>
      <c r="P340" s="27" t="str">
        <f t="shared" si="16"/>
        <v>amarelo</v>
      </c>
    </row>
    <row r="341" spans="1:16" ht="38.25">
      <c r="A341" s="3" t="s">
        <v>5471</v>
      </c>
      <c r="B341" s="3" t="s">
        <v>5472</v>
      </c>
      <c r="C341" s="4">
        <v>11</v>
      </c>
      <c r="D341" s="3" t="s">
        <v>61</v>
      </c>
      <c r="E341" s="3" t="s">
        <v>10</v>
      </c>
      <c r="F341" s="5">
        <v>1275</v>
      </c>
      <c r="G341" s="5">
        <v>1194</v>
      </c>
      <c r="H341" s="6">
        <v>75426.33</v>
      </c>
      <c r="I341" s="22">
        <v>68057.820000000007</v>
      </c>
      <c r="J341" s="24">
        <f t="shared" si="15"/>
        <v>4.7158093357137817E-4</v>
      </c>
      <c r="K341" s="25">
        <f t="shared" si="17"/>
        <v>0.49176521881409302</v>
      </c>
      <c r="L341" s="26" t="s">
        <v>7516</v>
      </c>
      <c r="M341" s="28"/>
      <c r="N341" s="28"/>
      <c r="O341" s="20" t="s">
        <v>7530</v>
      </c>
      <c r="P341" s="27" t="str">
        <f t="shared" si="16"/>
        <v>vermelho</v>
      </c>
    </row>
    <row r="342" spans="1:16" ht="38.25">
      <c r="A342" s="3" t="s">
        <v>5473</v>
      </c>
      <c r="B342" s="3" t="s">
        <v>5474</v>
      </c>
      <c r="C342" s="4">
        <v>34</v>
      </c>
      <c r="D342" s="3" t="s">
        <v>54</v>
      </c>
      <c r="E342" s="3" t="s">
        <v>49</v>
      </c>
      <c r="F342" s="5">
        <v>1209</v>
      </c>
      <c r="G342" s="5">
        <v>1059</v>
      </c>
      <c r="H342" s="6">
        <v>69455.006999999998</v>
      </c>
      <c r="I342" s="22">
        <v>67856.19</v>
      </c>
      <c r="J342" s="24">
        <f t="shared" si="15"/>
        <v>4.7018381471514679E-4</v>
      </c>
      <c r="K342" s="25">
        <f t="shared" si="17"/>
        <v>0.49223540262880816</v>
      </c>
      <c r="L342" s="26" t="s">
        <v>7516</v>
      </c>
      <c r="M342" s="28"/>
      <c r="N342" s="28"/>
      <c r="O342" s="20" t="s">
        <v>7530</v>
      </c>
      <c r="P342" s="27" t="str">
        <f t="shared" si="16"/>
        <v>vermelho</v>
      </c>
    </row>
    <row r="343" spans="1:16">
      <c r="A343" s="3" t="s">
        <v>5475</v>
      </c>
      <c r="B343" s="3" t="s">
        <v>5476</v>
      </c>
      <c r="C343" s="4">
        <v>217</v>
      </c>
      <c r="D343" s="3" t="s">
        <v>91</v>
      </c>
      <c r="E343" s="3" t="s">
        <v>16</v>
      </c>
      <c r="F343" s="5">
        <v>816</v>
      </c>
      <c r="G343" s="5">
        <v>1188</v>
      </c>
      <c r="H343" s="6">
        <v>38403.96</v>
      </c>
      <c r="I343" s="22">
        <v>67347.600000000006</v>
      </c>
      <c r="J343" s="24">
        <f t="shared" si="15"/>
        <v>4.6665973258902131E-4</v>
      </c>
      <c r="K343" s="25">
        <f t="shared" si="17"/>
        <v>0.49270206236139719</v>
      </c>
      <c r="L343" s="26" t="s">
        <v>7516</v>
      </c>
      <c r="M343" s="28"/>
      <c r="N343" s="28"/>
      <c r="O343" s="20">
        <v>23522.58</v>
      </c>
      <c r="P343" s="27" t="str">
        <f t="shared" si="16"/>
        <v>amarelo</v>
      </c>
    </row>
    <row r="344" spans="1:16" ht="25.5">
      <c r="A344" s="3" t="s">
        <v>4</v>
      </c>
      <c r="B344" s="3" t="s">
        <v>112</v>
      </c>
      <c r="C344" s="4">
        <v>61</v>
      </c>
      <c r="D344" s="3" t="s">
        <v>48</v>
      </c>
      <c r="E344" s="3" t="s">
        <v>49</v>
      </c>
      <c r="F344" s="5">
        <v>1053</v>
      </c>
      <c r="G344" s="5">
        <v>1080</v>
      </c>
      <c r="H344" s="6">
        <v>59115.824999999997</v>
      </c>
      <c r="I344" s="22">
        <v>67076.952000000005</v>
      </c>
      <c r="J344" s="24">
        <f t="shared" si="15"/>
        <v>4.6478437959491679E-4</v>
      </c>
      <c r="K344" s="25">
        <f t="shared" si="17"/>
        <v>0.49316684674099209</v>
      </c>
      <c r="L344" s="26" t="s">
        <v>7516</v>
      </c>
      <c r="M344" s="28"/>
      <c r="N344" s="28"/>
      <c r="O344" s="20" t="s">
        <v>7530</v>
      </c>
      <c r="P344" s="27" t="str">
        <f t="shared" si="16"/>
        <v>vermelho</v>
      </c>
    </row>
    <row r="345" spans="1:16" ht="25.5">
      <c r="A345" s="3" t="s">
        <v>5477</v>
      </c>
      <c r="B345" s="3" t="s">
        <v>5478</v>
      </c>
      <c r="C345" s="4">
        <v>218</v>
      </c>
      <c r="D345" s="3" t="s">
        <v>104</v>
      </c>
      <c r="E345" s="3" t="s">
        <v>16</v>
      </c>
      <c r="F345" s="5">
        <v>1104</v>
      </c>
      <c r="G345" s="5">
        <v>1107</v>
      </c>
      <c r="H345" s="6">
        <v>59555.16</v>
      </c>
      <c r="I345" s="22">
        <v>66970.289999999994</v>
      </c>
      <c r="J345" s="24">
        <f t="shared" si="15"/>
        <v>4.640453055908333E-4</v>
      </c>
      <c r="K345" s="25">
        <f t="shared" si="17"/>
        <v>0.49363089204658295</v>
      </c>
      <c r="L345" s="26" t="s">
        <v>7516</v>
      </c>
      <c r="M345" s="28"/>
      <c r="N345" s="28"/>
      <c r="O345" s="20">
        <v>34697.699999999997</v>
      </c>
      <c r="P345" s="27" t="str">
        <f t="shared" si="16"/>
        <v>laranja</v>
      </c>
    </row>
    <row r="346" spans="1:16" ht="38.25">
      <c r="A346" s="3" t="s">
        <v>4</v>
      </c>
      <c r="B346" s="3" t="s">
        <v>113</v>
      </c>
      <c r="C346" s="4">
        <v>45</v>
      </c>
      <c r="D346" s="3" t="s">
        <v>23</v>
      </c>
      <c r="E346" s="3" t="s">
        <v>7</v>
      </c>
      <c r="F346" s="5">
        <v>831</v>
      </c>
      <c r="G346" s="5">
        <v>1116</v>
      </c>
      <c r="H346" s="6">
        <v>45031.41</v>
      </c>
      <c r="I346" s="22">
        <v>66926.16</v>
      </c>
      <c r="J346" s="24">
        <f t="shared" si="15"/>
        <v>4.6373952343973731E-4</v>
      </c>
      <c r="K346" s="25">
        <f t="shared" si="17"/>
        <v>0.4940946315700227</v>
      </c>
      <c r="L346" s="26" t="s">
        <v>7516</v>
      </c>
      <c r="M346" s="28"/>
      <c r="N346" s="28"/>
      <c r="O346" s="20" t="s">
        <v>7530</v>
      </c>
      <c r="P346" s="27" t="str">
        <f t="shared" si="16"/>
        <v>vermelho</v>
      </c>
    </row>
    <row r="347" spans="1:16" ht="25.5">
      <c r="A347" s="3" t="s">
        <v>5479</v>
      </c>
      <c r="B347" s="3" t="s">
        <v>5480</v>
      </c>
      <c r="C347" s="4">
        <v>297</v>
      </c>
      <c r="D347" s="3" t="s">
        <v>115</v>
      </c>
      <c r="E347" s="3" t="s">
        <v>41</v>
      </c>
      <c r="F347" s="5">
        <v>1488</v>
      </c>
      <c r="G347" s="5">
        <v>1227</v>
      </c>
      <c r="H347" s="6">
        <v>81659.202000000005</v>
      </c>
      <c r="I347" s="22">
        <v>66924.732999999993</v>
      </c>
      <c r="J347" s="24">
        <f t="shared" si="15"/>
        <v>4.6372963558273262E-4</v>
      </c>
      <c r="K347" s="25">
        <f t="shared" si="17"/>
        <v>0.49455836120560542</v>
      </c>
      <c r="L347" s="26" t="s">
        <v>7516</v>
      </c>
      <c r="M347" s="28"/>
      <c r="N347" s="28"/>
      <c r="O347" s="20" t="s">
        <v>7530</v>
      </c>
      <c r="P347" s="27" t="str">
        <f t="shared" si="16"/>
        <v>vermelho</v>
      </c>
    </row>
    <row r="348" spans="1:16" ht="38.25">
      <c r="A348" s="3" t="s">
        <v>5481</v>
      </c>
      <c r="B348" s="3" t="s">
        <v>5482</v>
      </c>
      <c r="C348" s="4">
        <v>45</v>
      </c>
      <c r="D348" s="3" t="s">
        <v>23</v>
      </c>
      <c r="E348" s="3" t="s">
        <v>7</v>
      </c>
      <c r="F348" s="5">
        <v>429</v>
      </c>
      <c r="G348" s="5">
        <v>1272</v>
      </c>
      <c r="H348" s="6">
        <v>25975.71</v>
      </c>
      <c r="I348" s="22">
        <v>66912.36</v>
      </c>
      <c r="J348" s="24">
        <f t="shared" si="15"/>
        <v>4.6364390155700165E-4</v>
      </c>
      <c r="K348" s="25">
        <f t="shared" si="17"/>
        <v>0.49502200510716243</v>
      </c>
      <c r="L348" s="26" t="s">
        <v>7516</v>
      </c>
      <c r="M348" s="28"/>
      <c r="N348" s="28"/>
      <c r="O348" s="20">
        <v>41256.36</v>
      </c>
      <c r="P348" s="27" t="str">
        <f t="shared" si="16"/>
        <v>laranja</v>
      </c>
    </row>
    <row r="349" spans="1:16" ht="38.25">
      <c r="A349" s="3" t="s">
        <v>5483</v>
      </c>
      <c r="B349" s="3" t="s">
        <v>5484</v>
      </c>
      <c r="C349" s="4">
        <v>11</v>
      </c>
      <c r="D349" s="3" t="s">
        <v>61</v>
      </c>
      <c r="E349" s="3" t="s">
        <v>10</v>
      </c>
      <c r="F349" s="5">
        <v>1236</v>
      </c>
      <c r="G349" s="5">
        <v>1080</v>
      </c>
      <c r="H349" s="6">
        <v>82053.539999999994</v>
      </c>
      <c r="I349" s="22">
        <v>66902.039999999994</v>
      </c>
      <c r="J349" s="24">
        <f t="shared" si="15"/>
        <v>4.6357239301860799E-4</v>
      </c>
      <c r="K349" s="25">
        <f t="shared" si="17"/>
        <v>0.49548557750018102</v>
      </c>
      <c r="L349" s="26" t="s">
        <v>7516</v>
      </c>
      <c r="M349" s="28"/>
      <c r="N349" s="28"/>
      <c r="O349" s="20">
        <v>39224.400000000001</v>
      </c>
      <c r="P349" s="27" t="str">
        <f t="shared" si="16"/>
        <v>laranja</v>
      </c>
    </row>
    <row r="350" spans="1:16" ht="25.5">
      <c r="A350" s="3" t="s">
        <v>5485</v>
      </c>
      <c r="B350" s="3" t="s">
        <v>5486</v>
      </c>
      <c r="C350" s="4">
        <v>39</v>
      </c>
      <c r="D350" s="3" t="s">
        <v>26</v>
      </c>
      <c r="E350" s="3" t="s">
        <v>13</v>
      </c>
      <c r="F350" s="5">
        <v>339</v>
      </c>
      <c r="G350" s="5">
        <v>1194</v>
      </c>
      <c r="H350" s="6">
        <v>17612.885999999999</v>
      </c>
      <c r="I350" s="22">
        <v>66656.656000000003</v>
      </c>
      <c r="J350" s="24">
        <f t="shared" si="15"/>
        <v>4.6187209736112914E-4</v>
      </c>
      <c r="K350" s="25">
        <f t="shared" si="17"/>
        <v>0.49594744959754217</v>
      </c>
      <c r="L350" s="26" t="s">
        <v>7516</v>
      </c>
      <c r="M350" s="28"/>
      <c r="N350" s="28"/>
      <c r="O350" s="20" t="s">
        <v>7530</v>
      </c>
      <c r="P350" s="27" t="str">
        <f t="shared" si="16"/>
        <v>vermelho</v>
      </c>
    </row>
    <row r="351" spans="1:16" ht="25.5">
      <c r="A351" s="3" t="s">
        <v>4</v>
      </c>
      <c r="B351" s="3" t="s">
        <v>114</v>
      </c>
      <c r="C351" s="4">
        <v>297</v>
      </c>
      <c r="D351" s="3" t="s">
        <v>115</v>
      </c>
      <c r="E351" s="3" t="s">
        <v>41</v>
      </c>
      <c r="F351" s="5">
        <v>633</v>
      </c>
      <c r="G351" s="5">
        <v>1038</v>
      </c>
      <c r="H351" s="6">
        <v>36108.588000000003</v>
      </c>
      <c r="I351" s="22">
        <v>66636.055999999997</v>
      </c>
      <c r="J351" s="24">
        <f t="shared" si="15"/>
        <v>4.6172935744921934E-4</v>
      </c>
      <c r="K351" s="25">
        <f t="shared" si="17"/>
        <v>0.49640917895499137</v>
      </c>
      <c r="L351" s="26" t="s">
        <v>7516</v>
      </c>
      <c r="M351" s="28"/>
      <c r="N351" s="28"/>
      <c r="O351" s="20">
        <v>22217.08</v>
      </c>
      <c r="P351" s="27" t="str">
        <f t="shared" si="16"/>
        <v>amarelo</v>
      </c>
    </row>
    <row r="352" spans="1:16">
      <c r="A352" s="3" t="s">
        <v>5487</v>
      </c>
      <c r="B352" s="3" t="s">
        <v>5488</v>
      </c>
      <c r="C352" s="4">
        <v>15</v>
      </c>
      <c r="D352" s="3" t="s">
        <v>18</v>
      </c>
      <c r="E352" s="3" t="s">
        <v>16</v>
      </c>
      <c r="F352" s="5">
        <v>2391</v>
      </c>
      <c r="G352" s="5">
        <v>1074</v>
      </c>
      <c r="H352" s="6">
        <v>135646.44</v>
      </c>
      <c r="I352" s="22">
        <v>66360.06</v>
      </c>
      <c r="J352" s="24">
        <f t="shared" si="15"/>
        <v>4.5981694751099381E-4</v>
      </c>
      <c r="K352" s="25">
        <f t="shared" si="17"/>
        <v>0.49686899590250239</v>
      </c>
      <c r="L352" s="26" t="s">
        <v>7516</v>
      </c>
      <c r="M352" s="28"/>
      <c r="N352" s="28"/>
      <c r="O352" s="20" t="s">
        <v>7530</v>
      </c>
      <c r="P352" s="27" t="str">
        <f t="shared" si="16"/>
        <v>vermelho</v>
      </c>
    </row>
    <row r="353" spans="1:16" ht="25.5">
      <c r="A353" s="3" t="s">
        <v>5160</v>
      </c>
      <c r="B353" s="3" t="s">
        <v>5161</v>
      </c>
      <c r="C353" s="4">
        <v>270</v>
      </c>
      <c r="D353" s="3" t="s">
        <v>266</v>
      </c>
      <c r="E353" s="3" t="s">
        <v>49</v>
      </c>
      <c r="F353" s="5">
        <v>1581</v>
      </c>
      <c r="G353" s="5">
        <v>1146</v>
      </c>
      <c r="H353" s="6">
        <v>86458.47</v>
      </c>
      <c r="I353" s="22">
        <v>66322.41</v>
      </c>
      <c r="J353" s="24">
        <f t="shared" si="15"/>
        <v>4.5955606607005195E-4</v>
      </c>
      <c r="K353" s="25">
        <f t="shared" si="17"/>
        <v>0.49732855196857245</v>
      </c>
      <c r="L353" s="26" t="s">
        <v>7516</v>
      </c>
      <c r="M353" s="28"/>
      <c r="N353" s="28"/>
      <c r="O353" s="20">
        <v>30833.88</v>
      </c>
      <c r="P353" s="27" t="str">
        <f t="shared" si="16"/>
        <v>amarelo</v>
      </c>
    </row>
    <row r="354" spans="1:16" ht="38.25">
      <c r="A354" s="3" t="s">
        <v>4</v>
      </c>
      <c r="B354" s="3" t="s">
        <v>116</v>
      </c>
      <c r="C354" s="4">
        <v>45</v>
      </c>
      <c r="D354" s="3" t="s">
        <v>23</v>
      </c>
      <c r="E354" s="3" t="s">
        <v>7</v>
      </c>
      <c r="F354" s="5">
        <v>0</v>
      </c>
      <c r="G354" s="5">
        <v>1095</v>
      </c>
      <c r="H354" s="6">
        <v>0</v>
      </c>
      <c r="I354" s="22">
        <v>66309.78</v>
      </c>
      <c r="J354" s="24">
        <f t="shared" si="15"/>
        <v>4.5946855125998301E-4</v>
      </c>
      <c r="K354" s="25">
        <f t="shared" si="17"/>
        <v>0.49778802051983245</v>
      </c>
      <c r="L354" s="26" t="s">
        <v>7516</v>
      </c>
      <c r="M354" s="28"/>
      <c r="N354" s="28">
        <v>4.0212001737314408E-2</v>
      </c>
      <c r="O354" s="20">
        <v>26419.38</v>
      </c>
      <c r="P354" s="27" t="str">
        <f t="shared" si="16"/>
        <v>amarelo</v>
      </c>
    </row>
    <row r="355" spans="1:16" ht="25.5">
      <c r="A355" s="3" t="s">
        <v>5489</v>
      </c>
      <c r="B355" s="3" t="s">
        <v>5490</v>
      </c>
      <c r="C355" s="4">
        <v>328</v>
      </c>
      <c r="D355" s="3" t="s">
        <v>215</v>
      </c>
      <c r="E355" s="3" t="s">
        <v>41</v>
      </c>
      <c r="F355" s="5">
        <v>1236</v>
      </c>
      <c r="G355" s="5">
        <v>1212</v>
      </c>
      <c r="H355" s="6">
        <v>68056.351999999999</v>
      </c>
      <c r="I355" s="22">
        <v>66171.020999999993</v>
      </c>
      <c r="J355" s="24">
        <f t="shared" si="15"/>
        <v>4.5850707322907583E-4</v>
      </c>
      <c r="K355" s="25">
        <f t="shared" si="17"/>
        <v>0.49824652759306154</v>
      </c>
      <c r="L355" s="26" t="s">
        <v>7516</v>
      </c>
      <c r="M355" s="28"/>
      <c r="N355" s="28"/>
      <c r="O355" s="20">
        <v>18583.560000000001</v>
      </c>
      <c r="P355" s="27" t="str">
        <f t="shared" si="16"/>
        <v>amarelo</v>
      </c>
    </row>
    <row r="356" spans="1:16">
      <c r="A356" s="3" t="s">
        <v>5491</v>
      </c>
      <c r="B356" s="3" t="s">
        <v>5492</v>
      </c>
      <c r="C356" s="4">
        <v>217</v>
      </c>
      <c r="D356" s="3" t="s">
        <v>91</v>
      </c>
      <c r="E356" s="3" t="s">
        <v>16</v>
      </c>
      <c r="F356" s="5">
        <v>1284</v>
      </c>
      <c r="G356" s="5">
        <v>1008</v>
      </c>
      <c r="H356" s="6">
        <v>70267.02</v>
      </c>
      <c r="I356" s="22">
        <v>66164.138999999996</v>
      </c>
      <c r="J356" s="24">
        <f t="shared" si="15"/>
        <v>4.5845938701190292E-4</v>
      </c>
      <c r="K356" s="25">
        <f t="shared" si="17"/>
        <v>0.49870498698007343</v>
      </c>
      <c r="L356" s="26" t="s">
        <v>7516</v>
      </c>
      <c r="M356" s="28"/>
      <c r="N356" s="28"/>
      <c r="O356" s="20" t="s">
        <v>7530</v>
      </c>
      <c r="P356" s="27" t="str">
        <f t="shared" si="16"/>
        <v>vermelho</v>
      </c>
    </row>
    <row r="357" spans="1:16" ht="25.5">
      <c r="A357" s="3" t="s">
        <v>5493</v>
      </c>
      <c r="B357" s="3" t="s">
        <v>5494</v>
      </c>
      <c r="C357" s="4">
        <v>23</v>
      </c>
      <c r="D357" s="3" t="s">
        <v>87</v>
      </c>
      <c r="E357" s="3" t="s">
        <v>7</v>
      </c>
      <c r="F357" s="5">
        <v>672</v>
      </c>
      <c r="G357" s="5">
        <v>945</v>
      </c>
      <c r="H357" s="6">
        <v>39832.68</v>
      </c>
      <c r="I357" s="22">
        <v>65941.89</v>
      </c>
      <c r="J357" s="24">
        <f t="shared" si="15"/>
        <v>4.5691939659044502E-4</v>
      </c>
      <c r="K357" s="25">
        <f t="shared" si="17"/>
        <v>0.49916190637666386</v>
      </c>
      <c r="L357" s="26" t="s">
        <v>7516</v>
      </c>
      <c r="M357" s="28"/>
      <c r="N357" s="28"/>
      <c r="O357" s="20">
        <v>30547.89</v>
      </c>
      <c r="P357" s="27" t="str">
        <f t="shared" si="16"/>
        <v>amarelo</v>
      </c>
    </row>
    <row r="358" spans="1:16">
      <c r="A358" s="3" t="s">
        <v>4</v>
      </c>
      <c r="B358" s="3" t="s">
        <v>117</v>
      </c>
      <c r="C358" s="4">
        <v>15</v>
      </c>
      <c r="D358" s="3" t="s">
        <v>18</v>
      </c>
      <c r="E358" s="3" t="s">
        <v>16</v>
      </c>
      <c r="F358" s="5">
        <v>963</v>
      </c>
      <c r="G358" s="5">
        <v>990</v>
      </c>
      <c r="H358" s="6">
        <v>50693.13</v>
      </c>
      <c r="I358" s="22">
        <v>65798.28</v>
      </c>
      <c r="J358" s="24">
        <f t="shared" si="15"/>
        <v>4.5592430538901976E-4</v>
      </c>
      <c r="K358" s="25">
        <f t="shared" si="17"/>
        <v>0.4996178306820529</v>
      </c>
      <c r="L358" s="26" t="s">
        <v>7516</v>
      </c>
      <c r="M358" s="28">
        <v>-5.2604224116582381E-2</v>
      </c>
      <c r="N358" s="28"/>
      <c r="O358" s="20">
        <v>24396.48</v>
      </c>
      <c r="P358" s="27" t="str">
        <f t="shared" si="16"/>
        <v>amarelo</v>
      </c>
    </row>
    <row r="359" spans="1:16" ht="25.5">
      <c r="A359" s="3" t="s">
        <v>4</v>
      </c>
      <c r="B359" s="3" t="s">
        <v>39</v>
      </c>
      <c r="C359" s="4">
        <v>264</v>
      </c>
      <c r="D359" s="3" t="s">
        <v>40</v>
      </c>
      <c r="E359" s="3" t="s">
        <v>41</v>
      </c>
      <c r="F359" s="5">
        <v>0</v>
      </c>
      <c r="G359" s="5">
        <v>1116</v>
      </c>
      <c r="H359" s="6">
        <v>0</v>
      </c>
      <c r="I359" s="22">
        <v>65731.520999999993</v>
      </c>
      <c r="J359" s="24">
        <f t="shared" si="15"/>
        <v>4.5546172413760301E-4</v>
      </c>
      <c r="K359" s="25">
        <f t="shared" si="17"/>
        <v>0.50007329240619047</v>
      </c>
      <c r="L359" s="26" t="s">
        <v>7516</v>
      </c>
      <c r="M359" s="28"/>
      <c r="N359" s="28"/>
      <c r="O359" s="20" t="s">
        <v>7530</v>
      </c>
      <c r="P359" s="27" t="str">
        <f t="shared" si="16"/>
        <v>vermelho</v>
      </c>
    </row>
    <row r="360" spans="1:16" ht="25.5">
      <c r="A360" s="3" t="s">
        <v>5495</v>
      </c>
      <c r="B360" s="3" t="s">
        <v>5496</v>
      </c>
      <c r="C360" s="4">
        <v>178</v>
      </c>
      <c r="D360" s="3" t="s">
        <v>74</v>
      </c>
      <c r="E360" s="3" t="s">
        <v>7</v>
      </c>
      <c r="F360" s="5">
        <v>744</v>
      </c>
      <c r="G360" s="5">
        <v>1029</v>
      </c>
      <c r="H360" s="6">
        <v>41412.78</v>
      </c>
      <c r="I360" s="22">
        <v>65665.59</v>
      </c>
      <c r="J360" s="24">
        <f t="shared" si="15"/>
        <v>4.550048801991505E-4</v>
      </c>
      <c r="K360" s="25">
        <f t="shared" si="17"/>
        <v>0.50052829728638959</v>
      </c>
      <c r="L360" s="26" t="s">
        <v>7516</v>
      </c>
      <c r="M360" s="28"/>
      <c r="N360" s="28"/>
      <c r="O360" s="20">
        <v>36687.360000000001</v>
      </c>
      <c r="P360" s="27" t="str">
        <f t="shared" si="16"/>
        <v>laranja</v>
      </c>
    </row>
    <row r="361" spans="1:16" ht="25.5">
      <c r="A361" s="3" t="s">
        <v>4</v>
      </c>
      <c r="B361" s="3" t="s">
        <v>118</v>
      </c>
      <c r="C361" s="4">
        <v>317</v>
      </c>
      <c r="D361" s="3" t="s">
        <v>78</v>
      </c>
      <c r="E361" s="3" t="s">
        <v>10</v>
      </c>
      <c r="F361" s="5">
        <v>354</v>
      </c>
      <c r="G361" s="5">
        <v>1047</v>
      </c>
      <c r="H361" s="6">
        <v>20119.919999999998</v>
      </c>
      <c r="I361" s="22">
        <v>65107.32</v>
      </c>
      <c r="J361" s="24">
        <f t="shared" si="15"/>
        <v>4.5113655929517662E-4</v>
      </c>
      <c r="K361" s="25">
        <f t="shared" si="17"/>
        <v>0.50097943384568477</v>
      </c>
      <c r="L361" s="26" t="s">
        <v>7516</v>
      </c>
      <c r="M361" s="28"/>
      <c r="N361" s="28"/>
      <c r="O361" s="20" t="s">
        <v>7530</v>
      </c>
      <c r="P361" s="27" t="str">
        <f t="shared" si="16"/>
        <v>vermelho</v>
      </c>
    </row>
    <row r="362" spans="1:16" ht="25.5">
      <c r="A362" s="3" t="s">
        <v>5497</v>
      </c>
      <c r="B362" s="3" t="s">
        <v>5498</v>
      </c>
      <c r="C362" s="4">
        <v>61</v>
      </c>
      <c r="D362" s="3" t="s">
        <v>48</v>
      </c>
      <c r="E362" s="3" t="s">
        <v>49</v>
      </c>
      <c r="F362" s="5">
        <v>354</v>
      </c>
      <c r="G362" s="5">
        <v>1011</v>
      </c>
      <c r="H362" s="6">
        <v>21499.64</v>
      </c>
      <c r="I362" s="22">
        <v>65060.25</v>
      </c>
      <c r="J362" s="24">
        <f t="shared" si="15"/>
        <v>4.5081040552558474E-4</v>
      </c>
      <c r="K362" s="25">
        <f t="shared" si="17"/>
        <v>0.50143024425121041</v>
      </c>
      <c r="L362" s="26" t="s">
        <v>7516</v>
      </c>
      <c r="M362" s="28"/>
      <c r="N362" s="28"/>
      <c r="O362" s="20">
        <v>18828.84</v>
      </c>
      <c r="P362" s="27" t="str">
        <f t="shared" si="16"/>
        <v>amarelo</v>
      </c>
    </row>
    <row r="363" spans="1:16" ht="38.25">
      <c r="A363" s="3" t="s">
        <v>4</v>
      </c>
      <c r="B363" s="3" t="s">
        <v>119</v>
      </c>
      <c r="C363" s="4">
        <v>143</v>
      </c>
      <c r="D363" s="3" t="s">
        <v>44</v>
      </c>
      <c r="E363" s="3" t="s">
        <v>41</v>
      </c>
      <c r="F363" s="5">
        <v>1032</v>
      </c>
      <c r="G363" s="5">
        <v>1002</v>
      </c>
      <c r="H363" s="6">
        <v>63820.68</v>
      </c>
      <c r="I363" s="22">
        <v>65003.46</v>
      </c>
      <c r="J363" s="24">
        <f t="shared" si="15"/>
        <v>4.504169006907617E-4</v>
      </c>
      <c r="K363" s="25">
        <f t="shared" si="17"/>
        <v>0.50188066115190122</v>
      </c>
      <c r="L363" s="26" t="s">
        <v>7516</v>
      </c>
      <c r="M363" s="28"/>
      <c r="N363" s="28"/>
      <c r="O363" s="20">
        <v>24362.52</v>
      </c>
      <c r="P363" s="27" t="str">
        <f t="shared" si="16"/>
        <v>amarelo</v>
      </c>
    </row>
    <row r="364" spans="1:16" ht="25.5">
      <c r="A364" s="3" t="s">
        <v>5501</v>
      </c>
      <c r="B364" s="3" t="s">
        <v>5502</v>
      </c>
      <c r="C364" s="4">
        <v>266</v>
      </c>
      <c r="D364" s="3" t="s">
        <v>80</v>
      </c>
      <c r="E364" s="3" t="s">
        <v>10</v>
      </c>
      <c r="F364" s="5">
        <v>1137</v>
      </c>
      <c r="G364" s="5">
        <v>1005</v>
      </c>
      <c r="H364" s="6">
        <v>63762.15</v>
      </c>
      <c r="I364" s="22">
        <v>64511.22</v>
      </c>
      <c r="J364" s="24">
        <f t="shared" si="15"/>
        <v>4.4700610970831211E-4</v>
      </c>
      <c r="K364" s="25">
        <f t="shared" si="17"/>
        <v>0.50232766726160949</v>
      </c>
      <c r="L364" s="26" t="s">
        <v>7516</v>
      </c>
      <c r="M364" s="28"/>
      <c r="N364" s="28"/>
      <c r="O364" s="20">
        <v>24325.62</v>
      </c>
      <c r="P364" s="27" t="str">
        <f t="shared" si="16"/>
        <v>amarelo</v>
      </c>
    </row>
    <row r="365" spans="1:16" ht="25.5">
      <c r="A365" s="3" t="s">
        <v>4</v>
      </c>
      <c r="B365" s="3" t="s">
        <v>120</v>
      </c>
      <c r="C365" s="4">
        <v>74</v>
      </c>
      <c r="D365" s="3" t="s">
        <v>6</v>
      </c>
      <c r="E365" s="3" t="s">
        <v>7</v>
      </c>
      <c r="F365" s="5">
        <v>567</v>
      </c>
      <c r="G365" s="5">
        <v>1041</v>
      </c>
      <c r="H365" s="6">
        <v>34826.61</v>
      </c>
      <c r="I365" s="22">
        <v>64306.83</v>
      </c>
      <c r="J365" s="24">
        <f t="shared" si="15"/>
        <v>4.4558986647553366E-4</v>
      </c>
      <c r="K365" s="25">
        <f t="shared" si="17"/>
        <v>0.50277325712808507</v>
      </c>
      <c r="L365" s="26" t="s">
        <v>7516</v>
      </c>
      <c r="M365" s="28"/>
      <c r="N365" s="28"/>
      <c r="O365" s="20" t="s">
        <v>7530</v>
      </c>
      <c r="P365" s="27" t="str">
        <f t="shared" si="16"/>
        <v>vermelho</v>
      </c>
    </row>
    <row r="366" spans="1:16" ht="25.5">
      <c r="A366" s="3" t="s">
        <v>4</v>
      </c>
      <c r="B366" s="3" t="s">
        <v>58</v>
      </c>
      <c r="C366" s="4">
        <v>264</v>
      </c>
      <c r="D366" s="3" t="s">
        <v>40</v>
      </c>
      <c r="E366" s="3" t="s">
        <v>41</v>
      </c>
      <c r="F366" s="5">
        <v>0</v>
      </c>
      <c r="G366" s="5">
        <v>1410</v>
      </c>
      <c r="H366" s="6">
        <v>0</v>
      </c>
      <c r="I366" s="22">
        <v>64159.292000000001</v>
      </c>
      <c r="J366" s="24">
        <f t="shared" si="15"/>
        <v>4.4456755768313843E-4</v>
      </c>
      <c r="K366" s="25">
        <f t="shared" si="17"/>
        <v>0.50321782468576826</v>
      </c>
      <c r="L366" s="26" t="s">
        <v>7516</v>
      </c>
      <c r="M366" s="28"/>
      <c r="N366" s="28"/>
      <c r="O366" s="20">
        <v>24122.955999999998</v>
      </c>
      <c r="P366" s="27" t="str">
        <f t="shared" si="16"/>
        <v>amarelo</v>
      </c>
    </row>
    <row r="367" spans="1:16" ht="25.5">
      <c r="A367" s="3" t="s">
        <v>5503</v>
      </c>
      <c r="B367" s="3" t="s">
        <v>5504</v>
      </c>
      <c r="C367" s="4">
        <v>218</v>
      </c>
      <c r="D367" s="3" t="s">
        <v>104</v>
      </c>
      <c r="E367" s="3" t="s">
        <v>16</v>
      </c>
      <c r="F367" s="5">
        <v>1368</v>
      </c>
      <c r="G367" s="5">
        <v>1035</v>
      </c>
      <c r="H367" s="6">
        <v>74178.66</v>
      </c>
      <c r="I367" s="22">
        <v>64124.67</v>
      </c>
      <c r="J367" s="24">
        <f t="shared" si="15"/>
        <v>4.443276576234229E-4</v>
      </c>
      <c r="K367" s="25">
        <f t="shared" si="17"/>
        <v>0.50366215234339173</v>
      </c>
      <c r="L367" s="26" t="s">
        <v>7516</v>
      </c>
      <c r="M367" s="28"/>
      <c r="N367" s="28"/>
      <c r="O367" s="20">
        <v>31945.74</v>
      </c>
      <c r="P367" s="27" t="str">
        <f t="shared" si="16"/>
        <v>amarelo</v>
      </c>
    </row>
    <row r="368" spans="1:16" ht="38.25">
      <c r="A368" s="3" t="s">
        <v>5505</v>
      </c>
      <c r="B368" s="3" t="s">
        <v>5506</v>
      </c>
      <c r="C368" s="4">
        <v>45</v>
      </c>
      <c r="D368" s="3" t="s">
        <v>23</v>
      </c>
      <c r="E368" s="3" t="s">
        <v>7</v>
      </c>
      <c r="F368" s="5">
        <v>1065</v>
      </c>
      <c r="G368" s="5">
        <v>1065</v>
      </c>
      <c r="H368" s="6">
        <v>66216.42</v>
      </c>
      <c r="I368" s="22">
        <v>64070.97</v>
      </c>
      <c r="J368" s="24">
        <f t="shared" si="15"/>
        <v>4.4395556377538629E-4</v>
      </c>
      <c r="K368" s="25">
        <f t="shared" si="17"/>
        <v>0.50410610790716714</v>
      </c>
      <c r="L368" s="26" t="s">
        <v>7516</v>
      </c>
      <c r="M368" s="28"/>
      <c r="N368" s="28"/>
      <c r="O368" s="20" t="s">
        <v>7530</v>
      </c>
      <c r="P368" s="27" t="str">
        <f t="shared" si="16"/>
        <v>vermelho</v>
      </c>
    </row>
    <row r="369" spans="1:16" ht="25.5">
      <c r="A369" s="3" t="s">
        <v>5507</v>
      </c>
      <c r="B369" s="3" t="s">
        <v>5508</v>
      </c>
      <c r="C369" s="4">
        <v>267</v>
      </c>
      <c r="D369" s="3" t="s">
        <v>125</v>
      </c>
      <c r="E369" s="3" t="s">
        <v>16</v>
      </c>
      <c r="F369" s="5">
        <v>1044</v>
      </c>
      <c r="G369" s="5">
        <v>1248</v>
      </c>
      <c r="H369" s="6">
        <v>50594.46</v>
      </c>
      <c r="I369" s="22">
        <v>63845.16</v>
      </c>
      <c r="J369" s="24">
        <f t="shared" si="15"/>
        <v>4.4239089875070946E-4</v>
      </c>
      <c r="K369" s="25">
        <f t="shared" si="17"/>
        <v>0.5045484988059179</v>
      </c>
      <c r="L369" s="26" t="s">
        <v>7516</v>
      </c>
      <c r="M369" s="28"/>
      <c r="N369" s="28"/>
      <c r="O369" s="20" t="s">
        <v>7530</v>
      </c>
      <c r="P369" s="27" t="str">
        <f t="shared" si="16"/>
        <v>vermelho</v>
      </c>
    </row>
    <row r="370" spans="1:16" ht="25.5">
      <c r="A370" s="3" t="s">
        <v>4</v>
      </c>
      <c r="B370" s="3" t="s">
        <v>121</v>
      </c>
      <c r="C370" s="4">
        <v>61</v>
      </c>
      <c r="D370" s="3" t="s">
        <v>48</v>
      </c>
      <c r="E370" s="3" t="s">
        <v>49</v>
      </c>
      <c r="F370" s="5">
        <v>705</v>
      </c>
      <c r="G370" s="5">
        <v>978</v>
      </c>
      <c r="H370" s="6">
        <v>39278.016000000003</v>
      </c>
      <c r="I370" s="22">
        <v>63790.68</v>
      </c>
      <c r="J370" s="24">
        <f t="shared" si="15"/>
        <v>4.4201340018756169E-4</v>
      </c>
      <c r="K370" s="25">
        <f t="shared" si="17"/>
        <v>0.50499051220610547</v>
      </c>
      <c r="L370" s="26" t="s">
        <v>7516</v>
      </c>
      <c r="M370" s="28"/>
      <c r="N370" s="28"/>
      <c r="O370" s="20">
        <v>31328.7</v>
      </c>
      <c r="P370" s="27" t="str">
        <f t="shared" si="16"/>
        <v>amarelo</v>
      </c>
    </row>
    <row r="371" spans="1:16" ht="25.5">
      <c r="A371" s="3" t="s">
        <v>5509</v>
      </c>
      <c r="B371" s="3" t="s">
        <v>5510</v>
      </c>
      <c r="C371" s="4">
        <v>335</v>
      </c>
      <c r="D371" s="3" t="s">
        <v>36</v>
      </c>
      <c r="E371" s="3" t="s">
        <v>7</v>
      </c>
      <c r="F371" s="5">
        <v>696</v>
      </c>
      <c r="G371" s="5">
        <v>1038</v>
      </c>
      <c r="H371" s="6">
        <v>34601.012000000002</v>
      </c>
      <c r="I371" s="22">
        <v>63726</v>
      </c>
      <c r="J371" s="24">
        <f t="shared" si="15"/>
        <v>4.4156522458065279E-4</v>
      </c>
      <c r="K371" s="25">
        <f t="shared" si="17"/>
        <v>0.50543207743068608</v>
      </c>
      <c r="L371" s="26" t="s">
        <v>7516</v>
      </c>
      <c r="M371" s="28"/>
      <c r="N371" s="28"/>
      <c r="O371" s="20" t="s">
        <v>7530</v>
      </c>
      <c r="P371" s="27" t="str">
        <f t="shared" si="16"/>
        <v>vermelho</v>
      </c>
    </row>
    <row r="372" spans="1:16" ht="25.5">
      <c r="A372" s="3" t="s">
        <v>5511</v>
      </c>
      <c r="B372" s="3" t="s">
        <v>5512</v>
      </c>
      <c r="C372" s="4">
        <v>316</v>
      </c>
      <c r="D372" s="3" t="s">
        <v>247</v>
      </c>
      <c r="E372" s="3" t="s">
        <v>10</v>
      </c>
      <c r="F372" s="5">
        <v>0</v>
      </c>
      <c r="G372" s="5">
        <v>1228</v>
      </c>
      <c r="H372" s="6">
        <v>0</v>
      </c>
      <c r="I372" s="22">
        <v>63664.305999999997</v>
      </c>
      <c r="J372" s="24">
        <f t="shared" si="15"/>
        <v>4.4113773933184881E-4</v>
      </c>
      <c r="K372" s="25">
        <f t="shared" si="17"/>
        <v>0.50587321517001793</v>
      </c>
      <c r="L372" s="26" t="s">
        <v>7516</v>
      </c>
      <c r="M372" s="28"/>
      <c r="N372" s="28"/>
      <c r="O372" s="20">
        <v>42905.69</v>
      </c>
      <c r="P372" s="27" t="str">
        <f t="shared" si="16"/>
        <v>laranja</v>
      </c>
    </row>
    <row r="373" spans="1:16" ht="25.5">
      <c r="A373" s="3" t="s">
        <v>5513</v>
      </c>
      <c r="B373" s="3" t="s">
        <v>5514</v>
      </c>
      <c r="C373" s="4">
        <v>53</v>
      </c>
      <c r="D373" s="3" t="s">
        <v>34</v>
      </c>
      <c r="E373" s="3" t="s">
        <v>16</v>
      </c>
      <c r="F373" s="5">
        <v>558</v>
      </c>
      <c r="G373" s="5">
        <v>1053</v>
      </c>
      <c r="H373" s="6">
        <v>30455.19</v>
      </c>
      <c r="I373" s="22">
        <v>63608.04</v>
      </c>
      <c r="J373" s="24">
        <f t="shared" si="15"/>
        <v>4.4074786535692095E-4</v>
      </c>
      <c r="K373" s="25">
        <f t="shared" si="17"/>
        <v>0.5063139630353749</v>
      </c>
      <c r="L373" s="26" t="s">
        <v>7516</v>
      </c>
      <c r="M373" s="28"/>
      <c r="N373" s="28"/>
      <c r="O373" s="20" t="s">
        <v>7530</v>
      </c>
      <c r="P373" s="27" t="str">
        <f t="shared" si="16"/>
        <v>vermelho</v>
      </c>
    </row>
    <row r="374" spans="1:16" ht="25.5">
      <c r="A374" s="3" t="s">
        <v>5322</v>
      </c>
      <c r="B374" s="3" t="s">
        <v>5323</v>
      </c>
      <c r="C374" s="4">
        <v>53</v>
      </c>
      <c r="D374" s="3" t="s">
        <v>34</v>
      </c>
      <c r="E374" s="3" t="s">
        <v>16</v>
      </c>
      <c r="F374" s="5">
        <v>1332</v>
      </c>
      <c r="G374" s="5">
        <v>1008</v>
      </c>
      <c r="H374" s="6">
        <v>77751.960000000006</v>
      </c>
      <c r="I374" s="22">
        <v>63570.239999999998</v>
      </c>
      <c r="J374" s="24">
        <f t="shared" si="15"/>
        <v>4.4048594454768844E-4</v>
      </c>
      <c r="K374" s="25">
        <f t="shared" si="17"/>
        <v>0.50675444897992261</v>
      </c>
      <c r="L374" s="26" t="s">
        <v>7516</v>
      </c>
      <c r="M374" s="28"/>
      <c r="N374" s="28"/>
      <c r="O374" s="20">
        <v>3388.89</v>
      </c>
      <c r="P374" s="27" t="str">
        <f t="shared" si="16"/>
        <v>amarelo</v>
      </c>
    </row>
    <row r="375" spans="1:16" ht="25.5">
      <c r="A375" s="3" t="s">
        <v>5515</v>
      </c>
      <c r="B375" s="3" t="s">
        <v>5516</v>
      </c>
      <c r="C375" s="4">
        <v>327</v>
      </c>
      <c r="D375" s="3" t="s">
        <v>100</v>
      </c>
      <c r="E375" s="3" t="s">
        <v>7</v>
      </c>
      <c r="F375" s="5">
        <v>543</v>
      </c>
      <c r="G375" s="5">
        <v>912</v>
      </c>
      <c r="H375" s="6">
        <v>32615.97</v>
      </c>
      <c r="I375" s="22">
        <v>63550.47</v>
      </c>
      <c r="J375" s="24">
        <f t="shared" si="15"/>
        <v>4.4034895580698675E-4</v>
      </c>
      <c r="K375" s="25">
        <f t="shared" si="17"/>
        <v>0.50719479793572964</v>
      </c>
      <c r="L375" s="26" t="s">
        <v>7516</v>
      </c>
      <c r="M375" s="28"/>
      <c r="N375" s="28"/>
      <c r="O375" s="20">
        <v>31281.24</v>
      </c>
      <c r="P375" s="27" t="str">
        <f t="shared" si="16"/>
        <v>amarelo</v>
      </c>
    </row>
    <row r="376" spans="1:16" ht="25.5">
      <c r="A376" s="3" t="s">
        <v>5517</v>
      </c>
      <c r="B376" s="3" t="s">
        <v>5518</v>
      </c>
      <c r="C376" s="4">
        <v>208</v>
      </c>
      <c r="D376" s="3" t="s">
        <v>15</v>
      </c>
      <c r="E376" s="3" t="s">
        <v>16</v>
      </c>
      <c r="F376" s="5">
        <v>1440</v>
      </c>
      <c r="G376" s="5">
        <v>1080</v>
      </c>
      <c r="H376" s="6">
        <v>57273.36</v>
      </c>
      <c r="I376" s="22">
        <v>63513.144</v>
      </c>
      <c r="J376" s="24">
        <f t="shared" si="15"/>
        <v>4.4009031940155259E-4</v>
      </c>
      <c r="K376" s="25">
        <f t="shared" si="17"/>
        <v>0.50763488825513114</v>
      </c>
      <c r="L376" s="26" t="s">
        <v>7516</v>
      </c>
      <c r="M376" s="28"/>
      <c r="N376" s="28"/>
      <c r="O376" s="20" t="s">
        <v>7530</v>
      </c>
      <c r="P376" s="27" t="str">
        <f t="shared" si="16"/>
        <v>vermelho</v>
      </c>
    </row>
    <row r="377" spans="1:16">
      <c r="A377" s="3" t="s">
        <v>4</v>
      </c>
      <c r="B377" s="3" t="s">
        <v>122</v>
      </c>
      <c r="C377" s="4">
        <v>15</v>
      </c>
      <c r="D377" s="3" t="s">
        <v>18</v>
      </c>
      <c r="E377" s="3" t="s">
        <v>16</v>
      </c>
      <c r="F377" s="5">
        <v>924</v>
      </c>
      <c r="G377" s="5">
        <v>1056</v>
      </c>
      <c r="H377" s="6">
        <v>50162.879999999997</v>
      </c>
      <c r="I377" s="22">
        <v>63457.68</v>
      </c>
      <c r="J377" s="24">
        <f t="shared" si="15"/>
        <v>4.3970600258241843E-4</v>
      </c>
      <c r="K377" s="25">
        <f t="shared" si="17"/>
        <v>0.50807459425771362</v>
      </c>
      <c r="L377" s="26" t="s">
        <v>7516</v>
      </c>
      <c r="M377" s="28"/>
      <c r="N377" s="28"/>
      <c r="O377" s="20" t="s">
        <v>7530</v>
      </c>
      <c r="P377" s="27" t="str">
        <f t="shared" si="16"/>
        <v>vermelho</v>
      </c>
    </row>
    <row r="378" spans="1:16" ht="25.5">
      <c r="A378" s="3" t="s">
        <v>5519</v>
      </c>
      <c r="B378" s="3" t="s">
        <v>5520</v>
      </c>
      <c r="C378" s="4">
        <v>23</v>
      </c>
      <c r="D378" s="3" t="s">
        <v>87</v>
      </c>
      <c r="E378" s="3" t="s">
        <v>7</v>
      </c>
      <c r="F378" s="5">
        <v>1020</v>
      </c>
      <c r="G378" s="5">
        <v>1017</v>
      </c>
      <c r="H378" s="6">
        <v>59106.36</v>
      </c>
      <c r="I378" s="22">
        <v>63415.26</v>
      </c>
      <c r="J378" s="24">
        <f t="shared" si="15"/>
        <v>4.3941206922983532E-4</v>
      </c>
      <c r="K378" s="25">
        <f t="shared" si="17"/>
        <v>0.50851400632694344</v>
      </c>
      <c r="L378" s="26" t="s">
        <v>7516</v>
      </c>
      <c r="M378" s="28"/>
      <c r="N378" s="28"/>
      <c r="O378" s="20">
        <v>38775.480000000003</v>
      </c>
      <c r="P378" s="27" t="str">
        <f t="shared" si="16"/>
        <v>laranja</v>
      </c>
    </row>
    <row r="379" spans="1:16" ht="51">
      <c r="A379" s="3" t="s">
        <v>4</v>
      </c>
      <c r="B379" s="3" t="s">
        <v>123</v>
      </c>
      <c r="C379" s="4">
        <v>282</v>
      </c>
      <c r="D379" s="3" t="s">
        <v>12</v>
      </c>
      <c r="E379" s="3" t="s">
        <v>13</v>
      </c>
      <c r="F379" s="5">
        <v>447</v>
      </c>
      <c r="G379" s="5">
        <v>1173</v>
      </c>
      <c r="H379" s="6">
        <v>22437.065999999999</v>
      </c>
      <c r="I379" s="22">
        <v>63352.642999999996</v>
      </c>
      <c r="J379" s="24">
        <f t="shared" si="15"/>
        <v>4.3897818840148319E-4</v>
      </c>
      <c r="K379" s="25">
        <f t="shared" si="17"/>
        <v>0.50895298451534488</v>
      </c>
      <c r="L379" s="26" t="s">
        <v>7516</v>
      </c>
      <c r="M379" s="28"/>
      <c r="N379" s="28"/>
      <c r="O379" s="20" t="s">
        <v>7530</v>
      </c>
      <c r="P379" s="27" t="str">
        <f t="shared" si="16"/>
        <v>vermelho</v>
      </c>
    </row>
    <row r="380" spans="1:16" ht="25.5">
      <c r="A380" s="3" t="s">
        <v>4</v>
      </c>
      <c r="B380" s="3" t="s">
        <v>124</v>
      </c>
      <c r="C380" s="4">
        <v>267</v>
      </c>
      <c r="D380" s="3" t="s">
        <v>125</v>
      </c>
      <c r="E380" s="3" t="s">
        <v>16</v>
      </c>
      <c r="F380" s="5">
        <v>564</v>
      </c>
      <c r="G380" s="5">
        <v>1272</v>
      </c>
      <c r="H380" s="6">
        <v>28795.439999999999</v>
      </c>
      <c r="I380" s="22">
        <v>63259.08</v>
      </c>
      <c r="J380" s="24">
        <f t="shared" si="15"/>
        <v>4.3832987896565736E-4</v>
      </c>
      <c r="K380" s="25">
        <f t="shared" si="17"/>
        <v>0.50939131439431051</v>
      </c>
      <c r="L380" s="26" t="s">
        <v>7516</v>
      </c>
      <c r="M380" s="28"/>
      <c r="N380" s="28">
        <v>2.0405772084743052E-2</v>
      </c>
      <c r="O380" s="20">
        <v>12398.4</v>
      </c>
      <c r="P380" s="27" t="str">
        <f t="shared" si="16"/>
        <v>amarelo</v>
      </c>
    </row>
    <row r="381" spans="1:16" ht="25.5">
      <c r="A381" s="3" t="s">
        <v>4</v>
      </c>
      <c r="B381" s="3" t="s">
        <v>126</v>
      </c>
      <c r="C381" s="4">
        <v>19</v>
      </c>
      <c r="D381" s="3" t="s">
        <v>72</v>
      </c>
      <c r="E381" s="3" t="s">
        <v>41</v>
      </c>
      <c r="F381" s="5">
        <v>729</v>
      </c>
      <c r="G381" s="5">
        <v>1032</v>
      </c>
      <c r="H381" s="6">
        <v>43046.000999999997</v>
      </c>
      <c r="I381" s="22">
        <v>62880.764999999999</v>
      </c>
      <c r="J381" s="24">
        <f t="shared" si="15"/>
        <v>4.3570848819992231E-4</v>
      </c>
      <c r="K381" s="25">
        <f t="shared" si="17"/>
        <v>0.50982702288251047</v>
      </c>
      <c r="L381" s="26" t="s">
        <v>7516</v>
      </c>
      <c r="M381" s="28"/>
      <c r="N381" s="28"/>
      <c r="O381" s="20">
        <v>18158.009999999998</v>
      </c>
      <c r="P381" s="27" t="str">
        <f t="shared" si="16"/>
        <v>amarelo</v>
      </c>
    </row>
    <row r="382" spans="1:16" ht="51">
      <c r="A382" s="3" t="s">
        <v>5521</v>
      </c>
      <c r="B382" s="3" t="s">
        <v>5522</v>
      </c>
      <c r="C382" s="4">
        <v>282</v>
      </c>
      <c r="D382" s="3" t="s">
        <v>12</v>
      </c>
      <c r="E382" s="3" t="s">
        <v>13</v>
      </c>
      <c r="F382" s="5">
        <v>0</v>
      </c>
      <c r="G382" s="5">
        <v>1080</v>
      </c>
      <c r="H382" s="6">
        <v>0</v>
      </c>
      <c r="I382" s="22">
        <v>62850.96</v>
      </c>
      <c r="J382" s="24">
        <f t="shared" si="15"/>
        <v>4.3550196572057911E-4</v>
      </c>
      <c r="K382" s="25">
        <f t="shared" si="17"/>
        <v>0.51026252484823109</v>
      </c>
      <c r="L382" s="26" t="s">
        <v>7516</v>
      </c>
      <c r="M382" s="28"/>
      <c r="N382" s="28"/>
      <c r="O382" s="20" t="s">
        <v>7530</v>
      </c>
      <c r="P382" s="27" t="str">
        <f t="shared" si="16"/>
        <v>vermelho</v>
      </c>
    </row>
    <row r="383" spans="1:16" ht="25.5">
      <c r="A383" s="3" t="s">
        <v>4</v>
      </c>
      <c r="B383" s="3" t="s">
        <v>127</v>
      </c>
      <c r="C383" s="4">
        <v>19</v>
      </c>
      <c r="D383" s="3" t="s">
        <v>72</v>
      </c>
      <c r="E383" s="3" t="s">
        <v>41</v>
      </c>
      <c r="F383" s="5">
        <v>936</v>
      </c>
      <c r="G383" s="5">
        <v>975</v>
      </c>
      <c r="H383" s="6">
        <v>57429.353999999999</v>
      </c>
      <c r="I383" s="22">
        <v>62689.677000000003</v>
      </c>
      <c r="J383" s="24">
        <f t="shared" si="15"/>
        <v>4.3438441614715477E-4</v>
      </c>
      <c r="K383" s="25">
        <f t="shared" si="17"/>
        <v>0.51069690926437827</v>
      </c>
      <c r="L383" s="26" t="s">
        <v>7516</v>
      </c>
      <c r="M383" s="28"/>
      <c r="N383" s="28"/>
      <c r="O383" s="20">
        <v>23831.05</v>
      </c>
      <c r="P383" s="27" t="str">
        <f t="shared" si="16"/>
        <v>amarelo</v>
      </c>
    </row>
    <row r="384" spans="1:16" ht="38.25">
      <c r="A384" s="3" t="s">
        <v>4</v>
      </c>
      <c r="B384" s="3" t="s">
        <v>128</v>
      </c>
      <c r="C384" s="4">
        <v>45</v>
      </c>
      <c r="D384" s="3" t="s">
        <v>23</v>
      </c>
      <c r="E384" s="3" t="s">
        <v>7</v>
      </c>
      <c r="F384" s="5">
        <v>0</v>
      </c>
      <c r="G384" s="5">
        <v>1134</v>
      </c>
      <c r="H384" s="6">
        <v>0</v>
      </c>
      <c r="I384" s="22">
        <v>62587.29</v>
      </c>
      <c r="J384" s="24">
        <f t="shared" si="15"/>
        <v>4.3367496413935353E-4</v>
      </c>
      <c r="K384" s="25">
        <f t="shared" si="17"/>
        <v>0.51113058422851765</v>
      </c>
      <c r="L384" s="26" t="s">
        <v>7516</v>
      </c>
      <c r="M384" s="28"/>
      <c r="N384" s="28"/>
      <c r="O384" s="20">
        <v>53478.18</v>
      </c>
      <c r="P384" s="27" t="str">
        <f t="shared" si="16"/>
        <v>laranja</v>
      </c>
    </row>
    <row r="385" spans="1:16" ht="38.25">
      <c r="A385" s="3" t="s">
        <v>4</v>
      </c>
      <c r="B385" s="3" t="s">
        <v>129</v>
      </c>
      <c r="C385" s="4">
        <v>45</v>
      </c>
      <c r="D385" s="3" t="s">
        <v>23</v>
      </c>
      <c r="E385" s="3" t="s">
        <v>7</v>
      </c>
      <c r="F385" s="5">
        <v>786</v>
      </c>
      <c r="G385" s="5">
        <v>918</v>
      </c>
      <c r="H385" s="6">
        <v>41650.553999999996</v>
      </c>
      <c r="I385" s="22">
        <v>62494.62</v>
      </c>
      <c r="J385" s="24">
        <f t="shared" si="15"/>
        <v>4.3303284240941775E-4</v>
      </c>
      <c r="K385" s="25">
        <f t="shared" si="17"/>
        <v>0.51156361707092701</v>
      </c>
      <c r="L385" s="26" t="s">
        <v>7516</v>
      </c>
      <c r="M385" s="28">
        <v>-1.326913096879008E-2</v>
      </c>
      <c r="N385" s="28"/>
      <c r="O385" s="20">
        <v>38179.08</v>
      </c>
      <c r="P385" s="27" t="str">
        <f t="shared" si="16"/>
        <v>laranja</v>
      </c>
    </row>
    <row r="386" spans="1:16" ht="25.5">
      <c r="A386" s="3" t="s">
        <v>4</v>
      </c>
      <c r="B386" s="3" t="s">
        <v>130</v>
      </c>
      <c r="C386" s="4">
        <v>93</v>
      </c>
      <c r="D386" s="3" t="s">
        <v>20</v>
      </c>
      <c r="E386" s="3" t="s">
        <v>7</v>
      </c>
      <c r="F386" s="5">
        <v>771</v>
      </c>
      <c r="G386" s="5">
        <v>1053</v>
      </c>
      <c r="H386" s="6">
        <v>43148.239000000001</v>
      </c>
      <c r="I386" s="22">
        <v>62441.97</v>
      </c>
      <c r="J386" s="24">
        <f t="shared" si="15"/>
        <v>4.3266802413941533E-4</v>
      </c>
      <c r="K386" s="25">
        <f t="shared" si="17"/>
        <v>0.51199628509506645</v>
      </c>
      <c r="L386" s="26" t="s">
        <v>7516</v>
      </c>
      <c r="M386" s="28"/>
      <c r="N386" s="28"/>
      <c r="O386" s="20">
        <v>34910.97</v>
      </c>
      <c r="P386" s="27" t="str">
        <f t="shared" si="16"/>
        <v>laranja</v>
      </c>
    </row>
    <row r="387" spans="1:16" ht="38.25">
      <c r="A387" s="3" t="s">
        <v>4</v>
      </c>
      <c r="B387" s="3" t="s">
        <v>131</v>
      </c>
      <c r="C387" s="4">
        <v>45</v>
      </c>
      <c r="D387" s="3" t="s">
        <v>23</v>
      </c>
      <c r="E387" s="3" t="s">
        <v>7</v>
      </c>
      <c r="F387" s="5">
        <v>699</v>
      </c>
      <c r="G387" s="5">
        <v>1041</v>
      </c>
      <c r="H387" s="6">
        <v>38577.730000000003</v>
      </c>
      <c r="I387" s="22">
        <v>62384.7</v>
      </c>
      <c r="J387" s="24">
        <f t="shared" ref="J387:J450" si="18">I387/$I$6364</f>
        <v>4.3227119332606232E-4</v>
      </c>
      <c r="K387" s="25">
        <f t="shared" si="17"/>
        <v>0.51242855628839257</v>
      </c>
      <c r="L387" s="26" t="s">
        <v>7516</v>
      </c>
      <c r="M387" s="28">
        <v>3.1241267738385231E-2</v>
      </c>
      <c r="N387" s="28"/>
      <c r="O387" s="20">
        <v>21776.13</v>
      </c>
      <c r="P387" s="27" t="str">
        <f t="shared" ref="P387:P450" si="19">IF(O387&lt;=0,"vermelho",IFERROR(IF(O387/I387&lt;=0.5098,"amarelo",IF(O387/I387&lt;1,"laranja","verde")),"vermelho"))</f>
        <v>amarelo</v>
      </c>
    </row>
    <row r="388" spans="1:16" ht="25.5">
      <c r="A388" s="3" t="s">
        <v>5523</v>
      </c>
      <c r="B388" s="3" t="s">
        <v>5524</v>
      </c>
      <c r="C388" s="4">
        <v>299</v>
      </c>
      <c r="D388" s="3" t="s">
        <v>111</v>
      </c>
      <c r="E388" s="3" t="s">
        <v>49</v>
      </c>
      <c r="F388" s="5">
        <v>804</v>
      </c>
      <c r="G388" s="5">
        <v>1017</v>
      </c>
      <c r="H388" s="6">
        <v>49978.44</v>
      </c>
      <c r="I388" s="22">
        <v>62283.48</v>
      </c>
      <c r="J388" s="24">
        <f t="shared" si="18"/>
        <v>4.3156982760356204E-4</v>
      </c>
      <c r="K388" s="25">
        <f t="shared" ref="K388:K451" si="20">J388+K387</f>
        <v>0.51286012611599618</v>
      </c>
      <c r="L388" s="26" t="s">
        <v>7516</v>
      </c>
      <c r="M388" s="28"/>
      <c r="N388" s="28"/>
      <c r="O388" s="20">
        <v>6054.12</v>
      </c>
      <c r="P388" s="27" t="str">
        <f t="shared" si="19"/>
        <v>amarelo</v>
      </c>
    </row>
    <row r="389" spans="1:16" ht="25.5">
      <c r="A389" s="3" t="s">
        <v>4</v>
      </c>
      <c r="B389" s="3" t="s">
        <v>132</v>
      </c>
      <c r="C389" s="4">
        <v>208</v>
      </c>
      <c r="D389" s="3" t="s">
        <v>15</v>
      </c>
      <c r="E389" s="3" t="s">
        <v>16</v>
      </c>
      <c r="F389" s="5">
        <v>408</v>
      </c>
      <c r="G389" s="5">
        <v>1032</v>
      </c>
      <c r="H389" s="6">
        <v>20466.96</v>
      </c>
      <c r="I389" s="22">
        <v>62183.64</v>
      </c>
      <c r="J389" s="24">
        <f t="shared" si="18"/>
        <v>4.3087802406933533E-4</v>
      </c>
      <c r="K389" s="25">
        <f t="shared" si="20"/>
        <v>0.51329100414006557</v>
      </c>
      <c r="L389" s="26" t="s">
        <v>7516</v>
      </c>
      <c r="M389" s="28"/>
      <c r="N389" s="28"/>
      <c r="O389" s="20">
        <v>9125.76</v>
      </c>
      <c r="P389" s="27" t="str">
        <f t="shared" si="19"/>
        <v>amarelo</v>
      </c>
    </row>
    <row r="390" spans="1:16" ht="25.5">
      <c r="A390" s="3" t="s">
        <v>4</v>
      </c>
      <c r="B390" s="3" t="s">
        <v>133</v>
      </c>
      <c r="C390" s="4">
        <v>187</v>
      </c>
      <c r="D390" s="3" t="s">
        <v>96</v>
      </c>
      <c r="E390" s="3" t="s">
        <v>7</v>
      </c>
      <c r="F390" s="5">
        <v>609</v>
      </c>
      <c r="G390" s="5">
        <v>954</v>
      </c>
      <c r="H390" s="6">
        <v>33661.14</v>
      </c>
      <c r="I390" s="22">
        <v>62123.73</v>
      </c>
      <c r="J390" s="24">
        <f t="shared" si="18"/>
        <v>4.3046290037406767E-4</v>
      </c>
      <c r="K390" s="25">
        <f t="shared" si="20"/>
        <v>0.51372146704043964</v>
      </c>
      <c r="L390" s="26" t="s">
        <v>7516</v>
      </c>
      <c r="M390" s="28"/>
      <c r="N390" s="28"/>
      <c r="O390" s="20">
        <v>14027.25</v>
      </c>
      <c r="P390" s="27" t="str">
        <f t="shared" si="19"/>
        <v>amarelo</v>
      </c>
    </row>
    <row r="391" spans="1:16">
      <c r="A391" s="3" t="s">
        <v>5465</v>
      </c>
      <c r="B391" s="3" t="s">
        <v>5466</v>
      </c>
      <c r="C391" s="4">
        <v>217</v>
      </c>
      <c r="D391" s="3" t="s">
        <v>91</v>
      </c>
      <c r="E391" s="3" t="s">
        <v>16</v>
      </c>
      <c r="F391" s="5">
        <v>204</v>
      </c>
      <c r="G391" s="5">
        <v>1041</v>
      </c>
      <c r="H391" s="6">
        <v>10524.84</v>
      </c>
      <c r="I391" s="22">
        <v>62022.51</v>
      </c>
      <c r="J391" s="24">
        <f t="shared" si="18"/>
        <v>4.297615346515674E-4</v>
      </c>
      <c r="K391" s="25">
        <f t="shared" si="20"/>
        <v>0.51415122857509121</v>
      </c>
      <c r="L391" s="26" t="s">
        <v>7516</v>
      </c>
      <c r="M391" s="28"/>
      <c r="N391" s="28"/>
      <c r="O391" s="20" t="s">
        <v>7530</v>
      </c>
      <c r="P391" s="27" t="str">
        <f t="shared" si="19"/>
        <v>vermelho</v>
      </c>
    </row>
    <row r="392" spans="1:16" ht="25.5">
      <c r="A392" s="3" t="s">
        <v>4</v>
      </c>
      <c r="B392" s="3" t="s">
        <v>134</v>
      </c>
      <c r="C392" s="4">
        <v>19</v>
      </c>
      <c r="D392" s="3" t="s">
        <v>72</v>
      </c>
      <c r="E392" s="3" t="s">
        <v>41</v>
      </c>
      <c r="F392" s="5">
        <v>180</v>
      </c>
      <c r="G392" s="5">
        <v>1002</v>
      </c>
      <c r="H392" s="6">
        <v>10649.64</v>
      </c>
      <c r="I392" s="22">
        <v>61960.38</v>
      </c>
      <c r="J392" s="24">
        <f t="shared" si="18"/>
        <v>4.2933102830559872E-4</v>
      </c>
      <c r="K392" s="25">
        <f t="shared" si="20"/>
        <v>0.51458055960339677</v>
      </c>
      <c r="L392" s="26" t="s">
        <v>7516</v>
      </c>
      <c r="M392" s="28"/>
      <c r="N392" s="28"/>
      <c r="O392" s="20">
        <v>39867.480000000003</v>
      </c>
      <c r="P392" s="27" t="str">
        <f t="shared" si="19"/>
        <v>laranja</v>
      </c>
    </row>
    <row r="393" spans="1:16" ht="25.5">
      <c r="A393" s="3" t="s">
        <v>4</v>
      </c>
      <c r="B393" s="3" t="s">
        <v>135</v>
      </c>
      <c r="C393" s="4">
        <v>321</v>
      </c>
      <c r="D393" s="3" t="s">
        <v>136</v>
      </c>
      <c r="E393" s="3" t="s">
        <v>41</v>
      </c>
      <c r="F393" s="5">
        <v>528</v>
      </c>
      <c r="G393" s="5">
        <v>1043</v>
      </c>
      <c r="H393" s="6">
        <v>29850.9</v>
      </c>
      <c r="I393" s="22">
        <v>61882.142999999996</v>
      </c>
      <c r="J393" s="24">
        <f t="shared" si="18"/>
        <v>4.2878891459258492E-4</v>
      </c>
      <c r="K393" s="25">
        <f t="shared" si="20"/>
        <v>0.51500934851798941</v>
      </c>
      <c r="L393" s="26" t="s">
        <v>7516</v>
      </c>
      <c r="M393" s="28"/>
      <c r="N393" s="28"/>
      <c r="O393" s="20">
        <v>37189.879999999997</v>
      </c>
      <c r="P393" s="27" t="str">
        <f t="shared" si="19"/>
        <v>laranja</v>
      </c>
    </row>
    <row r="394" spans="1:16" ht="25.5">
      <c r="A394" s="3" t="s">
        <v>5525</v>
      </c>
      <c r="B394" s="3" t="s">
        <v>5526</v>
      </c>
      <c r="C394" s="4">
        <v>194</v>
      </c>
      <c r="D394" s="3" t="s">
        <v>145</v>
      </c>
      <c r="E394" s="3" t="s">
        <v>16</v>
      </c>
      <c r="F394" s="5">
        <v>0</v>
      </c>
      <c r="G394" s="5">
        <v>1164</v>
      </c>
      <c r="H394" s="6">
        <v>0</v>
      </c>
      <c r="I394" s="22">
        <v>61684.32</v>
      </c>
      <c r="J394" s="24">
        <f t="shared" si="18"/>
        <v>4.2741817490356921E-4</v>
      </c>
      <c r="K394" s="25">
        <f t="shared" si="20"/>
        <v>0.51543676669289296</v>
      </c>
      <c r="L394" s="26" t="s">
        <v>7516</v>
      </c>
      <c r="M394" s="28"/>
      <c r="N394" s="28"/>
      <c r="O394" s="20" t="s">
        <v>7530</v>
      </c>
      <c r="P394" s="27" t="str">
        <f t="shared" si="19"/>
        <v>vermelho</v>
      </c>
    </row>
    <row r="395" spans="1:16" ht="25.5">
      <c r="A395" s="3" t="s">
        <v>5527</v>
      </c>
      <c r="B395" s="3" t="s">
        <v>5528</v>
      </c>
      <c r="C395" s="4">
        <v>93</v>
      </c>
      <c r="D395" s="3" t="s">
        <v>20</v>
      </c>
      <c r="E395" s="3" t="s">
        <v>7</v>
      </c>
      <c r="F395" s="5">
        <v>318</v>
      </c>
      <c r="G395" s="5">
        <v>975</v>
      </c>
      <c r="H395" s="6">
        <v>17156.37</v>
      </c>
      <c r="I395" s="22">
        <v>61603.32</v>
      </c>
      <c r="J395" s="24">
        <f t="shared" si="18"/>
        <v>4.2685691602664249E-4</v>
      </c>
      <c r="K395" s="25">
        <f t="shared" si="20"/>
        <v>0.51586362360891957</v>
      </c>
      <c r="L395" s="26" t="s">
        <v>7516</v>
      </c>
      <c r="M395" s="28"/>
      <c r="N395" s="28"/>
      <c r="O395" s="20">
        <v>6221.7</v>
      </c>
      <c r="P395" s="27" t="str">
        <f t="shared" si="19"/>
        <v>amarelo</v>
      </c>
    </row>
    <row r="396" spans="1:16" ht="25.5">
      <c r="A396" s="3" t="s">
        <v>5529</v>
      </c>
      <c r="B396" s="3" t="s">
        <v>5530</v>
      </c>
      <c r="C396" s="4">
        <v>316</v>
      </c>
      <c r="D396" s="3" t="s">
        <v>247</v>
      </c>
      <c r="E396" s="3" t="s">
        <v>10</v>
      </c>
      <c r="F396" s="5">
        <v>3521</v>
      </c>
      <c r="G396" s="5">
        <v>1287</v>
      </c>
      <c r="H396" s="6">
        <v>156786.94</v>
      </c>
      <c r="I396" s="22">
        <v>61500.78</v>
      </c>
      <c r="J396" s="24">
        <f t="shared" si="18"/>
        <v>4.2614640386318483E-4</v>
      </c>
      <c r="K396" s="25">
        <f t="shared" si="20"/>
        <v>0.51628977001278276</v>
      </c>
      <c r="L396" s="26" t="s">
        <v>7516</v>
      </c>
      <c r="M396" s="28"/>
      <c r="N396" s="28"/>
      <c r="O396" s="20">
        <v>6238.8</v>
      </c>
      <c r="P396" s="27" t="str">
        <f t="shared" si="19"/>
        <v>amarelo</v>
      </c>
    </row>
    <row r="397" spans="1:16">
      <c r="A397" s="3" t="s">
        <v>4</v>
      </c>
      <c r="B397" s="3" t="s">
        <v>137</v>
      </c>
      <c r="C397" s="4">
        <v>15</v>
      </c>
      <c r="D397" s="3" t="s">
        <v>18</v>
      </c>
      <c r="E397" s="3" t="s">
        <v>16</v>
      </c>
      <c r="F397" s="5">
        <v>420</v>
      </c>
      <c r="G397" s="5">
        <v>1056</v>
      </c>
      <c r="H397" s="6">
        <v>21606.959999999999</v>
      </c>
      <c r="I397" s="22">
        <v>61476</v>
      </c>
      <c r="J397" s="24">
        <f t="shared" si="18"/>
        <v>4.2597470022157687E-4</v>
      </c>
      <c r="K397" s="25">
        <f t="shared" si="20"/>
        <v>0.5167157447130043</v>
      </c>
      <c r="L397" s="26" t="s">
        <v>7516</v>
      </c>
      <c r="M397" s="28"/>
      <c r="N397" s="28"/>
      <c r="O397" s="20" t="s">
        <v>7530</v>
      </c>
      <c r="P397" s="27" t="str">
        <f t="shared" si="19"/>
        <v>vermelho</v>
      </c>
    </row>
    <row r="398" spans="1:16" ht="25.5">
      <c r="A398" s="3" t="s">
        <v>4</v>
      </c>
      <c r="B398" s="3" t="s">
        <v>138</v>
      </c>
      <c r="C398" s="4">
        <v>297</v>
      </c>
      <c r="D398" s="3" t="s">
        <v>115</v>
      </c>
      <c r="E398" s="3" t="s">
        <v>41</v>
      </c>
      <c r="F398" s="5">
        <v>1044</v>
      </c>
      <c r="G398" s="5">
        <v>1086</v>
      </c>
      <c r="H398" s="6">
        <v>56691.915000000001</v>
      </c>
      <c r="I398" s="22">
        <v>61422.538</v>
      </c>
      <c r="J398" s="24">
        <f t="shared" si="18"/>
        <v>4.2560425550456141E-4</v>
      </c>
      <c r="K398" s="25">
        <f t="shared" si="20"/>
        <v>0.51714134896850883</v>
      </c>
      <c r="L398" s="26" t="s">
        <v>7516</v>
      </c>
      <c r="M398" s="28"/>
      <c r="N398" s="28"/>
      <c r="O398" s="20">
        <v>19584.364000000001</v>
      </c>
      <c r="P398" s="27" t="str">
        <f t="shared" si="19"/>
        <v>amarelo</v>
      </c>
    </row>
    <row r="399" spans="1:16" ht="38.25">
      <c r="A399" s="3" t="s">
        <v>5531</v>
      </c>
      <c r="B399" s="3" t="s">
        <v>5532</v>
      </c>
      <c r="C399" s="4">
        <v>143</v>
      </c>
      <c r="D399" s="3" t="s">
        <v>44</v>
      </c>
      <c r="E399" s="3" t="s">
        <v>41</v>
      </c>
      <c r="F399" s="5">
        <v>840</v>
      </c>
      <c r="G399" s="5">
        <v>984</v>
      </c>
      <c r="H399" s="6">
        <v>49552.932000000001</v>
      </c>
      <c r="I399" s="22">
        <v>61391.519999999997</v>
      </c>
      <c r="J399" s="24">
        <f t="shared" si="18"/>
        <v>4.253893280003081E-4</v>
      </c>
      <c r="K399" s="25">
        <f t="shared" si="20"/>
        <v>0.51756673829650912</v>
      </c>
      <c r="L399" s="26" t="s">
        <v>7516</v>
      </c>
      <c r="M399" s="28"/>
      <c r="N399" s="28"/>
      <c r="O399" s="20">
        <v>6604.8</v>
      </c>
      <c r="P399" s="27" t="str">
        <f t="shared" si="19"/>
        <v>amarelo</v>
      </c>
    </row>
    <row r="400" spans="1:16" ht="38.25">
      <c r="A400" s="3" t="s">
        <v>4</v>
      </c>
      <c r="B400" s="3" t="s">
        <v>139</v>
      </c>
      <c r="C400" s="4">
        <v>34</v>
      </c>
      <c r="D400" s="3" t="s">
        <v>54</v>
      </c>
      <c r="E400" s="3" t="s">
        <v>49</v>
      </c>
      <c r="F400" s="5">
        <v>174</v>
      </c>
      <c r="G400" s="5">
        <v>906</v>
      </c>
      <c r="H400" s="6">
        <v>11370.87</v>
      </c>
      <c r="I400" s="22">
        <v>61196.88</v>
      </c>
      <c r="J400" s="24">
        <f t="shared" si="18"/>
        <v>4.2404064370641899E-4</v>
      </c>
      <c r="K400" s="25">
        <f t="shared" si="20"/>
        <v>0.5179907789402155</v>
      </c>
      <c r="L400" s="26" t="s">
        <v>7516</v>
      </c>
      <c r="M400" s="28"/>
      <c r="N400" s="28"/>
      <c r="O400" s="20">
        <v>8262.9</v>
      </c>
      <c r="P400" s="27" t="str">
        <f t="shared" si="19"/>
        <v>amarelo</v>
      </c>
    </row>
    <row r="401" spans="1:16" ht="25.5">
      <c r="A401" s="3" t="s">
        <v>4</v>
      </c>
      <c r="B401" s="3" t="s">
        <v>140</v>
      </c>
      <c r="C401" s="4">
        <v>240</v>
      </c>
      <c r="D401" s="3" t="s">
        <v>69</v>
      </c>
      <c r="E401" s="3" t="s">
        <v>16</v>
      </c>
      <c r="F401" s="5">
        <v>447</v>
      </c>
      <c r="G401" s="5">
        <v>909</v>
      </c>
      <c r="H401" s="6">
        <v>23931.27</v>
      </c>
      <c r="I401" s="22">
        <v>61015.92</v>
      </c>
      <c r="J401" s="24">
        <f t="shared" si="18"/>
        <v>4.2278674980063307E-4</v>
      </c>
      <c r="K401" s="25">
        <f t="shared" si="20"/>
        <v>0.51841356569001618</v>
      </c>
      <c r="L401" s="26" t="s">
        <v>7516</v>
      </c>
      <c r="M401" s="28"/>
      <c r="N401" s="28"/>
      <c r="O401" s="20">
        <v>28075.14</v>
      </c>
      <c r="P401" s="27" t="str">
        <f t="shared" si="19"/>
        <v>amarelo</v>
      </c>
    </row>
    <row r="402" spans="1:16" ht="25.5">
      <c r="A402" s="3" t="s">
        <v>5533</v>
      </c>
      <c r="B402" s="3" t="s">
        <v>5534</v>
      </c>
      <c r="C402" s="4">
        <v>194</v>
      </c>
      <c r="D402" s="3" t="s">
        <v>145</v>
      </c>
      <c r="E402" s="3" t="s">
        <v>16</v>
      </c>
      <c r="F402" s="5">
        <v>912</v>
      </c>
      <c r="G402" s="5">
        <v>912</v>
      </c>
      <c r="H402" s="6">
        <v>49299.24</v>
      </c>
      <c r="I402" s="22">
        <v>60960.36</v>
      </c>
      <c r="J402" s="24">
        <f t="shared" si="18"/>
        <v>4.2240176778579293E-4</v>
      </c>
      <c r="K402" s="25">
        <f t="shared" si="20"/>
        <v>0.51883596745780192</v>
      </c>
      <c r="L402" s="26" t="s">
        <v>7516</v>
      </c>
      <c r="M402" s="28"/>
      <c r="N402" s="28"/>
      <c r="O402" s="20">
        <v>17125.68</v>
      </c>
      <c r="P402" s="27" t="str">
        <f t="shared" si="19"/>
        <v>amarelo</v>
      </c>
    </row>
    <row r="403" spans="1:16" ht="51">
      <c r="A403" s="3" t="s">
        <v>4</v>
      </c>
      <c r="B403" s="3" t="s">
        <v>141</v>
      </c>
      <c r="C403" s="4">
        <v>282</v>
      </c>
      <c r="D403" s="3" t="s">
        <v>12</v>
      </c>
      <c r="E403" s="3" t="s">
        <v>13</v>
      </c>
      <c r="F403" s="5">
        <v>0</v>
      </c>
      <c r="G403" s="5">
        <v>1308</v>
      </c>
      <c r="H403" s="6">
        <v>0</v>
      </c>
      <c r="I403" s="22">
        <v>60725.548999999999</v>
      </c>
      <c r="J403" s="24">
        <f t="shared" si="18"/>
        <v>4.2077473373455787E-4</v>
      </c>
      <c r="K403" s="25">
        <f t="shared" si="20"/>
        <v>0.5192567421915365</v>
      </c>
      <c r="L403" s="26" t="s">
        <v>7516</v>
      </c>
      <c r="M403" s="28"/>
      <c r="N403" s="28"/>
      <c r="O403" s="20" t="s">
        <v>7530</v>
      </c>
      <c r="P403" s="27" t="str">
        <f t="shared" si="19"/>
        <v>vermelho</v>
      </c>
    </row>
    <row r="404" spans="1:16" ht="38.25">
      <c r="A404" s="3" t="s">
        <v>4</v>
      </c>
      <c r="B404" s="3" t="s">
        <v>142</v>
      </c>
      <c r="C404" s="4">
        <v>45</v>
      </c>
      <c r="D404" s="3" t="s">
        <v>23</v>
      </c>
      <c r="E404" s="3" t="s">
        <v>7</v>
      </c>
      <c r="F404" s="5">
        <v>1449</v>
      </c>
      <c r="G404" s="5">
        <v>936</v>
      </c>
      <c r="H404" s="6">
        <v>82501.134000000005</v>
      </c>
      <c r="I404" s="22">
        <v>60717.15</v>
      </c>
      <c r="J404" s="24">
        <f t="shared" si="18"/>
        <v>4.2071653603940591E-4</v>
      </c>
      <c r="K404" s="25">
        <f t="shared" si="20"/>
        <v>0.51967745872757587</v>
      </c>
      <c r="L404" s="26" t="s">
        <v>7516</v>
      </c>
      <c r="M404" s="28"/>
      <c r="N404" s="28"/>
      <c r="O404" s="20" t="s">
        <v>7530</v>
      </c>
      <c r="P404" s="27" t="str">
        <f t="shared" si="19"/>
        <v>vermelho</v>
      </c>
    </row>
    <row r="405" spans="1:16" ht="51">
      <c r="A405" s="3" t="s">
        <v>5535</v>
      </c>
      <c r="B405" s="3" t="s">
        <v>5536</v>
      </c>
      <c r="C405" s="4">
        <v>282</v>
      </c>
      <c r="D405" s="3" t="s">
        <v>12</v>
      </c>
      <c r="E405" s="3" t="s">
        <v>13</v>
      </c>
      <c r="F405" s="5">
        <v>0</v>
      </c>
      <c r="G405" s="5">
        <v>1080</v>
      </c>
      <c r="H405" s="6">
        <v>0</v>
      </c>
      <c r="I405" s="22">
        <v>60566.692000000003</v>
      </c>
      <c r="J405" s="24">
        <f t="shared" si="18"/>
        <v>4.1967399421095355E-4</v>
      </c>
      <c r="K405" s="25">
        <f t="shared" si="20"/>
        <v>0.52009713272178681</v>
      </c>
      <c r="L405" s="26" t="s">
        <v>7516</v>
      </c>
      <c r="M405" s="28"/>
      <c r="N405" s="28"/>
      <c r="O405" s="20" t="s">
        <v>7530</v>
      </c>
      <c r="P405" s="27" t="str">
        <f t="shared" si="19"/>
        <v>vermelho</v>
      </c>
    </row>
    <row r="406" spans="1:16" ht="25.5">
      <c r="A406" s="3" t="s">
        <v>4</v>
      </c>
      <c r="B406" s="3" t="s">
        <v>143</v>
      </c>
      <c r="C406" s="4">
        <v>197</v>
      </c>
      <c r="D406" s="3" t="s">
        <v>66</v>
      </c>
      <c r="E406" s="3" t="s">
        <v>41</v>
      </c>
      <c r="F406" s="5">
        <v>504</v>
      </c>
      <c r="G406" s="5">
        <v>1014</v>
      </c>
      <c r="H406" s="6">
        <v>30957.72</v>
      </c>
      <c r="I406" s="22">
        <v>60543.58</v>
      </c>
      <c r="J406" s="24">
        <f t="shared" si="18"/>
        <v>4.1951384834473712E-4</v>
      </c>
      <c r="K406" s="25">
        <f t="shared" si="20"/>
        <v>0.52051664657013152</v>
      </c>
      <c r="L406" s="26" t="s">
        <v>7516</v>
      </c>
      <c r="M406" s="28"/>
      <c r="N406" s="28"/>
      <c r="O406" s="20">
        <v>16761.46</v>
      </c>
      <c r="P406" s="27" t="str">
        <f t="shared" si="19"/>
        <v>amarelo</v>
      </c>
    </row>
    <row r="407" spans="1:16" ht="25.5">
      <c r="A407" s="3" t="s">
        <v>5537</v>
      </c>
      <c r="B407" s="3" t="s">
        <v>5538</v>
      </c>
      <c r="C407" s="4">
        <v>93</v>
      </c>
      <c r="D407" s="3" t="s">
        <v>20</v>
      </c>
      <c r="E407" s="3" t="s">
        <v>7</v>
      </c>
      <c r="F407" s="5">
        <v>1167</v>
      </c>
      <c r="G407" s="5">
        <v>1374</v>
      </c>
      <c r="H407" s="6">
        <v>50822.271000000001</v>
      </c>
      <c r="I407" s="22">
        <v>60301.26</v>
      </c>
      <c r="J407" s="24">
        <f t="shared" si="18"/>
        <v>4.1783478351687433E-4</v>
      </c>
      <c r="K407" s="25">
        <f t="shared" si="20"/>
        <v>0.52093448135364839</v>
      </c>
      <c r="L407" s="26" t="s">
        <v>7516</v>
      </c>
      <c r="M407" s="28"/>
      <c r="N407" s="28"/>
      <c r="O407" s="20">
        <v>19777.5</v>
      </c>
      <c r="P407" s="27" t="str">
        <f t="shared" si="19"/>
        <v>amarelo</v>
      </c>
    </row>
    <row r="408" spans="1:16">
      <c r="A408" s="3" t="s">
        <v>5539</v>
      </c>
      <c r="B408" s="3" t="s">
        <v>5540</v>
      </c>
      <c r="C408" s="4">
        <v>315</v>
      </c>
      <c r="D408" s="3" t="s">
        <v>63</v>
      </c>
      <c r="E408" s="3" t="s">
        <v>7</v>
      </c>
      <c r="F408" s="5">
        <v>756</v>
      </c>
      <c r="G408" s="5">
        <v>1140</v>
      </c>
      <c r="H408" s="6">
        <v>45912.72</v>
      </c>
      <c r="I408" s="22">
        <v>60169.171999999999</v>
      </c>
      <c r="J408" s="24">
        <f t="shared" si="18"/>
        <v>4.1691952965841139E-4</v>
      </c>
      <c r="K408" s="25">
        <f t="shared" si="20"/>
        <v>0.52135140088330678</v>
      </c>
      <c r="L408" s="26" t="s">
        <v>7516</v>
      </c>
      <c r="M408" s="28"/>
      <c r="N408" s="28"/>
      <c r="O408" s="20">
        <v>21319.962</v>
      </c>
      <c r="P408" s="27" t="str">
        <f t="shared" si="19"/>
        <v>amarelo</v>
      </c>
    </row>
    <row r="409" spans="1:16" ht="51">
      <c r="A409" s="3" t="s">
        <v>5541</v>
      </c>
      <c r="B409" s="3" t="s">
        <v>5542</v>
      </c>
      <c r="C409" s="4">
        <v>282</v>
      </c>
      <c r="D409" s="3" t="s">
        <v>12</v>
      </c>
      <c r="E409" s="3" t="s">
        <v>13</v>
      </c>
      <c r="F409" s="5">
        <v>1446</v>
      </c>
      <c r="G409" s="5">
        <v>924</v>
      </c>
      <c r="H409" s="6">
        <v>71472.683999999994</v>
      </c>
      <c r="I409" s="22">
        <v>60139.152000000002</v>
      </c>
      <c r="J409" s="24">
        <f t="shared" si="18"/>
        <v>4.1671151741785162E-4</v>
      </c>
      <c r="K409" s="25">
        <f t="shared" si="20"/>
        <v>0.52176811240072463</v>
      </c>
      <c r="L409" s="26" t="s">
        <v>7516</v>
      </c>
      <c r="M409" s="28"/>
      <c r="N409" s="28"/>
      <c r="O409" s="20" t="s">
        <v>7530</v>
      </c>
      <c r="P409" s="27" t="str">
        <f t="shared" si="19"/>
        <v>vermelho</v>
      </c>
    </row>
    <row r="410" spans="1:16" ht="25.5">
      <c r="A410" s="3" t="s">
        <v>5543</v>
      </c>
      <c r="B410" s="3" t="s">
        <v>5544</v>
      </c>
      <c r="C410" s="4">
        <v>39</v>
      </c>
      <c r="D410" s="3" t="s">
        <v>26</v>
      </c>
      <c r="E410" s="3" t="s">
        <v>13</v>
      </c>
      <c r="F410" s="5">
        <v>594</v>
      </c>
      <c r="G410" s="5">
        <v>1008</v>
      </c>
      <c r="H410" s="6">
        <v>30994.92</v>
      </c>
      <c r="I410" s="22">
        <v>60127.199999999997</v>
      </c>
      <c r="J410" s="24">
        <f t="shared" si="18"/>
        <v>4.1662870055245621E-4</v>
      </c>
      <c r="K410" s="25">
        <f t="shared" si="20"/>
        <v>0.52218474110127711</v>
      </c>
      <c r="L410" s="26" t="s">
        <v>7516</v>
      </c>
      <c r="M410" s="28"/>
      <c r="N410" s="28"/>
      <c r="O410" s="20" t="s">
        <v>7530</v>
      </c>
      <c r="P410" s="27" t="str">
        <f t="shared" si="19"/>
        <v>vermelho</v>
      </c>
    </row>
    <row r="411" spans="1:16" ht="38.25">
      <c r="A411" s="3" t="s">
        <v>5545</v>
      </c>
      <c r="B411" s="3" t="s">
        <v>5546</v>
      </c>
      <c r="C411" s="4">
        <v>45</v>
      </c>
      <c r="D411" s="3" t="s">
        <v>23</v>
      </c>
      <c r="E411" s="3" t="s">
        <v>7</v>
      </c>
      <c r="F411" s="5">
        <v>960</v>
      </c>
      <c r="G411" s="5">
        <v>1041</v>
      </c>
      <c r="H411" s="6">
        <v>45873.527999999998</v>
      </c>
      <c r="I411" s="22">
        <v>60066.42</v>
      </c>
      <c r="J411" s="24">
        <f t="shared" si="18"/>
        <v>4.1620754852110303E-4</v>
      </c>
      <c r="K411" s="25">
        <f t="shared" si="20"/>
        <v>0.52260094864979822</v>
      </c>
      <c r="L411" s="26" t="s">
        <v>7516</v>
      </c>
      <c r="M411" s="28"/>
      <c r="N411" s="28"/>
      <c r="O411" s="20">
        <v>13239.6</v>
      </c>
      <c r="P411" s="27" t="str">
        <f t="shared" si="19"/>
        <v>amarelo</v>
      </c>
    </row>
    <row r="412" spans="1:16" ht="25.5">
      <c r="A412" s="3" t="s">
        <v>5547</v>
      </c>
      <c r="B412" s="3" t="s">
        <v>5548</v>
      </c>
      <c r="C412" s="4">
        <v>335</v>
      </c>
      <c r="D412" s="3" t="s">
        <v>36</v>
      </c>
      <c r="E412" s="3" t="s">
        <v>7</v>
      </c>
      <c r="F412" s="5">
        <v>705</v>
      </c>
      <c r="G412" s="5">
        <v>954</v>
      </c>
      <c r="H412" s="6">
        <v>40196.82</v>
      </c>
      <c r="I412" s="22">
        <v>59969.37</v>
      </c>
      <c r="J412" s="24">
        <f t="shared" si="18"/>
        <v>4.1553507723708161E-4</v>
      </c>
      <c r="K412" s="25">
        <f t="shared" si="20"/>
        <v>0.52301648372703535</v>
      </c>
      <c r="L412" s="26" t="s">
        <v>7516</v>
      </c>
      <c r="M412" s="28"/>
      <c r="N412" s="28"/>
      <c r="O412" s="20">
        <v>35543.58</v>
      </c>
      <c r="P412" s="27" t="str">
        <f t="shared" si="19"/>
        <v>laranja</v>
      </c>
    </row>
    <row r="413" spans="1:16" ht="25.5">
      <c r="A413" s="3" t="s">
        <v>4</v>
      </c>
      <c r="B413" s="3" t="s">
        <v>144</v>
      </c>
      <c r="C413" s="4">
        <v>194</v>
      </c>
      <c r="D413" s="3" t="s">
        <v>145</v>
      </c>
      <c r="E413" s="3" t="s">
        <v>16</v>
      </c>
      <c r="F413" s="5">
        <v>0</v>
      </c>
      <c r="G413" s="5">
        <v>987</v>
      </c>
      <c r="H413" s="6">
        <v>0</v>
      </c>
      <c r="I413" s="22">
        <v>59954.49</v>
      </c>
      <c r="J413" s="24">
        <f t="shared" si="18"/>
        <v>4.1543197190265353E-4</v>
      </c>
      <c r="K413" s="25">
        <f t="shared" si="20"/>
        <v>0.52343191569893799</v>
      </c>
      <c r="L413" s="26" t="s">
        <v>7516</v>
      </c>
      <c r="M413" s="28"/>
      <c r="N413" s="28"/>
      <c r="O413" s="20">
        <v>50391.66</v>
      </c>
      <c r="P413" s="27" t="str">
        <f t="shared" si="19"/>
        <v>laranja</v>
      </c>
    </row>
    <row r="414" spans="1:16" ht="25.5">
      <c r="A414" s="3" t="s">
        <v>5549</v>
      </c>
      <c r="B414" s="3" t="s">
        <v>5550</v>
      </c>
      <c r="C414" s="4">
        <v>267</v>
      </c>
      <c r="D414" s="3" t="s">
        <v>125</v>
      </c>
      <c r="E414" s="3" t="s">
        <v>16</v>
      </c>
      <c r="F414" s="5">
        <v>822</v>
      </c>
      <c r="G414" s="5">
        <v>996</v>
      </c>
      <c r="H414" s="6">
        <v>44587.77</v>
      </c>
      <c r="I414" s="22">
        <v>59848.02</v>
      </c>
      <c r="J414" s="24">
        <f t="shared" si="18"/>
        <v>4.1469422828998209E-4</v>
      </c>
      <c r="K414" s="25">
        <f t="shared" si="20"/>
        <v>0.52384660992722798</v>
      </c>
      <c r="L414" s="26" t="s">
        <v>7516</v>
      </c>
      <c r="M414" s="28"/>
      <c r="N414" s="28"/>
      <c r="O414" s="20">
        <v>37626.33</v>
      </c>
      <c r="P414" s="27" t="str">
        <f t="shared" si="19"/>
        <v>laranja</v>
      </c>
    </row>
    <row r="415" spans="1:16" ht="25.5">
      <c r="A415" s="3" t="s">
        <v>4</v>
      </c>
      <c r="B415" s="3" t="s">
        <v>146</v>
      </c>
      <c r="C415" s="4">
        <v>266</v>
      </c>
      <c r="D415" s="3" t="s">
        <v>80</v>
      </c>
      <c r="E415" s="3" t="s">
        <v>10</v>
      </c>
      <c r="F415" s="5">
        <v>756</v>
      </c>
      <c r="G415" s="5">
        <v>969</v>
      </c>
      <c r="H415" s="6">
        <v>45642.9</v>
      </c>
      <c r="I415" s="22">
        <v>59746.080000000002</v>
      </c>
      <c r="J415" s="24">
        <f t="shared" si="18"/>
        <v>4.1398787359968689E-4</v>
      </c>
      <c r="K415" s="25">
        <f t="shared" si="20"/>
        <v>0.52426059780082768</v>
      </c>
      <c r="L415" s="26" t="s">
        <v>7516</v>
      </c>
      <c r="M415" s="28"/>
      <c r="N415" s="28"/>
      <c r="O415" s="20" t="s">
        <v>7530</v>
      </c>
      <c r="P415" s="27" t="str">
        <f t="shared" si="19"/>
        <v>vermelho</v>
      </c>
    </row>
    <row r="416" spans="1:16">
      <c r="A416" s="3" t="s">
        <v>4</v>
      </c>
      <c r="B416" s="3" t="s">
        <v>147</v>
      </c>
      <c r="C416" s="4">
        <v>15</v>
      </c>
      <c r="D416" s="3" t="s">
        <v>18</v>
      </c>
      <c r="E416" s="3" t="s">
        <v>16</v>
      </c>
      <c r="F416" s="5">
        <v>0</v>
      </c>
      <c r="G416" s="5">
        <v>1092</v>
      </c>
      <c r="H416" s="6">
        <v>0</v>
      </c>
      <c r="I416" s="22">
        <v>59720.28</v>
      </c>
      <c r="J416" s="24">
        <f t="shared" si="18"/>
        <v>4.138091022537028E-4</v>
      </c>
      <c r="K416" s="25">
        <f t="shared" si="20"/>
        <v>0.52467440690308143</v>
      </c>
      <c r="L416" s="26" t="s">
        <v>7516</v>
      </c>
      <c r="M416" s="28"/>
      <c r="N416" s="28"/>
      <c r="O416" s="20">
        <v>50347.8</v>
      </c>
      <c r="P416" s="27" t="str">
        <f t="shared" si="19"/>
        <v>laranja</v>
      </c>
    </row>
    <row r="417" spans="1:16" ht="25.5">
      <c r="A417" s="3" t="s">
        <v>4</v>
      </c>
      <c r="B417" s="3" t="s">
        <v>148</v>
      </c>
      <c r="C417" s="4">
        <v>273</v>
      </c>
      <c r="D417" s="3" t="s">
        <v>149</v>
      </c>
      <c r="E417" s="3" t="s">
        <v>16</v>
      </c>
      <c r="F417" s="5">
        <v>0</v>
      </c>
      <c r="G417" s="5">
        <v>1041</v>
      </c>
      <c r="H417" s="6">
        <v>0</v>
      </c>
      <c r="I417" s="22">
        <v>59646.328000000001</v>
      </c>
      <c r="J417" s="24">
        <f t="shared" si="18"/>
        <v>4.1329667982819066E-4</v>
      </c>
      <c r="K417" s="25">
        <f t="shared" si="20"/>
        <v>0.52508770358290957</v>
      </c>
      <c r="L417" s="26" t="s">
        <v>7516</v>
      </c>
      <c r="M417" s="28"/>
      <c r="N417" s="28"/>
      <c r="O417" s="20">
        <v>25233.72</v>
      </c>
      <c r="P417" s="27" t="str">
        <f t="shared" si="19"/>
        <v>amarelo</v>
      </c>
    </row>
    <row r="418" spans="1:16" ht="25.5">
      <c r="A418" s="3" t="s">
        <v>5551</v>
      </c>
      <c r="B418" s="3" t="s">
        <v>5552</v>
      </c>
      <c r="C418" s="4">
        <v>335</v>
      </c>
      <c r="D418" s="3" t="s">
        <v>36</v>
      </c>
      <c r="E418" s="3" t="s">
        <v>7</v>
      </c>
      <c r="F418" s="5">
        <v>1032</v>
      </c>
      <c r="G418" s="5">
        <v>846</v>
      </c>
      <c r="H418" s="6">
        <v>61004.61</v>
      </c>
      <c r="I418" s="22">
        <v>59418.48</v>
      </c>
      <c r="J418" s="24">
        <f t="shared" si="18"/>
        <v>4.1171789325300545E-4</v>
      </c>
      <c r="K418" s="25">
        <f t="shared" si="20"/>
        <v>0.52549942147616258</v>
      </c>
      <c r="L418" s="26" t="s">
        <v>7516</v>
      </c>
      <c r="M418" s="28"/>
      <c r="N418" s="28"/>
      <c r="O418" s="20">
        <v>20614.2</v>
      </c>
      <c r="P418" s="27" t="str">
        <f t="shared" si="19"/>
        <v>amarelo</v>
      </c>
    </row>
    <row r="419" spans="1:16" ht="25.5">
      <c r="A419" s="3" t="s">
        <v>4</v>
      </c>
      <c r="B419" s="3" t="s">
        <v>150</v>
      </c>
      <c r="C419" s="4">
        <v>74</v>
      </c>
      <c r="D419" s="3" t="s">
        <v>6</v>
      </c>
      <c r="E419" s="3" t="s">
        <v>7</v>
      </c>
      <c r="F419" s="5">
        <v>1284</v>
      </c>
      <c r="G419" s="5">
        <v>966</v>
      </c>
      <c r="H419" s="6">
        <v>80304.78</v>
      </c>
      <c r="I419" s="22">
        <v>59273.114999999998</v>
      </c>
      <c r="J419" s="24">
        <f t="shared" si="18"/>
        <v>4.1071064144258004E-4</v>
      </c>
      <c r="K419" s="25">
        <f t="shared" si="20"/>
        <v>0.52591013211760518</v>
      </c>
      <c r="L419" s="26" t="s">
        <v>7516</v>
      </c>
      <c r="M419" s="28"/>
      <c r="N419" s="28"/>
      <c r="O419" s="20" t="s">
        <v>7530</v>
      </c>
      <c r="P419" s="27" t="str">
        <f t="shared" si="19"/>
        <v>vermelho</v>
      </c>
    </row>
    <row r="420" spans="1:16" ht="25.5">
      <c r="A420" s="3" t="s">
        <v>4</v>
      </c>
      <c r="B420" s="3" t="s">
        <v>151</v>
      </c>
      <c r="C420" s="4">
        <v>317</v>
      </c>
      <c r="D420" s="3" t="s">
        <v>78</v>
      </c>
      <c r="E420" s="3" t="s">
        <v>10</v>
      </c>
      <c r="F420" s="5">
        <v>258</v>
      </c>
      <c r="G420" s="5">
        <v>870</v>
      </c>
      <c r="H420" s="6">
        <v>15900.69</v>
      </c>
      <c r="I420" s="22">
        <v>59117.94</v>
      </c>
      <c r="J420" s="24">
        <f t="shared" si="18"/>
        <v>4.0963541494594917E-4</v>
      </c>
      <c r="K420" s="25">
        <f t="shared" si="20"/>
        <v>0.52631976753255116</v>
      </c>
      <c r="L420" s="26" t="s">
        <v>7516</v>
      </c>
      <c r="M420" s="28"/>
      <c r="N420" s="28"/>
      <c r="O420" s="20">
        <v>1195.44</v>
      </c>
      <c r="P420" s="27" t="str">
        <f t="shared" si="19"/>
        <v>amarelo</v>
      </c>
    </row>
    <row r="421" spans="1:16" ht="25.5">
      <c r="A421" s="3" t="s">
        <v>4</v>
      </c>
      <c r="B421" s="3" t="s">
        <v>152</v>
      </c>
      <c r="C421" s="4">
        <v>187</v>
      </c>
      <c r="D421" s="3" t="s">
        <v>96</v>
      </c>
      <c r="E421" s="3" t="s">
        <v>7</v>
      </c>
      <c r="F421" s="5">
        <v>342</v>
      </c>
      <c r="G421" s="5">
        <v>927</v>
      </c>
      <c r="H421" s="6">
        <v>21978</v>
      </c>
      <c r="I421" s="22">
        <v>59022.96</v>
      </c>
      <c r="J421" s="24">
        <f t="shared" si="18"/>
        <v>4.0897728694433801E-4</v>
      </c>
      <c r="K421" s="25">
        <f t="shared" si="20"/>
        <v>0.5267287448194955</v>
      </c>
      <c r="L421" s="26" t="s">
        <v>7516</v>
      </c>
      <c r="M421" s="28"/>
      <c r="N421" s="28"/>
      <c r="O421" s="20">
        <v>26748.93</v>
      </c>
      <c r="P421" s="27" t="str">
        <f t="shared" si="19"/>
        <v>amarelo</v>
      </c>
    </row>
    <row r="422" spans="1:16" ht="38.25">
      <c r="A422" s="3" t="s">
        <v>5364</v>
      </c>
      <c r="B422" s="3" t="s">
        <v>5365</v>
      </c>
      <c r="C422" s="4">
        <v>11</v>
      </c>
      <c r="D422" s="3" t="s">
        <v>61</v>
      </c>
      <c r="E422" s="3" t="s">
        <v>10</v>
      </c>
      <c r="F422" s="5">
        <v>0</v>
      </c>
      <c r="G422" s="5">
        <v>978</v>
      </c>
      <c r="H422" s="6">
        <v>0</v>
      </c>
      <c r="I422" s="22">
        <v>58976.79</v>
      </c>
      <c r="J422" s="24">
        <f t="shared" si="18"/>
        <v>4.0865736938448978E-4</v>
      </c>
      <c r="K422" s="25">
        <f t="shared" si="20"/>
        <v>0.52713740218887994</v>
      </c>
      <c r="L422" s="26" t="s">
        <v>7516</v>
      </c>
      <c r="M422" s="28"/>
      <c r="N422" s="28"/>
      <c r="O422" s="20">
        <v>16662.394</v>
      </c>
      <c r="P422" s="27" t="str">
        <f t="shared" si="19"/>
        <v>amarelo</v>
      </c>
    </row>
    <row r="423" spans="1:16" ht="25.5">
      <c r="A423" s="3" t="s">
        <v>5300</v>
      </c>
      <c r="B423" s="3" t="s">
        <v>5301</v>
      </c>
      <c r="C423" s="4">
        <v>337</v>
      </c>
      <c r="D423" s="3" t="s">
        <v>202</v>
      </c>
      <c r="E423" s="3" t="s">
        <v>16</v>
      </c>
      <c r="F423" s="5">
        <v>948</v>
      </c>
      <c r="G423" s="5">
        <v>984</v>
      </c>
      <c r="H423" s="6">
        <v>52314.84</v>
      </c>
      <c r="I423" s="22">
        <v>58846.457999999999</v>
      </c>
      <c r="J423" s="24">
        <f t="shared" si="18"/>
        <v>4.0775428306414886E-4</v>
      </c>
      <c r="K423" s="25">
        <f t="shared" si="20"/>
        <v>0.52754515647194411</v>
      </c>
      <c r="L423" s="26" t="s">
        <v>7516</v>
      </c>
      <c r="M423" s="28"/>
      <c r="N423" s="28"/>
      <c r="O423" s="20">
        <v>94508.68</v>
      </c>
      <c r="P423" s="27" t="str">
        <f t="shared" si="19"/>
        <v>verde</v>
      </c>
    </row>
    <row r="424" spans="1:16" ht="25.5">
      <c r="A424" s="3" t="s">
        <v>5553</v>
      </c>
      <c r="B424" s="3" t="s">
        <v>5554</v>
      </c>
      <c r="C424" s="4">
        <v>197</v>
      </c>
      <c r="D424" s="3" t="s">
        <v>66</v>
      </c>
      <c r="E424" s="3" t="s">
        <v>41</v>
      </c>
      <c r="F424" s="5">
        <v>0</v>
      </c>
      <c r="G424" s="5">
        <v>1170</v>
      </c>
      <c r="H424" s="6">
        <v>0</v>
      </c>
      <c r="I424" s="22">
        <v>58595.040000000001</v>
      </c>
      <c r="J424" s="24">
        <f t="shared" si="18"/>
        <v>4.0601217708489994E-4</v>
      </c>
      <c r="K424" s="25">
        <f t="shared" si="20"/>
        <v>0.52795116864902902</v>
      </c>
      <c r="L424" s="26" t="s">
        <v>7516</v>
      </c>
      <c r="M424" s="28"/>
      <c r="N424" s="28"/>
      <c r="O424" s="20">
        <v>38196.516000000003</v>
      </c>
      <c r="P424" s="27" t="str">
        <f t="shared" si="19"/>
        <v>laranja</v>
      </c>
    </row>
    <row r="425" spans="1:16" ht="25.5">
      <c r="A425" s="3" t="s">
        <v>5555</v>
      </c>
      <c r="B425" s="3" t="s">
        <v>5556</v>
      </c>
      <c r="C425" s="4">
        <v>61</v>
      </c>
      <c r="D425" s="3" t="s">
        <v>48</v>
      </c>
      <c r="E425" s="3" t="s">
        <v>49</v>
      </c>
      <c r="F425" s="5">
        <v>660</v>
      </c>
      <c r="G425" s="5">
        <v>936</v>
      </c>
      <c r="H425" s="6">
        <v>37019.688000000002</v>
      </c>
      <c r="I425" s="22">
        <v>58410.646000000001</v>
      </c>
      <c r="J425" s="24">
        <f t="shared" si="18"/>
        <v>4.0473448857438106E-4</v>
      </c>
      <c r="K425" s="25">
        <f t="shared" si="20"/>
        <v>0.52835590313760339</v>
      </c>
      <c r="L425" s="26" t="s">
        <v>7516</v>
      </c>
      <c r="M425" s="28"/>
      <c r="N425" s="28"/>
      <c r="O425" s="20">
        <v>5241.12</v>
      </c>
      <c r="P425" s="27" t="str">
        <f t="shared" si="19"/>
        <v>amarelo</v>
      </c>
    </row>
    <row r="426" spans="1:16">
      <c r="A426" s="3" t="s">
        <v>5557</v>
      </c>
      <c r="B426" s="3" t="s">
        <v>5558</v>
      </c>
      <c r="C426" s="4">
        <v>231</v>
      </c>
      <c r="D426" s="3" t="s">
        <v>52</v>
      </c>
      <c r="E426" s="3" t="s">
        <v>7</v>
      </c>
      <c r="F426" s="5">
        <v>3432</v>
      </c>
      <c r="G426" s="5">
        <v>912</v>
      </c>
      <c r="H426" s="6">
        <v>195308.61600000001</v>
      </c>
      <c r="I426" s="22">
        <v>58382.400000000001</v>
      </c>
      <c r="J426" s="24">
        <f t="shared" si="18"/>
        <v>4.045387685961382E-4</v>
      </c>
      <c r="K426" s="25">
        <f t="shared" si="20"/>
        <v>0.52876044190619953</v>
      </c>
      <c r="L426" s="26" t="s">
        <v>7516</v>
      </c>
      <c r="M426" s="28"/>
      <c r="N426" s="28"/>
      <c r="O426" s="20">
        <v>92507.25</v>
      </c>
      <c r="P426" s="27" t="str">
        <f t="shared" si="19"/>
        <v>verde</v>
      </c>
    </row>
    <row r="427" spans="1:16" ht="38.25">
      <c r="A427" s="3" t="s">
        <v>4</v>
      </c>
      <c r="B427" s="3" t="s">
        <v>153</v>
      </c>
      <c r="C427" s="4">
        <v>45</v>
      </c>
      <c r="D427" s="3" t="s">
        <v>23</v>
      </c>
      <c r="E427" s="3" t="s">
        <v>7</v>
      </c>
      <c r="F427" s="5">
        <v>0</v>
      </c>
      <c r="G427" s="5">
        <v>1002</v>
      </c>
      <c r="H427" s="6">
        <v>0</v>
      </c>
      <c r="I427" s="22">
        <v>58299.03</v>
      </c>
      <c r="J427" s="24">
        <f t="shared" si="18"/>
        <v>4.0396108770021991E-4</v>
      </c>
      <c r="K427" s="25">
        <f t="shared" si="20"/>
        <v>0.52916440299389977</v>
      </c>
      <c r="L427" s="26" t="s">
        <v>7516</v>
      </c>
      <c r="M427" s="28"/>
      <c r="N427" s="28"/>
      <c r="O427" s="20">
        <v>35233.14</v>
      </c>
      <c r="P427" s="27" t="str">
        <f t="shared" si="19"/>
        <v>laranja</v>
      </c>
    </row>
    <row r="428" spans="1:16" ht="51">
      <c r="A428" s="3" t="s">
        <v>5561</v>
      </c>
      <c r="B428" s="3" t="s">
        <v>5562</v>
      </c>
      <c r="C428" s="4">
        <v>282</v>
      </c>
      <c r="D428" s="3" t="s">
        <v>12</v>
      </c>
      <c r="E428" s="3" t="s">
        <v>13</v>
      </c>
      <c r="F428" s="5">
        <v>1122</v>
      </c>
      <c r="G428" s="5">
        <v>1053</v>
      </c>
      <c r="H428" s="6">
        <v>50840.205000000002</v>
      </c>
      <c r="I428" s="22">
        <v>58250.771999999997</v>
      </c>
      <c r="J428" s="24">
        <f t="shared" si="18"/>
        <v>4.0362670213376641E-4</v>
      </c>
      <c r="K428" s="25">
        <f t="shared" si="20"/>
        <v>0.52956802969603356</v>
      </c>
      <c r="L428" s="26" t="s">
        <v>7516</v>
      </c>
      <c r="M428" s="28"/>
      <c r="N428" s="28"/>
      <c r="O428" s="20">
        <v>29224.454000000002</v>
      </c>
      <c r="P428" s="27" t="str">
        <f t="shared" si="19"/>
        <v>amarelo</v>
      </c>
    </row>
    <row r="429" spans="1:16" ht="25.5">
      <c r="A429" s="3" t="s">
        <v>4</v>
      </c>
      <c r="B429" s="3" t="s">
        <v>154</v>
      </c>
      <c r="C429" s="4">
        <v>53</v>
      </c>
      <c r="D429" s="3" t="s">
        <v>34</v>
      </c>
      <c r="E429" s="3" t="s">
        <v>16</v>
      </c>
      <c r="F429" s="5">
        <v>972</v>
      </c>
      <c r="G429" s="5">
        <v>924</v>
      </c>
      <c r="H429" s="6">
        <v>59596.2</v>
      </c>
      <c r="I429" s="22">
        <v>58233</v>
      </c>
      <c r="J429" s="24">
        <f t="shared" si="18"/>
        <v>4.0350355777869556E-4</v>
      </c>
      <c r="K429" s="25">
        <f t="shared" si="20"/>
        <v>0.5299715332538123</v>
      </c>
      <c r="L429" s="26" t="s">
        <v>7516</v>
      </c>
      <c r="M429" s="28"/>
      <c r="N429" s="28"/>
      <c r="O429" s="20" t="s">
        <v>7530</v>
      </c>
      <c r="P429" s="27" t="str">
        <f t="shared" si="19"/>
        <v>vermelho</v>
      </c>
    </row>
    <row r="430" spans="1:16" ht="25.5">
      <c r="A430" s="3" t="s">
        <v>4</v>
      </c>
      <c r="B430" s="3" t="s">
        <v>155</v>
      </c>
      <c r="C430" s="4">
        <v>197</v>
      </c>
      <c r="D430" s="3" t="s">
        <v>66</v>
      </c>
      <c r="E430" s="3" t="s">
        <v>41</v>
      </c>
      <c r="F430" s="5">
        <v>768</v>
      </c>
      <c r="G430" s="5">
        <v>1083</v>
      </c>
      <c r="H430" s="6">
        <v>42534.491999999998</v>
      </c>
      <c r="I430" s="22">
        <v>58225.896999999997</v>
      </c>
      <c r="J430" s="24">
        <f t="shared" si="18"/>
        <v>4.0345434022557441E-4</v>
      </c>
      <c r="K430" s="25">
        <f t="shared" si="20"/>
        <v>0.53037498759403789</v>
      </c>
      <c r="L430" s="26" t="s">
        <v>7516</v>
      </c>
      <c r="M430" s="28"/>
      <c r="N430" s="28"/>
      <c r="O430" s="20">
        <v>12836.41</v>
      </c>
      <c r="P430" s="27" t="str">
        <f t="shared" si="19"/>
        <v>amarelo</v>
      </c>
    </row>
    <row r="431" spans="1:16" ht="38.25">
      <c r="A431" s="3" t="s">
        <v>5563</v>
      </c>
      <c r="B431" s="3" t="s">
        <v>5564</v>
      </c>
      <c r="C431" s="4">
        <v>11</v>
      </c>
      <c r="D431" s="3" t="s">
        <v>61</v>
      </c>
      <c r="E431" s="3" t="s">
        <v>10</v>
      </c>
      <c r="F431" s="5">
        <v>480</v>
      </c>
      <c r="G431" s="5">
        <v>951</v>
      </c>
      <c r="H431" s="6">
        <v>25867.88</v>
      </c>
      <c r="I431" s="22">
        <v>58166.04</v>
      </c>
      <c r="J431" s="24">
        <f t="shared" si="18"/>
        <v>4.0303958377376945E-4</v>
      </c>
      <c r="K431" s="25">
        <f t="shared" si="20"/>
        <v>0.53077802717781164</v>
      </c>
      <c r="L431" s="26" t="s">
        <v>7516</v>
      </c>
      <c r="M431" s="28"/>
      <c r="N431" s="28"/>
      <c r="O431" s="20" t="s">
        <v>7530</v>
      </c>
      <c r="P431" s="27" t="str">
        <f t="shared" si="19"/>
        <v>vermelho</v>
      </c>
    </row>
    <row r="432" spans="1:16" ht="25.5">
      <c r="A432" s="3" t="s">
        <v>5565</v>
      </c>
      <c r="B432" s="3" t="s">
        <v>5566</v>
      </c>
      <c r="C432" s="4">
        <v>93</v>
      </c>
      <c r="D432" s="3" t="s">
        <v>20</v>
      </c>
      <c r="E432" s="3" t="s">
        <v>7</v>
      </c>
      <c r="F432" s="5">
        <v>600</v>
      </c>
      <c r="G432" s="5">
        <v>954</v>
      </c>
      <c r="H432" s="6">
        <v>36526.68</v>
      </c>
      <c r="I432" s="22">
        <v>58139.82</v>
      </c>
      <c r="J432" s="24">
        <f t="shared" si="18"/>
        <v>4.0285790219657169E-4</v>
      </c>
      <c r="K432" s="25">
        <f t="shared" si="20"/>
        <v>0.53118088508000816</v>
      </c>
      <c r="L432" s="26" t="s">
        <v>7516</v>
      </c>
      <c r="M432" s="28"/>
      <c r="N432" s="28"/>
      <c r="O432" s="20">
        <v>91859.64</v>
      </c>
      <c r="P432" s="27" t="str">
        <f t="shared" si="19"/>
        <v>verde</v>
      </c>
    </row>
    <row r="433" spans="1:16" ht="38.25">
      <c r="A433" s="3" t="s">
        <v>5567</v>
      </c>
      <c r="B433" s="3" t="s">
        <v>5568</v>
      </c>
      <c r="C433" s="4">
        <v>371</v>
      </c>
      <c r="D433" s="3" t="s">
        <v>82</v>
      </c>
      <c r="E433" s="3" t="s">
        <v>49</v>
      </c>
      <c r="F433" s="5">
        <v>1530</v>
      </c>
      <c r="G433" s="5">
        <v>1092</v>
      </c>
      <c r="H433" s="6">
        <v>68366.187000000005</v>
      </c>
      <c r="I433" s="22">
        <v>57813.048000000003</v>
      </c>
      <c r="J433" s="24">
        <f t="shared" si="18"/>
        <v>4.0059365916285438E-4</v>
      </c>
      <c r="K433" s="25">
        <f t="shared" si="20"/>
        <v>0.53158147873917105</v>
      </c>
      <c r="L433" s="26" t="s">
        <v>7516</v>
      </c>
      <c r="M433" s="28"/>
      <c r="N433" s="28"/>
      <c r="O433" s="20" t="s">
        <v>7530</v>
      </c>
      <c r="P433" s="27" t="str">
        <f t="shared" si="19"/>
        <v>vermelho</v>
      </c>
    </row>
    <row r="434" spans="1:16" ht="25.5">
      <c r="A434" s="3" t="s">
        <v>4</v>
      </c>
      <c r="B434" s="3" t="s">
        <v>156</v>
      </c>
      <c r="C434" s="4">
        <v>53</v>
      </c>
      <c r="D434" s="3" t="s">
        <v>34</v>
      </c>
      <c r="E434" s="3" t="s">
        <v>16</v>
      </c>
      <c r="F434" s="5">
        <v>0</v>
      </c>
      <c r="G434" s="5">
        <v>921</v>
      </c>
      <c r="H434" s="6">
        <v>0</v>
      </c>
      <c r="I434" s="22">
        <v>57508.11</v>
      </c>
      <c r="J434" s="24">
        <f t="shared" si="18"/>
        <v>3.9848070657751757E-4</v>
      </c>
      <c r="K434" s="25">
        <f t="shared" si="20"/>
        <v>0.53197995944574861</v>
      </c>
      <c r="L434" s="26" t="s">
        <v>7516</v>
      </c>
      <c r="M434" s="28"/>
      <c r="N434" s="28"/>
      <c r="O434" s="20" t="s">
        <v>7530</v>
      </c>
      <c r="P434" s="27" t="str">
        <f t="shared" si="19"/>
        <v>vermelho</v>
      </c>
    </row>
    <row r="435" spans="1:16" ht="38.25">
      <c r="A435" s="3" t="s">
        <v>5569</v>
      </c>
      <c r="B435" s="3" t="s">
        <v>5570</v>
      </c>
      <c r="C435" s="4">
        <v>34</v>
      </c>
      <c r="D435" s="3" t="s">
        <v>54</v>
      </c>
      <c r="E435" s="3" t="s">
        <v>49</v>
      </c>
      <c r="F435" s="5">
        <v>258</v>
      </c>
      <c r="G435" s="5">
        <v>888</v>
      </c>
      <c r="H435" s="6">
        <v>15745.17</v>
      </c>
      <c r="I435" s="22">
        <v>57486.96</v>
      </c>
      <c r="J435" s="24">
        <f t="shared" si="18"/>
        <v>3.983341556485422E-4</v>
      </c>
      <c r="K435" s="25">
        <f t="shared" si="20"/>
        <v>0.5323782936013971</v>
      </c>
      <c r="L435" s="26" t="s">
        <v>7516</v>
      </c>
      <c r="M435" s="28"/>
      <c r="N435" s="28"/>
      <c r="O435" s="20">
        <v>9693.24</v>
      </c>
      <c r="P435" s="27" t="str">
        <f t="shared" si="19"/>
        <v>amarelo</v>
      </c>
    </row>
    <row r="436" spans="1:16" ht="25.5">
      <c r="A436" s="3" t="s">
        <v>5571</v>
      </c>
      <c r="B436" s="3" t="s">
        <v>5572</v>
      </c>
      <c r="C436" s="4">
        <v>335</v>
      </c>
      <c r="D436" s="3" t="s">
        <v>36</v>
      </c>
      <c r="E436" s="3" t="s">
        <v>7</v>
      </c>
      <c r="F436" s="5">
        <v>1626</v>
      </c>
      <c r="G436" s="5">
        <v>915</v>
      </c>
      <c r="H436" s="6">
        <v>95859.434999999998</v>
      </c>
      <c r="I436" s="22">
        <v>57361.086000000003</v>
      </c>
      <c r="J436" s="24">
        <f t="shared" si="18"/>
        <v>3.9746195935379811E-4</v>
      </c>
      <c r="K436" s="25">
        <f t="shared" si="20"/>
        <v>0.53277575556075085</v>
      </c>
      <c r="L436" s="26" t="s">
        <v>7516</v>
      </c>
      <c r="M436" s="28"/>
      <c r="N436" s="28"/>
      <c r="O436" s="20">
        <v>20603.22</v>
      </c>
      <c r="P436" s="27" t="str">
        <f t="shared" si="19"/>
        <v>amarelo</v>
      </c>
    </row>
    <row r="437" spans="1:16" ht="25.5">
      <c r="A437" s="3" t="s">
        <v>4</v>
      </c>
      <c r="B437" s="3" t="s">
        <v>157</v>
      </c>
      <c r="C437" s="4">
        <v>15</v>
      </c>
      <c r="D437" s="3" t="s">
        <v>18</v>
      </c>
      <c r="E437" s="3" t="s">
        <v>16</v>
      </c>
      <c r="F437" s="5">
        <v>504</v>
      </c>
      <c r="G437" s="5">
        <v>1014</v>
      </c>
      <c r="H437" s="6">
        <v>24499.68</v>
      </c>
      <c r="I437" s="22">
        <v>57356.7</v>
      </c>
      <c r="J437" s="24">
        <f t="shared" si="18"/>
        <v>3.974315682249808E-4</v>
      </c>
      <c r="K437" s="25">
        <f t="shared" si="20"/>
        <v>0.53317318712897588</v>
      </c>
      <c r="L437" s="26" t="s">
        <v>7516</v>
      </c>
      <c r="M437" s="28">
        <v>-6.2457905433882348E-2</v>
      </c>
      <c r="N437" s="28">
        <v>7.0350753593990747E-2</v>
      </c>
      <c r="O437" s="20">
        <v>23832.959999999999</v>
      </c>
      <c r="P437" s="27" t="str">
        <f t="shared" si="19"/>
        <v>amarelo</v>
      </c>
    </row>
    <row r="438" spans="1:16" ht="38.25">
      <c r="A438" s="3" t="s">
        <v>4</v>
      </c>
      <c r="B438" s="3" t="s">
        <v>158</v>
      </c>
      <c r="C438" s="4">
        <v>45</v>
      </c>
      <c r="D438" s="3" t="s">
        <v>23</v>
      </c>
      <c r="E438" s="3" t="s">
        <v>7</v>
      </c>
      <c r="F438" s="5">
        <v>678</v>
      </c>
      <c r="G438" s="5">
        <v>975</v>
      </c>
      <c r="H438" s="6">
        <v>36942</v>
      </c>
      <c r="I438" s="22">
        <v>57262.17</v>
      </c>
      <c r="J438" s="24">
        <f t="shared" si="18"/>
        <v>3.9677655832824149E-4</v>
      </c>
      <c r="K438" s="25">
        <f t="shared" si="20"/>
        <v>0.53356996368730414</v>
      </c>
      <c r="L438" s="26" t="s">
        <v>7516</v>
      </c>
      <c r="M438" s="28"/>
      <c r="N438" s="28"/>
      <c r="O438" s="20">
        <v>11064.24</v>
      </c>
      <c r="P438" s="27" t="str">
        <f t="shared" si="19"/>
        <v>amarelo</v>
      </c>
    </row>
    <row r="439" spans="1:16" ht="38.25">
      <c r="A439" s="3" t="s">
        <v>4</v>
      </c>
      <c r="B439" s="3" t="s">
        <v>159</v>
      </c>
      <c r="C439" s="4">
        <v>143</v>
      </c>
      <c r="D439" s="3" t="s">
        <v>44</v>
      </c>
      <c r="E439" s="3" t="s">
        <v>41</v>
      </c>
      <c r="F439" s="5">
        <v>456</v>
      </c>
      <c r="G439" s="5">
        <v>918</v>
      </c>
      <c r="H439" s="6">
        <v>26675.16</v>
      </c>
      <c r="I439" s="22">
        <v>57244.74</v>
      </c>
      <c r="J439" s="24">
        <f t="shared" si="18"/>
        <v>3.9665578373287319E-4</v>
      </c>
      <c r="K439" s="25">
        <f t="shared" si="20"/>
        <v>0.53396661947103696</v>
      </c>
      <c r="L439" s="26" t="s">
        <v>7516</v>
      </c>
      <c r="M439" s="28"/>
      <c r="N439" s="28"/>
      <c r="O439" s="20">
        <v>7507.8</v>
      </c>
      <c r="P439" s="27" t="str">
        <f t="shared" si="19"/>
        <v>amarelo</v>
      </c>
    </row>
    <row r="440" spans="1:16" ht="25.5">
      <c r="A440" s="3" t="s">
        <v>4</v>
      </c>
      <c r="B440" s="3" t="s">
        <v>160</v>
      </c>
      <c r="C440" s="4">
        <v>93</v>
      </c>
      <c r="D440" s="3" t="s">
        <v>20</v>
      </c>
      <c r="E440" s="3" t="s">
        <v>7</v>
      </c>
      <c r="F440" s="5">
        <v>228</v>
      </c>
      <c r="G440" s="5">
        <v>924</v>
      </c>
      <c r="H440" s="6">
        <v>9957.8279999999995</v>
      </c>
      <c r="I440" s="22">
        <v>57194.46</v>
      </c>
      <c r="J440" s="24">
        <f t="shared" si="18"/>
        <v>3.9630738748186239E-4</v>
      </c>
      <c r="K440" s="25">
        <f t="shared" si="20"/>
        <v>0.53436292685851883</v>
      </c>
      <c r="L440" s="26" t="s">
        <v>7516</v>
      </c>
      <c r="M440" s="28"/>
      <c r="N440" s="28"/>
      <c r="O440" s="20">
        <v>41882.699999999997</v>
      </c>
      <c r="P440" s="27" t="str">
        <f t="shared" si="19"/>
        <v>laranja</v>
      </c>
    </row>
    <row r="441" spans="1:16">
      <c r="A441" s="3" t="s">
        <v>5573</v>
      </c>
      <c r="B441" s="3" t="s">
        <v>5574</v>
      </c>
      <c r="C441" s="4">
        <v>240</v>
      </c>
      <c r="D441" s="3" t="s">
        <v>69</v>
      </c>
      <c r="E441" s="3" t="s">
        <v>16</v>
      </c>
      <c r="F441" s="5">
        <v>1011</v>
      </c>
      <c r="G441" s="5">
        <v>897</v>
      </c>
      <c r="H441" s="6">
        <v>58931.82</v>
      </c>
      <c r="I441" s="22">
        <v>56939.49</v>
      </c>
      <c r="J441" s="24">
        <f t="shared" si="18"/>
        <v>3.945406692614919E-4</v>
      </c>
      <c r="K441" s="25">
        <f t="shared" si="20"/>
        <v>0.53475746752778031</v>
      </c>
      <c r="L441" s="26" t="s">
        <v>7516</v>
      </c>
      <c r="M441" s="28"/>
      <c r="N441" s="28"/>
      <c r="O441" s="20" t="s">
        <v>7530</v>
      </c>
      <c r="P441" s="27" t="str">
        <f t="shared" si="19"/>
        <v>vermelho</v>
      </c>
    </row>
    <row r="442" spans="1:16" ht="25.5">
      <c r="A442" s="3" t="s">
        <v>5575</v>
      </c>
      <c r="B442" s="3" t="s">
        <v>5576</v>
      </c>
      <c r="C442" s="4">
        <v>53</v>
      </c>
      <c r="D442" s="3" t="s">
        <v>34</v>
      </c>
      <c r="E442" s="3" t="s">
        <v>16</v>
      </c>
      <c r="F442" s="5">
        <v>1008</v>
      </c>
      <c r="G442" s="5">
        <v>954</v>
      </c>
      <c r="H442" s="6">
        <v>57695.58</v>
      </c>
      <c r="I442" s="22">
        <v>56761.02</v>
      </c>
      <c r="J442" s="24">
        <f t="shared" si="18"/>
        <v>3.9330402886932997E-4</v>
      </c>
      <c r="K442" s="25">
        <f t="shared" si="20"/>
        <v>0.53515077155664958</v>
      </c>
      <c r="L442" s="26" t="s">
        <v>7516</v>
      </c>
      <c r="M442" s="28"/>
      <c r="N442" s="28"/>
      <c r="O442" s="20" t="s">
        <v>7530</v>
      </c>
      <c r="P442" s="27" t="str">
        <f t="shared" si="19"/>
        <v>vermelho</v>
      </c>
    </row>
    <row r="443" spans="1:16" ht="25.5">
      <c r="A443" s="3" t="s">
        <v>5032</v>
      </c>
      <c r="B443" s="3" t="s">
        <v>5033</v>
      </c>
      <c r="C443" s="4">
        <v>320</v>
      </c>
      <c r="D443" s="3" t="s">
        <v>218</v>
      </c>
      <c r="E443" s="3" t="s">
        <v>16</v>
      </c>
      <c r="F443" s="5">
        <v>918</v>
      </c>
      <c r="G443" s="5">
        <v>948</v>
      </c>
      <c r="H443" s="6">
        <v>49783.77</v>
      </c>
      <c r="I443" s="22">
        <v>56751.48</v>
      </c>
      <c r="J443" s="24">
        <f t="shared" si="18"/>
        <v>3.9323792504604752E-4</v>
      </c>
      <c r="K443" s="25">
        <f t="shared" si="20"/>
        <v>0.53554400948169567</v>
      </c>
      <c r="L443" s="26" t="s">
        <v>7516</v>
      </c>
      <c r="M443" s="28"/>
      <c r="N443" s="28"/>
      <c r="O443" s="20">
        <v>12100.59</v>
      </c>
      <c r="P443" s="27" t="str">
        <f t="shared" si="19"/>
        <v>amarelo</v>
      </c>
    </row>
    <row r="444" spans="1:16" ht="38.25">
      <c r="A444" s="3" t="s">
        <v>5577</v>
      </c>
      <c r="B444" s="3" t="s">
        <v>5578</v>
      </c>
      <c r="C444" s="4">
        <v>143</v>
      </c>
      <c r="D444" s="3" t="s">
        <v>44</v>
      </c>
      <c r="E444" s="3" t="s">
        <v>41</v>
      </c>
      <c r="F444" s="5">
        <v>0</v>
      </c>
      <c r="G444" s="5">
        <v>1008</v>
      </c>
      <c r="H444" s="6">
        <v>0</v>
      </c>
      <c r="I444" s="22">
        <v>56635.92</v>
      </c>
      <c r="J444" s="24">
        <f t="shared" si="18"/>
        <v>3.9243719571496538E-4</v>
      </c>
      <c r="K444" s="25">
        <f t="shared" si="20"/>
        <v>0.53593644667741058</v>
      </c>
      <c r="L444" s="26" t="s">
        <v>7516</v>
      </c>
      <c r="M444" s="28"/>
      <c r="N444" s="28"/>
      <c r="O444" s="20" t="s">
        <v>7530</v>
      </c>
      <c r="P444" s="27" t="str">
        <f t="shared" si="19"/>
        <v>vermelho</v>
      </c>
    </row>
    <row r="445" spans="1:16" ht="25.5">
      <c r="A445" s="3" t="s">
        <v>4</v>
      </c>
      <c r="B445" s="3" t="s">
        <v>161</v>
      </c>
      <c r="C445" s="4">
        <v>297</v>
      </c>
      <c r="D445" s="3" t="s">
        <v>115</v>
      </c>
      <c r="E445" s="3" t="s">
        <v>41</v>
      </c>
      <c r="F445" s="5">
        <v>939</v>
      </c>
      <c r="G445" s="5">
        <v>945</v>
      </c>
      <c r="H445" s="6">
        <v>51002.972999999998</v>
      </c>
      <c r="I445" s="22">
        <v>56627.142999999996</v>
      </c>
      <c r="J445" s="24">
        <f t="shared" si="18"/>
        <v>3.9237637881172108E-4</v>
      </c>
      <c r="K445" s="25">
        <f t="shared" si="20"/>
        <v>0.53632882305622231</v>
      </c>
      <c r="L445" s="26" t="s">
        <v>7516</v>
      </c>
      <c r="M445" s="28"/>
      <c r="N445" s="28"/>
      <c r="O445" s="20">
        <v>22047.55</v>
      </c>
      <c r="P445" s="27" t="str">
        <f t="shared" si="19"/>
        <v>amarelo</v>
      </c>
    </row>
    <row r="446" spans="1:16" ht="25.5">
      <c r="A446" s="3" t="s">
        <v>5579</v>
      </c>
      <c r="B446" s="3" t="s">
        <v>5580</v>
      </c>
      <c r="C446" s="4">
        <v>317</v>
      </c>
      <c r="D446" s="3" t="s">
        <v>78</v>
      </c>
      <c r="E446" s="3" t="s">
        <v>10</v>
      </c>
      <c r="F446" s="5">
        <v>1593</v>
      </c>
      <c r="G446" s="5">
        <v>957</v>
      </c>
      <c r="H446" s="6">
        <v>90847.02</v>
      </c>
      <c r="I446" s="22">
        <v>56469.81</v>
      </c>
      <c r="J446" s="24">
        <f t="shared" si="18"/>
        <v>3.912861992699493E-4</v>
      </c>
      <c r="K446" s="25">
        <f t="shared" si="20"/>
        <v>0.53672010925549229</v>
      </c>
      <c r="L446" s="26" t="s">
        <v>7516</v>
      </c>
      <c r="M446" s="28"/>
      <c r="N446" s="28"/>
      <c r="O446" s="20">
        <v>14410.68</v>
      </c>
      <c r="P446" s="27" t="str">
        <f t="shared" si="19"/>
        <v>amarelo</v>
      </c>
    </row>
    <row r="447" spans="1:16">
      <c r="A447" s="3" t="s">
        <v>5581</v>
      </c>
      <c r="B447" s="3" t="s">
        <v>5582</v>
      </c>
      <c r="C447" s="4">
        <v>15</v>
      </c>
      <c r="D447" s="3" t="s">
        <v>18</v>
      </c>
      <c r="E447" s="3" t="s">
        <v>16</v>
      </c>
      <c r="F447" s="5">
        <v>828</v>
      </c>
      <c r="G447" s="5">
        <v>1050</v>
      </c>
      <c r="H447" s="6">
        <v>40289.4</v>
      </c>
      <c r="I447" s="22">
        <v>56272.26</v>
      </c>
      <c r="J447" s="24">
        <f t="shared" si="18"/>
        <v>3.8991735123122248E-4</v>
      </c>
      <c r="K447" s="25">
        <f t="shared" si="20"/>
        <v>0.53711002660672347</v>
      </c>
      <c r="L447" s="26" t="s">
        <v>7516</v>
      </c>
      <c r="M447" s="28"/>
      <c r="N447" s="28"/>
      <c r="O447" s="20" t="s">
        <v>7530</v>
      </c>
      <c r="P447" s="27" t="str">
        <f t="shared" si="19"/>
        <v>vermelho</v>
      </c>
    </row>
    <row r="448" spans="1:16">
      <c r="A448" s="3" t="s">
        <v>5583</v>
      </c>
      <c r="B448" s="3" t="s">
        <v>5584</v>
      </c>
      <c r="C448" s="4">
        <v>217</v>
      </c>
      <c r="D448" s="3" t="s">
        <v>91</v>
      </c>
      <c r="E448" s="3" t="s">
        <v>16</v>
      </c>
      <c r="F448" s="5">
        <v>438</v>
      </c>
      <c r="G448" s="5">
        <v>939</v>
      </c>
      <c r="H448" s="6">
        <v>22590.78</v>
      </c>
      <c r="I448" s="22">
        <v>56176.74</v>
      </c>
      <c r="J448" s="24">
        <f t="shared" si="18"/>
        <v>3.8925548150376516E-4</v>
      </c>
      <c r="K448" s="25">
        <f t="shared" si="20"/>
        <v>0.53749928208822728</v>
      </c>
      <c r="L448" s="26" t="s">
        <v>7516</v>
      </c>
      <c r="M448" s="28"/>
      <c r="N448" s="28"/>
      <c r="O448" s="20">
        <v>25381.86</v>
      </c>
      <c r="P448" s="27" t="str">
        <f t="shared" si="19"/>
        <v>amarelo</v>
      </c>
    </row>
    <row r="449" spans="1:16" ht="38.25">
      <c r="A449" s="3" t="s">
        <v>4</v>
      </c>
      <c r="B449" s="3" t="s">
        <v>162</v>
      </c>
      <c r="C449" s="4">
        <v>371</v>
      </c>
      <c r="D449" s="3" t="s">
        <v>82</v>
      </c>
      <c r="E449" s="3" t="s">
        <v>49</v>
      </c>
      <c r="F449" s="5">
        <v>780</v>
      </c>
      <c r="G449" s="5">
        <v>969</v>
      </c>
      <c r="H449" s="6">
        <v>42661.928999999996</v>
      </c>
      <c r="I449" s="22">
        <v>56156.283000000003</v>
      </c>
      <c r="J449" s="24">
        <f t="shared" si="18"/>
        <v>3.8911373245629246E-4</v>
      </c>
      <c r="K449" s="25">
        <f t="shared" si="20"/>
        <v>0.5378883958206836</v>
      </c>
      <c r="L449" s="26" t="s">
        <v>7516</v>
      </c>
      <c r="M449" s="28"/>
      <c r="N449" s="28"/>
      <c r="O449" s="20">
        <v>23108.240000000002</v>
      </c>
      <c r="P449" s="27" t="str">
        <f t="shared" si="19"/>
        <v>amarelo</v>
      </c>
    </row>
    <row r="450" spans="1:16" ht="38.25">
      <c r="A450" s="3" t="s">
        <v>5585</v>
      </c>
      <c r="B450" s="3" t="s">
        <v>5586</v>
      </c>
      <c r="C450" s="4">
        <v>371</v>
      </c>
      <c r="D450" s="3" t="s">
        <v>82</v>
      </c>
      <c r="E450" s="3" t="s">
        <v>49</v>
      </c>
      <c r="F450" s="5">
        <v>0</v>
      </c>
      <c r="G450" s="5">
        <v>1128</v>
      </c>
      <c r="H450" s="6">
        <v>0</v>
      </c>
      <c r="I450" s="22">
        <v>56027.232000000004</v>
      </c>
      <c r="J450" s="24">
        <f t="shared" si="18"/>
        <v>3.8821952234115333E-4</v>
      </c>
      <c r="K450" s="25">
        <f t="shared" si="20"/>
        <v>0.53827661534302473</v>
      </c>
      <c r="L450" s="26" t="s">
        <v>7516</v>
      </c>
      <c r="M450" s="28"/>
      <c r="N450" s="28"/>
      <c r="O450" s="20" t="s">
        <v>7530</v>
      </c>
      <c r="P450" s="27" t="str">
        <f t="shared" si="19"/>
        <v>vermelho</v>
      </c>
    </row>
    <row r="451" spans="1:16" ht="25.5">
      <c r="A451" s="3" t="s">
        <v>5587</v>
      </c>
      <c r="B451" s="3" t="s">
        <v>5588</v>
      </c>
      <c r="C451" s="4">
        <v>208</v>
      </c>
      <c r="D451" s="3" t="s">
        <v>15</v>
      </c>
      <c r="E451" s="3" t="s">
        <v>16</v>
      </c>
      <c r="F451" s="5">
        <v>252</v>
      </c>
      <c r="G451" s="5">
        <v>948</v>
      </c>
      <c r="H451" s="6">
        <v>14555.76</v>
      </c>
      <c r="I451" s="22">
        <v>55922.161</v>
      </c>
      <c r="J451" s="24">
        <f t="shared" ref="J451:J514" si="21">I451/$I$6364</f>
        <v>3.8749147257007222E-4</v>
      </c>
      <c r="K451" s="25">
        <f t="shared" si="20"/>
        <v>0.53866410681559485</v>
      </c>
      <c r="L451" s="26" t="s">
        <v>7516</v>
      </c>
      <c r="M451" s="28"/>
      <c r="N451" s="28"/>
      <c r="O451" s="20">
        <v>36185.160000000003</v>
      </c>
      <c r="P451" s="27" t="str">
        <f t="shared" ref="P451:P514" si="22">IF(O451&lt;=0,"vermelho",IFERROR(IF(O451/I451&lt;=0.5098,"amarelo",IF(O451/I451&lt;1,"laranja","verde")),"vermelho"))</f>
        <v>laranja</v>
      </c>
    </row>
    <row r="452" spans="1:16" ht="25.5">
      <c r="A452" s="3" t="s">
        <v>4</v>
      </c>
      <c r="B452" s="3" t="s">
        <v>163</v>
      </c>
      <c r="C452" s="4">
        <v>23</v>
      </c>
      <c r="D452" s="3" t="s">
        <v>87</v>
      </c>
      <c r="E452" s="3" t="s">
        <v>7</v>
      </c>
      <c r="F452" s="5">
        <v>591</v>
      </c>
      <c r="G452" s="5">
        <v>888</v>
      </c>
      <c r="H452" s="6">
        <v>29639.739000000001</v>
      </c>
      <c r="I452" s="22">
        <v>55840.68</v>
      </c>
      <c r="J452" s="24">
        <f t="shared" si="21"/>
        <v>3.8692688078549359E-4</v>
      </c>
      <c r="K452" s="25">
        <f t="shared" ref="K452:K515" si="23">J452+K451</f>
        <v>0.5390510336963803</v>
      </c>
      <c r="L452" s="26" t="s">
        <v>7516</v>
      </c>
      <c r="M452" s="28"/>
      <c r="N452" s="28"/>
      <c r="O452" s="20" t="s">
        <v>7530</v>
      </c>
      <c r="P452" s="27" t="str">
        <f t="shared" si="22"/>
        <v>vermelho</v>
      </c>
    </row>
    <row r="453" spans="1:16" ht="38.25">
      <c r="A453" s="3" t="s">
        <v>5589</v>
      </c>
      <c r="B453" s="3" t="s">
        <v>5590</v>
      </c>
      <c r="C453" s="4">
        <v>371</v>
      </c>
      <c r="D453" s="3" t="s">
        <v>82</v>
      </c>
      <c r="E453" s="3" t="s">
        <v>49</v>
      </c>
      <c r="F453" s="5">
        <v>804</v>
      </c>
      <c r="G453" s="5">
        <v>1089</v>
      </c>
      <c r="H453" s="6">
        <v>41182.800000000003</v>
      </c>
      <c r="I453" s="22">
        <v>55698.06</v>
      </c>
      <c r="J453" s="24">
        <f t="shared" si="21"/>
        <v>3.8593864941478627E-4</v>
      </c>
      <c r="K453" s="25">
        <f t="shared" si="23"/>
        <v>0.53943697234579513</v>
      </c>
      <c r="L453" s="26" t="s">
        <v>7516</v>
      </c>
      <c r="M453" s="28"/>
      <c r="N453" s="28"/>
      <c r="O453" s="20" t="s">
        <v>7530</v>
      </c>
      <c r="P453" s="27" t="str">
        <f t="shared" si="22"/>
        <v>vermelho</v>
      </c>
    </row>
    <row r="454" spans="1:16" ht="25.5">
      <c r="A454" s="3" t="s">
        <v>4998</v>
      </c>
      <c r="B454" s="3" t="s">
        <v>4935</v>
      </c>
      <c r="C454" s="4">
        <v>31</v>
      </c>
      <c r="D454" s="3" t="s">
        <v>194</v>
      </c>
      <c r="E454" s="3" t="s">
        <v>16</v>
      </c>
      <c r="F454" s="5">
        <v>2811</v>
      </c>
      <c r="G454" s="5">
        <v>1140</v>
      </c>
      <c r="H454" s="6">
        <v>137483.19</v>
      </c>
      <c r="I454" s="22">
        <v>55658.400000000001</v>
      </c>
      <c r="J454" s="24">
        <f t="shared" si="21"/>
        <v>3.8566384043875034E-4</v>
      </c>
      <c r="K454" s="25">
        <f t="shared" si="23"/>
        <v>0.53982263618623383</v>
      </c>
      <c r="L454" s="26" t="s">
        <v>7516</v>
      </c>
      <c r="M454" s="28"/>
      <c r="N454" s="28"/>
      <c r="O454" s="20">
        <v>165339.81</v>
      </c>
      <c r="P454" s="27" t="str">
        <f t="shared" si="22"/>
        <v>verde</v>
      </c>
    </row>
    <row r="455" spans="1:16" ht="25.5">
      <c r="A455" s="3" t="s">
        <v>4</v>
      </c>
      <c r="B455" s="3" t="s">
        <v>164</v>
      </c>
      <c r="C455" s="4">
        <v>297</v>
      </c>
      <c r="D455" s="3" t="s">
        <v>115</v>
      </c>
      <c r="E455" s="3" t="s">
        <v>41</v>
      </c>
      <c r="F455" s="5">
        <v>639</v>
      </c>
      <c r="G455" s="5">
        <v>930</v>
      </c>
      <c r="H455" s="6">
        <v>36513.686999999998</v>
      </c>
      <c r="I455" s="22">
        <v>55356.233</v>
      </c>
      <c r="J455" s="24">
        <f t="shared" si="21"/>
        <v>3.8357008845030195E-4</v>
      </c>
      <c r="K455" s="25">
        <f t="shared" si="23"/>
        <v>0.54020620627468408</v>
      </c>
      <c r="L455" s="26" t="s">
        <v>7516</v>
      </c>
      <c r="M455" s="28"/>
      <c r="N455" s="28"/>
      <c r="O455" s="20">
        <v>4381.4799999999996</v>
      </c>
      <c r="P455" s="27" t="str">
        <f t="shared" si="22"/>
        <v>amarelo</v>
      </c>
    </row>
    <row r="456" spans="1:16" ht="25.5">
      <c r="A456" s="3" t="s">
        <v>4</v>
      </c>
      <c r="B456" s="3" t="s">
        <v>165</v>
      </c>
      <c r="C456" s="4">
        <v>61</v>
      </c>
      <c r="D456" s="3" t="s">
        <v>48</v>
      </c>
      <c r="E456" s="3" t="s">
        <v>49</v>
      </c>
      <c r="F456" s="5">
        <v>894</v>
      </c>
      <c r="G456" s="5">
        <v>909</v>
      </c>
      <c r="H456" s="6">
        <v>48494.92</v>
      </c>
      <c r="I456" s="22">
        <v>55196.66</v>
      </c>
      <c r="J456" s="24">
        <f t="shared" si="21"/>
        <v>3.8246438767539049E-4</v>
      </c>
      <c r="K456" s="25">
        <f t="shared" si="23"/>
        <v>0.54058867066235949</v>
      </c>
      <c r="L456" s="26" t="s">
        <v>7516</v>
      </c>
      <c r="M456" s="28"/>
      <c r="N456" s="28"/>
      <c r="O456" s="20">
        <v>27135.33</v>
      </c>
      <c r="P456" s="27" t="str">
        <f t="shared" si="22"/>
        <v>amarelo</v>
      </c>
    </row>
    <row r="457" spans="1:16" ht="25.5">
      <c r="A457" s="3" t="s">
        <v>5591</v>
      </c>
      <c r="B457" s="3" t="s">
        <v>5592</v>
      </c>
      <c r="C457" s="4">
        <v>74</v>
      </c>
      <c r="D457" s="3" t="s">
        <v>6</v>
      </c>
      <c r="E457" s="3" t="s">
        <v>7</v>
      </c>
      <c r="F457" s="5">
        <v>864</v>
      </c>
      <c r="G457" s="5">
        <v>885</v>
      </c>
      <c r="H457" s="6">
        <v>52217.64</v>
      </c>
      <c r="I457" s="22">
        <v>55057.919999999998</v>
      </c>
      <c r="J457" s="24">
        <f t="shared" si="21"/>
        <v>3.8150304129780014E-4</v>
      </c>
      <c r="K457" s="25">
        <f t="shared" si="23"/>
        <v>0.5409701737036573</v>
      </c>
      <c r="L457" s="26" t="s">
        <v>7516</v>
      </c>
      <c r="M457" s="28"/>
      <c r="N457" s="28"/>
      <c r="O457" s="20">
        <v>13708.5</v>
      </c>
      <c r="P457" s="27" t="str">
        <f t="shared" si="22"/>
        <v>amarelo</v>
      </c>
    </row>
    <row r="458" spans="1:16" ht="25.5">
      <c r="A458" s="3" t="s">
        <v>5593</v>
      </c>
      <c r="B458" s="3" t="s">
        <v>5594</v>
      </c>
      <c r="C458" s="4">
        <v>266</v>
      </c>
      <c r="D458" s="3" t="s">
        <v>80</v>
      </c>
      <c r="E458" s="3" t="s">
        <v>10</v>
      </c>
      <c r="F458" s="5">
        <v>867</v>
      </c>
      <c r="G458" s="5">
        <v>963</v>
      </c>
      <c r="H458" s="6">
        <v>49617.9</v>
      </c>
      <c r="I458" s="22">
        <v>54975.87</v>
      </c>
      <c r="J458" s="24">
        <f t="shared" si="21"/>
        <v>3.8093450684283922E-4</v>
      </c>
      <c r="K458" s="25">
        <f t="shared" si="23"/>
        <v>0.54135110821050014</v>
      </c>
      <c r="L458" s="26" t="s">
        <v>7516</v>
      </c>
      <c r="M458" s="28"/>
      <c r="N458" s="28"/>
      <c r="O458" s="20">
        <v>2516.58</v>
      </c>
      <c r="P458" s="27" t="str">
        <f t="shared" si="22"/>
        <v>amarelo</v>
      </c>
    </row>
    <row r="459" spans="1:16" ht="38.25">
      <c r="A459" s="3" t="s">
        <v>4</v>
      </c>
      <c r="B459" s="3" t="s">
        <v>166</v>
      </c>
      <c r="C459" s="4">
        <v>292</v>
      </c>
      <c r="D459" s="3" t="s">
        <v>57</v>
      </c>
      <c r="E459" s="3" t="s">
        <v>49</v>
      </c>
      <c r="F459" s="5">
        <v>195</v>
      </c>
      <c r="G459" s="5">
        <v>869</v>
      </c>
      <c r="H459" s="6">
        <v>9900.2099999999991</v>
      </c>
      <c r="I459" s="22">
        <v>54913.32</v>
      </c>
      <c r="J459" s="24">
        <f t="shared" si="21"/>
        <v>3.8050109026565687E-4</v>
      </c>
      <c r="K459" s="25">
        <f t="shared" si="23"/>
        <v>0.5417316093007658</v>
      </c>
      <c r="L459" s="26" t="s">
        <v>7516</v>
      </c>
      <c r="M459" s="28"/>
      <c r="N459" s="28"/>
      <c r="O459" s="20" t="s">
        <v>7530</v>
      </c>
      <c r="P459" s="27" t="str">
        <f t="shared" si="22"/>
        <v>vermelho</v>
      </c>
    </row>
    <row r="460" spans="1:16">
      <c r="A460" s="3" t="s">
        <v>4</v>
      </c>
      <c r="B460" s="3" t="s">
        <v>167</v>
      </c>
      <c r="C460" s="4">
        <v>15</v>
      </c>
      <c r="D460" s="3" t="s">
        <v>18</v>
      </c>
      <c r="E460" s="3" t="s">
        <v>16</v>
      </c>
      <c r="F460" s="5">
        <v>840</v>
      </c>
      <c r="G460" s="5">
        <v>957</v>
      </c>
      <c r="H460" s="6">
        <v>45817.68</v>
      </c>
      <c r="I460" s="22">
        <v>54891.61</v>
      </c>
      <c r="J460" s="24">
        <f t="shared" si="21"/>
        <v>3.8035065902839664E-4</v>
      </c>
      <c r="K460" s="25">
        <f t="shared" si="23"/>
        <v>0.54211195995979422</v>
      </c>
      <c r="L460" s="26" t="s">
        <v>7516</v>
      </c>
      <c r="M460" s="28"/>
      <c r="N460" s="28"/>
      <c r="O460" s="20" t="s">
        <v>7530</v>
      </c>
      <c r="P460" s="27" t="str">
        <f t="shared" si="22"/>
        <v>vermelho</v>
      </c>
    </row>
    <row r="461" spans="1:16" ht="25.5">
      <c r="A461" s="3" t="s">
        <v>5595</v>
      </c>
      <c r="B461" s="3" t="s">
        <v>5596</v>
      </c>
      <c r="C461" s="4">
        <v>39</v>
      </c>
      <c r="D461" s="3" t="s">
        <v>26</v>
      </c>
      <c r="E461" s="3" t="s">
        <v>13</v>
      </c>
      <c r="F461" s="5">
        <v>864</v>
      </c>
      <c r="G461" s="5">
        <v>1116</v>
      </c>
      <c r="H461" s="6">
        <v>39244.5</v>
      </c>
      <c r="I461" s="22">
        <v>54566.534</v>
      </c>
      <c r="J461" s="24">
        <f t="shared" si="21"/>
        <v>3.780981677854851E-4</v>
      </c>
      <c r="K461" s="25">
        <f t="shared" si="23"/>
        <v>0.54249005812757967</v>
      </c>
      <c r="L461" s="26" t="s">
        <v>7516</v>
      </c>
      <c r="M461" s="28"/>
      <c r="N461" s="28"/>
      <c r="O461" s="20" t="s">
        <v>7530</v>
      </c>
      <c r="P461" s="27" t="str">
        <f t="shared" si="22"/>
        <v>vermelho</v>
      </c>
    </row>
    <row r="462" spans="1:16">
      <c r="A462" s="3" t="s">
        <v>5597</v>
      </c>
      <c r="B462" s="3" t="s">
        <v>5598</v>
      </c>
      <c r="C462" s="4">
        <v>167</v>
      </c>
      <c r="D462" s="3" t="s">
        <v>251</v>
      </c>
      <c r="E462" s="3" t="s">
        <v>49</v>
      </c>
      <c r="F462" s="5">
        <v>924</v>
      </c>
      <c r="G462" s="5">
        <v>1179</v>
      </c>
      <c r="H462" s="6">
        <v>48334.44</v>
      </c>
      <c r="I462" s="22">
        <v>54498.33</v>
      </c>
      <c r="J462" s="24">
        <f t="shared" si="21"/>
        <v>3.7762557395286893E-4</v>
      </c>
      <c r="K462" s="25">
        <f t="shared" si="23"/>
        <v>0.54286768370153249</v>
      </c>
      <c r="L462" s="26" t="s">
        <v>7516</v>
      </c>
      <c r="M462" s="28"/>
      <c r="N462" s="28"/>
      <c r="O462" s="20" t="s">
        <v>7530</v>
      </c>
      <c r="P462" s="27" t="str">
        <f t="shared" si="22"/>
        <v>vermelho</v>
      </c>
    </row>
    <row r="463" spans="1:16" ht="25.5">
      <c r="A463" s="3" t="s">
        <v>5599</v>
      </c>
      <c r="B463" s="3" t="s">
        <v>5600</v>
      </c>
      <c r="C463" s="4">
        <v>23</v>
      </c>
      <c r="D463" s="3" t="s">
        <v>87</v>
      </c>
      <c r="E463" s="3" t="s">
        <v>7</v>
      </c>
      <c r="F463" s="5">
        <v>789</v>
      </c>
      <c r="G463" s="5">
        <v>768</v>
      </c>
      <c r="H463" s="6">
        <v>48706.11</v>
      </c>
      <c r="I463" s="22">
        <v>54490.32</v>
      </c>
      <c r="J463" s="24">
        <f t="shared" si="21"/>
        <v>3.7757007168615065E-4</v>
      </c>
      <c r="K463" s="25">
        <f t="shared" si="23"/>
        <v>0.54324525377321864</v>
      </c>
      <c r="L463" s="26" t="s">
        <v>7516</v>
      </c>
      <c r="M463" s="28"/>
      <c r="N463" s="28"/>
      <c r="O463" s="20">
        <v>31906.2</v>
      </c>
      <c r="P463" s="27" t="str">
        <f t="shared" si="22"/>
        <v>laranja</v>
      </c>
    </row>
    <row r="464" spans="1:16" ht="38.25">
      <c r="A464" s="3" t="s">
        <v>4</v>
      </c>
      <c r="B464" s="3" t="s">
        <v>168</v>
      </c>
      <c r="C464" s="4">
        <v>11</v>
      </c>
      <c r="D464" s="3" t="s">
        <v>61</v>
      </c>
      <c r="E464" s="3" t="s">
        <v>10</v>
      </c>
      <c r="F464" s="5">
        <v>1212</v>
      </c>
      <c r="G464" s="5">
        <v>879</v>
      </c>
      <c r="H464" s="6">
        <v>73736.88</v>
      </c>
      <c r="I464" s="22">
        <v>54425.01</v>
      </c>
      <c r="J464" s="24">
        <f t="shared" si="21"/>
        <v>3.7711753073242123E-4</v>
      </c>
      <c r="K464" s="25">
        <f t="shared" si="23"/>
        <v>0.54362237130395108</v>
      </c>
      <c r="L464" s="26" t="s">
        <v>7516</v>
      </c>
      <c r="M464" s="28"/>
      <c r="N464" s="28"/>
      <c r="O464" s="20">
        <v>48328.32</v>
      </c>
      <c r="P464" s="27" t="str">
        <f t="shared" si="22"/>
        <v>laranja</v>
      </c>
    </row>
    <row r="465" spans="1:16" ht="25.5">
      <c r="A465" s="3" t="s">
        <v>5601</v>
      </c>
      <c r="B465" s="3" t="s">
        <v>5602</v>
      </c>
      <c r="C465" s="4">
        <v>218</v>
      </c>
      <c r="D465" s="3" t="s">
        <v>104</v>
      </c>
      <c r="E465" s="3" t="s">
        <v>16</v>
      </c>
      <c r="F465" s="5">
        <v>1152</v>
      </c>
      <c r="G465" s="5">
        <v>1200</v>
      </c>
      <c r="H465" s="6">
        <v>46068.480000000003</v>
      </c>
      <c r="I465" s="22">
        <v>54424.800000000003</v>
      </c>
      <c r="J465" s="24">
        <f t="shared" si="21"/>
        <v>3.7711607561681434E-4</v>
      </c>
      <c r="K465" s="25">
        <f t="shared" si="23"/>
        <v>0.54399948737956794</v>
      </c>
      <c r="L465" s="26" t="s">
        <v>7516</v>
      </c>
      <c r="M465" s="28"/>
      <c r="N465" s="28"/>
      <c r="O465" s="20">
        <v>110970.24000000001</v>
      </c>
      <c r="P465" s="27" t="str">
        <f t="shared" si="22"/>
        <v>verde</v>
      </c>
    </row>
    <row r="466" spans="1:16" ht="38.25">
      <c r="A466" s="3" t="s">
        <v>5603</v>
      </c>
      <c r="B466" s="3" t="s">
        <v>5604</v>
      </c>
      <c r="C466" s="4">
        <v>371</v>
      </c>
      <c r="D466" s="3" t="s">
        <v>82</v>
      </c>
      <c r="E466" s="3" t="s">
        <v>49</v>
      </c>
      <c r="F466" s="5">
        <v>2285</v>
      </c>
      <c r="G466" s="5">
        <v>948</v>
      </c>
      <c r="H466" s="6">
        <v>123606.76700000001</v>
      </c>
      <c r="I466" s="22">
        <v>54423.6</v>
      </c>
      <c r="J466" s="24">
        <f t="shared" si="21"/>
        <v>3.7710776067048949E-4</v>
      </c>
      <c r="K466" s="25">
        <f t="shared" si="23"/>
        <v>0.5443765951402384</v>
      </c>
      <c r="L466" s="26" t="s">
        <v>7516</v>
      </c>
      <c r="M466" s="28"/>
      <c r="N466" s="28"/>
      <c r="O466" s="20" t="s">
        <v>7530</v>
      </c>
      <c r="P466" s="27" t="str">
        <f t="shared" si="22"/>
        <v>vermelho</v>
      </c>
    </row>
    <row r="467" spans="1:16" ht="25.5">
      <c r="A467" s="3" t="s">
        <v>4</v>
      </c>
      <c r="B467" s="3" t="s">
        <v>169</v>
      </c>
      <c r="C467" s="4">
        <v>74</v>
      </c>
      <c r="D467" s="3" t="s">
        <v>6</v>
      </c>
      <c r="E467" s="3" t="s">
        <v>7</v>
      </c>
      <c r="F467" s="5">
        <v>702</v>
      </c>
      <c r="G467" s="5">
        <v>897</v>
      </c>
      <c r="H467" s="6">
        <v>42512.874000000003</v>
      </c>
      <c r="I467" s="22">
        <v>54377.55</v>
      </c>
      <c r="J467" s="24">
        <f t="shared" si="21"/>
        <v>3.7678867460527379E-4</v>
      </c>
      <c r="K467" s="25">
        <f t="shared" si="23"/>
        <v>0.54475338381484362</v>
      </c>
      <c r="L467" s="26" t="s">
        <v>7516</v>
      </c>
      <c r="M467" s="28"/>
      <c r="N467" s="28"/>
      <c r="O467" s="20" t="s">
        <v>7530</v>
      </c>
      <c r="P467" s="27" t="str">
        <f t="shared" si="22"/>
        <v>vermelho</v>
      </c>
    </row>
    <row r="468" spans="1:16" ht="38.25">
      <c r="A468" s="3" t="s">
        <v>4</v>
      </c>
      <c r="B468" s="3" t="s">
        <v>170</v>
      </c>
      <c r="C468" s="4">
        <v>34</v>
      </c>
      <c r="D468" s="3" t="s">
        <v>54</v>
      </c>
      <c r="E468" s="3" t="s">
        <v>49</v>
      </c>
      <c r="F468" s="5">
        <v>630</v>
      </c>
      <c r="G468" s="5">
        <v>840</v>
      </c>
      <c r="H468" s="6">
        <v>38048.616000000002</v>
      </c>
      <c r="I468" s="22">
        <v>54351</v>
      </c>
      <c r="J468" s="24">
        <f t="shared" si="21"/>
        <v>3.7660470641783666E-4</v>
      </c>
      <c r="K468" s="25">
        <f t="shared" si="23"/>
        <v>0.54512998852126149</v>
      </c>
      <c r="L468" s="26" t="s">
        <v>7516</v>
      </c>
      <c r="M468" s="28"/>
      <c r="N468" s="28"/>
      <c r="O468" s="20" t="s">
        <v>7530</v>
      </c>
      <c r="P468" s="27" t="str">
        <f t="shared" si="22"/>
        <v>vermelho</v>
      </c>
    </row>
    <row r="469" spans="1:16" ht="25.5">
      <c r="A469" s="3" t="s">
        <v>5605</v>
      </c>
      <c r="B469" s="3" t="s">
        <v>5606</v>
      </c>
      <c r="C469" s="4">
        <v>218</v>
      </c>
      <c r="D469" s="3" t="s">
        <v>104</v>
      </c>
      <c r="E469" s="3" t="s">
        <v>16</v>
      </c>
      <c r="F469" s="5">
        <v>1056</v>
      </c>
      <c r="G469" s="5">
        <v>1080</v>
      </c>
      <c r="H469" s="6">
        <v>45754.83</v>
      </c>
      <c r="I469" s="22">
        <v>54178.35</v>
      </c>
      <c r="J469" s="24">
        <f t="shared" si="21"/>
        <v>3.7540839351535022E-4</v>
      </c>
      <c r="K469" s="25">
        <f t="shared" si="23"/>
        <v>0.54550539691477684</v>
      </c>
      <c r="L469" s="26" t="s">
        <v>7516</v>
      </c>
      <c r="M469" s="28"/>
      <c r="N469" s="28"/>
      <c r="O469" s="20" t="s">
        <v>7530</v>
      </c>
      <c r="P469" s="27" t="str">
        <f t="shared" si="22"/>
        <v>vermelho</v>
      </c>
    </row>
    <row r="470" spans="1:16" ht="25.5">
      <c r="A470" s="3" t="s">
        <v>4</v>
      </c>
      <c r="B470" s="3" t="s">
        <v>171</v>
      </c>
      <c r="C470" s="4">
        <v>93</v>
      </c>
      <c r="D470" s="3" t="s">
        <v>20</v>
      </c>
      <c r="E470" s="3" t="s">
        <v>7</v>
      </c>
      <c r="F470" s="5">
        <v>405</v>
      </c>
      <c r="G470" s="5">
        <v>894</v>
      </c>
      <c r="H470" s="6">
        <v>21631.71</v>
      </c>
      <c r="I470" s="22">
        <v>54061.53</v>
      </c>
      <c r="J470" s="24">
        <f t="shared" si="21"/>
        <v>3.74598933490627E-4</v>
      </c>
      <c r="K470" s="25">
        <f t="shared" si="23"/>
        <v>0.54587999584826752</v>
      </c>
      <c r="L470" s="26" t="s">
        <v>7516</v>
      </c>
      <c r="M470" s="28"/>
      <c r="N470" s="28"/>
      <c r="O470" s="20">
        <v>4361.5200000000004</v>
      </c>
      <c r="P470" s="27" t="str">
        <f t="shared" si="22"/>
        <v>amarelo</v>
      </c>
    </row>
    <row r="471" spans="1:16" ht="25.5">
      <c r="A471" s="3" t="s">
        <v>4</v>
      </c>
      <c r="B471" s="3" t="s">
        <v>172</v>
      </c>
      <c r="C471" s="4">
        <v>61</v>
      </c>
      <c r="D471" s="3" t="s">
        <v>48</v>
      </c>
      <c r="E471" s="3" t="s">
        <v>49</v>
      </c>
      <c r="F471" s="5">
        <v>912</v>
      </c>
      <c r="G471" s="5">
        <v>873</v>
      </c>
      <c r="H471" s="6">
        <v>53504.76</v>
      </c>
      <c r="I471" s="22">
        <v>53901.69</v>
      </c>
      <c r="J471" s="24">
        <f t="shared" si="21"/>
        <v>3.7349138264015827E-4</v>
      </c>
      <c r="K471" s="25">
        <f t="shared" si="23"/>
        <v>0.54625348723090772</v>
      </c>
      <c r="L471" s="26" t="s">
        <v>7516</v>
      </c>
      <c r="M471" s="28"/>
      <c r="N471" s="28"/>
      <c r="O471" s="20">
        <v>21354.99</v>
      </c>
      <c r="P471" s="27" t="str">
        <f t="shared" si="22"/>
        <v>amarelo</v>
      </c>
    </row>
    <row r="472" spans="1:16" ht="25.5">
      <c r="A472" s="3" t="s">
        <v>5607</v>
      </c>
      <c r="B472" s="3" t="s">
        <v>5608</v>
      </c>
      <c r="C472" s="4">
        <v>178</v>
      </c>
      <c r="D472" s="3" t="s">
        <v>74</v>
      </c>
      <c r="E472" s="3" t="s">
        <v>7</v>
      </c>
      <c r="F472" s="5">
        <v>1410</v>
      </c>
      <c r="G472" s="5">
        <v>744</v>
      </c>
      <c r="H472" s="6">
        <v>76416.81</v>
      </c>
      <c r="I472" s="22">
        <v>53837.16</v>
      </c>
      <c r="J472" s="24">
        <f t="shared" si="21"/>
        <v>3.7304424640154002E-4</v>
      </c>
      <c r="K472" s="25">
        <f t="shared" si="23"/>
        <v>0.54662653147730922</v>
      </c>
      <c r="L472" s="26" t="s">
        <v>7516</v>
      </c>
      <c r="M472" s="28"/>
      <c r="N472" s="28"/>
      <c r="O472" s="20">
        <v>53837.16</v>
      </c>
      <c r="P472" s="27" t="str">
        <f t="shared" si="22"/>
        <v>verde</v>
      </c>
    </row>
    <row r="473" spans="1:16">
      <c r="A473" s="3" t="s">
        <v>4</v>
      </c>
      <c r="B473" s="3" t="s">
        <v>173</v>
      </c>
      <c r="C473" s="4">
        <v>232</v>
      </c>
      <c r="D473" s="3" t="s">
        <v>174</v>
      </c>
      <c r="E473" s="3" t="s">
        <v>16</v>
      </c>
      <c r="F473" s="5">
        <v>510</v>
      </c>
      <c r="G473" s="5">
        <v>876</v>
      </c>
      <c r="H473" s="6">
        <v>27177.84</v>
      </c>
      <c r="I473" s="22">
        <v>53820.995999999999</v>
      </c>
      <c r="J473" s="24">
        <f t="shared" si="21"/>
        <v>3.7293224407454435E-4</v>
      </c>
      <c r="K473" s="25">
        <f t="shared" si="23"/>
        <v>0.54699946372138375</v>
      </c>
      <c r="L473" s="26" t="s">
        <v>7516</v>
      </c>
      <c r="M473" s="28"/>
      <c r="N473" s="28">
        <v>2.7557034211859285E-2</v>
      </c>
      <c r="O473" s="20">
        <v>27509.825000000001</v>
      </c>
      <c r="P473" s="27" t="str">
        <f t="shared" si="22"/>
        <v>laranja</v>
      </c>
    </row>
    <row r="474" spans="1:16" ht="25.5">
      <c r="A474" s="3" t="s">
        <v>5609</v>
      </c>
      <c r="B474" s="3" t="s">
        <v>5610</v>
      </c>
      <c r="C474" s="4">
        <v>317</v>
      </c>
      <c r="D474" s="3" t="s">
        <v>78</v>
      </c>
      <c r="E474" s="3" t="s">
        <v>10</v>
      </c>
      <c r="F474" s="5">
        <v>774</v>
      </c>
      <c r="G474" s="5">
        <v>894</v>
      </c>
      <c r="H474" s="6">
        <v>42857.1</v>
      </c>
      <c r="I474" s="22">
        <v>53808.15</v>
      </c>
      <c r="J474" s="24">
        <f t="shared" si="21"/>
        <v>3.7284323257413696E-4</v>
      </c>
      <c r="K474" s="25">
        <f t="shared" si="23"/>
        <v>0.54737230695395789</v>
      </c>
      <c r="L474" s="26" t="s">
        <v>7516</v>
      </c>
      <c r="M474" s="28"/>
      <c r="N474" s="28"/>
      <c r="O474" s="20" t="s">
        <v>7530</v>
      </c>
      <c r="P474" s="27" t="str">
        <f t="shared" si="22"/>
        <v>vermelho</v>
      </c>
    </row>
    <row r="475" spans="1:16" ht="25.5">
      <c r="A475" s="3" t="s">
        <v>5611</v>
      </c>
      <c r="B475" s="3" t="s">
        <v>5612</v>
      </c>
      <c r="C475" s="4">
        <v>74</v>
      </c>
      <c r="D475" s="3" t="s">
        <v>6</v>
      </c>
      <c r="E475" s="3" t="s">
        <v>7</v>
      </c>
      <c r="F475" s="5">
        <v>672</v>
      </c>
      <c r="G475" s="5">
        <v>828</v>
      </c>
      <c r="H475" s="6">
        <v>39752.04</v>
      </c>
      <c r="I475" s="22">
        <v>53799.72</v>
      </c>
      <c r="J475" s="24">
        <f t="shared" si="21"/>
        <v>3.7278482007620494E-4</v>
      </c>
      <c r="K475" s="25">
        <f t="shared" si="23"/>
        <v>0.54774509177403408</v>
      </c>
      <c r="L475" s="26" t="s">
        <v>7516</v>
      </c>
      <c r="M475" s="28"/>
      <c r="N475" s="28"/>
      <c r="O475" s="20" t="s">
        <v>7530</v>
      </c>
      <c r="P475" s="27" t="str">
        <f t="shared" si="22"/>
        <v>vermelho</v>
      </c>
    </row>
    <row r="476" spans="1:16" ht="25.5">
      <c r="A476" s="3" t="s">
        <v>4</v>
      </c>
      <c r="B476" s="3" t="s">
        <v>175</v>
      </c>
      <c r="C476" s="4">
        <v>187</v>
      </c>
      <c r="D476" s="3" t="s">
        <v>96</v>
      </c>
      <c r="E476" s="3" t="s">
        <v>7</v>
      </c>
      <c r="F476" s="5">
        <v>75</v>
      </c>
      <c r="G476" s="5">
        <v>819</v>
      </c>
      <c r="H476" s="6">
        <v>3542.25</v>
      </c>
      <c r="I476" s="22">
        <v>53714.19</v>
      </c>
      <c r="J476" s="24">
        <f t="shared" si="21"/>
        <v>3.7219217227690198E-4</v>
      </c>
      <c r="K476" s="25">
        <f t="shared" si="23"/>
        <v>0.54811728394631098</v>
      </c>
      <c r="L476" s="26" t="s">
        <v>7516</v>
      </c>
      <c r="M476" s="28"/>
      <c r="N476" s="28"/>
      <c r="O476" s="20">
        <v>7845.48</v>
      </c>
      <c r="P476" s="27" t="str">
        <f t="shared" si="22"/>
        <v>amarelo</v>
      </c>
    </row>
    <row r="477" spans="1:16">
      <c r="A477" s="3" t="s">
        <v>5613</v>
      </c>
      <c r="B477" s="3" t="s">
        <v>5614</v>
      </c>
      <c r="C477" s="4">
        <v>15</v>
      </c>
      <c r="D477" s="3" t="s">
        <v>18</v>
      </c>
      <c r="E477" s="3" t="s">
        <v>16</v>
      </c>
      <c r="F477" s="5">
        <v>1884</v>
      </c>
      <c r="G477" s="5">
        <v>768</v>
      </c>
      <c r="H477" s="6">
        <v>115662.12</v>
      </c>
      <c r="I477" s="22">
        <v>53515.08</v>
      </c>
      <c r="J477" s="24">
        <f t="shared" si="21"/>
        <v>3.7081251480795282E-4</v>
      </c>
      <c r="K477" s="25">
        <f t="shared" si="23"/>
        <v>0.54848809646111896</v>
      </c>
      <c r="L477" s="26" t="s">
        <v>7516</v>
      </c>
      <c r="M477" s="28"/>
      <c r="N477" s="28"/>
      <c r="O477" s="20" t="s">
        <v>7530</v>
      </c>
      <c r="P477" s="27" t="str">
        <f t="shared" si="22"/>
        <v>vermelho</v>
      </c>
    </row>
    <row r="478" spans="1:16" ht="38.25">
      <c r="A478" s="3" t="s">
        <v>5615</v>
      </c>
      <c r="B478" s="3" t="s">
        <v>5616</v>
      </c>
      <c r="C478" s="4">
        <v>11</v>
      </c>
      <c r="D478" s="3" t="s">
        <v>61</v>
      </c>
      <c r="E478" s="3" t="s">
        <v>10</v>
      </c>
      <c r="F478" s="5">
        <v>255</v>
      </c>
      <c r="G478" s="5">
        <v>1026</v>
      </c>
      <c r="H478" s="6">
        <v>14440.71</v>
      </c>
      <c r="I478" s="22">
        <v>53293.624000000003</v>
      </c>
      <c r="J478" s="24">
        <f t="shared" si="21"/>
        <v>3.6927801918019125E-4</v>
      </c>
      <c r="K478" s="25">
        <f t="shared" si="23"/>
        <v>0.54885737448029914</v>
      </c>
      <c r="L478" s="26" t="s">
        <v>7516</v>
      </c>
      <c r="M478" s="28"/>
      <c r="N478" s="28"/>
      <c r="O478" s="20">
        <v>35718.733999999997</v>
      </c>
      <c r="P478" s="27" t="str">
        <f t="shared" si="22"/>
        <v>laranja</v>
      </c>
    </row>
    <row r="479" spans="1:16">
      <c r="A479" s="3" t="s">
        <v>4</v>
      </c>
      <c r="B479" s="3" t="s">
        <v>176</v>
      </c>
      <c r="C479" s="4">
        <v>240</v>
      </c>
      <c r="D479" s="3" t="s">
        <v>69</v>
      </c>
      <c r="E479" s="3" t="s">
        <v>16</v>
      </c>
      <c r="F479" s="5">
        <v>465</v>
      </c>
      <c r="G479" s="5">
        <v>1011</v>
      </c>
      <c r="H479" s="6">
        <v>27998.85</v>
      </c>
      <c r="I479" s="22">
        <v>53242.65</v>
      </c>
      <c r="J479" s="24">
        <f t="shared" si="21"/>
        <v>3.689248141185559E-4</v>
      </c>
      <c r="K479" s="25">
        <f t="shared" si="23"/>
        <v>0.54922629929441769</v>
      </c>
      <c r="L479" s="26" t="s">
        <v>7516</v>
      </c>
      <c r="M479" s="28">
        <v>3.0812249876285461E-2</v>
      </c>
      <c r="N479" s="28"/>
      <c r="O479" s="20" t="s">
        <v>7530</v>
      </c>
      <c r="P479" s="27" t="str">
        <f t="shared" si="22"/>
        <v>vermelho</v>
      </c>
    </row>
    <row r="480" spans="1:16" ht="25.5">
      <c r="A480" s="3" t="s">
        <v>4</v>
      </c>
      <c r="B480" s="3" t="s">
        <v>177</v>
      </c>
      <c r="C480" s="4">
        <v>41</v>
      </c>
      <c r="D480" s="3" t="s">
        <v>178</v>
      </c>
      <c r="E480" s="3" t="s">
        <v>41</v>
      </c>
      <c r="F480" s="5">
        <v>645</v>
      </c>
      <c r="G480" s="5">
        <v>885</v>
      </c>
      <c r="H480" s="6">
        <v>30920.82</v>
      </c>
      <c r="I480" s="22">
        <v>53094.45</v>
      </c>
      <c r="J480" s="24">
        <f t="shared" si="21"/>
        <v>3.6789791824743805E-4</v>
      </c>
      <c r="K480" s="25">
        <f t="shared" si="23"/>
        <v>0.54959419721266511</v>
      </c>
      <c r="L480" s="26" t="s">
        <v>7516</v>
      </c>
      <c r="M480" s="28"/>
      <c r="N480" s="28">
        <v>-1.5746741997583781E-2</v>
      </c>
      <c r="O480" s="20">
        <v>11201.34</v>
      </c>
      <c r="P480" s="27" t="str">
        <f t="shared" si="22"/>
        <v>amarelo</v>
      </c>
    </row>
    <row r="481" spans="1:16" ht="25.5">
      <c r="A481" s="3" t="s">
        <v>4</v>
      </c>
      <c r="B481" s="3" t="s">
        <v>179</v>
      </c>
      <c r="C481" s="4">
        <v>266</v>
      </c>
      <c r="D481" s="3" t="s">
        <v>80</v>
      </c>
      <c r="E481" s="3" t="s">
        <v>10</v>
      </c>
      <c r="F481" s="5">
        <v>615</v>
      </c>
      <c r="G481" s="5">
        <v>900</v>
      </c>
      <c r="H481" s="6">
        <v>37750.199999999997</v>
      </c>
      <c r="I481" s="22">
        <v>53083.65</v>
      </c>
      <c r="J481" s="24">
        <f t="shared" si="21"/>
        <v>3.6782308373051452E-4</v>
      </c>
      <c r="K481" s="25">
        <f t="shared" si="23"/>
        <v>0.54996202029639563</v>
      </c>
      <c r="L481" s="26" t="s">
        <v>7516</v>
      </c>
      <c r="M481" s="28"/>
      <c r="N481" s="28"/>
      <c r="O481" s="20" t="s">
        <v>7530</v>
      </c>
      <c r="P481" s="27" t="str">
        <f t="shared" si="22"/>
        <v>vermelho</v>
      </c>
    </row>
    <row r="482" spans="1:16" ht="25.5">
      <c r="A482" s="3" t="s">
        <v>4</v>
      </c>
      <c r="B482" s="3" t="s">
        <v>180</v>
      </c>
      <c r="C482" s="4">
        <v>74</v>
      </c>
      <c r="D482" s="3" t="s">
        <v>6</v>
      </c>
      <c r="E482" s="3" t="s">
        <v>7</v>
      </c>
      <c r="F482" s="5">
        <v>1074</v>
      </c>
      <c r="G482" s="5">
        <v>777</v>
      </c>
      <c r="H482" s="6">
        <v>61280.19</v>
      </c>
      <c r="I482" s="22">
        <v>52898.46</v>
      </c>
      <c r="J482" s="24">
        <f t="shared" si="21"/>
        <v>3.6653987963893351E-4</v>
      </c>
      <c r="K482" s="25">
        <f t="shared" si="23"/>
        <v>0.5503285601760346</v>
      </c>
      <c r="L482" s="26" t="s">
        <v>7516</v>
      </c>
      <c r="M482" s="28"/>
      <c r="N482" s="28">
        <v>3.4530485198646849E-2</v>
      </c>
      <c r="O482" s="20">
        <v>4294.32</v>
      </c>
      <c r="P482" s="27" t="str">
        <f t="shared" si="22"/>
        <v>amarelo</v>
      </c>
    </row>
    <row r="483" spans="1:16" ht="25.5">
      <c r="A483" s="3" t="s">
        <v>4</v>
      </c>
      <c r="B483" s="3" t="s">
        <v>181</v>
      </c>
      <c r="C483" s="4">
        <v>23</v>
      </c>
      <c r="D483" s="3" t="s">
        <v>87</v>
      </c>
      <c r="E483" s="3" t="s">
        <v>7</v>
      </c>
      <c r="F483" s="5">
        <v>1500</v>
      </c>
      <c r="G483" s="5">
        <v>834</v>
      </c>
      <c r="H483" s="6">
        <v>81875.334000000003</v>
      </c>
      <c r="I483" s="22">
        <v>52848.03</v>
      </c>
      <c r="J483" s="24">
        <f t="shared" si="21"/>
        <v>3.6619044401963211E-4</v>
      </c>
      <c r="K483" s="25">
        <f t="shared" si="23"/>
        <v>0.55069475062005424</v>
      </c>
      <c r="L483" s="26" t="s">
        <v>7516</v>
      </c>
      <c r="M483" s="28"/>
      <c r="N483" s="28">
        <v>6.4750292343519686E-2</v>
      </c>
      <c r="O483" s="20">
        <v>25344.720000000001</v>
      </c>
      <c r="P483" s="27" t="str">
        <f t="shared" si="22"/>
        <v>amarelo</v>
      </c>
    </row>
    <row r="484" spans="1:16" ht="38.25">
      <c r="A484" s="3" t="s">
        <v>5617</v>
      </c>
      <c r="B484" s="3" t="s">
        <v>5618</v>
      </c>
      <c r="C484" s="4">
        <v>371</v>
      </c>
      <c r="D484" s="3" t="s">
        <v>82</v>
      </c>
      <c r="E484" s="3" t="s">
        <v>49</v>
      </c>
      <c r="F484" s="5">
        <v>0</v>
      </c>
      <c r="G484" s="5">
        <v>927</v>
      </c>
      <c r="H484" s="6">
        <v>0</v>
      </c>
      <c r="I484" s="22">
        <v>52735.53</v>
      </c>
      <c r="J484" s="24">
        <f t="shared" si="21"/>
        <v>3.6541091780167828E-4</v>
      </c>
      <c r="K484" s="25">
        <f t="shared" si="23"/>
        <v>0.55106016153785586</v>
      </c>
      <c r="L484" s="26" t="s">
        <v>7516</v>
      </c>
      <c r="M484" s="28"/>
      <c r="N484" s="28"/>
      <c r="O484" s="20" t="s">
        <v>7530</v>
      </c>
      <c r="P484" s="27" t="str">
        <f t="shared" si="22"/>
        <v>vermelho</v>
      </c>
    </row>
    <row r="485" spans="1:16" ht="25.5">
      <c r="A485" s="3" t="s">
        <v>4</v>
      </c>
      <c r="B485" s="3" t="s">
        <v>39</v>
      </c>
      <c r="C485" s="4">
        <v>264</v>
      </c>
      <c r="D485" s="3" t="s">
        <v>40</v>
      </c>
      <c r="E485" s="3" t="s">
        <v>7</v>
      </c>
      <c r="F485" s="5">
        <v>0</v>
      </c>
      <c r="G485" s="5">
        <v>933</v>
      </c>
      <c r="H485" s="6">
        <v>0</v>
      </c>
      <c r="I485" s="22">
        <v>52655.637000000002</v>
      </c>
      <c r="J485" s="24">
        <f t="shared" si="21"/>
        <v>3.6485732946273623E-4</v>
      </c>
      <c r="K485" s="25">
        <f t="shared" si="23"/>
        <v>0.55142501886731865</v>
      </c>
      <c r="L485" s="26" t="s">
        <v>7516</v>
      </c>
      <c r="M485" s="28"/>
      <c r="N485" s="28"/>
      <c r="O485" s="20" t="s">
        <v>7530</v>
      </c>
      <c r="P485" s="27" t="str">
        <f t="shared" si="22"/>
        <v>vermelho</v>
      </c>
    </row>
    <row r="486" spans="1:16" ht="25.5">
      <c r="A486" s="3" t="s">
        <v>4</v>
      </c>
      <c r="B486" s="3" t="s">
        <v>182</v>
      </c>
      <c r="C486" s="4">
        <v>273</v>
      </c>
      <c r="D486" s="3" t="s">
        <v>149</v>
      </c>
      <c r="E486" s="3" t="s">
        <v>16</v>
      </c>
      <c r="F486" s="5">
        <v>0</v>
      </c>
      <c r="G486" s="5">
        <v>942</v>
      </c>
      <c r="H486" s="6">
        <v>0</v>
      </c>
      <c r="I486" s="22">
        <v>52653</v>
      </c>
      <c r="J486" s="24">
        <f t="shared" si="21"/>
        <v>3.648390573681874E-4</v>
      </c>
      <c r="K486" s="25">
        <f t="shared" si="23"/>
        <v>0.55178985792468682</v>
      </c>
      <c r="L486" s="26" t="s">
        <v>7516</v>
      </c>
      <c r="M486" s="28"/>
      <c r="N486" s="28"/>
      <c r="O486" s="20" t="s">
        <v>7530</v>
      </c>
      <c r="P486" s="27" t="str">
        <f t="shared" si="22"/>
        <v>vermelho</v>
      </c>
    </row>
    <row r="487" spans="1:16" ht="25.5">
      <c r="A487" s="3" t="s">
        <v>5619</v>
      </c>
      <c r="B487" s="3" t="s">
        <v>5620</v>
      </c>
      <c r="C487" s="4">
        <v>335</v>
      </c>
      <c r="D487" s="3" t="s">
        <v>36</v>
      </c>
      <c r="E487" s="3" t="s">
        <v>7</v>
      </c>
      <c r="F487" s="5">
        <v>549</v>
      </c>
      <c r="G487" s="5">
        <v>810</v>
      </c>
      <c r="H487" s="6">
        <v>26220.57</v>
      </c>
      <c r="I487" s="22">
        <v>52608.09</v>
      </c>
      <c r="J487" s="24">
        <f t="shared" si="21"/>
        <v>3.6452787050198019E-4</v>
      </c>
      <c r="K487" s="25">
        <f t="shared" si="23"/>
        <v>0.55215438579518883</v>
      </c>
      <c r="L487" s="26" t="s">
        <v>7516</v>
      </c>
      <c r="M487" s="28"/>
      <c r="N487" s="28"/>
      <c r="O487" s="20">
        <v>52608.09</v>
      </c>
      <c r="P487" s="27" t="str">
        <f t="shared" si="22"/>
        <v>verde</v>
      </c>
    </row>
    <row r="488" spans="1:16" ht="25.5">
      <c r="A488" s="3" t="s">
        <v>5621</v>
      </c>
      <c r="B488" s="3" t="s">
        <v>5622</v>
      </c>
      <c r="C488" s="4">
        <v>208</v>
      </c>
      <c r="D488" s="3" t="s">
        <v>15</v>
      </c>
      <c r="E488" s="3" t="s">
        <v>16</v>
      </c>
      <c r="F488" s="5">
        <v>576</v>
      </c>
      <c r="G488" s="5">
        <v>840</v>
      </c>
      <c r="H488" s="6">
        <v>31009.439999999999</v>
      </c>
      <c r="I488" s="22">
        <v>52563.839999999997</v>
      </c>
      <c r="J488" s="24">
        <f t="shared" si="21"/>
        <v>3.6422125685625173E-4</v>
      </c>
      <c r="K488" s="25">
        <f t="shared" si="23"/>
        <v>0.55251860705204503</v>
      </c>
      <c r="L488" s="26" t="s">
        <v>7516</v>
      </c>
      <c r="M488" s="28"/>
      <c r="N488" s="28"/>
      <c r="O488" s="20">
        <v>19566.48</v>
      </c>
      <c r="P488" s="27" t="str">
        <f t="shared" si="22"/>
        <v>amarelo</v>
      </c>
    </row>
    <row r="489" spans="1:16" ht="38.25">
      <c r="A489" s="3" t="s">
        <v>4</v>
      </c>
      <c r="B489" s="3" t="s">
        <v>183</v>
      </c>
      <c r="C489" s="4">
        <v>38</v>
      </c>
      <c r="D489" s="3" t="s">
        <v>184</v>
      </c>
      <c r="E489" s="3" t="s">
        <v>49</v>
      </c>
      <c r="F489" s="5">
        <v>0</v>
      </c>
      <c r="G489" s="5">
        <v>801</v>
      </c>
      <c r="H489" s="6">
        <v>0</v>
      </c>
      <c r="I489" s="22">
        <v>52444.067999999999</v>
      </c>
      <c r="J489" s="24">
        <f t="shared" si="21"/>
        <v>3.6339134206356944E-4</v>
      </c>
      <c r="K489" s="25">
        <f t="shared" si="23"/>
        <v>0.55288199839410856</v>
      </c>
      <c r="L489" s="26" t="s">
        <v>7516</v>
      </c>
      <c r="M489" s="28"/>
      <c r="N489" s="28"/>
      <c r="O489" s="20">
        <v>24270.959999999999</v>
      </c>
      <c r="P489" s="27" t="str">
        <f t="shared" si="22"/>
        <v>amarelo</v>
      </c>
    </row>
    <row r="490" spans="1:16" ht="38.25">
      <c r="A490" s="3" t="s">
        <v>4</v>
      </c>
      <c r="B490" s="3" t="s">
        <v>185</v>
      </c>
      <c r="C490" s="4">
        <v>45</v>
      </c>
      <c r="D490" s="3" t="s">
        <v>23</v>
      </c>
      <c r="E490" s="3" t="s">
        <v>7</v>
      </c>
      <c r="F490" s="5">
        <v>1566</v>
      </c>
      <c r="G490" s="5">
        <v>867</v>
      </c>
      <c r="H490" s="6">
        <v>88843.286999999997</v>
      </c>
      <c r="I490" s="22">
        <v>52234.47</v>
      </c>
      <c r="J490" s="24">
        <f t="shared" si="21"/>
        <v>3.6193901196374117E-4</v>
      </c>
      <c r="K490" s="25">
        <f t="shared" si="23"/>
        <v>0.55324393740607236</v>
      </c>
      <c r="L490" s="26" t="s">
        <v>7516</v>
      </c>
      <c r="M490" s="28"/>
      <c r="N490" s="28">
        <v>4.7956354144565477E-2</v>
      </c>
      <c r="O490" s="20">
        <v>43819.95</v>
      </c>
      <c r="P490" s="27" t="str">
        <f t="shared" si="22"/>
        <v>laranja</v>
      </c>
    </row>
    <row r="491" spans="1:16" ht="25.5">
      <c r="A491" s="3" t="s">
        <v>4</v>
      </c>
      <c r="B491" s="3" t="s">
        <v>186</v>
      </c>
      <c r="C491" s="4">
        <v>178</v>
      </c>
      <c r="D491" s="3" t="s">
        <v>74</v>
      </c>
      <c r="E491" s="3" t="s">
        <v>7</v>
      </c>
      <c r="F491" s="5">
        <v>420</v>
      </c>
      <c r="G491" s="5">
        <v>861</v>
      </c>
      <c r="H491" s="6">
        <v>23162.61</v>
      </c>
      <c r="I491" s="22">
        <v>52205.13</v>
      </c>
      <c r="J491" s="24">
        <f t="shared" si="21"/>
        <v>3.617357115260988E-4</v>
      </c>
      <c r="K491" s="25">
        <f t="shared" si="23"/>
        <v>0.55360567311759845</v>
      </c>
      <c r="L491" s="26" t="s">
        <v>7516</v>
      </c>
      <c r="M491" s="28"/>
      <c r="N491" s="28"/>
      <c r="O491" s="20" t="s">
        <v>7530</v>
      </c>
      <c r="P491" s="27" t="str">
        <f t="shared" si="22"/>
        <v>vermelho</v>
      </c>
    </row>
    <row r="492" spans="1:16" ht="25.5">
      <c r="A492" s="3" t="s">
        <v>5623</v>
      </c>
      <c r="B492" s="3" t="s">
        <v>5624</v>
      </c>
      <c r="C492" s="4">
        <v>39</v>
      </c>
      <c r="D492" s="3" t="s">
        <v>26</v>
      </c>
      <c r="E492" s="3" t="s">
        <v>13</v>
      </c>
      <c r="F492" s="5">
        <v>276</v>
      </c>
      <c r="G492" s="5">
        <v>846</v>
      </c>
      <c r="H492" s="6">
        <v>13430.88</v>
      </c>
      <c r="I492" s="22">
        <v>52198.74</v>
      </c>
      <c r="J492" s="24">
        <f t="shared" si="21"/>
        <v>3.6169143443691903E-4</v>
      </c>
      <c r="K492" s="25">
        <f t="shared" si="23"/>
        <v>0.55396736455203532</v>
      </c>
      <c r="L492" s="26" t="s">
        <v>7516</v>
      </c>
      <c r="M492" s="28"/>
      <c r="N492" s="28"/>
      <c r="O492" s="20" t="s">
        <v>7530</v>
      </c>
      <c r="P492" s="27" t="str">
        <f t="shared" si="22"/>
        <v>vermelho</v>
      </c>
    </row>
    <row r="493" spans="1:16" ht="25.5">
      <c r="A493" s="3" t="s">
        <v>4</v>
      </c>
      <c r="B493" s="3" t="s">
        <v>187</v>
      </c>
      <c r="C493" s="4">
        <v>315</v>
      </c>
      <c r="D493" s="3" t="s">
        <v>63</v>
      </c>
      <c r="E493" s="3" t="s">
        <v>7</v>
      </c>
      <c r="F493" s="5">
        <v>396</v>
      </c>
      <c r="G493" s="5">
        <v>996</v>
      </c>
      <c r="H493" s="6">
        <v>18542.099999999999</v>
      </c>
      <c r="I493" s="22">
        <v>52070.826000000001</v>
      </c>
      <c r="J493" s="24">
        <f t="shared" si="21"/>
        <v>3.6080510273342269E-4</v>
      </c>
      <c r="K493" s="25">
        <f t="shared" si="23"/>
        <v>0.55432816965476872</v>
      </c>
      <c r="L493" s="26" t="s">
        <v>7516</v>
      </c>
      <c r="M493" s="28"/>
      <c r="N493" s="28"/>
      <c r="O493" s="20">
        <v>14296.656999999999</v>
      </c>
      <c r="P493" s="27" t="str">
        <f t="shared" si="22"/>
        <v>amarelo</v>
      </c>
    </row>
    <row r="494" spans="1:16" ht="25.5">
      <c r="A494" s="3" t="s">
        <v>5625</v>
      </c>
      <c r="B494" s="3" t="s">
        <v>5626</v>
      </c>
      <c r="C494" s="4">
        <v>266</v>
      </c>
      <c r="D494" s="3" t="s">
        <v>80</v>
      </c>
      <c r="E494" s="3" t="s">
        <v>10</v>
      </c>
      <c r="F494" s="5">
        <v>0</v>
      </c>
      <c r="G494" s="5">
        <v>849</v>
      </c>
      <c r="H494" s="6">
        <v>0</v>
      </c>
      <c r="I494" s="22">
        <v>52026.6</v>
      </c>
      <c r="J494" s="24">
        <f t="shared" si="21"/>
        <v>3.6049865538662068E-4</v>
      </c>
      <c r="K494" s="25">
        <f t="shared" si="23"/>
        <v>0.55468866831015529</v>
      </c>
      <c r="L494" s="26" t="s">
        <v>7516</v>
      </c>
      <c r="M494" s="28"/>
      <c r="N494" s="28"/>
      <c r="O494" s="20" t="s">
        <v>7530</v>
      </c>
      <c r="P494" s="27" t="str">
        <f t="shared" si="22"/>
        <v>vermelho</v>
      </c>
    </row>
    <row r="495" spans="1:16" ht="38.25">
      <c r="A495" s="3" t="s">
        <v>4</v>
      </c>
      <c r="B495" s="3" t="s">
        <v>188</v>
      </c>
      <c r="C495" s="4">
        <v>38</v>
      </c>
      <c r="D495" s="3" t="s">
        <v>184</v>
      </c>
      <c r="E495" s="3" t="s">
        <v>49</v>
      </c>
      <c r="F495" s="5">
        <v>840</v>
      </c>
      <c r="G495" s="5">
        <v>816</v>
      </c>
      <c r="H495" s="6">
        <v>47889.48</v>
      </c>
      <c r="I495" s="22">
        <v>52017.599999999999</v>
      </c>
      <c r="J495" s="24">
        <f t="shared" si="21"/>
        <v>3.6043629328918434E-4</v>
      </c>
      <c r="K495" s="25">
        <f t="shared" si="23"/>
        <v>0.55504910460344448</v>
      </c>
      <c r="L495" s="26" t="s">
        <v>7516</v>
      </c>
      <c r="M495" s="28">
        <v>-5.2604224116582381E-2</v>
      </c>
      <c r="N495" s="28"/>
      <c r="O495" s="20">
        <v>26794.560000000001</v>
      </c>
      <c r="P495" s="27" t="str">
        <f t="shared" si="22"/>
        <v>laranja</v>
      </c>
    </row>
    <row r="496" spans="1:16" ht="38.25">
      <c r="A496" s="3" t="s">
        <v>4</v>
      </c>
      <c r="B496" s="3" t="s">
        <v>189</v>
      </c>
      <c r="C496" s="4">
        <v>45</v>
      </c>
      <c r="D496" s="3" t="s">
        <v>23</v>
      </c>
      <c r="E496" s="3" t="s">
        <v>7</v>
      </c>
      <c r="F496" s="5">
        <v>627</v>
      </c>
      <c r="G496" s="5">
        <v>813</v>
      </c>
      <c r="H496" s="6">
        <v>34712.01</v>
      </c>
      <c r="I496" s="22">
        <v>51994.14</v>
      </c>
      <c r="J496" s="24">
        <f t="shared" si="21"/>
        <v>3.6027373608853375E-4</v>
      </c>
      <c r="K496" s="25">
        <f t="shared" si="23"/>
        <v>0.55540937833953297</v>
      </c>
      <c r="L496" s="26" t="s">
        <v>7516</v>
      </c>
      <c r="M496" s="28"/>
      <c r="N496" s="28"/>
      <c r="O496" s="20">
        <v>16582.439999999999</v>
      </c>
      <c r="P496" s="27" t="str">
        <f t="shared" si="22"/>
        <v>amarelo</v>
      </c>
    </row>
    <row r="497" spans="1:16" ht="25.5">
      <c r="A497" s="3" t="s">
        <v>4</v>
      </c>
      <c r="B497" s="3" t="s">
        <v>190</v>
      </c>
      <c r="C497" s="4">
        <v>19</v>
      </c>
      <c r="D497" s="3" t="s">
        <v>72</v>
      </c>
      <c r="E497" s="3" t="s">
        <v>41</v>
      </c>
      <c r="F497" s="5">
        <v>0</v>
      </c>
      <c r="G497" s="5">
        <v>903</v>
      </c>
      <c r="H497" s="6">
        <v>0</v>
      </c>
      <c r="I497" s="22">
        <v>51962.13</v>
      </c>
      <c r="J497" s="24">
        <f t="shared" si="21"/>
        <v>3.6005193489531862E-4</v>
      </c>
      <c r="K497" s="25">
        <f t="shared" si="23"/>
        <v>0.55576943027442827</v>
      </c>
      <c r="L497" s="26" t="s">
        <v>7516</v>
      </c>
      <c r="M497" s="28"/>
      <c r="N497" s="28"/>
      <c r="O497" s="20">
        <v>7504.73</v>
      </c>
      <c r="P497" s="27" t="str">
        <f t="shared" si="22"/>
        <v>amarelo</v>
      </c>
    </row>
    <row r="498" spans="1:16" ht="25.5">
      <c r="A498" s="3" t="s">
        <v>4</v>
      </c>
      <c r="B498" s="3" t="s">
        <v>191</v>
      </c>
      <c r="C498" s="4">
        <v>299</v>
      </c>
      <c r="D498" s="3" t="s">
        <v>111</v>
      </c>
      <c r="E498" s="3" t="s">
        <v>49</v>
      </c>
      <c r="F498" s="5">
        <v>636</v>
      </c>
      <c r="G498" s="5">
        <v>904</v>
      </c>
      <c r="H498" s="6">
        <v>38435.760000000002</v>
      </c>
      <c r="I498" s="22">
        <v>51862.993999999999</v>
      </c>
      <c r="J498" s="24">
        <f t="shared" si="21"/>
        <v>3.5936500946293581E-4</v>
      </c>
      <c r="K498" s="25">
        <f t="shared" si="23"/>
        <v>0.55612879528389125</v>
      </c>
      <c r="L498" s="26" t="s">
        <v>7516</v>
      </c>
      <c r="M498" s="28"/>
      <c r="N498" s="28"/>
      <c r="O498" s="20">
        <v>21360.797999999999</v>
      </c>
      <c r="P498" s="27" t="str">
        <f t="shared" si="22"/>
        <v>amarelo</v>
      </c>
    </row>
    <row r="499" spans="1:16" ht="25.5">
      <c r="A499" s="3" t="s">
        <v>5627</v>
      </c>
      <c r="B499" s="3" t="s">
        <v>5628</v>
      </c>
      <c r="C499" s="4">
        <v>317</v>
      </c>
      <c r="D499" s="3" t="s">
        <v>78</v>
      </c>
      <c r="E499" s="3" t="s">
        <v>10</v>
      </c>
      <c r="F499" s="5">
        <v>108</v>
      </c>
      <c r="G499" s="5">
        <v>840</v>
      </c>
      <c r="H499" s="6">
        <v>6197.4</v>
      </c>
      <c r="I499" s="22">
        <v>51823.01</v>
      </c>
      <c r="J499" s="24">
        <f t="shared" si="21"/>
        <v>3.5908795545139212E-4</v>
      </c>
      <c r="K499" s="25">
        <f t="shared" si="23"/>
        <v>0.55648788323934262</v>
      </c>
      <c r="L499" s="26" t="s">
        <v>7516</v>
      </c>
      <c r="M499" s="28"/>
      <c r="N499" s="28"/>
      <c r="O499" s="20">
        <v>6565.86</v>
      </c>
      <c r="P499" s="27" t="str">
        <f t="shared" si="22"/>
        <v>amarelo</v>
      </c>
    </row>
    <row r="500" spans="1:16">
      <c r="A500" s="3" t="s">
        <v>4</v>
      </c>
      <c r="B500" s="3" t="s">
        <v>192</v>
      </c>
      <c r="C500" s="4">
        <v>217</v>
      </c>
      <c r="D500" s="3" t="s">
        <v>91</v>
      </c>
      <c r="E500" s="3" t="s">
        <v>16</v>
      </c>
      <c r="F500" s="5">
        <v>975</v>
      </c>
      <c r="G500" s="5">
        <v>807</v>
      </c>
      <c r="H500" s="6">
        <v>56657.43</v>
      </c>
      <c r="I500" s="22">
        <v>51720.57</v>
      </c>
      <c r="J500" s="24">
        <f t="shared" si="21"/>
        <v>3.5837813620012823E-4</v>
      </c>
      <c r="K500" s="25">
        <f t="shared" si="23"/>
        <v>0.55684626137554272</v>
      </c>
      <c r="L500" s="26" t="s">
        <v>7516</v>
      </c>
      <c r="M500" s="28"/>
      <c r="N500" s="28"/>
      <c r="O500" s="20" t="s">
        <v>7530</v>
      </c>
      <c r="P500" s="27" t="str">
        <f t="shared" si="22"/>
        <v>vermelho</v>
      </c>
    </row>
    <row r="501" spans="1:16" ht="25.5">
      <c r="A501" s="3" t="s">
        <v>4</v>
      </c>
      <c r="B501" s="3" t="s">
        <v>193</v>
      </c>
      <c r="C501" s="4">
        <v>31</v>
      </c>
      <c r="D501" s="3" t="s">
        <v>194</v>
      </c>
      <c r="E501" s="3" t="s">
        <v>16</v>
      </c>
      <c r="F501" s="5">
        <v>1371</v>
      </c>
      <c r="G501" s="5">
        <v>900</v>
      </c>
      <c r="H501" s="6">
        <v>77568.33</v>
      </c>
      <c r="I501" s="22">
        <v>51665.16</v>
      </c>
      <c r="J501" s="24">
        <f t="shared" si="21"/>
        <v>3.5799419355357875E-4</v>
      </c>
      <c r="K501" s="25">
        <f t="shared" si="23"/>
        <v>0.55720425556909625</v>
      </c>
      <c r="L501" s="26" t="s">
        <v>7516</v>
      </c>
      <c r="M501" s="28"/>
      <c r="N501" s="28"/>
      <c r="O501" s="20">
        <v>27881.55</v>
      </c>
      <c r="P501" s="27" t="str">
        <f t="shared" si="22"/>
        <v>laranja</v>
      </c>
    </row>
    <row r="502" spans="1:16" ht="25.5">
      <c r="A502" s="3" t="s">
        <v>5629</v>
      </c>
      <c r="B502" s="3" t="s">
        <v>5630</v>
      </c>
      <c r="C502" s="4">
        <v>74</v>
      </c>
      <c r="D502" s="3" t="s">
        <v>6</v>
      </c>
      <c r="E502" s="3" t="s">
        <v>7</v>
      </c>
      <c r="F502" s="5">
        <v>432</v>
      </c>
      <c r="G502" s="5">
        <v>786</v>
      </c>
      <c r="H502" s="6">
        <v>26504.639999999999</v>
      </c>
      <c r="I502" s="22">
        <v>51644.58</v>
      </c>
      <c r="J502" s="24">
        <f t="shared" si="21"/>
        <v>3.5785159222410771E-4</v>
      </c>
      <c r="K502" s="25">
        <f t="shared" si="23"/>
        <v>0.55756210716132037</v>
      </c>
      <c r="L502" s="26" t="s">
        <v>7516</v>
      </c>
      <c r="M502" s="28"/>
      <c r="N502" s="28"/>
      <c r="O502" s="20" t="s">
        <v>7530</v>
      </c>
      <c r="P502" s="27" t="str">
        <f t="shared" si="22"/>
        <v>vermelho</v>
      </c>
    </row>
    <row r="503" spans="1:16" ht="38.25">
      <c r="A503" s="3" t="s">
        <v>4</v>
      </c>
      <c r="B503" s="3" t="s">
        <v>195</v>
      </c>
      <c r="C503" s="4">
        <v>45</v>
      </c>
      <c r="D503" s="3" t="s">
        <v>23</v>
      </c>
      <c r="E503" s="3" t="s">
        <v>7</v>
      </c>
      <c r="F503" s="5">
        <v>1599</v>
      </c>
      <c r="G503" s="5">
        <v>774</v>
      </c>
      <c r="H503" s="6">
        <v>91886.61</v>
      </c>
      <c r="I503" s="22">
        <v>51615.24</v>
      </c>
      <c r="J503" s="24">
        <f t="shared" si="21"/>
        <v>3.5764829178646534E-4</v>
      </c>
      <c r="K503" s="25">
        <f t="shared" si="23"/>
        <v>0.55791975545310679</v>
      </c>
      <c r="L503" s="26" t="s">
        <v>7516</v>
      </c>
      <c r="M503" s="28"/>
      <c r="N503" s="28"/>
      <c r="O503" s="20">
        <v>19532.580000000002</v>
      </c>
      <c r="P503" s="27" t="str">
        <f t="shared" si="22"/>
        <v>amarelo</v>
      </c>
    </row>
    <row r="504" spans="1:16" ht="25.5">
      <c r="A504" s="3" t="s">
        <v>5631</v>
      </c>
      <c r="B504" s="3" t="s">
        <v>5632</v>
      </c>
      <c r="C504" s="4">
        <v>61</v>
      </c>
      <c r="D504" s="3" t="s">
        <v>48</v>
      </c>
      <c r="E504" s="3" t="s">
        <v>49</v>
      </c>
      <c r="F504" s="5">
        <v>732</v>
      </c>
      <c r="G504" s="5">
        <v>813</v>
      </c>
      <c r="H504" s="6">
        <v>42980.76</v>
      </c>
      <c r="I504" s="22">
        <v>51601.71</v>
      </c>
      <c r="J504" s="24">
        <f t="shared" si="21"/>
        <v>3.5755454076665281E-4</v>
      </c>
      <c r="K504" s="25">
        <f t="shared" si="23"/>
        <v>0.55827730999387348</v>
      </c>
      <c r="L504" s="26" t="s">
        <v>7516</v>
      </c>
      <c r="M504" s="28"/>
      <c r="N504" s="28"/>
      <c r="O504" s="20">
        <v>27246.12</v>
      </c>
      <c r="P504" s="27" t="str">
        <f t="shared" si="22"/>
        <v>laranja</v>
      </c>
    </row>
    <row r="505" spans="1:16" ht="25.5">
      <c r="A505" s="3" t="s">
        <v>5633</v>
      </c>
      <c r="B505" s="3" t="s">
        <v>5634</v>
      </c>
      <c r="C505" s="4">
        <v>31</v>
      </c>
      <c r="D505" s="3" t="s">
        <v>194</v>
      </c>
      <c r="E505" s="3" t="s">
        <v>16</v>
      </c>
      <c r="F505" s="5">
        <v>1344</v>
      </c>
      <c r="G505" s="5">
        <v>972</v>
      </c>
      <c r="H505" s="6">
        <v>69118.2</v>
      </c>
      <c r="I505" s="22">
        <v>51455.16</v>
      </c>
      <c r="J505" s="24">
        <f t="shared" si="21"/>
        <v>3.5653907794673165E-4</v>
      </c>
      <c r="K505" s="25">
        <f t="shared" si="23"/>
        <v>0.55863384907182023</v>
      </c>
      <c r="L505" s="26" t="s">
        <v>7516</v>
      </c>
      <c r="M505" s="28"/>
      <c r="N505" s="28"/>
      <c r="O505" s="20">
        <v>43051.199999999997</v>
      </c>
      <c r="P505" s="27" t="str">
        <f t="shared" si="22"/>
        <v>laranja</v>
      </c>
    </row>
    <row r="506" spans="1:16" ht="38.25">
      <c r="A506" s="3" t="s">
        <v>4</v>
      </c>
      <c r="B506" s="3" t="s">
        <v>196</v>
      </c>
      <c r="C506" s="4">
        <v>45</v>
      </c>
      <c r="D506" s="3" t="s">
        <v>23</v>
      </c>
      <c r="E506" s="3" t="s">
        <v>7</v>
      </c>
      <c r="F506" s="5">
        <v>60</v>
      </c>
      <c r="G506" s="5">
        <v>849</v>
      </c>
      <c r="H506" s="6">
        <v>2818.92</v>
      </c>
      <c r="I506" s="22">
        <v>51449.82</v>
      </c>
      <c r="J506" s="24">
        <f t="shared" si="21"/>
        <v>3.5650207643558613E-4</v>
      </c>
      <c r="K506" s="25">
        <f t="shared" si="23"/>
        <v>0.55899035114825579</v>
      </c>
      <c r="L506" s="26" t="s">
        <v>7516</v>
      </c>
      <c r="M506" s="28"/>
      <c r="N506" s="28"/>
      <c r="O506" s="20" t="s">
        <v>7530</v>
      </c>
      <c r="P506" s="27" t="str">
        <f t="shared" si="22"/>
        <v>vermelho</v>
      </c>
    </row>
    <row r="507" spans="1:16" ht="25.5">
      <c r="A507" s="3" t="s">
        <v>4</v>
      </c>
      <c r="B507" s="3" t="s">
        <v>197</v>
      </c>
      <c r="C507" s="4">
        <v>187</v>
      </c>
      <c r="D507" s="3" t="s">
        <v>96</v>
      </c>
      <c r="E507" s="3" t="s">
        <v>7</v>
      </c>
      <c r="F507" s="5">
        <v>666</v>
      </c>
      <c r="G507" s="5">
        <v>795</v>
      </c>
      <c r="H507" s="6">
        <v>39960.9</v>
      </c>
      <c r="I507" s="22">
        <v>51435.839999999997</v>
      </c>
      <c r="J507" s="24">
        <f t="shared" si="21"/>
        <v>3.5640520731090169E-4</v>
      </c>
      <c r="K507" s="25">
        <f t="shared" si="23"/>
        <v>0.55934675635556674</v>
      </c>
      <c r="L507" s="26" t="s">
        <v>7516</v>
      </c>
      <c r="M507" s="28"/>
      <c r="N507" s="28"/>
      <c r="O507" s="20">
        <v>29245.439999999999</v>
      </c>
      <c r="P507" s="27" t="str">
        <f t="shared" si="22"/>
        <v>laranja</v>
      </c>
    </row>
    <row r="508" spans="1:16" ht="25.5">
      <c r="A508" s="3" t="s">
        <v>5635</v>
      </c>
      <c r="B508" s="3" t="s">
        <v>5636</v>
      </c>
      <c r="C508" s="4">
        <v>31</v>
      </c>
      <c r="D508" s="3" t="s">
        <v>194</v>
      </c>
      <c r="E508" s="3" t="s">
        <v>16</v>
      </c>
      <c r="F508" s="5">
        <v>282</v>
      </c>
      <c r="G508" s="5">
        <v>1035</v>
      </c>
      <c r="H508" s="6">
        <v>12969.9</v>
      </c>
      <c r="I508" s="22">
        <v>51381.81</v>
      </c>
      <c r="J508" s="24">
        <f t="shared" si="21"/>
        <v>3.5603082685262577E-4</v>
      </c>
      <c r="K508" s="25">
        <f t="shared" si="23"/>
        <v>0.55970278718241939</v>
      </c>
      <c r="L508" s="26" t="s">
        <v>7516</v>
      </c>
      <c r="M508" s="28"/>
      <c r="N508" s="28"/>
      <c r="O508" s="20">
        <v>22536.84</v>
      </c>
      <c r="P508" s="27" t="str">
        <f t="shared" si="22"/>
        <v>amarelo</v>
      </c>
    </row>
    <row r="509" spans="1:16" ht="25.5">
      <c r="A509" s="3" t="s">
        <v>5637</v>
      </c>
      <c r="B509" s="3" t="s">
        <v>5638</v>
      </c>
      <c r="C509" s="4">
        <v>266</v>
      </c>
      <c r="D509" s="3" t="s">
        <v>80</v>
      </c>
      <c r="E509" s="3" t="s">
        <v>10</v>
      </c>
      <c r="F509" s="5">
        <v>0</v>
      </c>
      <c r="G509" s="5">
        <v>939</v>
      </c>
      <c r="H509" s="6">
        <v>0</v>
      </c>
      <c r="I509" s="22">
        <v>51350.874000000003</v>
      </c>
      <c r="J509" s="24">
        <f t="shared" si="21"/>
        <v>3.5581646753637139E-4</v>
      </c>
      <c r="K509" s="25">
        <f t="shared" si="23"/>
        <v>0.56005860364995574</v>
      </c>
      <c r="L509" s="26" t="s">
        <v>7516</v>
      </c>
      <c r="M509" s="28"/>
      <c r="N509" s="28"/>
      <c r="O509" s="20" t="s">
        <v>7530</v>
      </c>
      <c r="P509" s="27" t="str">
        <f t="shared" si="22"/>
        <v>vermelho</v>
      </c>
    </row>
    <row r="510" spans="1:16">
      <c r="A510" s="3" t="s">
        <v>5639</v>
      </c>
      <c r="B510" s="3" t="s">
        <v>5640</v>
      </c>
      <c r="C510" s="4">
        <v>231</v>
      </c>
      <c r="D510" s="3" t="s">
        <v>52</v>
      </c>
      <c r="E510" s="3" t="s">
        <v>7</v>
      </c>
      <c r="F510" s="5">
        <v>1359</v>
      </c>
      <c r="G510" s="5">
        <v>774</v>
      </c>
      <c r="H510" s="6">
        <v>71075.441999999995</v>
      </c>
      <c r="I510" s="22">
        <v>51321.06</v>
      </c>
      <c r="J510" s="24">
        <f t="shared" si="21"/>
        <v>3.5560988269493071E-4</v>
      </c>
      <c r="K510" s="25">
        <f t="shared" si="23"/>
        <v>0.56041421353265064</v>
      </c>
      <c r="L510" s="26" t="s">
        <v>7516</v>
      </c>
      <c r="M510" s="28"/>
      <c r="N510" s="28"/>
      <c r="O510" s="20" t="s">
        <v>7530</v>
      </c>
      <c r="P510" s="27" t="str">
        <f t="shared" si="22"/>
        <v>vermelho</v>
      </c>
    </row>
    <row r="511" spans="1:16">
      <c r="A511" s="3" t="s">
        <v>5641</v>
      </c>
      <c r="B511" s="3" t="s">
        <v>5642</v>
      </c>
      <c r="C511" s="4">
        <v>232</v>
      </c>
      <c r="D511" s="3" t="s">
        <v>174</v>
      </c>
      <c r="E511" s="3" t="s">
        <v>16</v>
      </c>
      <c r="F511" s="5">
        <v>888</v>
      </c>
      <c r="G511" s="5">
        <v>924</v>
      </c>
      <c r="H511" s="6">
        <v>46998.96</v>
      </c>
      <c r="I511" s="22">
        <v>51236.04</v>
      </c>
      <c r="J511" s="24">
        <f t="shared" si="21"/>
        <v>3.5502076874781578E-4</v>
      </c>
      <c r="K511" s="25">
        <f t="shared" si="23"/>
        <v>0.56076923430139847</v>
      </c>
      <c r="L511" s="26" t="s">
        <v>7516</v>
      </c>
      <c r="M511" s="28"/>
      <c r="N511" s="28"/>
      <c r="O511" s="20" t="s">
        <v>7530</v>
      </c>
      <c r="P511" s="27" t="str">
        <f t="shared" si="22"/>
        <v>vermelho</v>
      </c>
    </row>
    <row r="512" spans="1:16" ht="25.5">
      <c r="A512" s="3" t="s">
        <v>5643</v>
      </c>
      <c r="B512" s="3" t="s">
        <v>5644</v>
      </c>
      <c r="C512" s="4">
        <v>261</v>
      </c>
      <c r="D512" s="3" t="s">
        <v>9</v>
      </c>
      <c r="E512" s="3" t="s">
        <v>10</v>
      </c>
      <c r="F512" s="5">
        <v>549</v>
      </c>
      <c r="G512" s="5">
        <v>783</v>
      </c>
      <c r="H512" s="6">
        <v>28959.27</v>
      </c>
      <c r="I512" s="22">
        <v>51190.5</v>
      </c>
      <c r="J512" s="24">
        <f t="shared" si="21"/>
        <v>3.5470521653478807E-4</v>
      </c>
      <c r="K512" s="25">
        <f t="shared" si="23"/>
        <v>0.56112393951793327</v>
      </c>
      <c r="L512" s="26" t="s">
        <v>7516</v>
      </c>
      <c r="M512" s="28"/>
      <c r="N512" s="28"/>
      <c r="O512" s="20">
        <v>37062.239999999998</v>
      </c>
      <c r="P512" s="27" t="str">
        <f t="shared" si="22"/>
        <v>laranja</v>
      </c>
    </row>
    <row r="513" spans="1:16">
      <c r="A513" s="3" t="s">
        <v>5645</v>
      </c>
      <c r="B513" s="3" t="s">
        <v>5646</v>
      </c>
      <c r="C513" s="4">
        <v>15</v>
      </c>
      <c r="D513" s="3" t="s">
        <v>18</v>
      </c>
      <c r="E513" s="3" t="s">
        <v>16</v>
      </c>
      <c r="F513" s="5">
        <v>1080</v>
      </c>
      <c r="G513" s="5">
        <v>852</v>
      </c>
      <c r="H513" s="6">
        <v>61743.72</v>
      </c>
      <c r="I513" s="22">
        <v>51184.800000000003</v>
      </c>
      <c r="J513" s="24">
        <f t="shared" si="21"/>
        <v>3.546657205397451E-4</v>
      </c>
      <c r="K513" s="25">
        <f t="shared" si="23"/>
        <v>0.56147860523847304</v>
      </c>
      <c r="L513" s="26" t="s">
        <v>7516</v>
      </c>
      <c r="M513" s="28"/>
      <c r="N513" s="28"/>
      <c r="O513" s="20" t="s">
        <v>7530</v>
      </c>
      <c r="P513" s="27" t="str">
        <f t="shared" si="22"/>
        <v>vermelho</v>
      </c>
    </row>
    <row r="514" spans="1:16" ht="25.5">
      <c r="A514" s="3" t="s">
        <v>4</v>
      </c>
      <c r="B514" s="3" t="s">
        <v>198</v>
      </c>
      <c r="C514" s="4">
        <v>19</v>
      </c>
      <c r="D514" s="3" t="s">
        <v>72</v>
      </c>
      <c r="E514" s="3" t="s">
        <v>41</v>
      </c>
      <c r="F514" s="5">
        <v>765</v>
      </c>
      <c r="G514" s="5">
        <v>825</v>
      </c>
      <c r="H514" s="6">
        <v>44473.11</v>
      </c>
      <c r="I514" s="22">
        <v>51009.31</v>
      </c>
      <c r="J514" s="24">
        <f t="shared" si="21"/>
        <v>3.5344972893095654E-4</v>
      </c>
      <c r="K514" s="25">
        <f t="shared" si="23"/>
        <v>0.56183205496740396</v>
      </c>
      <c r="L514" s="26" t="s">
        <v>7516</v>
      </c>
      <c r="M514" s="28"/>
      <c r="N514" s="28"/>
      <c r="O514" s="20">
        <v>31784.1</v>
      </c>
      <c r="P514" s="27" t="str">
        <f t="shared" si="22"/>
        <v>laranja</v>
      </c>
    </row>
    <row r="515" spans="1:16" ht="25.5">
      <c r="A515" s="3" t="s">
        <v>4</v>
      </c>
      <c r="B515" s="3" t="s">
        <v>199</v>
      </c>
      <c r="C515" s="4">
        <v>317</v>
      </c>
      <c r="D515" s="3" t="s">
        <v>78</v>
      </c>
      <c r="E515" s="3" t="s">
        <v>10</v>
      </c>
      <c r="F515" s="5">
        <v>642</v>
      </c>
      <c r="G515" s="5">
        <v>861</v>
      </c>
      <c r="H515" s="6">
        <v>32542.77</v>
      </c>
      <c r="I515" s="22">
        <v>50966.1</v>
      </c>
      <c r="J515" s="24">
        <f t="shared" ref="J515:J578" si="24">I515/$I$6364</f>
        <v>3.5315032157204291E-4</v>
      </c>
      <c r="K515" s="25">
        <f t="shared" si="23"/>
        <v>0.56218520528897598</v>
      </c>
      <c r="L515" s="26" t="s">
        <v>7516</v>
      </c>
      <c r="M515" s="28"/>
      <c r="N515" s="28"/>
      <c r="O515" s="20">
        <v>19233</v>
      </c>
      <c r="P515" s="27" t="str">
        <f t="shared" ref="P515:P578" si="25">IF(O515&lt;=0,"vermelho",IFERROR(IF(O515/I515&lt;=0.5098,"amarelo",IF(O515/I515&lt;1,"laranja","verde")),"vermelho"))</f>
        <v>amarelo</v>
      </c>
    </row>
    <row r="516" spans="1:16" ht="51">
      <c r="A516" s="3" t="s">
        <v>5647</v>
      </c>
      <c r="B516" s="3" t="s">
        <v>5648</v>
      </c>
      <c r="C516" s="4">
        <v>282</v>
      </c>
      <c r="D516" s="3" t="s">
        <v>12</v>
      </c>
      <c r="E516" s="3" t="s">
        <v>13</v>
      </c>
      <c r="F516" s="5">
        <v>2658</v>
      </c>
      <c r="G516" s="5">
        <v>2111</v>
      </c>
      <c r="H516" s="6">
        <v>58615.64</v>
      </c>
      <c r="I516" s="22">
        <v>50963.046000000002</v>
      </c>
      <c r="J516" s="24">
        <f t="shared" si="24"/>
        <v>3.5312916003364621E-4</v>
      </c>
      <c r="K516" s="25">
        <f t="shared" ref="K516:K579" si="26">J516+K515</f>
        <v>0.56253833444900958</v>
      </c>
      <c r="L516" s="26" t="s">
        <v>7516</v>
      </c>
      <c r="M516" s="28"/>
      <c r="N516" s="28"/>
      <c r="O516" s="20" t="s">
        <v>7530</v>
      </c>
      <c r="P516" s="27" t="str">
        <f t="shared" si="25"/>
        <v>vermelho</v>
      </c>
    </row>
    <row r="517" spans="1:16">
      <c r="A517" s="3" t="s">
        <v>5649</v>
      </c>
      <c r="B517" s="3" t="s">
        <v>5650</v>
      </c>
      <c r="C517" s="4">
        <v>231</v>
      </c>
      <c r="D517" s="3" t="s">
        <v>52</v>
      </c>
      <c r="E517" s="3" t="s">
        <v>7</v>
      </c>
      <c r="F517" s="5">
        <v>696</v>
      </c>
      <c r="G517" s="5">
        <v>840</v>
      </c>
      <c r="H517" s="6">
        <v>39926.28</v>
      </c>
      <c r="I517" s="22">
        <v>50775.48</v>
      </c>
      <c r="J517" s="24">
        <f t="shared" si="24"/>
        <v>3.5182949234834201E-4</v>
      </c>
      <c r="K517" s="25">
        <f t="shared" si="26"/>
        <v>0.56289016394135793</v>
      </c>
      <c r="L517" s="26" t="s">
        <v>7516</v>
      </c>
      <c r="M517" s="28"/>
      <c r="N517" s="28"/>
      <c r="O517" s="20">
        <v>12229.32</v>
      </c>
      <c r="P517" s="27" t="str">
        <f t="shared" si="25"/>
        <v>amarelo</v>
      </c>
    </row>
    <row r="518" spans="1:16" ht="25.5">
      <c r="A518" s="3" t="s">
        <v>5651</v>
      </c>
      <c r="B518" s="3" t="s">
        <v>5652</v>
      </c>
      <c r="C518" s="4">
        <v>39</v>
      </c>
      <c r="D518" s="3" t="s">
        <v>26</v>
      </c>
      <c r="E518" s="3" t="s">
        <v>13</v>
      </c>
      <c r="F518" s="5">
        <v>0</v>
      </c>
      <c r="G518" s="5">
        <v>864</v>
      </c>
      <c r="H518" s="6">
        <v>0</v>
      </c>
      <c r="I518" s="22">
        <v>50622.491999999998</v>
      </c>
      <c r="J518" s="24">
        <f t="shared" si="24"/>
        <v>3.5076941984138807E-4</v>
      </c>
      <c r="K518" s="25">
        <f t="shared" si="26"/>
        <v>0.56324093336119929</v>
      </c>
      <c r="L518" s="26" t="s">
        <v>7516</v>
      </c>
      <c r="M518" s="28"/>
      <c r="N518" s="28"/>
      <c r="O518" s="20">
        <v>60024.485999999997</v>
      </c>
      <c r="P518" s="27" t="str">
        <f t="shared" si="25"/>
        <v>verde</v>
      </c>
    </row>
    <row r="519" spans="1:16" ht="25.5">
      <c r="A519" s="3" t="s">
        <v>5653</v>
      </c>
      <c r="B519" s="3" t="s">
        <v>5654</v>
      </c>
      <c r="C519" s="4">
        <v>261</v>
      </c>
      <c r="D519" s="3" t="s">
        <v>9</v>
      </c>
      <c r="E519" s="3" t="s">
        <v>10</v>
      </c>
      <c r="F519" s="5">
        <v>471</v>
      </c>
      <c r="G519" s="5">
        <v>777</v>
      </c>
      <c r="H519" s="6">
        <v>27044.97</v>
      </c>
      <c r="I519" s="22">
        <v>50602.29</v>
      </c>
      <c r="J519" s="24">
        <f t="shared" si="24"/>
        <v>3.5062943772000942E-4</v>
      </c>
      <c r="K519" s="25">
        <f t="shared" si="26"/>
        <v>0.56359156279891931</v>
      </c>
      <c r="L519" s="26" t="s">
        <v>7516</v>
      </c>
      <c r="M519" s="28"/>
      <c r="N519" s="28"/>
      <c r="O519" s="20" t="s">
        <v>7530</v>
      </c>
      <c r="P519" s="27" t="str">
        <f t="shared" si="25"/>
        <v>vermelho</v>
      </c>
    </row>
    <row r="520" spans="1:16">
      <c r="A520" s="3" t="s">
        <v>5655</v>
      </c>
      <c r="B520" s="3" t="s">
        <v>5656</v>
      </c>
      <c r="C520" s="4">
        <v>15</v>
      </c>
      <c r="D520" s="3" t="s">
        <v>18</v>
      </c>
      <c r="E520" s="3" t="s">
        <v>16</v>
      </c>
      <c r="F520" s="5">
        <v>468</v>
      </c>
      <c r="G520" s="5">
        <v>804</v>
      </c>
      <c r="H520" s="6">
        <v>25053.72</v>
      </c>
      <c r="I520" s="22">
        <v>50581.56</v>
      </c>
      <c r="J520" s="24">
        <f t="shared" si="24"/>
        <v>3.5048579702224778E-4</v>
      </c>
      <c r="K520" s="25">
        <f t="shared" si="26"/>
        <v>0.56394204859594155</v>
      </c>
      <c r="L520" s="26" t="s">
        <v>7516</v>
      </c>
      <c r="M520" s="28"/>
      <c r="N520" s="28"/>
      <c r="O520" s="20" t="s">
        <v>7530</v>
      </c>
      <c r="P520" s="27" t="str">
        <f t="shared" si="25"/>
        <v>vermelho</v>
      </c>
    </row>
    <row r="521" spans="1:16" ht="25.5">
      <c r="A521" s="3" t="s">
        <v>4</v>
      </c>
      <c r="B521" s="3" t="s">
        <v>200</v>
      </c>
      <c r="C521" s="4">
        <v>23</v>
      </c>
      <c r="D521" s="3" t="s">
        <v>87</v>
      </c>
      <c r="E521" s="3" t="s">
        <v>7</v>
      </c>
      <c r="F521" s="5">
        <v>564</v>
      </c>
      <c r="G521" s="5">
        <v>771</v>
      </c>
      <c r="H521" s="6">
        <v>34137.449999999997</v>
      </c>
      <c r="I521" s="22">
        <v>50538.21</v>
      </c>
      <c r="J521" s="24">
        <f t="shared" si="24"/>
        <v>3.5018541958626291E-4</v>
      </c>
      <c r="K521" s="25">
        <f t="shared" si="26"/>
        <v>0.56429223401552786</v>
      </c>
      <c r="L521" s="26" t="s">
        <v>7516</v>
      </c>
      <c r="M521" s="28"/>
      <c r="N521" s="28"/>
      <c r="O521" s="20" t="s">
        <v>7530</v>
      </c>
      <c r="P521" s="27" t="str">
        <f t="shared" si="25"/>
        <v>vermelho</v>
      </c>
    </row>
    <row r="522" spans="1:16" ht="25.5">
      <c r="A522" s="3" t="s">
        <v>5657</v>
      </c>
      <c r="B522" s="3" t="s">
        <v>5658</v>
      </c>
      <c r="C522" s="4">
        <v>266</v>
      </c>
      <c r="D522" s="3" t="s">
        <v>80</v>
      </c>
      <c r="E522" s="3" t="s">
        <v>10</v>
      </c>
      <c r="F522" s="5">
        <v>252</v>
      </c>
      <c r="G522" s="5">
        <v>858</v>
      </c>
      <c r="H522" s="6">
        <v>14171.4</v>
      </c>
      <c r="I522" s="22">
        <v>50503.02</v>
      </c>
      <c r="J522" s="24">
        <f t="shared" si="24"/>
        <v>3.4994158378528697E-4</v>
      </c>
      <c r="K522" s="25">
        <f t="shared" si="26"/>
        <v>0.56464217559931318</v>
      </c>
      <c r="L522" s="26" t="s">
        <v>7516</v>
      </c>
      <c r="M522" s="28"/>
      <c r="N522" s="28"/>
      <c r="O522" s="20" t="s">
        <v>7530</v>
      </c>
      <c r="P522" s="27" t="str">
        <f t="shared" si="25"/>
        <v>vermelho</v>
      </c>
    </row>
    <row r="523" spans="1:16" ht="25.5">
      <c r="A523" s="3" t="s">
        <v>4</v>
      </c>
      <c r="B523" s="3" t="s">
        <v>201</v>
      </c>
      <c r="C523" s="4">
        <v>337</v>
      </c>
      <c r="D523" s="3" t="s">
        <v>202</v>
      </c>
      <c r="E523" s="3" t="s">
        <v>16</v>
      </c>
      <c r="F523" s="5">
        <v>972</v>
      </c>
      <c r="G523" s="5">
        <v>780</v>
      </c>
      <c r="H523" s="6">
        <v>58055.76</v>
      </c>
      <c r="I523" s="22">
        <v>50434.2</v>
      </c>
      <c r="J523" s="24">
        <f t="shared" si="24"/>
        <v>3.4946472161355739E-4</v>
      </c>
      <c r="K523" s="25">
        <f t="shared" si="26"/>
        <v>0.56499164032092675</v>
      </c>
      <c r="L523" s="26" t="s">
        <v>7516</v>
      </c>
      <c r="M523" s="28"/>
      <c r="N523" s="28"/>
      <c r="O523" s="20">
        <v>21131.759999999998</v>
      </c>
      <c r="P523" s="27" t="str">
        <f t="shared" si="25"/>
        <v>amarelo</v>
      </c>
    </row>
    <row r="524" spans="1:16">
      <c r="A524" s="3" t="s">
        <v>5659</v>
      </c>
      <c r="B524" s="3" t="s">
        <v>5660</v>
      </c>
      <c r="C524" s="4">
        <v>167</v>
      </c>
      <c r="D524" s="3" t="s">
        <v>251</v>
      </c>
      <c r="E524" s="3" t="s">
        <v>49</v>
      </c>
      <c r="F524" s="5">
        <v>384</v>
      </c>
      <c r="G524" s="5">
        <v>924</v>
      </c>
      <c r="H524" s="6">
        <v>22218.240000000002</v>
      </c>
      <c r="I524" s="22">
        <v>50427.96</v>
      </c>
      <c r="J524" s="24">
        <f t="shared" si="24"/>
        <v>3.4942148389266822E-4</v>
      </c>
      <c r="K524" s="25">
        <f t="shared" si="26"/>
        <v>0.56534106180481947</v>
      </c>
      <c r="L524" s="26" t="s">
        <v>7516</v>
      </c>
      <c r="M524" s="28"/>
      <c r="N524" s="28"/>
      <c r="O524" s="20">
        <v>6235.08</v>
      </c>
      <c r="P524" s="27" t="str">
        <f t="shared" si="25"/>
        <v>amarelo</v>
      </c>
    </row>
    <row r="525" spans="1:16" ht="25.5">
      <c r="A525" s="3" t="s">
        <v>5661</v>
      </c>
      <c r="B525" s="3" t="s">
        <v>5662</v>
      </c>
      <c r="C525" s="4">
        <v>299</v>
      </c>
      <c r="D525" s="3" t="s">
        <v>111</v>
      </c>
      <c r="E525" s="3" t="s">
        <v>49</v>
      </c>
      <c r="F525" s="5">
        <v>1044</v>
      </c>
      <c r="G525" s="5">
        <v>894</v>
      </c>
      <c r="H525" s="6">
        <v>55370.712</v>
      </c>
      <c r="I525" s="22">
        <v>50332.08</v>
      </c>
      <c r="J525" s="24">
        <f t="shared" si="24"/>
        <v>3.4875711968131347E-4</v>
      </c>
      <c r="K525" s="25">
        <f t="shared" si="26"/>
        <v>0.56568981892450076</v>
      </c>
      <c r="L525" s="26" t="s">
        <v>7516</v>
      </c>
      <c r="M525" s="28"/>
      <c r="N525" s="28"/>
      <c r="O525" s="20" t="s">
        <v>7530</v>
      </c>
      <c r="P525" s="27" t="str">
        <f t="shared" si="25"/>
        <v>vermelho</v>
      </c>
    </row>
    <row r="526" spans="1:16" ht="25.5">
      <c r="A526" s="3" t="s">
        <v>5663</v>
      </c>
      <c r="B526" s="3" t="s">
        <v>5664</v>
      </c>
      <c r="C526" s="4">
        <v>31</v>
      </c>
      <c r="D526" s="3" t="s">
        <v>194</v>
      </c>
      <c r="E526" s="3" t="s">
        <v>16</v>
      </c>
      <c r="F526" s="5">
        <v>0</v>
      </c>
      <c r="G526" s="5">
        <v>801</v>
      </c>
      <c r="H526" s="6">
        <v>0</v>
      </c>
      <c r="I526" s="22">
        <v>50178.84</v>
      </c>
      <c r="J526" s="24">
        <f t="shared" si="24"/>
        <v>3.4769530103563129E-4</v>
      </c>
      <c r="K526" s="25">
        <f t="shared" si="26"/>
        <v>0.56603751422553639</v>
      </c>
      <c r="L526" s="26" t="s">
        <v>7516</v>
      </c>
      <c r="M526" s="28"/>
      <c r="N526" s="28"/>
      <c r="O526" s="20">
        <v>36749.199999999997</v>
      </c>
      <c r="P526" s="27" t="str">
        <f t="shared" si="25"/>
        <v>laranja</v>
      </c>
    </row>
    <row r="527" spans="1:16">
      <c r="A527" s="3" t="s">
        <v>5665</v>
      </c>
      <c r="B527" s="3" t="s">
        <v>5666</v>
      </c>
      <c r="C527" s="4">
        <v>217</v>
      </c>
      <c r="D527" s="3" t="s">
        <v>91</v>
      </c>
      <c r="E527" s="3" t="s">
        <v>16</v>
      </c>
      <c r="F527" s="5">
        <v>207</v>
      </c>
      <c r="G527" s="5">
        <v>822</v>
      </c>
      <c r="H527" s="6">
        <v>9757.35</v>
      </c>
      <c r="I527" s="22">
        <v>50137.86</v>
      </c>
      <c r="J527" s="24">
        <f t="shared" si="24"/>
        <v>3.4741134561863804E-4</v>
      </c>
      <c r="K527" s="25">
        <f t="shared" si="26"/>
        <v>0.56638492557115505</v>
      </c>
      <c r="L527" s="26" t="s">
        <v>7516</v>
      </c>
      <c r="M527" s="28"/>
      <c r="N527" s="28"/>
      <c r="O527" s="20">
        <v>38052.15</v>
      </c>
      <c r="P527" s="27" t="str">
        <f t="shared" si="25"/>
        <v>laranja</v>
      </c>
    </row>
    <row r="528" spans="1:16" ht="25.5">
      <c r="A528" s="3" t="s">
        <v>4</v>
      </c>
      <c r="B528" s="3" t="s">
        <v>203</v>
      </c>
      <c r="C528" s="4">
        <v>19</v>
      </c>
      <c r="D528" s="3" t="s">
        <v>72</v>
      </c>
      <c r="E528" s="3" t="s">
        <v>41</v>
      </c>
      <c r="F528" s="5">
        <v>297</v>
      </c>
      <c r="G528" s="5">
        <v>807</v>
      </c>
      <c r="H528" s="6">
        <v>17111.955000000002</v>
      </c>
      <c r="I528" s="22">
        <v>50103.15</v>
      </c>
      <c r="J528" s="24">
        <f t="shared" si="24"/>
        <v>3.4717083579619202E-4</v>
      </c>
      <c r="K528" s="25">
        <f t="shared" si="26"/>
        <v>0.56673209640695121</v>
      </c>
      <c r="L528" s="26" t="s">
        <v>7516</v>
      </c>
      <c r="M528" s="28">
        <v>-8.537007539651828E-2</v>
      </c>
      <c r="N528" s="28"/>
      <c r="O528" s="20">
        <v>10443.120000000001</v>
      </c>
      <c r="P528" s="27" t="str">
        <f t="shared" si="25"/>
        <v>amarelo</v>
      </c>
    </row>
    <row r="529" spans="1:16" ht="38.25">
      <c r="A529" s="3" t="s">
        <v>4</v>
      </c>
      <c r="B529" s="3" t="s">
        <v>204</v>
      </c>
      <c r="C529" s="4">
        <v>34</v>
      </c>
      <c r="D529" s="3" t="s">
        <v>54</v>
      </c>
      <c r="E529" s="3" t="s">
        <v>49</v>
      </c>
      <c r="F529" s="5">
        <v>459</v>
      </c>
      <c r="G529" s="5">
        <v>756</v>
      </c>
      <c r="H529" s="6">
        <v>27757.35</v>
      </c>
      <c r="I529" s="22">
        <v>50023.05</v>
      </c>
      <c r="J529" s="24">
        <f t="shared" si="24"/>
        <v>3.4661581312900894E-4</v>
      </c>
      <c r="K529" s="25">
        <f t="shared" si="26"/>
        <v>0.56707871222008022</v>
      </c>
      <c r="L529" s="26" t="s">
        <v>7516</v>
      </c>
      <c r="M529" s="28"/>
      <c r="N529" s="28"/>
      <c r="O529" s="20">
        <v>15410.76</v>
      </c>
      <c r="P529" s="27" t="str">
        <f t="shared" si="25"/>
        <v>amarelo</v>
      </c>
    </row>
    <row r="530" spans="1:16" ht="38.25">
      <c r="A530" s="3" t="s">
        <v>4</v>
      </c>
      <c r="B530" s="3" t="s">
        <v>205</v>
      </c>
      <c r="C530" s="4">
        <v>34</v>
      </c>
      <c r="D530" s="3" t="s">
        <v>54</v>
      </c>
      <c r="E530" s="3" t="s">
        <v>49</v>
      </c>
      <c r="F530" s="5">
        <v>744</v>
      </c>
      <c r="G530" s="5">
        <v>759</v>
      </c>
      <c r="H530" s="6">
        <v>45755.226000000002</v>
      </c>
      <c r="I530" s="22">
        <v>49782.36</v>
      </c>
      <c r="J530" s="24">
        <f t="shared" si="24"/>
        <v>3.4494804276990402E-4</v>
      </c>
      <c r="K530" s="25">
        <f t="shared" si="26"/>
        <v>0.56742366026285007</v>
      </c>
      <c r="L530" s="26" t="s">
        <v>7516</v>
      </c>
      <c r="M530" s="28"/>
      <c r="N530" s="28"/>
      <c r="O530" s="20" t="s">
        <v>7530</v>
      </c>
      <c r="P530" s="27" t="str">
        <f t="shared" si="25"/>
        <v>vermelho</v>
      </c>
    </row>
    <row r="531" spans="1:16" ht="25.5">
      <c r="A531" s="3" t="s">
        <v>5669</v>
      </c>
      <c r="B531" s="3" t="s">
        <v>5670</v>
      </c>
      <c r="C531" s="4">
        <v>316</v>
      </c>
      <c r="D531" s="3" t="s">
        <v>247</v>
      </c>
      <c r="E531" s="3" t="s">
        <v>10</v>
      </c>
      <c r="F531" s="5">
        <v>2077</v>
      </c>
      <c r="G531" s="5">
        <v>1035</v>
      </c>
      <c r="H531" s="6">
        <v>92165.33</v>
      </c>
      <c r="I531" s="22">
        <v>49695.652999999998</v>
      </c>
      <c r="J531" s="24">
        <f t="shared" si="24"/>
        <v>3.4434723939408073E-4</v>
      </c>
      <c r="K531" s="25">
        <f t="shared" si="26"/>
        <v>0.5677680075022441</v>
      </c>
      <c r="L531" s="26" t="s">
        <v>7516</v>
      </c>
      <c r="M531" s="28"/>
      <c r="N531" s="28"/>
      <c r="O531" s="20">
        <v>2343.84</v>
      </c>
      <c r="P531" s="27" t="str">
        <f t="shared" si="25"/>
        <v>amarelo</v>
      </c>
    </row>
    <row r="532" spans="1:16" ht="25.5">
      <c r="A532" s="3" t="s">
        <v>5671</v>
      </c>
      <c r="B532" s="3" t="s">
        <v>5672</v>
      </c>
      <c r="C532" s="4">
        <v>317</v>
      </c>
      <c r="D532" s="3" t="s">
        <v>78</v>
      </c>
      <c r="E532" s="3" t="s">
        <v>10</v>
      </c>
      <c r="F532" s="5">
        <v>846</v>
      </c>
      <c r="G532" s="5">
        <v>795</v>
      </c>
      <c r="H532" s="6">
        <v>46143.78</v>
      </c>
      <c r="I532" s="22">
        <v>49410.239999999998</v>
      </c>
      <c r="J532" s="24">
        <f t="shared" si="24"/>
        <v>3.4236957791457099E-4</v>
      </c>
      <c r="K532" s="25">
        <f t="shared" si="26"/>
        <v>0.56811037708015866</v>
      </c>
      <c r="L532" s="26" t="s">
        <v>7516</v>
      </c>
      <c r="M532" s="28"/>
      <c r="N532" s="28"/>
      <c r="O532" s="20">
        <v>26407.08</v>
      </c>
      <c r="P532" s="27" t="str">
        <f t="shared" si="25"/>
        <v>laranja</v>
      </c>
    </row>
    <row r="533" spans="1:16">
      <c r="A533" s="3" t="s">
        <v>5673</v>
      </c>
      <c r="B533" s="3" t="s">
        <v>5674</v>
      </c>
      <c r="C533" s="4">
        <v>15</v>
      </c>
      <c r="D533" s="3" t="s">
        <v>18</v>
      </c>
      <c r="E533" s="3" t="s">
        <v>16</v>
      </c>
      <c r="F533" s="5">
        <v>948</v>
      </c>
      <c r="G533" s="5">
        <v>924</v>
      </c>
      <c r="H533" s="6">
        <v>41213.279999999999</v>
      </c>
      <c r="I533" s="22">
        <v>49338.552000000003</v>
      </c>
      <c r="J533" s="24">
        <f t="shared" si="24"/>
        <v>3.4187284302112508E-4</v>
      </c>
      <c r="K533" s="25">
        <f t="shared" si="26"/>
        <v>0.56845224992317978</v>
      </c>
      <c r="L533" s="26" t="s">
        <v>7516</v>
      </c>
      <c r="M533" s="28"/>
      <c r="N533" s="28"/>
      <c r="O533" s="20" t="s">
        <v>7530</v>
      </c>
      <c r="P533" s="27" t="str">
        <f t="shared" si="25"/>
        <v>vermelho</v>
      </c>
    </row>
    <row r="534" spans="1:16">
      <c r="A534" s="3" t="s">
        <v>4</v>
      </c>
      <c r="B534" s="3" t="s">
        <v>206</v>
      </c>
      <c r="C534" s="4">
        <v>232</v>
      </c>
      <c r="D534" s="3" t="s">
        <v>174</v>
      </c>
      <c r="E534" s="3" t="s">
        <v>16</v>
      </c>
      <c r="F534" s="5">
        <v>303</v>
      </c>
      <c r="G534" s="5">
        <v>840</v>
      </c>
      <c r="H534" s="6">
        <v>15529.53</v>
      </c>
      <c r="I534" s="22">
        <v>49293.66</v>
      </c>
      <c r="J534" s="24">
        <f t="shared" si="24"/>
        <v>3.4156178087911277E-4</v>
      </c>
      <c r="K534" s="25">
        <f t="shared" si="26"/>
        <v>0.56879381170405885</v>
      </c>
      <c r="L534" s="26" t="s">
        <v>7516</v>
      </c>
      <c r="M534" s="28"/>
      <c r="N534" s="28"/>
      <c r="O534" s="20">
        <v>11658.9</v>
      </c>
      <c r="P534" s="27" t="str">
        <f t="shared" si="25"/>
        <v>amarelo</v>
      </c>
    </row>
    <row r="535" spans="1:16" ht="38.25">
      <c r="A535" s="3" t="s">
        <v>5675</v>
      </c>
      <c r="B535" s="3" t="s">
        <v>5676</v>
      </c>
      <c r="C535" s="4">
        <v>45</v>
      </c>
      <c r="D535" s="3" t="s">
        <v>23</v>
      </c>
      <c r="E535" s="3" t="s">
        <v>7</v>
      </c>
      <c r="F535" s="5">
        <v>474</v>
      </c>
      <c r="G535" s="5">
        <v>843</v>
      </c>
      <c r="H535" s="6">
        <v>27257.58</v>
      </c>
      <c r="I535" s="22">
        <v>49283.37</v>
      </c>
      <c r="J535" s="24">
        <f t="shared" si="24"/>
        <v>3.4149048021437728E-4</v>
      </c>
      <c r="K535" s="25">
        <f t="shared" si="26"/>
        <v>0.56913530218427322</v>
      </c>
      <c r="L535" s="26" t="s">
        <v>7516</v>
      </c>
      <c r="M535" s="28"/>
      <c r="N535" s="28"/>
      <c r="O535" s="20" t="s">
        <v>7530</v>
      </c>
      <c r="P535" s="27" t="str">
        <f t="shared" si="25"/>
        <v>vermelho</v>
      </c>
    </row>
    <row r="536" spans="1:16">
      <c r="A536" s="3" t="s">
        <v>5677</v>
      </c>
      <c r="B536" s="3" t="s">
        <v>5678</v>
      </c>
      <c r="C536" s="4">
        <v>315</v>
      </c>
      <c r="D536" s="3" t="s">
        <v>63</v>
      </c>
      <c r="E536" s="3" t="s">
        <v>7</v>
      </c>
      <c r="F536" s="5">
        <v>789</v>
      </c>
      <c r="G536" s="5">
        <v>942</v>
      </c>
      <c r="H536" s="6">
        <v>47547.39</v>
      </c>
      <c r="I536" s="22">
        <v>49103.841</v>
      </c>
      <c r="J536" s="24">
        <f t="shared" si="24"/>
        <v>3.4024650188208368E-4</v>
      </c>
      <c r="K536" s="25">
        <f t="shared" si="26"/>
        <v>0.56947554868615535</v>
      </c>
      <c r="L536" s="26" t="s">
        <v>7516</v>
      </c>
      <c r="M536" s="28"/>
      <c r="N536" s="28"/>
      <c r="O536" s="20">
        <v>21963.026000000002</v>
      </c>
      <c r="P536" s="27" t="str">
        <f t="shared" si="25"/>
        <v>amarelo</v>
      </c>
    </row>
    <row r="537" spans="1:16">
      <c r="A537" s="3" t="s">
        <v>5679</v>
      </c>
      <c r="B537" s="3" t="s">
        <v>5680</v>
      </c>
      <c r="C537" s="4">
        <v>240</v>
      </c>
      <c r="D537" s="3" t="s">
        <v>69</v>
      </c>
      <c r="E537" s="3" t="s">
        <v>16</v>
      </c>
      <c r="F537" s="5">
        <v>1320</v>
      </c>
      <c r="G537" s="5">
        <v>984</v>
      </c>
      <c r="H537" s="6">
        <v>57169.62</v>
      </c>
      <c r="I537" s="22">
        <v>49013.04</v>
      </c>
      <c r="J537" s="24">
        <f t="shared" si="24"/>
        <v>3.3961733068104885E-4</v>
      </c>
      <c r="K537" s="25">
        <f t="shared" si="26"/>
        <v>0.56981516601683635</v>
      </c>
      <c r="L537" s="26" t="s">
        <v>7516</v>
      </c>
      <c r="M537" s="28"/>
      <c r="N537" s="28"/>
      <c r="O537" s="20" t="s">
        <v>7530</v>
      </c>
      <c r="P537" s="27" t="str">
        <f t="shared" si="25"/>
        <v>vermelho</v>
      </c>
    </row>
    <row r="538" spans="1:16" ht="25.5">
      <c r="A538" s="3" t="s">
        <v>5681</v>
      </c>
      <c r="B538" s="3" t="s">
        <v>5682</v>
      </c>
      <c r="C538" s="4">
        <v>74</v>
      </c>
      <c r="D538" s="3" t="s">
        <v>6</v>
      </c>
      <c r="E538" s="3" t="s">
        <v>7</v>
      </c>
      <c r="F538" s="5">
        <v>1656</v>
      </c>
      <c r="G538" s="5">
        <v>735</v>
      </c>
      <c r="H538" s="6">
        <v>96788.04</v>
      </c>
      <c r="I538" s="22">
        <v>48964.38</v>
      </c>
      <c r="J538" s="24">
        <f t="shared" si="24"/>
        <v>3.3928015960757652E-4</v>
      </c>
      <c r="K538" s="25">
        <f t="shared" si="26"/>
        <v>0.57015444617644395</v>
      </c>
      <c r="L538" s="26" t="s">
        <v>7516</v>
      </c>
      <c r="M538" s="28"/>
      <c r="N538" s="28"/>
      <c r="O538" s="20">
        <v>33742.769999999997</v>
      </c>
      <c r="P538" s="27" t="str">
        <f t="shared" si="25"/>
        <v>laranja</v>
      </c>
    </row>
    <row r="539" spans="1:16" ht="25.5">
      <c r="A539" s="3" t="s">
        <v>4</v>
      </c>
      <c r="B539" s="3" t="s">
        <v>207</v>
      </c>
      <c r="C539" s="4">
        <v>232</v>
      </c>
      <c r="D539" s="3" t="s">
        <v>174</v>
      </c>
      <c r="E539" s="3" t="s">
        <v>16</v>
      </c>
      <c r="F539" s="5">
        <v>0</v>
      </c>
      <c r="G539" s="5">
        <v>882</v>
      </c>
      <c r="H539" s="6">
        <v>0</v>
      </c>
      <c r="I539" s="22">
        <v>48935.58</v>
      </c>
      <c r="J539" s="24">
        <f t="shared" si="24"/>
        <v>3.3908060089578036E-4</v>
      </c>
      <c r="K539" s="25">
        <f t="shared" si="26"/>
        <v>0.57049352677733978</v>
      </c>
      <c r="L539" s="26" t="s">
        <v>7516</v>
      </c>
      <c r="M539" s="28"/>
      <c r="N539" s="28"/>
      <c r="O539" s="20" t="s">
        <v>7530</v>
      </c>
      <c r="P539" s="27" t="str">
        <f t="shared" si="25"/>
        <v>vermelho</v>
      </c>
    </row>
    <row r="540" spans="1:16" ht="38.25">
      <c r="A540" s="3" t="s">
        <v>5683</v>
      </c>
      <c r="B540" s="3" t="s">
        <v>110</v>
      </c>
      <c r="C540" s="4">
        <v>34</v>
      </c>
      <c r="D540" s="3" t="s">
        <v>54</v>
      </c>
      <c r="E540" s="3" t="s">
        <v>49</v>
      </c>
      <c r="F540" s="5">
        <v>585</v>
      </c>
      <c r="G540" s="5">
        <v>687</v>
      </c>
      <c r="H540" s="6">
        <v>32625.15</v>
      </c>
      <c r="I540" s="22">
        <v>48763.62</v>
      </c>
      <c r="J540" s="24">
        <f t="shared" si="24"/>
        <v>3.3788906908743073E-4</v>
      </c>
      <c r="K540" s="25">
        <f t="shared" si="26"/>
        <v>0.57083141584642716</v>
      </c>
      <c r="L540" s="26" t="s">
        <v>7516</v>
      </c>
      <c r="M540" s="28"/>
      <c r="N540" s="28"/>
      <c r="O540" s="20" t="s">
        <v>7530</v>
      </c>
      <c r="P540" s="27" t="str">
        <f t="shared" si="25"/>
        <v>vermelho</v>
      </c>
    </row>
    <row r="541" spans="1:16">
      <c r="A541" s="3" t="s">
        <v>4</v>
      </c>
      <c r="B541" s="3" t="s">
        <v>208</v>
      </c>
      <c r="C541" s="4">
        <v>217</v>
      </c>
      <c r="D541" s="3" t="s">
        <v>91</v>
      </c>
      <c r="E541" s="3" t="s">
        <v>16</v>
      </c>
      <c r="F541" s="5">
        <v>552</v>
      </c>
      <c r="G541" s="5">
        <v>879</v>
      </c>
      <c r="H541" s="6">
        <v>30711.93</v>
      </c>
      <c r="I541" s="22">
        <v>48732.27</v>
      </c>
      <c r="J541" s="24">
        <f t="shared" si="24"/>
        <v>3.3767184111469428E-4</v>
      </c>
      <c r="K541" s="25">
        <f t="shared" si="26"/>
        <v>0.57116908768754182</v>
      </c>
      <c r="L541" s="26" t="s">
        <v>7516</v>
      </c>
      <c r="M541" s="28"/>
      <c r="N541" s="28"/>
      <c r="O541" s="20" t="s">
        <v>7530</v>
      </c>
      <c r="P541" s="27" t="str">
        <f t="shared" si="25"/>
        <v>vermelho</v>
      </c>
    </row>
    <row r="542" spans="1:16" ht="25.5">
      <c r="A542" s="3" t="s">
        <v>5684</v>
      </c>
      <c r="B542" s="3" t="s">
        <v>5685</v>
      </c>
      <c r="C542" s="4">
        <v>317</v>
      </c>
      <c r="D542" s="3" t="s">
        <v>78</v>
      </c>
      <c r="E542" s="3" t="s">
        <v>10</v>
      </c>
      <c r="F542" s="5">
        <v>0</v>
      </c>
      <c r="G542" s="5">
        <v>1548</v>
      </c>
      <c r="H542" s="6">
        <v>0</v>
      </c>
      <c r="I542" s="22">
        <v>48705.06</v>
      </c>
      <c r="J542" s="24">
        <f t="shared" si="24"/>
        <v>3.3748329970677851E-4</v>
      </c>
      <c r="K542" s="25">
        <f t="shared" si="26"/>
        <v>0.57150657098724855</v>
      </c>
      <c r="L542" s="26" t="s">
        <v>7516</v>
      </c>
      <c r="M542" s="28"/>
      <c r="N542" s="28"/>
      <c r="O542" s="20" t="s">
        <v>7530</v>
      </c>
      <c r="P542" s="27" t="str">
        <f t="shared" si="25"/>
        <v>vermelho</v>
      </c>
    </row>
    <row r="543" spans="1:16" ht="25.5">
      <c r="A543" s="3" t="s">
        <v>4</v>
      </c>
      <c r="B543" s="3" t="s">
        <v>209</v>
      </c>
      <c r="C543" s="4">
        <v>297</v>
      </c>
      <c r="D543" s="3" t="s">
        <v>115</v>
      </c>
      <c r="E543" s="3" t="s">
        <v>41</v>
      </c>
      <c r="F543" s="5">
        <v>804</v>
      </c>
      <c r="G543" s="5">
        <v>780</v>
      </c>
      <c r="H543" s="6">
        <v>44430.588000000003</v>
      </c>
      <c r="I543" s="22">
        <v>48688.925999999999</v>
      </c>
      <c r="J543" s="24">
        <f t="shared" si="24"/>
        <v>3.3737150525344102E-4</v>
      </c>
      <c r="K543" s="25">
        <f t="shared" si="26"/>
        <v>0.57184394249250203</v>
      </c>
      <c r="L543" s="26" t="s">
        <v>7516</v>
      </c>
      <c r="M543" s="28"/>
      <c r="N543" s="28"/>
      <c r="O543" s="20">
        <v>20551.47</v>
      </c>
      <c r="P543" s="27" t="str">
        <f t="shared" si="25"/>
        <v>amarelo</v>
      </c>
    </row>
    <row r="544" spans="1:16">
      <c r="A544" s="3" t="s">
        <v>4</v>
      </c>
      <c r="B544" s="3" t="s">
        <v>210</v>
      </c>
      <c r="C544" s="4">
        <v>240</v>
      </c>
      <c r="D544" s="3" t="s">
        <v>69</v>
      </c>
      <c r="E544" s="3" t="s">
        <v>16</v>
      </c>
      <c r="F544" s="5">
        <v>993</v>
      </c>
      <c r="G544" s="5">
        <v>852</v>
      </c>
      <c r="H544" s="6">
        <v>54170.64</v>
      </c>
      <c r="I544" s="22">
        <v>48667.199999999997</v>
      </c>
      <c r="J544" s="24">
        <f t="shared" si="24"/>
        <v>3.3722096315022976E-4</v>
      </c>
      <c r="K544" s="25">
        <f t="shared" si="26"/>
        <v>0.57218116345565229</v>
      </c>
      <c r="L544" s="26" t="s">
        <v>7516</v>
      </c>
      <c r="M544" s="28"/>
      <c r="N544" s="28"/>
      <c r="O544" s="20">
        <v>21669.360000000001</v>
      </c>
      <c r="P544" s="27" t="str">
        <f t="shared" si="25"/>
        <v>amarelo</v>
      </c>
    </row>
    <row r="545" spans="1:16" ht="38.25">
      <c r="A545" s="3" t="s">
        <v>4</v>
      </c>
      <c r="B545" s="3" t="s">
        <v>211</v>
      </c>
      <c r="C545" s="4">
        <v>45</v>
      </c>
      <c r="D545" s="3" t="s">
        <v>23</v>
      </c>
      <c r="E545" s="3" t="s">
        <v>7</v>
      </c>
      <c r="F545" s="5">
        <v>801</v>
      </c>
      <c r="G545" s="5">
        <v>810</v>
      </c>
      <c r="H545" s="6">
        <v>44693.07</v>
      </c>
      <c r="I545" s="22">
        <v>48598.98</v>
      </c>
      <c r="J545" s="24">
        <f t="shared" si="24"/>
        <v>3.3674825845166263E-4</v>
      </c>
      <c r="K545" s="25">
        <f t="shared" si="26"/>
        <v>0.57251791171410393</v>
      </c>
      <c r="L545" s="26" t="s">
        <v>7516</v>
      </c>
      <c r="M545" s="28"/>
      <c r="N545" s="28"/>
      <c r="O545" s="20">
        <v>30356.67</v>
      </c>
      <c r="P545" s="27" t="str">
        <f t="shared" si="25"/>
        <v>laranja</v>
      </c>
    </row>
    <row r="546" spans="1:16" ht="25.5">
      <c r="A546" s="3" t="s">
        <v>4</v>
      </c>
      <c r="B546" s="3" t="s">
        <v>212</v>
      </c>
      <c r="C546" s="4">
        <v>61</v>
      </c>
      <c r="D546" s="3" t="s">
        <v>48</v>
      </c>
      <c r="E546" s="3" t="s">
        <v>49</v>
      </c>
      <c r="F546" s="5">
        <v>672</v>
      </c>
      <c r="G546" s="5">
        <v>786</v>
      </c>
      <c r="H546" s="6">
        <v>35434.559999999998</v>
      </c>
      <c r="I546" s="22">
        <v>48487.56</v>
      </c>
      <c r="J546" s="24">
        <f t="shared" si="24"/>
        <v>3.3597621568540116E-4</v>
      </c>
      <c r="K546" s="25">
        <f t="shared" si="26"/>
        <v>0.57285388792978931</v>
      </c>
      <c r="L546" s="26" t="s">
        <v>7516</v>
      </c>
      <c r="M546" s="28"/>
      <c r="N546" s="28"/>
      <c r="O546" s="20">
        <v>12545.14</v>
      </c>
      <c r="P546" s="27" t="str">
        <f t="shared" si="25"/>
        <v>amarelo</v>
      </c>
    </row>
    <row r="547" spans="1:16" ht="25.5">
      <c r="A547" s="3" t="s">
        <v>5686</v>
      </c>
      <c r="B547" s="3" t="s">
        <v>5687</v>
      </c>
      <c r="C547" s="4">
        <v>197</v>
      </c>
      <c r="D547" s="3" t="s">
        <v>66</v>
      </c>
      <c r="E547" s="3" t="s">
        <v>41</v>
      </c>
      <c r="F547" s="5">
        <v>204</v>
      </c>
      <c r="G547" s="5">
        <v>768</v>
      </c>
      <c r="H547" s="6">
        <v>11311.308000000001</v>
      </c>
      <c r="I547" s="22">
        <v>48393.025999999998</v>
      </c>
      <c r="J547" s="24">
        <f t="shared" si="24"/>
        <v>3.3532117807217411E-4</v>
      </c>
      <c r="K547" s="25">
        <f t="shared" si="26"/>
        <v>0.57318920910786153</v>
      </c>
      <c r="L547" s="26" t="s">
        <v>7516</v>
      </c>
      <c r="M547" s="28"/>
      <c r="N547" s="28"/>
      <c r="O547" s="20">
        <v>9752.92</v>
      </c>
      <c r="P547" s="27" t="str">
        <f t="shared" si="25"/>
        <v>amarelo</v>
      </c>
    </row>
    <row r="548" spans="1:16" ht="25.5">
      <c r="A548" s="3" t="s">
        <v>5688</v>
      </c>
      <c r="B548" s="3" t="s">
        <v>5689</v>
      </c>
      <c r="C548" s="4">
        <v>39</v>
      </c>
      <c r="D548" s="3" t="s">
        <v>26</v>
      </c>
      <c r="E548" s="3" t="s">
        <v>13</v>
      </c>
      <c r="F548" s="5">
        <v>780</v>
      </c>
      <c r="G548" s="5">
        <v>864</v>
      </c>
      <c r="H548" s="6">
        <v>36058.656000000003</v>
      </c>
      <c r="I548" s="22">
        <v>48364.800000000003</v>
      </c>
      <c r="J548" s="24">
        <f t="shared" si="24"/>
        <v>3.3512559667637002E-4</v>
      </c>
      <c r="K548" s="25">
        <f t="shared" si="26"/>
        <v>0.5735243347045379</v>
      </c>
      <c r="L548" s="26" t="s">
        <v>7516</v>
      </c>
      <c r="M548" s="28"/>
      <c r="N548" s="28"/>
      <c r="O548" s="20" t="s">
        <v>7530</v>
      </c>
      <c r="P548" s="27" t="str">
        <f t="shared" si="25"/>
        <v>vermelho</v>
      </c>
    </row>
    <row r="549" spans="1:16">
      <c r="A549" s="3" t="s">
        <v>5499</v>
      </c>
      <c r="B549" s="3" t="s">
        <v>5500</v>
      </c>
      <c r="C549" s="4">
        <v>240</v>
      </c>
      <c r="D549" s="3" t="s">
        <v>69</v>
      </c>
      <c r="E549" s="3" t="s">
        <v>16</v>
      </c>
      <c r="F549" s="5">
        <v>324</v>
      </c>
      <c r="G549" s="5">
        <v>789</v>
      </c>
      <c r="H549" s="6">
        <v>17751.78</v>
      </c>
      <c r="I549" s="22">
        <v>48343.62</v>
      </c>
      <c r="J549" s="24">
        <f t="shared" si="24"/>
        <v>3.3497883787373658E-4</v>
      </c>
      <c r="K549" s="25">
        <f t="shared" si="26"/>
        <v>0.5738593135424116</v>
      </c>
      <c r="L549" s="26" t="s">
        <v>7516</v>
      </c>
      <c r="M549" s="28"/>
      <c r="N549" s="28"/>
      <c r="O549" s="20">
        <v>18500.73</v>
      </c>
      <c r="P549" s="27" t="str">
        <f t="shared" si="25"/>
        <v>amarelo</v>
      </c>
    </row>
    <row r="550" spans="1:16" ht="38.25">
      <c r="A550" s="3" t="s">
        <v>5690</v>
      </c>
      <c r="B550" s="3" t="s">
        <v>5691</v>
      </c>
      <c r="C550" s="4">
        <v>34</v>
      </c>
      <c r="D550" s="3" t="s">
        <v>54</v>
      </c>
      <c r="E550" s="3" t="s">
        <v>49</v>
      </c>
      <c r="F550" s="5">
        <v>1347</v>
      </c>
      <c r="G550" s="5">
        <v>764</v>
      </c>
      <c r="H550" s="6">
        <v>72431.888999999996</v>
      </c>
      <c r="I550" s="22">
        <v>48338.76</v>
      </c>
      <c r="J550" s="24">
        <f t="shared" si="24"/>
        <v>3.3494516234112097E-4</v>
      </c>
      <c r="K550" s="25">
        <f t="shared" si="26"/>
        <v>0.57419425870475271</v>
      </c>
      <c r="L550" s="26" t="s">
        <v>7516</v>
      </c>
      <c r="M550" s="28"/>
      <c r="N550" s="28"/>
      <c r="O550" s="20" t="s">
        <v>7530</v>
      </c>
      <c r="P550" s="27" t="str">
        <f t="shared" si="25"/>
        <v>vermelho</v>
      </c>
    </row>
    <row r="551" spans="1:16">
      <c r="A551" s="3" t="s">
        <v>4</v>
      </c>
      <c r="B551" s="3" t="s">
        <v>213</v>
      </c>
      <c r="C551" s="4">
        <v>15</v>
      </c>
      <c r="D551" s="3" t="s">
        <v>18</v>
      </c>
      <c r="E551" s="3" t="s">
        <v>16</v>
      </c>
      <c r="F551" s="5">
        <v>1014</v>
      </c>
      <c r="G551" s="5">
        <v>849</v>
      </c>
      <c r="H551" s="6">
        <v>56202.63</v>
      </c>
      <c r="I551" s="22">
        <v>48299.49</v>
      </c>
      <c r="J551" s="24">
        <f t="shared" si="24"/>
        <v>3.3467305572264054E-4</v>
      </c>
      <c r="K551" s="25">
        <f t="shared" si="26"/>
        <v>0.57452893176047537</v>
      </c>
      <c r="L551" s="26" t="s">
        <v>7516</v>
      </c>
      <c r="M551" s="28"/>
      <c r="N551" s="28"/>
      <c r="O551" s="20">
        <v>8250.06</v>
      </c>
      <c r="P551" s="27" t="str">
        <f t="shared" si="25"/>
        <v>amarelo</v>
      </c>
    </row>
    <row r="552" spans="1:16" ht="25.5">
      <c r="A552" s="3" t="s">
        <v>5692</v>
      </c>
      <c r="B552" s="3" t="s">
        <v>5693</v>
      </c>
      <c r="C552" s="4">
        <v>316</v>
      </c>
      <c r="D552" s="3" t="s">
        <v>247</v>
      </c>
      <c r="E552" s="3" t="s">
        <v>10</v>
      </c>
      <c r="F552" s="5">
        <v>1541</v>
      </c>
      <c r="G552" s="5">
        <v>792</v>
      </c>
      <c r="H552" s="6">
        <v>50583.16</v>
      </c>
      <c r="I552" s="22">
        <v>48297.383999999998</v>
      </c>
      <c r="J552" s="24">
        <f t="shared" si="24"/>
        <v>3.3465846299184044E-4</v>
      </c>
      <c r="K552" s="25">
        <f t="shared" si="26"/>
        <v>0.57486359022346722</v>
      </c>
      <c r="L552" s="26" t="s">
        <v>7516</v>
      </c>
      <c r="M552" s="28"/>
      <c r="N552" s="28"/>
      <c r="O552" s="20" t="s">
        <v>7530</v>
      </c>
      <c r="P552" s="27" t="str">
        <f t="shared" si="25"/>
        <v>vermelho</v>
      </c>
    </row>
    <row r="553" spans="1:16" ht="25.5">
      <c r="A553" s="3" t="s">
        <v>5694</v>
      </c>
      <c r="B553" s="3" t="s">
        <v>5695</v>
      </c>
      <c r="C553" s="4">
        <v>270</v>
      </c>
      <c r="D553" s="3" t="s">
        <v>266</v>
      </c>
      <c r="E553" s="3" t="s">
        <v>49</v>
      </c>
      <c r="F553" s="5">
        <v>120</v>
      </c>
      <c r="G553" s="5">
        <v>861</v>
      </c>
      <c r="H553" s="6">
        <v>5870.0159999999996</v>
      </c>
      <c r="I553" s="22">
        <v>48278.79</v>
      </c>
      <c r="J553" s="24">
        <f t="shared" si="24"/>
        <v>3.3452962289853708E-4</v>
      </c>
      <c r="K553" s="25">
        <f t="shared" si="26"/>
        <v>0.57519811984636571</v>
      </c>
      <c r="L553" s="26" t="s">
        <v>7516</v>
      </c>
      <c r="M553" s="28"/>
      <c r="N553" s="28"/>
      <c r="O553" s="20" t="s">
        <v>7530</v>
      </c>
      <c r="P553" s="27" t="str">
        <f t="shared" si="25"/>
        <v>vermelho</v>
      </c>
    </row>
    <row r="554" spans="1:16" ht="25.5">
      <c r="A554" s="3" t="s">
        <v>5696</v>
      </c>
      <c r="B554" s="3" t="s">
        <v>5697</v>
      </c>
      <c r="C554" s="4">
        <v>218</v>
      </c>
      <c r="D554" s="3" t="s">
        <v>104</v>
      </c>
      <c r="E554" s="3" t="s">
        <v>16</v>
      </c>
      <c r="F554" s="5">
        <v>1314</v>
      </c>
      <c r="G554" s="5">
        <v>1002</v>
      </c>
      <c r="H554" s="6">
        <v>60670.02</v>
      </c>
      <c r="I554" s="22">
        <v>48261.66</v>
      </c>
      <c r="J554" s="24">
        <f t="shared" si="24"/>
        <v>3.3441092703974997E-4</v>
      </c>
      <c r="K554" s="25">
        <f t="shared" si="26"/>
        <v>0.57553253077340549</v>
      </c>
      <c r="L554" s="26" t="s">
        <v>7516</v>
      </c>
      <c r="M554" s="28"/>
      <c r="N554" s="28"/>
      <c r="O554" s="20" t="s">
        <v>7530</v>
      </c>
      <c r="P554" s="27" t="str">
        <f t="shared" si="25"/>
        <v>vermelho</v>
      </c>
    </row>
    <row r="555" spans="1:16" ht="25.5">
      <c r="A555" s="3" t="s">
        <v>5698</v>
      </c>
      <c r="B555" s="3" t="s">
        <v>5699</v>
      </c>
      <c r="C555" s="4">
        <v>266</v>
      </c>
      <c r="D555" s="3" t="s">
        <v>80</v>
      </c>
      <c r="E555" s="3" t="s">
        <v>10</v>
      </c>
      <c r="F555" s="5">
        <v>753</v>
      </c>
      <c r="G555" s="5">
        <v>828</v>
      </c>
      <c r="H555" s="6">
        <v>41506.910000000003</v>
      </c>
      <c r="I555" s="22">
        <v>48024.75</v>
      </c>
      <c r="J555" s="24">
        <f t="shared" si="24"/>
        <v>3.3276934876156836E-4</v>
      </c>
      <c r="K555" s="25">
        <f t="shared" si="26"/>
        <v>0.57586530012216708</v>
      </c>
      <c r="L555" s="26" t="s">
        <v>7516</v>
      </c>
      <c r="M555" s="28"/>
      <c r="N555" s="28"/>
      <c r="O555" s="20" t="s">
        <v>7530</v>
      </c>
      <c r="P555" s="27" t="str">
        <f t="shared" si="25"/>
        <v>vermelho</v>
      </c>
    </row>
    <row r="556" spans="1:16" ht="38.25">
      <c r="A556" s="3" t="s">
        <v>5700</v>
      </c>
      <c r="B556" s="3" t="s">
        <v>5701</v>
      </c>
      <c r="C556" s="4">
        <v>34</v>
      </c>
      <c r="D556" s="3" t="s">
        <v>54</v>
      </c>
      <c r="E556" s="3" t="s">
        <v>49</v>
      </c>
      <c r="F556" s="5">
        <v>1395</v>
      </c>
      <c r="G556" s="5">
        <v>768</v>
      </c>
      <c r="H556" s="6">
        <v>78243.377999999997</v>
      </c>
      <c r="I556" s="22">
        <v>48008.52</v>
      </c>
      <c r="J556" s="24">
        <f t="shared" si="24"/>
        <v>3.3265688911252484E-4</v>
      </c>
      <c r="K556" s="25">
        <f t="shared" si="26"/>
        <v>0.57619795701127963</v>
      </c>
      <c r="L556" s="26" t="s">
        <v>7516</v>
      </c>
      <c r="M556" s="28"/>
      <c r="N556" s="28"/>
      <c r="O556" s="20">
        <v>29466.240000000002</v>
      </c>
      <c r="P556" s="27" t="str">
        <f t="shared" si="25"/>
        <v>laranja</v>
      </c>
    </row>
    <row r="557" spans="1:16" ht="25.5">
      <c r="A557" s="3" t="s">
        <v>4</v>
      </c>
      <c r="B557" s="3" t="s">
        <v>214</v>
      </c>
      <c r="C557" s="4">
        <v>328</v>
      </c>
      <c r="D557" s="3" t="s">
        <v>215</v>
      </c>
      <c r="E557" s="3" t="s">
        <v>41</v>
      </c>
      <c r="F557" s="5">
        <v>1005</v>
      </c>
      <c r="G557" s="5">
        <v>720</v>
      </c>
      <c r="H557" s="6">
        <v>60479.76</v>
      </c>
      <c r="I557" s="22">
        <v>47934.96</v>
      </c>
      <c r="J557" s="24">
        <f t="shared" si="24"/>
        <v>3.3214718290281212E-4</v>
      </c>
      <c r="K557" s="25">
        <f t="shared" si="26"/>
        <v>0.57653010419418249</v>
      </c>
      <c r="L557" s="26" t="s">
        <v>7516</v>
      </c>
      <c r="M557" s="28">
        <v>-0.10378601602386894</v>
      </c>
      <c r="N557" s="28"/>
      <c r="O557" s="20">
        <v>16635.12</v>
      </c>
      <c r="P557" s="27" t="str">
        <f t="shared" si="25"/>
        <v>amarelo</v>
      </c>
    </row>
    <row r="558" spans="1:16" ht="51">
      <c r="A558" s="3" t="s">
        <v>4</v>
      </c>
      <c r="B558" s="3" t="s">
        <v>216</v>
      </c>
      <c r="C558" s="4">
        <v>282</v>
      </c>
      <c r="D558" s="3" t="s">
        <v>12</v>
      </c>
      <c r="E558" s="3" t="s">
        <v>13</v>
      </c>
      <c r="F558" s="5">
        <v>438</v>
      </c>
      <c r="G558" s="5">
        <v>1008</v>
      </c>
      <c r="H558" s="6">
        <v>23542.74</v>
      </c>
      <c r="I558" s="22">
        <v>47885.673999999999</v>
      </c>
      <c r="J558" s="24">
        <f t="shared" si="24"/>
        <v>3.3180567419900707E-4</v>
      </c>
      <c r="K558" s="25">
        <f t="shared" si="26"/>
        <v>0.57686190986838148</v>
      </c>
      <c r="L558" s="26" t="s">
        <v>7516</v>
      </c>
      <c r="M558" s="28"/>
      <c r="N558" s="28"/>
      <c r="O558" s="20" t="s">
        <v>7530</v>
      </c>
      <c r="P558" s="27" t="str">
        <f t="shared" si="25"/>
        <v>vermelho</v>
      </c>
    </row>
    <row r="559" spans="1:16">
      <c r="A559" s="3" t="s">
        <v>5702</v>
      </c>
      <c r="B559" s="3" t="s">
        <v>5703</v>
      </c>
      <c r="C559" s="4">
        <v>167</v>
      </c>
      <c r="D559" s="3" t="s">
        <v>251</v>
      </c>
      <c r="E559" s="3" t="s">
        <v>49</v>
      </c>
      <c r="F559" s="5">
        <v>1452</v>
      </c>
      <c r="G559" s="5">
        <v>879</v>
      </c>
      <c r="H559" s="6">
        <v>80927.16</v>
      </c>
      <c r="I559" s="22">
        <v>47853.15</v>
      </c>
      <c r="J559" s="24">
        <f t="shared" si="24"/>
        <v>3.3158031143711616E-4</v>
      </c>
      <c r="K559" s="25">
        <f t="shared" si="26"/>
        <v>0.57719349017981858</v>
      </c>
      <c r="L559" s="26" t="s">
        <v>7516</v>
      </c>
      <c r="M559" s="28"/>
      <c r="N559" s="28"/>
      <c r="O559" s="20">
        <v>39211.302000000003</v>
      </c>
      <c r="P559" s="27" t="str">
        <f t="shared" si="25"/>
        <v>laranja</v>
      </c>
    </row>
    <row r="560" spans="1:16" ht="25.5">
      <c r="A560" s="3" t="s">
        <v>5704</v>
      </c>
      <c r="B560" s="3" t="s">
        <v>5705</v>
      </c>
      <c r="C560" s="4">
        <v>335</v>
      </c>
      <c r="D560" s="3" t="s">
        <v>36</v>
      </c>
      <c r="E560" s="3" t="s">
        <v>7</v>
      </c>
      <c r="F560" s="5">
        <v>354</v>
      </c>
      <c r="G560" s="5">
        <v>814</v>
      </c>
      <c r="H560" s="6">
        <v>19596.936000000002</v>
      </c>
      <c r="I560" s="22">
        <v>47739.42</v>
      </c>
      <c r="J560" s="24">
        <f t="shared" si="24"/>
        <v>3.3079226239917937E-4</v>
      </c>
      <c r="K560" s="25">
        <f t="shared" si="26"/>
        <v>0.57752428244221776</v>
      </c>
      <c r="L560" s="26" t="s">
        <v>7516</v>
      </c>
      <c r="M560" s="28"/>
      <c r="N560" s="28"/>
      <c r="O560" s="20" t="s">
        <v>7530</v>
      </c>
      <c r="P560" s="27" t="str">
        <f t="shared" si="25"/>
        <v>vermelho</v>
      </c>
    </row>
    <row r="561" spans="1:16">
      <c r="A561" s="3" t="s">
        <v>5706</v>
      </c>
      <c r="B561" s="3" t="s">
        <v>5707</v>
      </c>
      <c r="C561" s="4">
        <v>240</v>
      </c>
      <c r="D561" s="3" t="s">
        <v>69</v>
      </c>
      <c r="E561" s="3" t="s">
        <v>16</v>
      </c>
      <c r="F561" s="5">
        <v>807</v>
      </c>
      <c r="G561" s="5">
        <v>822</v>
      </c>
      <c r="H561" s="6">
        <v>43073.79</v>
      </c>
      <c r="I561" s="22">
        <v>47697.48</v>
      </c>
      <c r="J561" s="24">
        <f t="shared" si="24"/>
        <v>3.3050165502512623E-4</v>
      </c>
      <c r="K561" s="25">
        <f t="shared" si="26"/>
        <v>0.57785478409724289</v>
      </c>
      <c r="L561" s="26" t="s">
        <v>7516</v>
      </c>
      <c r="M561" s="28"/>
      <c r="N561" s="28"/>
      <c r="O561" s="20">
        <v>30935.34</v>
      </c>
      <c r="P561" s="27" t="str">
        <f t="shared" si="25"/>
        <v>laranja</v>
      </c>
    </row>
    <row r="562" spans="1:16" ht="25.5">
      <c r="A562" s="3" t="s">
        <v>5708</v>
      </c>
      <c r="B562" s="3" t="s">
        <v>5709</v>
      </c>
      <c r="C562" s="4">
        <v>317</v>
      </c>
      <c r="D562" s="3" t="s">
        <v>78</v>
      </c>
      <c r="E562" s="3" t="s">
        <v>10</v>
      </c>
      <c r="F562" s="5">
        <v>438</v>
      </c>
      <c r="G562" s="5">
        <v>753</v>
      </c>
      <c r="H562" s="6">
        <v>28841.25</v>
      </c>
      <c r="I562" s="22">
        <v>47617.5</v>
      </c>
      <c r="J562" s="24">
        <f t="shared" si="24"/>
        <v>3.2994746385257563E-4</v>
      </c>
      <c r="K562" s="25">
        <f t="shared" si="26"/>
        <v>0.57818473156109551</v>
      </c>
      <c r="L562" s="26" t="s">
        <v>7516</v>
      </c>
      <c r="M562" s="28"/>
      <c r="N562" s="28"/>
      <c r="O562" s="20">
        <v>6254.28</v>
      </c>
      <c r="P562" s="27" t="str">
        <f t="shared" si="25"/>
        <v>amarelo</v>
      </c>
    </row>
    <row r="563" spans="1:16" ht="25.5">
      <c r="A563" s="3" t="s">
        <v>4</v>
      </c>
      <c r="B563" s="3" t="s">
        <v>217</v>
      </c>
      <c r="C563" s="4">
        <v>320</v>
      </c>
      <c r="D563" s="3" t="s">
        <v>218</v>
      </c>
      <c r="E563" s="3" t="s">
        <v>49</v>
      </c>
      <c r="F563" s="5">
        <v>747</v>
      </c>
      <c r="G563" s="5">
        <v>678</v>
      </c>
      <c r="H563" s="6">
        <v>45150.3</v>
      </c>
      <c r="I563" s="22">
        <v>47601.27</v>
      </c>
      <c r="J563" s="24">
        <f t="shared" si="24"/>
        <v>3.2983500420353211E-4</v>
      </c>
      <c r="K563" s="25">
        <f t="shared" si="26"/>
        <v>0.57851456656529909</v>
      </c>
      <c r="L563" s="26" t="s">
        <v>7516</v>
      </c>
      <c r="M563" s="28">
        <v>-0.16288661407211102</v>
      </c>
      <c r="N563" s="28"/>
      <c r="O563" s="20">
        <v>37032.269999999997</v>
      </c>
      <c r="P563" s="27" t="str">
        <f t="shared" si="25"/>
        <v>laranja</v>
      </c>
    </row>
    <row r="564" spans="1:16" ht="25.5">
      <c r="A564" s="3" t="s">
        <v>4</v>
      </c>
      <c r="B564" s="3" t="s">
        <v>219</v>
      </c>
      <c r="C564" s="4">
        <v>19</v>
      </c>
      <c r="D564" s="3" t="s">
        <v>72</v>
      </c>
      <c r="E564" s="3" t="s">
        <v>41</v>
      </c>
      <c r="F564" s="5">
        <v>546</v>
      </c>
      <c r="G564" s="5">
        <v>762</v>
      </c>
      <c r="H564" s="6">
        <v>31741.07</v>
      </c>
      <c r="I564" s="22">
        <v>47546.26</v>
      </c>
      <c r="J564" s="24">
        <f t="shared" si="24"/>
        <v>3.2945383320575759E-4</v>
      </c>
      <c r="K564" s="25">
        <f t="shared" si="26"/>
        <v>0.5788440203985048</v>
      </c>
      <c r="L564" s="26" t="s">
        <v>7516</v>
      </c>
      <c r="M564" s="28"/>
      <c r="N564" s="28"/>
      <c r="O564" s="20" t="s">
        <v>7530</v>
      </c>
      <c r="P564" s="27" t="str">
        <f t="shared" si="25"/>
        <v>vermelho</v>
      </c>
    </row>
    <row r="565" spans="1:16">
      <c r="A565" s="3" t="s">
        <v>4</v>
      </c>
      <c r="B565" s="3" t="s">
        <v>220</v>
      </c>
      <c r="C565" s="4">
        <v>232</v>
      </c>
      <c r="D565" s="3" t="s">
        <v>174</v>
      </c>
      <c r="E565" s="3" t="s">
        <v>16</v>
      </c>
      <c r="F565" s="5">
        <v>741</v>
      </c>
      <c r="G565" s="5">
        <v>809</v>
      </c>
      <c r="H565" s="6">
        <v>45419.43</v>
      </c>
      <c r="I565" s="22">
        <v>47529.04</v>
      </c>
      <c r="J565" s="24">
        <f t="shared" si="24"/>
        <v>3.2933451372599612E-4</v>
      </c>
      <c r="K565" s="25">
        <f t="shared" si="26"/>
        <v>0.57917335491223076</v>
      </c>
      <c r="L565" s="26" t="s">
        <v>7516</v>
      </c>
      <c r="M565" s="28"/>
      <c r="N565" s="28"/>
      <c r="O565" s="20">
        <v>17634.48</v>
      </c>
      <c r="P565" s="27" t="str">
        <f t="shared" si="25"/>
        <v>amarelo</v>
      </c>
    </row>
    <row r="566" spans="1:16" ht="25.5">
      <c r="A566" s="3" t="s">
        <v>4</v>
      </c>
      <c r="B566" s="3" t="s">
        <v>221</v>
      </c>
      <c r="C566" s="4">
        <v>19</v>
      </c>
      <c r="D566" s="3" t="s">
        <v>72</v>
      </c>
      <c r="E566" s="3" t="s">
        <v>41</v>
      </c>
      <c r="F566" s="5">
        <v>672</v>
      </c>
      <c r="G566" s="5">
        <v>855</v>
      </c>
      <c r="H566" s="6">
        <v>39760.68</v>
      </c>
      <c r="I566" s="22">
        <v>47438.67</v>
      </c>
      <c r="J566" s="24">
        <f t="shared" si="24"/>
        <v>3.2870832897651626E-4</v>
      </c>
      <c r="K566" s="25">
        <f t="shared" si="26"/>
        <v>0.57950206324120723</v>
      </c>
      <c r="L566" s="26" t="s">
        <v>7516</v>
      </c>
      <c r="M566" s="28"/>
      <c r="N566" s="28"/>
      <c r="O566" s="20" t="s">
        <v>7530</v>
      </c>
      <c r="P566" s="27" t="str">
        <f t="shared" si="25"/>
        <v>vermelho</v>
      </c>
    </row>
    <row r="567" spans="1:16" ht="38.25">
      <c r="A567" s="3" t="s">
        <v>5710</v>
      </c>
      <c r="B567" s="3" t="s">
        <v>5711</v>
      </c>
      <c r="C567" s="4">
        <v>34</v>
      </c>
      <c r="D567" s="3" t="s">
        <v>54</v>
      </c>
      <c r="E567" s="3" t="s">
        <v>49</v>
      </c>
      <c r="F567" s="5">
        <v>438</v>
      </c>
      <c r="G567" s="5">
        <v>678</v>
      </c>
      <c r="H567" s="6">
        <v>27301.68</v>
      </c>
      <c r="I567" s="22">
        <v>47426.43</v>
      </c>
      <c r="J567" s="24">
        <f t="shared" si="24"/>
        <v>3.2862351652400288E-4</v>
      </c>
      <c r="K567" s="25">
        <f t="shared" si="26"/>
        <v>0.5798306867577312</v>
      </c>
      <c r="L567" s="26" t="s">
        <v>7516</v>
      </c>
      <c r="M567" s="28"/>
      <c r="N567" s="28"/>
      <c r="O567" s="20">
        <v>22365</v>
      </c>
      <c r="P567" s="27" t="str">
        <f t="shared" si="25"/>
        <v>amarelo</v>
      </c>
    </row>
    <row r="568" spans="1:16" ht="51">
      <c r="A568" s="3" t="s">
        <v>5712</v>
      </c>
      <c r="B568" s="3" t="s">
        <v>5713</v>
      </c>
      <c r="C568" s="4">
        <v>282</v>
      </c>
      <c r="D568" s="3" t="s">
        <v>12</v>
      </c>
      <c r="E568" s="3" t="s">
        <v>13</v>
      </c>
      <c r="F568" s="5">
        <v>1188</v>
      </c>
      <c r="G568" s="5">
        <v>804</v>
      </c>
      <c r="H568" s="6">
        <v>74569.320000000007</v>
      </c>
      <c r="I568" s="22">
        <v>47408.76</v>
      </c>
      <c r="J568" s="24">
        <f t="shared" si="24"/>
        <v>3.2850107893936961E-4</v>
      </c>
      <c r="K568" s="25">
        <f t="shared" si="26"/>
        <v>0.58015918783667053</v>
      </c>
      <c r="L568" s="26" t="s">
        <v>7516</v>
      </c>
      <c r="M568" s="28"/>
      <c r="N568" s="28"/>
      <c r="O568" s="20" t="s">
        <v>7530</v>
      </c>
      <c r="P568" s="27" t="str">
        <f t="shared" si="25"/>
        <v>vermelho</v>
      </c>
    </row>
    <row r="569" spans="1:16" ht="25.5">
      <c r="A569" s="3" t="s">
        <v>5714</v>
      </c>
      <c r="B569" s="3" t="s">
        <v>5715</v>
      </c>
      <c r="C569" s="4">
        <v>74</v>
      </c>
      <c r="D569" s="3" t="s">
        <v>6</v>
      </c>
      <c r="E569" s="3" t="s">
        <v>7</v>
      </c>
      <c r="F569" s="5">
        <v>1110</v>
      </c>
      <c r="G569" s="5">
        <v>735</v>
      </c>
      <c r="H569" s="6">
        <v>64236.42</v>
      </c>
      <c r="I569" s="22">
        <v>47271.45</v>
      </c>
      <c r="J569" s="24">
        <f t="shared" si="24"/>
        <v>3.275496412061497E-4</v>
      </c>
      <c r="K569" s="25">
        <f t="shared" si="26"/>
        <v>0.58048673747787671</v>
      </c>
      <c r="L569" s="26" t="s">
        <v>7516</v>
      </c>
      <c r="M569" s="28"/>
      <c r="N569" s="28"/>
      <c r="O569" s="20">
        <v>17059.68</v>
      </c>
      <c r="P569" s="27" t="str">
        <f t="shared" si="25"/>
        <v>amarelo</v>
      </c>
    </row>
    <row r="570" spans="1:16" ht="25.5">
      <c r="A570" s="3" t="s">
        <v>5716</v>
      </c>
      <c r="B570" s="3" t="s">
        <v>5717</v>
      </c>
      <c r="C570" s="4">
        <v>266</v>
      </c>
      <c r="D570" s="3" t="s">
        <v>80</v>
      </c>
      <c r="E570" s="3" t="s">
        <v>10</v>
      </c>
      <c r="F570" s="5">
        <v>816</v>
      </c>
      <c r="G570" s="5">
        <v>783</v>
      </c>
      <c r="H570" s="6">
        <v>46788.87</v>
      </c>
      <c r="I570" s="22">
        <v>47156.73</v>
      </c>
      <c r="J570" s="24">
        <f t="shared" si="24"/>
        <v>3.2675473233749502E-4</v>
      </c>
      <c r="K570" s="25">
        <f t="shared" si="26"/>
        <v>0.58081349221021417</v>
      </c>
      <c r="L570" s="26" t="s">
        <v>7516</v>
      </c>
      <c r="M570" s="28"/>
      <c r="N570" s="28"/>
      <c r="O570" s="20">
        <v>28680.5</v>
      </c>
      <c r="P570" s="27" t="str">
        <f t="shared" si="25"/>
        <v>laranja</v>
      </c>
    </row>
    <row r="571" spans="1:16">
      <c r="A571" s="3" t="s">
        <v>4</v>
      </c>
      <c r="B571" s="3" t="s">
        <v>222</v>
      </c>
      <c r="C571" s="4">
        <v>232</v>
      </c>
      <c r="D571" s="3" t="s">
        <v>174</v>
      </c>
      <c r="E571" s="3" t="s">
        <v>16</v>
      </c>
      <c r="F571" s="5">
        <v>762</v>
      </c>
      <c r="G571" s="5">
        <v>780</v>
      </c>
      <c r="H571" s="6">
        <v>41100.54</v>
      </c>
      <c r="I571" s="22">
        <v>47087.7</v>
      </c>
      <c r="J571" s="24">
        <f t="shared" si="24"/>
        <v>3.2627641505015854E-4</v>
      </c>
      <c r="K571" s="25">
        <f t="shared" si="26"/>
        <v>0.58113976862526429</v>
      </c>
      <c r="L571" s="26" t="s">
        <v>7516</v>
      </c>
      <c r="M571" s="28"/>
      <c r="N571" s="28"/>
      <c r="O571" s="20">
        <v>3966.6</v>
      </c>
      <c r="P571" s="27" t="str">
        <f t="shared" si="25"/>
        <v>amarelo</v>
      </c>
    </row>
    <row r="572" spans="1:16" ht="38.25">
      <c r="A572" s="3" t="s">
        <v>4</v>
      </c>
      <c r="B572" s="3" t="s">
        <v>223</v>
      </c>
      <c r="C572" s="4">
        <v>45</v>
      </c>
      <c r="D572" s="3" t="s">
        <v>23</v>
      </c>
      <c r="E572" s="3" t="s">
        <v>7</v>
      </c>
      <c r="F572" s="5">
        <v>2541</v>
      </c>
      <c r="G572" s="5">
        <v>717</v>
      </c>
      <c r="H572" s="6">
        <v>142152.21</v>
      </c>
      <c r="I572" s="22">
        <v>47038.47</v>
      </c>
      <c r="J572" s="24">
        <f t="shared" si="24"/>
        <v>3.2593529437718199E-4</v>
      </c>
      <c r="K572" s="25">
        <f t="shared" si="26"/>
        <v>0.58146570391964147</v>
      </c>
      <c r="L572" s="26" t="s">
        <v>7516</v>
      </c>
      <c r="M572" s="28"/>
      <c r="N572" s="28"/>
      <c r="O572" s="20">
        <v>12297.3</v>
      </c>
      <c r="P572" s="27" t="str">
        <f t="shared" si="25"/>
        <v>amarelo</v>
      </c>
    </row>
    <row r="573" spans="1:16" ht="25.5">
      <c r="A573" s="3" t="s">
        <v>4</v>
      </c>
      <c r="B573" s="3" t="s">
        <v>224</v>
      </c>
      <c r="C573" s="4">
        <v>327</v>
      </c>
      <c r="D573" s="3" t="s">
        <v>100</v>
      </c>
      <c r="E573" s="3" t="s">
        <v>7</v>
      </c>
      <c r="F573" s="5">
        <v>0</v>
      </c>
      <c r="G573" s="5">
        <v>651</v>
      </c>
      <c r="H573" s="6">
        <v>0</v>
      </c>
      <c r="I573" s="22">
        <v>46977.120000000003</v>
      </c>
      <c r="J573" s="24">
        <f t="shared" si="24"/>
        <v>3.2551019274632454E-4</v>
      </c>
      <c r="K573" s="25">
        <f t="shared" si="26"/>
        <v>0.58179121411238777</v>
      </c>
      <c r="L573" s="26" t="s">
        <v>7516</v>
      </c>
      <c r="M573" s="28"/>
      <c r="N573" s="28"/>
      <c r="O573" s="20">
        <v>46977.120000000003</v>
      </c>
      <c r="P573" s="27" t="str">
        <f t="shared" si="25"/>
        <v>verde</v>
      </c>
    </row>
    <row r="574" spans="1:16" ht="25.5">
      <c r="A574" s="3" t="s">
        <v>4</v>
      </c>
      <c r="B574" s="3" t="s">
        <v>225</v>
      </c>
      <c r="C574" s="4">
        <v>217</v>
      </c>
      <c r="D574" s="3" t="s">
        <v>91</v>
      </c>
      <c r="E574" s="3" t="s">
        <v>16</v>
      </c>
      <c r="F574" s="5">
        <v>330</v>
      </c>
      <c r="G574" s="5">
        <v>762</v>
      </c>
      <c r="H574" s="6">
        <v>19147.05</v>
      </c>
      <c r="I574" s="22">
        <v>46876.08</v>
      </c>
      <c r="J574" s="24">
        <f t="shared" si="24"/>
        <v>3.2481007426577292E-4</v>
      </c>
      <c r="K574" s="25">
        <f t="shared" si="26"/>
        <v>0.58211602418665354</v>
      </c>
      <c r="L574" s="26" t="s">
        <v>7516</v>
      </c>
      <c r="M574" s="28"/>
      <c r="N574" s="28"/>
      <c r="O574" s="20">
        <v>25040.67</v>
      </c>
      <c r="P574" s="27" t="str">
        <f t="shared" si="25"/>
        <v>laranja</v>
      </c>
    </row>
    <row r="575" spans="1:16" ht="38.25">
      <c r="A575" s="3" t="s">
        <v>4</v>
      </c>
      <c r="B575" s="3" t="s">
        <v>226</v>
      </c>
      <c r="C575" s="4">
        <v>38</v>
      </c>
      <c r="D575" s="3" t="s">
        <v>184</v>
      </c>
      <c r="E575" s="3" t="s">
        <v>49</v>
      </c>
      <c r="F575" s="5">
        <v>855</v>
      </c>
      <c r="G575" s="5">
        <v>903</v>
      </c>
      <c r="H575" s="6">
        <v>45177.275999999998</v>
      </c>
      <c r="I575" s="22">
        <v>46835.34</v>
      </c>
      <c r="J575" s="24">
        <f t="shared" si="24"/>
        <v>3.2452778183804457E-4</v>
      </c>
      <c r="K575" s="25">
        <f t="shared" si="26"/>
        <v>0.58244055196849154</v>
      </c>
      <c r="L575" s="26" t="s">
        <v>7516</v>
      </c>
      <c r="M575" s="28"/>
      <c r="N575" s="28"/>
      <c r="O575" s="20">
        <v>5235.84</v>
      </c>
      <c r="P575" s="27" t="str">
        <f t="shared" si="25"/>
        <v>amarelo</v>
      </c>
    </row>
    <row r="576" spans="1:16" ht="25.5">
      <c r="A576" s="3" t="s">
        <v>5123</v>
      </c>
      <c r="B576" s="3" t="s">
        <v>5124</v>
      </c>
      <c r="C576" s="4">
        <v>317</v>
      </c>
      <c r="D576" s="3" t="s">
        <v>78</v>
      </c>
      <c r="E576" s="3" t="s">
        <v>10</v>
      </c>
      <c r="F576" s="5">
        <v>1464</v>
      </c>
      <c r="G576" s="5">
        <v>690</v>
      </c>
      <c r="H576" s="6">
        <v>88824.06</v>
      </c>
      <c r="I576" s="22">
        <v>46833.21</v>
      </c>
      <c r="J576" s="24">
        <f t="shared" si="24"/>
        <v>3.2451302280831802E-4</v>
      </c>
      <c r="K576" s="25">
        <f t="shared" si="26"/>
        <v>0.58276506499129987</v>
      </c>
      <c r="L576" s="26" t="s">
        <v>7516</v>
      </c>
      <c r="M576" s="28"/>
      <c r="N576" s="28"/>
      <c r="O576" s="20">
        <v>26313.093000000001</v>
      </c>
      <c r="P576" s="27" t="str">
        <f t="shared" si="25"/>
        <v>laranja</v>
      </c>
    </row>
    <row r="577" spans="1:16" ht="38.25">
      <c r="A577" s="3" t="s">
        <v>4</v>
      </c>
      <c r="B577" s="3" t="s">
        <v>227</v>
      </c>
      <c r="C577" s="4">
        <v>45</v>
      </c>
      <c r="D577" s="3" t="s">
        <v>23</v>
      </c>
      <c r="E577" s="3" t="s">
        <v>7</v>
      </c>
      <c r="F577" s="5">
        <v>1026</v>
      </c>
      <c r="G577" s="5">
        <v>795</v>
      </c>
      <c r="H577" s="6">
        <v>56986.32</v>
      </c>
      <c r="I577" s="22">
        <v>46820.43</v>
      </c>
      <c r="J577" s="24">
        <f t="shared" si="24"/>
        <v>3.2442446862995843E-4</v>
      </c>
      <c r="K577" s="25">
        <f t="shared" si="26"/>
        <v>0.58308948945992989</v>
      </c>
      <c r="L577" s="26" t="s">
        <v>7516</v>
      </c>
      <c r="M577" s="28"/>
      <c r="N577" s="28"/>
      <c r="O577" s="20">
        <v>11652.06</v>
      </c>
      <c r="P577" s="27" t="str">
        <f t="shared" si="25"/>
        <v>amarelo</v>
      </c>
    </row>
    <row r="578" spans="1:16">
      <c r="A578" s="3" t="s">
        <v>5718</v>
      </c>
      <c r="B578" s="3" t="s">
        <v>5719</v>
      </c>
      <c r="C578" s="4">
        <v>240</v>
      </c>
      <c r="D578" s="3" t="s">
        <v>69</v>
      </c>
      <c r="E578" s="3" t="s">
        <v>16</v>
      </c>
      <c r="F578" s="5">
        <v>600</v>
      </c>
      <c r="G578" s="5">
        <v>837</v>
      </c>
      <c r="H578" s="6">
        <v>30555.84</v>
      </c>
      <c r="I578" s="22">
        <v>46808.34</v>
      </c>
      <c r="J578" s="24">
        <f t="shared" si="24"/>
        <v>3.2434069554573565E-4</v>
      </c>
      <c r="K578" s="25">
        <f t="shared" si="26"/>
        <v>0.58341383015547565</v>
      </c>
      <c r="L578" s="26" t="s">
        <v>7516</v>
      </c>
      <c r="M578" s="28"/>
      <c r="N578" s="28"/>
      <c r="O578" s="20" t="s">
        <v>7530</v>
      </c>
      <c r="P578" s="27" t="str">
        <f t="shared" si="25"/>
        <v>vermelho</v>
      </c>
    </row>
    <row r="579" spans="1:16" ht="25.5">
      <c r="A579" s="3" t="s">
        <v>5720</v>
      </c>
      <c r="B579" s="3" t="s">
        <v>5721</v>
      </c>
      <c r="C579" s="4">
        <v>23</v>
      </c>
      <c r="D579" s="3" t="s">
        <v>87</v>
      </c>
      <c r="E579" s="3" t="s">
        <v>7</v>
      </c>
      <c r="F579" s="5">
        <v>1200</v>
      </c>
      <c r="G579" s="5">
        <v>666</v>
      </c>
      <c r="H579" s="6">
        <v>74029.2</v>
      </c>
      <c r="I579" s="22">
        <v>46783.199999999997</v>
      </c>
      <c r="J579" s="24">
        <f t="shared" ref="J579:J642" si="27">I579/$I$6364</f>
        <v>3.2416649742023025E-4</v>
      </c>
      <c r="K579" s="25">
        <f t="shared" si="26"/>
        <v>0.58373799665289583</v>
      </c>
      <c r="L579" s="26" t="s">
        <v>7516</v>
      </c>
      <c r="M579" s="28"/>
      <c r="N579" s="28"/>
      <c r="O579" s="20" t="s">
        <v>7530</v>
      </c>
      <c r="P579" s="27" t="str">
        <f t="shared" ref="P579:P642" si="28">IF(O579&lt;=0,"vermelho",IFERROR(IF(O579/I579&lt;=0.5098,"amarelo",IF(O579/I579&lt;1,"laranja","verde")),"vermelho"))</f>
        <v>vermelho</v>
      </c>
    </row>
    <row r="580" spans="1:16" ht="25.5">
      <c r="A580" s="3" t="s">
        <v>5722</v>
      </c>
      <c r="B580" s="3" t="s">
        <v>5723</v>
      </c>
      <c r="C580" s="4">
        <v>31</v>
      </c>
      <c r="D580" s="3" t="s">
        <v>194</v>
      </c>
      <c r="E580" s="3" t="s">
        <v>16</v>
      </c>
      <c r="F580" s="5">
        <v>657</v>
      </c>
      <c r="G580" s="5">
        <v>816</v>
      </c>
      <c r="H580" s="6">
        <v>34920.51</v>
      </c>
      <c r="I580" s="22">
        <v>46753.74</v>
      </c>
      <c r="J580" s="24">
        <f t="shared" si="27"/>
        <v>3.2396236548795545E-4</v>
      </c>
      <c r="K580" s="25">
        <f t="shared" ref="K580:K643" si="29">J580+K579</f>
        <v>0.58406195901838376</v>
      </c>
      <c r="L580" s="26" t="s">
        <v>7516</v>
      </c>
      <c r="M580" s="28"/>
      <c r="N580" s="28"/>
      <c r="O580" s="20" t="s">
        <v>7530</v>
      </c>
      <c r="P580" s="27" t="str">
        <f t="shared" si="28"/>
        <v>vermelho</v>
      </c>
    </row>
    <row r="581" spans="1:16" ht="25.5">
      <c r="A581" s="3" t="s">
        <v>5724</v>
      </c>
      <c r="B581" s="3" t="s">
        <v>5725</v>
      </c>
      <c r="C581" s="4">
        <v>93</v>
      </c>
      <c r="D581" s="3" t="s">
        <v>20</v>
      </c>
      <c r="E581" s="3" t="s">
        <v>7</v>
      </c>
      <c r="F581" s="5">
        <v>0</v>
      </c>
      <c r="G581" s="5">
        <v>720</v>
      </c>
      <c r="H581" s="6">
        <v>0</v>
      </c>
      <c r="I581" s="22">
        <v>46739.519999999997</v>
      </c>
      <c r="J581" s="24">
        <f t="shared" si="27"/>
        <v>3.2386383337400606E-4</v>
      </c>
      <c r="K581" s="25">
        <f t="shared" si="29"/>
        <v>0.58438582285175777</v>
      </c>
      <c r="L581" s="26" t="s">
        <v>7516</v>
      </c>
      <c r="M581" s="28"/>
      <c r="N581" s="28"/>
      <c r="O581" s="20" t="s">
        <v>7530</v>
      </c>
      <c r="P581" s="27" t="str">
        <f t="shared" si="28"/>
        <v>vermelho</v>
      </c>
    </row>
    <row r="582" spans="1:16" ht="51">
      <c r="A582" s="3" t="s">
        <v>5726</v>
      </c>
      <c r="B582" s="3" t="s">
        <v>5727</v>
      </c>
      <c r="C582" s="4">
        <v>282</v>
      </c>
      <c r="D582" s="3" t="s">
        <v>12</v>
      </c>
      <c r="E582" s="3" t="s">
        <v>13</v>
      </c>
      <c r="F582" s="5">
        <v>1284</v>
      </c>
      <c r="G582" s="5">
        <v>756</v>
      </c>
      <c r="H582" s="6">
        <v>54811.92</v>
      </c>
      <c r="I582" s="22">
        <v>46701.911999999997</v>
      </c>
      <c r="J582" s="24">
        <f t="shared" si="27"/>
        <v>3.2360324295618555E-4</v>
      </c>
      <c r="K582" s="25">
        <f t="shared" si="29"/>
        <v>0.58470942609471399</v>
      </c>
      <c r="L582" s="26" t="s">
        <v>7516</v>
      </c>
      <c r="M582" s="28"/>
      <c r="N582" s="28"/>
      <c r="O582" s="20" t="s">
        <v>7530</v>
      </c>
      <c r="P582" s="27" t="str">
        <f t="shared" si="28"/>
        <v>vermelho</v>
      </c>
    </row>
    <row r="583" spans="1:16" ht="25.5">
      <c r="A583" s="3" t="s">
        <v>5728</v>
      </c>
      <c r="B583" s="3" t="s">
        <v>5729</v>
      </c>
      <c r="C583" s="4">
        <v>267</v>
      </c>
      <c r="D583" s="3" t="s">
        <v>125</v>
      </c>
      <c r="E583" s="3" t="s">
        <v>16</v>
      </c>
      <c r="F583" s="5">
        <v>1357</v>
      </c>
      <c r="G583" s="5">
        <v>936</v>
      </c>
      <c r="H583" s="6">
        <v>70072.11</v>
      </c>
      <c r="I583" s="22">
        <v>46653.96</v>
      </c>
      <c r="J583" s="24">
        <f t="shared" si="27"/>
        <v>3.2327097770104497E-4</v>
      </c>
      <c r="K583" s="25">
        <f t="shared" si="29"/>
        <v>0.58503269707241501</v>
      </c>
      <c r="L583" s="26" t="s">
        <v>7516</v>
      </c>
      <c r="M583" s="28"/>
      <c r="N583" s="28"/>
      <c r="O583" s="20" t="s">
        <v>7530</v>
      </c>
      <c r="P583" s="27" t="str">
        <f t="shared" si="28"/>
        <v>vermelho</v>
      </c>
    </row>
    <row r="584" spans="1:16" ht="25.5">
      <c r="A584" s="3" t="s">
        <v>4</v>
      </c>
      <c r="B584" s="3" t="s">
        <v>228</v>
      </c>
      <c r="C584" s="4">
        <v>61</v>
      </c>
      <c r="D584" s="3" t="s">
        <v>48</v>
      </c>
      <c r="E584" s="3" t="s">
        <v>49</v>
      </c>
      <c r="F584" s="5">
        <v>687</v>
      </c>
      <c r="G584" s="5">
        <v>708</v>
      </c>
      <c r="H584" s="6">
        <v>40537.769999999997</v>
      </c>
      <c r="I584" s="22">
        <v>46586.28</v>
      </c>
      <c r="J584" s="24">
        <f t="shared" si="27"/>
        <v>3.2280201472832394E-4</v>
      </c>
      <c r="K584" s="25">
        <f t="shared" si="29"/>
        <v>0.58535549908714335</v>
      </c>
      <c r="L584" s="26" t="s">
        <v>7516</v>
      </c>
      <c r="M584" s="28"/>
      <c r="N584" s="28"/>
      <c r="O584" s="20">
        <v>19633.2</v>
      </c>
      <c r="P584" s="27" t="str">
        <f t="shared" si="28"/>
        <v>amarelo</v>
      </c>
    </row>
    <row r="585" spans="1:16" ht="38.25">
      <c r="A585" s="3" t="s">
        <v>4</v>
      </c>
      <c r="B585" s="3" t="s">
        <v>229</v>
      </c>
      <c r="C585" s="4">
        <v>292</v>
      </c>
      <c r="D585" s="3" t="s">
        <v>57</v>
      </c>
      <c r="E585" s="3" t="s">
        <v>49</v>
      </c>
      <c r="F585" s="5">
        <v>234</v>
      </c>
      <c r="G585" s="5">
        <v>843</v>
      </c>
      <c r="H585" s="6">
        <v>10653.498</v>
      </c>
      <c r="I585" s="22">
        <v>46555.722000000002</v>
      </c>
      <c r="J585" s="24">
        <f t="shared" si="27"/>
        <v>3.2259027462016188E-4</v>
      </c>
      <c r="K585" s="25">
        <f t="shared" si="29"/>
        <v>0.58567808936176347</v>
      </c>
      <c r="L585" s="26" t="s">
        <v>7516</v>
      </c>
      <c r="M585" s="28"/>
      <c r="N585" s="28"/>
      <c r="O585" s="20">
        <v>4111.5600000000004</v>
      </c>
      <c r="P585" s="27" t="str">
        <f t="shared" si="28"/>
        <v>amarelo</v>
      </c>
    </row>
    <row r="586" spans="1:16" ht="25.5">
      <c r="A586" s="3" t="s">
        <v>4</v>
      </c>
      <c r="B586" s="3" t="s">
        <v>230</v>
      </c>
      <c r="C586" s="4">
        <v>19</v>
      </c>
      <c r="D586" s="3" t="s">
        <v>72</v>
      </c>
      <c r="E586" s="3" t="s">
        <v>41</v>
      </c>
      <c r="F586" s="5">
        <v>591</v>
      </c>
      <c r="G586" s="5">
        <v>756</v>
      </c>
      <c r="H586" s="6">
        <v>34572.21</v>
      </c>
      <c r="I586" s="22">
        <v>46552.56</v>
      </c>
      <c r="J586" s="24">
        <f t="shared" si="27"/>
        <v>3.2256836473659593E-4</v>
      </c>
      <c r="K586" s="25">
        <f t="shared" si="29"/>
        <v>0.58600065772650001</v>
      </c>
      <c r="L586" s="26" t="s">
        <v>7516</v>
      </c>
      <c r="M586" s="28"/>
      <c r="N586" s="28"/>
      <c r="O586" s="20">
        <v>35594.639999999999</v>
      </c>
      <c r="P586" s="27" t="str">
        <f t="shared" si="28"/>
        <v>laranja</v>
      </c>
    </row>
    <row r="587" spans="1:16" ht="25.5">
      <c r="A587" s="3" t="s">
        <v>4</v>
      </c>
      <c r="B587" s="3" t="s">
        <v>231</v>
      </c>
      <c r="C587" s="4">
        <v>197</v>
      </c>
      <c r="D587" s="3" t="s">
        <v>66</v>
      </c>
      <c r="E587" s="3" t="s">
        <v>41</v>
      </c>
      <c r="F587" s="5">
        <v>750</v>
      </c>
      <c r="G587" s="5">
        <v>741</v>
      </c>
      <c r="H587" s="6">
        <v>43461.33</v>
      </c>
      <c r="I587" s="22">
        <v>46326.99</v>
      </c>
      <c r="J587" s="24">
        <f t="shared" si="27"/>
        <v>3.2100536270118405E-4</v>
      </c>
      <c r="K587" s="25">
        <f t="shared" si="29"/>
        <v>0.58632166308920119</v>
      </c>
      <c r="L587" s="26" t="s">
        <v>7516</v>
      </c>
      <c r="M587" s="28"/>
      <c r="N587" s="28"/>
      <c r="O587" s="20">
        <v>35764.68</v>
      </c>
      <c r="P587" s="27" t="str">
        <f t="shared" si="28"/>
        <v>laranja</v>
      </c>
    </row>
    <row r="588" spans="1:16" ht="51">
      <c r="A588" s="3" t="s">
        <v>5730</v>
      </c>
      <c r="B588" s="3" t="s">
        <v>5731</v>
      </c>
      <c r="C588" s="4">
        <v>282</v>
      </c>
      <c r="D588" s="3" t="s">
        <v>12</v>
      </c>
      <c r="E588" s="3" t="s">
        <v>13</v>
      </c>
      <c r="F588" s="5">
        <v>1983</v>
      </c>
      <c r="G588" s="5">
        <v>873</v>
      </c>
      <c r="H588" s="6">
        <v>87356.922000000006</v>
      </c>
      <c r="I588" s="22">
        <v>46228.815999999999</v>
      </c>
      <c r="J588" s="24">
        <f t="shared" si="27"/>
        <v>3.2032510308410499E-4</v>
      </c>
      <c r="K588" s="25">
        <f t="shared" si="29"/>
        <v>0.5866419881922853</v>
      </c>
      <c r="L588" s="26" t="s">
        <v>7516</v>
      </c>
      <c r="M588" s="28"/>
      <c r="N588" s="28"/>
      <c r="O588" s="20">
        <v>14904.36</v>
      </c>
      <c r="P588" s="27" t="str">
        <f t="shared" si="28"/>
        <v>amarelo</v>
      </c>
    </row>
    <row r="589" spans="1:16" ht="25.5">
      <c r="A589" s="3" t="s">
        <v>5732</v>
      </c>
      <c r="B589" s="3" t="s">
        <v>5733</v>
      </c>
      <c r="C589" s="4">
        <v>208</v>
      </c>
      <c r="D589" s="3" t="s">
        <v>15</v>
      </c>
      <c r="E589" s="3" t="s">
        <v>16</v>
      </c>
      <c r="F589" s="5">
        <v>891</v>
      </c>
      <c r="G589" s="5">
        <v>765</v>
      </c>
      <c r="H589" s="6">
        <v>51702.51</v>
      </c>
      <c r="I589" s="22">
        <v>46228.5</v>
      </c>
      <c r="J589" s="24">
        <f t="shared" si="27"/>
        <v>3.2032291348157277E-4</v>
      </c>
      <c r="K589" s="25">
        <f t="shared" si="29"/>
        <v>0.58696231110576691</v>
      </c>
      <c r="L589" s="26" t="s">
        <v>7516</v>
      </c>
      <c r="M589" s="28"/>
      <c r="N589" s="28"/>
      <c r="O589" s="20">
        <v>38253.69</v>
      </c>
      <c r="P589" s="27" t="str">
        <f t="shared" si="28"/>
        <v>laranja</v>
      </c>
    </row>
    <row r="590" spans="1:16">
      <c r="A590" s="3" t="s">
        <v>5734</v>
      </c>
      <c r="B590" s="3" t="s">
        <v>5735</v>
      </c>
      <c r="C590" s="4">
        <v>315</v>
      </c>
      <c r="D590" s="3" t="s">
        <v>63</v>
      </c>
      <c r="E590" s="3" t="s">
        <v>7</v>
      </c>
      <c r="F590" s="5">
        <v>2406</v>
      </c>
      <c r="G590" s="5">
        <v>852</v>
      </c>
      <c r="H590" s="6">
        <v>131740.74</v>
      </c>
      <c r="I590" s="22">
        <v>46189.531999999999</v>
      </c>
      <c r="J590" s="24">
        <f t="shared" si="27"/>
        <v>3.2005289945791747E-4</v>
      </c>
      <c r="K590" s="25">
        <f t="shared" si="29"/>
        <v>0.58728236400522482</v>
      </c>
      <c r="L590" s="26" t="s">
        <v>7516</v>
      </c>
      <c r="M590" s="28"/>
      <c r="N590" s="28"/>
      <c r="O590" s="20">
        <v>76639.728000000003</v>
      </c>
      <c r="P590" s="27" t="str">
        <f t="shared" si="28"/>
        <v>verde</v>
      </c>
    </row>
    <row r="591" spans="1:16" ht="25.5">
      <c r="A591" s="3" t="s">
        <v>5736</v>
      </c>
      <c r="B591" s="3" t="s">
        <v>5737</v>
      </c>
      <c r="C591" s="4">
        <v>337</v>
      </c>
      <c r="D591" s="3" t="s">
        <v>202</v>
      </c>
      <c r="E591" s="3" t="s">
        <v>16</v>
      </c>
      <c r="F591" s="5">
        <v>579</v>
      </c>
      <c r="G591" s="5">
        <v>852</v>
      </c>
      <c r="H591" s="6">
        <v>28469.94</v>
      </c>
      <c r="I591" s="22">
        <v>46188.84</v>
      </c>
      <c r="J591" s="24">
        <f t="shared" si="27"/>
        <v>3.2004810450553679E-4</v>
      </c>
      <c r="K591" s="25">
        <f t="shared" si="29"/>
        <v>0.58760241210973041</v>
      </c>
      <c r="L591" s="26" t="s">
        <v>7516</v>
      </c>
      <c r="M591" s="28"/>
      <c r="N591" s="28"/>
      <c r="O591" s="20">
        <v>30122.76</v>
      </c>
      <c r="P591" s="27" t="str">
        <f t="shared" si="28"/>
        <v>laranja</v>
      </c>
    </row>
    <row r="592" spans="1:16" ht="25.5">
      <c r="A592" s="3" t="s">
        <v>4</v>
      </c>
      <c r="B592" s="3" t="s">
        <v>232</v>
      </c>
      <c r="C592" s="4">
        <v>23</v>
      </c>
      <c r="D592" s="3" t="s">
        <v>87</v>
      </c>
      <c r="E592" s="3" t="s">
        <v>7</v>
      </c>
      <c r="F592" s="5">
        <v>684</v>
      </c>
      <c r="G592" s="5">
        <v>738</v>
      </c>
      <c r="H592" s="6">
        <v>38479.08</v>
      </c>
      <c r="I592" s="22">
        <v>46038.18</v>
      </c>
      <c r="J592" s="24">
        <f t="shared" si="27"/>
        <v>3.1900416299445307E-4</v>
      </c>
      <c r="K592" s="25">
        <f t="shared" si="29"/>
        <v>0.58792141627272487</v>
      </c>
      <c r="L592" s="26" t="s">
        <v>7516</v>
      </c>
      <c r="M592" s="28">
        <v>2.3559684935281797E-2</v>
      </c>
      <c r="N592" s="28"/>
      <c r="O592" s="20">
        <v>18804.84</v>
      </c>
      <c r="P592" s="27" t="str">
        <f t="shared" si="28"/>
        <v>amarelo</v>
      </c>
    </row>
    <row r="593" spans="1:16" ht="25.5">
      <c r="A593" s="3" t="s">
        <v>4</v>
      </c>
      <c r="B593" s="3" t="s">
        <v>233</v>
      </c>
      <c r="C593" s="4">
        <v>299</v>
      </c>
      <c r="D593" s="3" t="s">
        <v>111</v>
      </c>
      <c r="E593" s="3" t="s">
        <v>49</v>
      </c>
      <c r="F593" s="5">
        <v>1608</v>
      </c>
      <c r="G593" s="5">
        <v>901</v>
      </c>
      <c r="H593" s="6">
        <v>70717.932000000001</v>
      </c>
      <c r="I593" s="22">
        <v>45967.646000000001</v>
      </c>
      <c r="J593" s="24">
        <f t="shared" si="27"/>
        <v>3.1851542430772281E-4</v>
      </c>
      <c r="K593" s="25">
        <f t="shared" si="29"/>
        <v>0.58823993169703259</v>
      </c>
      <c r="L593" s="26" t="s">
        <v>7516</v>
      </c>
      <c r="M593" s="28">
        <v>-5.2604224116582381E-2</v>
      </c>
      <c r="N593" s="28"/>
      <c r="O593" s="20">
        <v>6064.12</v>
      </c>
      <c r="P593" s="27" t="str">
        <f t="shared" si="28"/>
        <v>amarelo</v>
      </c>
    </row>
    <row r="594" spans="1:16">
      <c r="A594" s="3" t="s">
        <v>5738</v>
      </c>
      <c r="B594" s="3" t="s">
        <v>5739</v>
      </c>
      <c r="C594" s="4">
        <v>231</v>
      </c>
      <c r="D594" s="3" t="s">
        <v>52</v>
      </c>
      <c r="E594" s="3" t="s">
        <v>7</v>
      </c>
      <c r="F594" s="5">
        <v>606</v>
      </c>
      <c r="G594" s="5">
        <v>744</v>
      </c>
      <c r="H594" s="6">
        <v>34903.32</v>
      </c>
      <c r="I594" s="22">
        <v>45966</v>
      </c>
      <c r="J594" s="24">
        <f t="shared" si="27"/>
        <v>3.1850401897301391E-4</v>
      </c>
      <c r="K594" s="25">
        <f t="shared" si="29"/>
        <v>0.58855843571600563</v>
      </c>
      <c r="L594" s="26" t="s">
        <v>7516</v>
      </c>
      <c r="M594" s="28"/>
      <c r="N594" s="28"/>
      <c r="O594" s="20">
        <v>14887.26</v>
      </c>
      <c r="P594" s="27" t="str">
        <f t="shared" si="28"/>
        <v>amarelo</v>
      </c>
    </row>
    <row r="595" spans="1:16" ht="38.25">
      <c r="A595" s="3" t="s">
        <v>4</v>
      </c>
      <c r="B595" s="3" t="s">
        <v>234</v>
      </c>
      <c r="C595" s="4">
        <v>15</v>
      </c>
      <c r="D595" s="3" t="s">
        <v>18</v>
      </c>
      <c r="E595" s="3" t="s">
        <v>16</v>
      </c>
      <c r="F595" s="5">
        <v>876</v>
      </c>
      <c r="G595" s="5">
        <v>864</v>
      </c>
      <c r="H595" s="6">
        <v>42826.68</v>
      </c>
      <c r="I595" s="22">
        <v>45942.66</v>
      </c>
      <c r="J595" s="24">
        <f t="shared" si="27"/>
        <v>3.1834229326699581E-4</v>
      </c>
      <c r="K595" s="25">
        <f t="shared" si="29"/>
        <v>0.58887677800927263</v>
      </c>
      <c r="L595" s="26" t="s">
        <v>7516</v>
      </c>
      <c r="M595" s="28"/>
      <c r="N595" s="28"/>
      <c r="O595" s="20" t="s">
        <v>7530</v>
      </c>
      <c r="P595" s="27" t="str">
        <f t="shared" si="28"/>
        <v>vermelho</v>
      </c>
    </row>
    <row r="596" spans="1:16" ht="25.5">
      <c r="A596" s="3" t="s">
        <v>5740</v>
      </c>
      <c r="B596" s="3" t="s">
        <v>5741</v>
      </c>
      <c r="C596" s="4">
        <v>208</v>
      </c>
      <c r="D596" s="3" t="s">
        <v>15</v>
      </c>
      <c r="E596" s="3" t="s">
        <v>16</v>
      </c>
      <c r="F596" s="5">
        <v>420</v>
      </c>
      <c r="G596" s="5">
        <v>816</v>
      </c>
      <c r="H596" s="6">
        <v>21371.64</v>
      </c>
      <c r="I596" s="22">
        <v>45906.48</v>
      </c>
      <c r="J596" s="24">
        <f t="shared" si="27"/>
        <v>3.1809159763530187E-4</v>
      </c>
      <c r="K596" s="25">
        <f t="shared" si="29"/>
        <v>0.58919486960690792</v>
      </c>
      <c r="L596" s="26" t="s">
        <v>7516</v>
      </c>
      <c r="M596" s="28"/>
      <c r="N596" s="28"/>
      <c r="O596" s="20" t="s">
        <v>7530</v>
      </c>
      <c r="P596" s="27" t="str">
        <f t="shared" si="28"/>
        <v>vermelho</v>
      </c>
    </row>
    <row r="597" spans="1:16" ht="25.5">
      <c r="A597" s="3" t="s">
        <v>4</v>
      </c>
      <c r="B597" s="3" t="s">
        <v>235</v>
      </c>
      <c r="C597" s="4">
        <v>327</v>
      </c>
      <c r="D597" s="3" t="s">
        <v>100</v>
      </c>
      <c r="E597" s="3" t="s">
        <v>7</v>
      </c>
      <c r="F597" s="5">
        <v>432</v>
      </c>
      <c r="G597" s="5">
        <v>759</v>
      </c>
      <c r="H597" s="6">
        <v>24729.84</v>
      </c>
      <c r="I597" s="22">
        <v>45875.1</v>
      </c>
      <c r="J597" s="24">
        <f t="shared" si="27"/>
        <v>3.1787416178890725E-4</v>
      </c>
      <c r="K597" s="25">
        <f t="shared" si="29"/>
        <v>0.58951274376869678</v>
      </c>
      <c r="L597" s="26" t="s">
        <v>7516</v>
      </c>
      <c r="M597" s="28"/>
      <c r="N597" s="28">
        <v>4.5929281406558865E-2</v>
      </c>
      <c r="O597" s="20">
        <v>14221.8</v>
      </c>
      <c r="P597" s="27" t="str">
        <f t="shared" si="28"/>
        <v>amarelo</v>
      </c>
    </row>
    <row r="598" spans="1:16" ht="38.25">
      <c r="A598" s="3" t="s">
        <v>4</v>
      </c>
      <c r="B598" s="3" t="s">
        <v>236</v>
      </c>
      <c r="C598" s="4">
        <v>45</v>
      </c>
      <c r="D598" s="3" t="s">
        <v>23</v>
      </c>
      <c r="E598" s="3" t="s">
        <v>7</v>
      </c>
      <c r="F598" s="5">
        <v>693</v>
      </c>
      <c r="G598" s="5">
        <v>750</v>
      </c>
      <c r="H598" s="6">
        <v>39686.19</v>
      </c>
      <c r="I598" s="22">
        <v>45615.51</v>
      </c>
      <c r="J598" s="24">
        <f t="shared" si="27"/>
        <v>3.1607543102518616E-4</v>
      </c>
      <c r="K598" s="25">
        <f t="shared" si="29"/>
        <v>0.58982881919972197</v>
      </c>
      <c r="L598" s="26" t="s">
        <v>7516</v>
      </c>
      <c r="M598" s="28"/>
      <c r="N598" s="28"/>
      <c r="O598" s="20">
        <v>22246.799999999999</v>
      </c>
      <c r="P598" s="27" t="str">
        <f t="shared" si="28"/>
        <v>amarelo</v>
      </c>
    </row>
    <row r="599" spans="1:16" ht="38.25">
      <c r="A599" s="3" t="s">
        <v>5742</v>
      </c>
      <c r="B599" s="3" t="s">
        <v>5132</v>
      </c>
      <c r="C599" s="4">
        <v>301</v>
      </c>
      <c r="D599" s="3" t="s">
        <v>519</v>
      </c>
      <c r="E599" s="3" t="s">
        <v>16</v>
      </c>
      <c r="F599" s="5">
        <v>555</v>
      </c>
      <c r="G599" s="5">
        <v>768</v>
      </c>
      <c r="H599" s="6">
        <v>30052.89</v>
      </c>
      <c r="I599" s="22">
        <v>45599.91</v>
      </c>
      <c r="J599" s="24">
        <f t="shared" si="27"/>
        <v>3.1596733672296327E-4</v>
      </c>
      <c r="K599" s="25">
        <f t="shared" si="29"/>
        <v>0.59014478653644498</v>
      </c>
      <c r="L599" s="26" t="s">
        <v>7516</v>
      </c>
      <c r="M599" s="28"/>
      <c r="N599" s="28"/>
      <c r="O599" s="20">
        <v>22354.59</v>
      </c>
      <c r="P599" s="27" t="str">
        <f t="shared" si="28"/>
        <v>amarelo</v>
      </c>
    </row>
    <row r="600" spans="1:16" ht="25.5">
      <c r="A600" s="3" t="s">
        <v>4</v>
      </c>
      <c r="B600" s="3" t="s">
        <v>237</v>
      </c>
      <c r="C600" s="4">
        <v>31</v>
      </c>
      <c r="D600" s="3" t="s">
        <v>194</v>
      </c>
      <c r="E600" s="3" t="s">
        <v>16</v>
      </c>
      <c r="F600" s="5">
        <v>453</v>
      </c>
      <c r="G600" s="5">
        <v>711</v>
      </c>
      <c r="H600" s="6">
        <v>26806.47</v>
      </c>
      <c r="I600" s="22">
        <v>45598.23</v>
      </c>
      <c r="J600" s="24">
        <f t="shared" si="27"/>
        <v>3.1595569579810845E-4</v>
      </c>
      <c r="K600" s="25">
        <f t="shared" si="29"/>
        <v>0.5904607422322431</v>
      </c>
      <c r="L600" s="26" t="s">
        <v>7516</v>
      </c>
      <c r="M600" s="28"/>
      <c r="N600" s="28"/>
      <c r="O600" s="20" t="s">
        <v>7530</v>
      </c>
      <c r="P600" s="27" t="str">
        <f t="shared" si="28"/>
        <v>vermelho</v>
      </c>
    </row>
    <row r="601" spans="1:16" ht="25.5">
      <c r="A601" s="3" t="s">
        <v>5743</v>
      </c>
      <c r="B601" s="3" t="s">
        <v>5744</v>
      </c>
      <c r="C601" s="4">
        <v>93</v>
      </c>
      <c r="D601" s="3" t="s">
        <v>20</v>
      </c>
      <c r="E601" s="3" t="s">
        <v>7</v>
      </c>
      <c r="F601" s="5">
        <v>555</v>
      </c>
      <c r="G601" s="5">
        <v>729</v>
      </c>
      <c r="H601" s="6">
        <v>32083.77</v>
      </c>
      <c r="I601" s="22">
        <v>45539.43</v>
      </c>
      <c r="J601" s="24">
        <f t="shared" si="27"/>
        <v>3.1554826342819128E-4</v>
      </c>
      <c r="K601" s="25">
        <f t="shared" si="29"/>
        <v>0.59077629049567126</v>
      </c>
      <c r="L601" s="26" t="s">
        <v>7516</v>
      </c>
      <c r="M601" s="28"/>
      <c r="N601" s="28"/>
      <c r="O601" s="20">
        <v>6557.16</v>
      </c>
      <c r="P601" s="27" t="str">
        <f t="shared" si="28"/>
        <v>amarelo</v>
      </c>
    </row>
    <row r="602" spans="1:16" ht="25.5">
      <c r="A602" s="3" t="s">
        <v>4</v>
      </c>
      <c r="B602" s="3" t="s">
        <v>238</v>
      </c>
      <c r="C602" s="4">
        <v>15</v>
      </c>
      <c r="D602" s="3" t="s">
        <v>18</v>
      </c>
      <c r="E602" s="3" t="s">
        <v>16</v>
      </c>
      <c r="F602" s="5">
        <v>1023</v>
      </c>
      <c r="G602" s="5">
        <v>696</v>
      </c>
      <c r="H602" s="6">
        <v>62773.53</v>
      </c>
      <c r="I602" s="22">
        <v>45374.28</v>
      </c>
      <c r="J602" s="24">
        <f t="shared" si="27"/>
        <v>3.144039189402351E-4</v>
      </c>
      <c r="K602" s="25">
        <f t="shared" si="29"/>
        <v>0.59109069441461148</v>
      </c>
      <c r="L602" s="26" t="s">
        <v>7516</v>
      </c>
      <c r="M602" s="28"/>
      <c r="N602" s="28"/>
      <c r="O602" s="20" t="s">
        <v>7530</v>
      </c>
      <c r="P602" s="27" t="str">
        <f t="shared" si="28"/>
        <v>vermelho</v>
      </c>
    </row>
    <row r="603" spans="1:16" ht="38.25">
      <c r="A603" s="3" t="s">
        <v>4</v>
      </c>
      <c r="B603" s="3" t="s">
        <v>239</v>
      </c>
      <c r="C603" s="4">
        <v>45</v>
      </c>
      <c r="D603" s="3" t="s">
        <v>23</v>
      </c>
      <c r="E603" s="3" t="s">
        <v>7</v>
      </c>
      <c r="F603" s="5">
        <v>390</v>
      </c>
      <c r="G603" s="5">
        <v>726</v>
      </c>
      <c r="H603" s="6">
        <v>21848.592000000001</v>
      </c>
      <c r="I603" s="22">
        <v>45362.52</v>
      </c>
      <c r="J603" s="24">
        <f t="shared" si="27"/>
        <v>3.1432243246625163E-4</v>
      </c>
      <c r="K603" s="25">
        <f t="shared" si="29"/>
        <v>0.59140501684707769</v>
      </c>
      <c r="L603" s="26" t="s">
        <v>7516</v>
      </c>
      <c r="M603" s="28"/>
      <c r="N603" s="28"/>
      <c r="O603" s="20">
        <v>3527.76</v>
      </c>
      <c r="P603" s="27" t="str">
        <f t="shared" si="28"/>
        <v>amarelo</v>
      </c>
    </row>
    <row r="604" spans="1:16" ht="25.5">
      <c r="A604" s="3" t="s">
        <v>5032</v>
      </c>
      <c r="B604" s="3" t="s">
        <v>5033</v>
      </c>
      <c r="C604" s="4">
        <v>320</v>
      </c>
      <c r="D604" s="3" t="s">
        <v>218</v>
      </c>
      <c r="E604" s="3" t="s">
        <v>49</v>
      </c>
      <c r="F604" s="5">
        <v>0</v>
      </c>
      <c r="G604" s="5">
        <v>738</v>
      </c>
      <c r="H604" s="6">
        <v>0</v>
      </c>
      <c r="I604" s="22">
        <v>45316.853999999999</v>
      </c>
      <c r="J604" s="24">
        <f t="shared" si="27"/>
        <v>3.1400600718385982E-4</v>
      </c>
      <c r="K604" s="25">
        <f t="shared" si="29"/>
        <v>0.59171902285426159</v>
      </c>
      <c r="L604" s="26" t="s">
        <v>7516</v>
      </c>
      <c r="M604" s="28"/>
      <c r="N604" s="28"/>
      <c r="O604" s="20">
        <v>12100.59</v>
      </c>
      <c r="P604" s="27" t="str">
        <f t="shared" si="28"/>
        <v>amarelo</v>
      </c>
    </row>
    <row r="605" spans="1:16" ht="25.5">
      <c r="A605" s="3" t="s">
        <v>5745</v>
      </c>
      <c r="B605" s="3" t="s">
        <v>5746</v>
      </c>
      <c r="C605" s="4">
        <v>93</v>
      </c>
      <c r="D605" s="3" t="s">
        <v>20</v>
      </c>
      <c r="E605" s="3" t="s">
        <v>7</v>
      </c>
      <c r="F605" s="5">
        <v>0</v>
      </c>
      <c r="G605" s="5">
        <v>819</v>
      </c>
      <c r="H605" s="6">
        <v>0</v>
      </c>
      <c r="I605" s="22">
        <v>45118.74</v>
      </c>
      <c r="J605" s="24">
        <f t="shared" si="27"/>
        <v>3.1263325112036028E-4</v>
      </c>
      <c r="K605" s="25">
        <f t="shared" si="29"/>
        <v>0.592031656105382</v>
      </c>
      <c r="L605" s="26" t="s">
        <v>7516</v>
      </c>
      <c r="M605" s="28"/>
      <c r="N605" s="28"/>
      <c r="O605" s="20">
        <v>5646.24</v>
      </c>
      <c r="P605" s="27" t="str">
        <f t="shared" si="28"/>
        <v>amarelo</v>
      </c>
    </row>
    <row r="606" spans="1:16" ht="25.5">
      <c r="A606" s="3" t="s">
        <v>4</v>
      </c>
      <c r="B606" s="3" t="s">
        <v>240</v>
      </c>
      <c r="C606" s="4">
        <v>273</v>
      </c>
      <c r="D606" s="3" t="s">
        <v>149</v>
      </c>
      <c r="E606" s="3" t="s">
        <v>16</v>
      </c>
      <c r="F606" s="5">
        <v>0</v>
      </c>
      <c r="G606" s="5">
        <v>804</v>
      </c>
      <c r="H606" s="6">
        <v>0</v>
      </c>
      <c r="I606" s="22">
        <v>45117.756000000001</v>
      </c>
      <c r="J606" s="24">
        <f t="shared" si="27"/>
        <v>3.1262643286437394E-4</v>
      </c>
      <c r="K606" s="25">
        <f t="shared" si="29"/>
        <v>0.59234428253824634</v>
      </c>
      <c r="L606" s="26" t="s">
        <v>7516</v>
      </c>
      <c r="M606" s="28"/>
      <c r="N606" s="28"/>
      <c r="O606" s="20" t="s">
        <v>7530</v>
      </c>
      <c r="P606" s="27" t="str">
        <f t="shared" si="28"/>
        <v>vermelho</v>
      </c>
    </row>
    <row r="607" spans="1:16" ht="38.25">
      <c r="A607" s="3" t="s">
        <v>4</v>
      </c>
      <c r="B607" s="3" t="s">
        <v>241</v>
      </c>
      <c r="C607" s="4">
        <v>38</v>
      </c>
      <c r="D607" s="3" t="s">
        <v>184</v>
      </c>
      <c r="E607" s="3" t="s">
        <v>49</v>
      </c>
      <c r="F607" s="5">
        <v>1110</v>
      </c>
      <c r="G607" s="5">
        <v>765</v>
      </c>
      <c r="H607" s="6">
        <v>64285.14</v>
      </c>
      <c r="I607" s="22">
        <v>45104.49</v>
      </c>
      <c r="J607" s="24">
        <f t="shared" si="27"/>
        <v>3.1253451113275282E-4</v>
      </c>
      <c r="K607" s="25">
        <f t="shared" si="29"/>
        <v>0.59265681704937911</v>
      </c>
      <c r="L607" s="26" t="s">
        <v>7516</v>
      </c>
      <c r="M607" s="28"/>
      <c r="N607" s="28"/>
      <c r="O607" s="20">
        <v>35694.300000000003</v>
      </c>
      <c r="P607" s="27" t="str">
        <f t="shared" si="28"/>
        <v>laranja</v>
      </c>
    </row>
    <row r="608" spans="1:16">
      <c r="A608" s="3" t="s">
        <v>5747</v>
      </c>
      <c r="B608" s="3" t="s">
        <v>5748</v>
      </c>
      <c r="C608" s="4">
        <v>231</v>
      </c>
      <c r="D608" s="3" t="s">
        <v>52</v>
      </c>
      <c r="E608" s="3" t="s">
        <v>7</v>
      </c>
      <c r="F608" s="5">
        <v>684</v>
      </c>
      <c r="G608" s="5">
        <v>711</v>
      </c>
      <c r="H608" s="6">
        <v>42138.99</v>
      </c>
      <c r="I608" s="22">
        <v>45055.44</v>
      </c>
      <c r="J608" s="24">
        <f t="shared" si="27"/>
        <v>3.1219463770172499E-4</v>
      </c>
      <c r="K608" s="25">
        <f t="shared" si="29"/>
        <v>0.59296901168708083</v>
      </c>
      <c r="L608" s="26" t="s">
        <v>7516</v>
      </c>
      <c r="M608" s="28"/>
      <c r="N608" s="28"/>
      <c r="O608" s="20" t="s">
        <v>7530</v>
      </c>
      <c r="P608" s="27" t="str">
        <f t="shared" si="28"/>
        <v>vermelho</v>
      </c>
    </row>
    <row r="609" spans="1:16" ht="25.5">
      <c r="A609" s="3" t="s">
        <v>5749</v>
      </c>
      <c r="B609" s="3" t="s">
        <v>5750</v>
      </c>
      <c r="C609" s="4">
        <v>53</v>
      </c>
      <c r="D609" s="3" t="s">
        <v>34</v>
      </c>
      <c r="E609" s="3" t="s">
        <v>16</v>
      </c>
      <c r="F609" s="5">
        <v>1926</v>
      </c>
      <c r="G609" s="5">
        <v>786</v>
      </c>
      <c r="H609" s="6">
        <v>96576.9</v>
      </c>
      <c r="I609" s="22">
        <v>44955.66</v>
      </c>
      <c r="J609" s="24">
        <f t="shared" si="27"/>
        <v>3.1150324991481451E-4</v>
      </c>
      <c r="K609" s="25">
        <f t="shared" si="29"/>
        <v>0.59328051493699563</v>
      </c>
      <c r="L609" s="26" t="s">
        <v>7516</v>
      </c>
      <c r="M609" s="28"/>
      <c r="N609" s="28"/>
      <c r="O609" s="20" t="s">
        <v>7530</v>
      </c>
      <c r="P609" s="27" t="str">
        <f t="shared" si="28"/>
        <v>vermelho</v>
      </c>
    </row>
    <row r="610" spans="1:16" ht="25.5">
      <c r="A610" s="3" t="s">
        <v>4</v>
      </c>
      <c r="B610" s="3" t="s">
        <v>242</v>
      </c>
      <c r="C610" s="4">
        <v>337</v>
      </c>
      <c r="D610" s="3" t="s">
        <v>202</v>
      </c>
      <c r="E610" s="3" t="s">
        <v>16</v>
      </c>
      <c r="F610" s="5">
        <v>468</v>
      </c>
      <c r="G610" s="5">
        <v>831</v>
      </c>
      <c r="H610" s="6">
        <v>27228.48</v>
      </c>
      <c r="I610" s="22">
        <v>44851.29</v>
      </c>
      <c r="J610" s="24">
        <f t="shared" si="27"/>
        <v>3.107800574582115E-4</v>
      </c>
      <c r="K610" s="25">
        <f t="shared" si="29"/>
        <v>0.59359129499445384</v>
      </c>
      <c r="L610" s="26" t="s">
        <v>7516</v>
      </c>
      <c r="M610" s="28"/>
      <c r="N610" s="28"/>
      <c r="O610" s="20" t="s">
        <v>7530</v>
      </c>
      <c r="P610" s="27" t="str">
        <f t="shared" si="28"/>
        <v>vermelho</v>
      </c>
    </row>
    <row r="611" spans="1:16" ht="38.25">
      <c r="A611" s="3" t="s">
        <v>4</v>
      </c>
      <c r="B611" s="3" t="s">
        <v>243</v>
      </c>
      <c r="C611" s="4">
        <v>41</v>
      </c>
      <c r="D611" s="3" t="s">
        <v>178</v>
      </c>
      <c r="E611" s="3" t="s">
        <v>41</v>
      </c>
      <c r="F611" s="5">
        <v>723</v>
      </c>
      <c r="G611" s="5">
        <v>720</v>
      </c>
      <c r="H611" s="6">
        <v>40528.769999999997</v>
      </c>
      <c r="I611" s="22">
        <v>44782.32</v>
      </c>
      <c r="J611" s="24">
        <f t="shared" si="27"/>
        <v>3.1030215591819127E-4</v>
      </c>
      <c r="K611" s="25">
        <f t="shared" si="29"/>
        <v>0.59390159715037205</v>
      </c>
      <c r="L611" s="26" t="s">
        <v>7516</v>
      </c>
      <c r="M611" s="28"/>
      <c r="N611" s="28"/>
      <c r="O611" s="20" t="s">
        <v>7530</v>
      </c>
      <c r="P611" s="27" t="str">
        <f t="shared" si="28"/>
        <v>vermelho</v>
      </c>
    </row>
    <row r="612" spans="1:16" ht="25.5">
      <c r="A612" s="3" t="s">
        <v>4</v>
      </c>
      <c r="B612" s="3" t="s">
        <v>244</v>
      </c>
      <c r="C612" s="4">
        <v>240</v>
      </c>
      <c r="D612" s="3" t="s">
        <v>69</v>
      </c>
      <c r="E612" s="3" t="s">
        <v>16</v>
      </c>
      <c r="F612" s="5">
        <v>708</v>
      </c>
      <c r="G612" s="5">
        <v>798</v>
      </c>
      <c r="H612" s="6">
        <v>41939.67</v>
      </c>
      <c r="I612" s="22">
        <v>44759.25</v>
      </c>
      <c r="J612" s="24">
        <f t="shared" si="27"/>
        <v>3.1014230107509624E-4</v>
      </c>
      <c r="K612" s="25">
        <f t="shared" si="29"/>
        <v>0.59421173945144712</v>
      </c>
      <c r="L612" s="26" t="s">
        <v>7516</v>
      </c>
      <c r="M612" s="28"/>
      <c r="N612" s="28"/>
      <c r="O612" s="20">
        <v>14845.32</v>
      </c>
      <c r="P612" s="27" t="str">
        <f t="shared" si="28"/>
        <v>amarelo</v>
      </c>
    </row>
    <row r="613" spans="1:16" ht="38.25">
      <c r="A613" s="3" t="s">
        <v>5751</v>
      </c>
      <c r="B613" s="3" t="s">
        <v>5752</v>
      </c>
      <c r="C613" s="4">
        <v>371</v>
      </c>
      <c r="D613" s="3" t="s">
        <v>82</v>
      </c>
      <c r="E613" s="3" t="s">
        <v>49</v>
      </c>
      <c r="F613" s="5">
        <v>324</v>
      </c>
      <c r="G613" s="5">
        <v>930</v>
      </c>
      <c r="H613" s="6">
        <v>15058.763999999999</v>
      </c>
      <c r="I613" s="22">
        <v>44752.896000000001</v>
      </c>
      <c r="J613" s="24">
        <f t="shared" si="27"/>
        <v>3.100982734343062E-4</v>
      </c>
      <c r="K613" s="25">
        <f t="shared" si="29"/>
        <v>0.59452183772488143</v>
      </c>
      <c r="L613" s="26" t="s">
        <v>7516</v>
      </c>
      <c r="M613" s="28"/>
      <c r="N613" s="28"/>
      <c r="O613" s="20" t="s">
        <v>7530</v>
      </c>
      <c r="P613" s="27" t="str">
        <f t="shared" si="28"/>
        <v>vermelho</v>
      </c>
    </row>
    <row r="614" spans="1:16" ht="25.5">
      <c r="A614" s="3" t="s">
        <v>5753</v>
      </c>
      <c r="B614" s="3" t="s">
        <v>5754</v>
      </c>
      <c r="C614" s="4">
        <v>335</v>
      </c>
      <c r="D614" s="3" t="s">
        <v>36</v>
      </c>
      <c r="E614" s="3" t="s">
        <v>7</v>
      </c>
      <c r="F614" s="5">
        <v>324</v>
      </c>
      <c r="G614" s="5">
        <v>624</v>
      </c>
      <c r="H614" s="6">
        <v>18779.16</v>
      </c>
      <c r="I614" s="22">
        <v>44742.96</v>
      </c>
      <c r="J614" s="24">
        <f t="shared" si="27"/>
        <v>3.1002942567873653E-4</v>
      </c>
      <c r="K614" s="25">
        <f t="shared" si="29"/>
        <v>0.59483186715056013</v>
      </c>
      <c r="L614" s="26" t="s">
        <v>7516</v>
      </c>
      <c r="M614" s="28"/>
      <c r="N614" s="28"/>
      <c r="O614" s="20">
        <v>25707</v>
      </c>
      <c r="P614" s="27" t="str">
        <f t="shared" si="28"/>
        <v>laranja</v>
      </c>
    </row>
    <row r="615" spans="1:16" ht="25.5">
      <c r="A615" s="3" t="s">
        <v>5755</v>
      </c>
      <c r="B615" s="3" t="s">
        <v>5756</v>
      </c>
      <c r="C615" s="4">
        <v>39</v>
      </c>
      <c r="D615" s="3" t="s">
        <v>26</v>
      </c>
      <c r="E615" s="3" t="s">
        <v>13</v>
      </c>
      <c r="F615" s="5">
        <v>360</v>
      </c>
      <c r="G615" s="5">
        <v>768</v>
      </c>
      <c r="H615" s="6">
        <v>18411.227999999999</v>
      </c>
      <c r="I615" s="22">
        <v>44568.44</v>
      </c>
      <c r="J615" s="24">
        <f t="shared" si="27"/>
        <v>3.0882015531822726E-4</v>
      </c>
      <c r="K615" s="25">
        <f t="shared" si="29"/>
        <v>0.59514068730587832</v>
      </c>
      <c r="L615" s="26" t="s">
        <v>7516</v>
      </c>
      <c r="M615" s="28"/>
      <c r="N615" s="28"/>
      <c r="O615" s="20" t="s">
        <v>7530</v>
      </c>
      <c r="P615" s="27" t="str">
        <f t="shared" si="28"/>
        <v>vermelho</v>
      </c>
    </row>
    <row r="616" spans="1:16" ht="25.5">
      <c r="A616" s="3" t="s">
        <v>5757</v>
      </c>
      <c r="B616" s="3" t="s">
        <v>5758</v>
      </c>
      <c r="C616" s="4">
        <v>208</v>
      </c>
      <c r="D616" s="3" t="s">
        <v>15</v>
      </c>
      <c r="E616" s="3" t="s">
        <v>16</v>
      </c>
      <c r="F616" s="5">
        <v>240</v>
      </c>
      <c r="G616" s="5">
        <v>756</v>
      </c>
      <c r="H616" s="6">
        <v>12954.24</v>
      </c>
      <c r="I616" s="22">
        <v>44551.08</v>
      </c>
      <c r="J616" s="24">
        <f t="shared" si="27"/>
        <v>3.0869986576139455E-4</v>
      </c>
      <c r="K616" s="25">
        <f t="shared" si="29"/>
        <v>0.59544938717163975</v>
      </c>
      <c r="L616" s="26" t="s">
        <v>7516</v>
      </c>
      <c r="M616" s="28"/>
      <c r="N616" s="28"/>
      <c r="O616" s="20" t="s">
        <v>7530</v>
      </c>
      <c r="P616" s="27" t="str">
        <f t="shared" si="28"/>
        <v>vermelho</v>
      </c>
    </row>
    <row r="617" spans="1:16" ht="25.5">
      <c r="A617" s="3" t="s">
        <v>4</v>
      </c>
      <c r="B617" s="3" t="s">
        <v>245</v>
      </c>
      <c r="C617" s="4">
        <v>337</v>
      </c>
      <c r="D617" s="3" t="s">
        <v>202</v>
      </c>
      <c r="E617" s="3" t="s">
        <v>16</v>
      </c>
      <c r="F617" s="5">
        <v>828</v>
      </c>
      <c r="G617" s="5">
        <v>714</v>
      </c>
      <c r="H617" s="6">
        <v>47222.28</v>
      </c>
      <c r="I617" s="22">
        <v>44470.14</v>
      </c>
      <c r="J617" s="24">
        <f t="shared" si="27"/>
        <v>3.0813902263178406E-4</v>
      </c>
      <c r="K617" s="25">
        <f t="shared" si="29"/>
        <v>0.59575752619427158</v>
      </c>
      <c r="L617" s="26" t="s">
        <v>7516</v>
      </c>
      <c r="M617" s="28"/>
      <c r="N617" s="28"/>
      <c r="O617" s="20">
        <v>5646.24</v>
      </c>
      <c r="P617" s="27" t="str">
        <f t="shared" si="28"/>
        <v>amarelo</v>
      </c>
    </row>
    <row r="618" spans="1:16" ht="25.5">
      <c r="A618" s="3" t="s">
        <v>5761</v>
      </c>
      <c r="B618" s="3" t="s">
        <v>5762</v>
      </c>
      <c r="C618" s="4">
        <v>41</v>
      </c>
      <c r="D618" s="3" t="s">
        <v>178</v>
      </c>
      <c r="E618" s="3" t="s">
        <v>41</v>
      </c>
      <c r="F618" s="5">
        <v>1404</v>
      </c>
      <c r="G618" s="5">
        <v>720</v>
      </c>
      <c r="H618" s="6">
        <v>85972.68</v>
      </c>
      <c r="I618" s="22">
        <v>44423.040000000001</v>
      </c>
      <c r="J618" s="24">
        <f t="shared" si="27"/>
        <v>3.0781266098853406E-4</v>
      </c>
      <c r="K618" s="25">
        <f t="shared" si="29"/>
        <v>0.59606533885526014</v>
      </c>
      <c r="L618" s="26" t="s">
        <v>7516</v>
      </c>
      <c r="M618" s="28"/>
      <c r="N618" s="28"/>
      <c r="O618" s="20">
        <v>25076.400000000001</v>
      </c>
      <c r="P618" s="27" t="str">
        <f t="shared" si="28"/>
        <v>laranja</v>
      </c>
    </row>
    <row r="619" spans="1:16" ht="25.5">
      <c r="A619" s="3" t="s">
        <v>4</v>
      </c>
      <c r="B619" s="3" t="s">
        <v>246</v>
      </c>
      <c r="C619" s="4">
        <v>316</v>
      </c>
      <c r="D619" s="3" t="s">
        <v>247</v>
      </c>
      <c r="E619" s="3" t="s">
        <v>10</v>
      </c>
      <c r="F619" s="5">
        <v>621</v>
      </c>
      <c r="G619" s="5">
        <v>642</v>
      </c>
      <c r="H619" s="6">
        <v>27546.63</v>
      </c>
      <c r="I619" s="22">
        <v>44382.81</v>
      </c>
      <c r="J619" s="24">
        <f t="shared" si="27"/>
        <v>3.0753390241299375E-4</v>
      </c>
      <c r="K619" s="25">
        <f t="shared" si="29"/>
        <v>0.59637287275767314</v>
      </c>
      <c r="L619" s="26" t="s">
        <v>7516</v>
      </c>
      <c r="M619" s="28"/>
      <c r="N619" s="28"/>
      <c r="O619" s="20">
        <v>16071.54</v>
      </c>
      <c r="P619" s="27" t="str">
        <f t="shared" si="28"/>
        <v>amarelo</v>
      </c>
    </row>
    <row r="620" spans="1:16" ht="25.5">
      <c r="A620" s="3" t="s">
        <v>4</v>
      </c>
      <c r="B620" s="3" t="s">
        <v>248</v>
      </c>
      <c r="C620" s="4">
        <v>19</v>
      </c>
      <c r="D620" s="3" t="s">
        <v>72</v>
      </c>
      <c r="E620" s="3" t="s">
        <v>41</v>
      </c>
      <c r="F620" s="5">
        <v>1026</v>
      </c>
      <c r="G620" s="5">
        <v>720</v>
      </c>
      <c r="H620" s="6">
        <v>59645.027999999998</v>
      </c>
      <c r="I620" s="22">
        <v>44382.084000000003</v>
      </c>
      <c r="J620" s="24">
        <f t="shared" si="27"/>
        <v>3.0752887187046726E-4</v>
      </c>
      <c r="K620" s="25">
        <f t="shared" si="29"/>
        <v>0.59668040162954361</v>
      </c>
      <c r="L620" s="26" t="s">
        <v>7516</v>
      </c>
      <c r="M620" s="28"/>
      <c r="N620" s="28"/>
      <c r="O620" s="20">
        <v>29381.45</v>
      </c>
      <c r="P620" s="27" t="str">
        <f t="shared" si="28"/>
        <v>laranja</v>
      </c>
    </row>
    <row r="621" spans="1:16" ht="25.5">
      <c r="A621" s="3" t="s">
        <v>4</v>
      </c>
      <c r="B621" s="3" t="s">
        <v>249</v>
      </c>
      <c r="C621" s="4">
        <v>317</v>
      </c>
      <c r="D621" s="3" t="s">
        <v>78</v>
      </c>
      <c r="E621" s="3" t="s">
        <v>10</v>
      </c>
      <c r="F621" s="5">
        <v>0</v>
      </c>
      <c r="G621" s="5">
        <v>762</v>
      </c>
      <c r="H621" s="6">
        <v>0</v>
      </c>
      <c r="I621" s="22">
        <v>44333.79</v>
      </c>
      <c r="J621" s="24">
        <f t="shared" si="27"/>
        <v>3.0719423685562404E-4</v>
      </c>
      <c r="K621" s="25">
        <f t="shared" si="29"/>
        <v>0.59698759586639927</v>
      </c>
      <c r="L621" s="26" t="s">
        <v>7516</v>
      </c>
      <c r="M621" s="28"/>
      <c r="N621" s="28"/>
      <c r="O621" s="20" t="s">
        <v>7530</v>
      </c>
      <c r="P621" s="27" t="str">
        <f t="shared" si="28"/>
        <v>vermelho</v>
      </c>
    </row>
    <row r="622" spans="1:16">
      <c r="A622" s="3" t="s">
        <v>5118</v>
      </c>
      <c r="B622" s="3" t="s">
        <v>5119</v>
      </c>
      <c r="C622" s="4">
        <v>342</v>
      </c>
      <c r="D622" s="3" t="s">
        <v>5120</v>
      </c>
      <c r="E622" s="3" t="s">
        <v>41</v>
      </c>
      <c r="F622" s="5">
        <v>0</v>
      </c>
      <c r="G622" s="5">
        <v>840</v>
      </c>
      <c r="H622" s="6">
        <v>0</v>
      </c>
      <c r="I622" s="22">
        <v>44279.4</v>
      </c>
      <c r="J622" s="24">
        <f t="shared" si="27"/>
        <v>3.0681736191345068E-4</v>
      </c>
      <c r="K622" s="25">
        <f t="shared" si="29"/>
        <v>0.59729441322831267</v>
      </c>
      <c r="L622" s="26" t="s">
        <v>7516</v>
      </c>
      <c r="M622" s="28"/>
      <c r="N622" s="28"/>
      <c r="O622" s="20">
        <v>38205.599999999999</v>
      </c>
      <c r="P622" s="27" t="str">
        <f t="shared" si="28"/>
        <v>laranja</v>
      </c>
    </row>
    <row r="623" spans="1:16" ht="25.5">
      <c r="A623" s="3" t="s">
        <v>5763</v>
      </c>
      <c r="B623" s="3" t="s">
        <v>5764</v>
      </c>
      <c r="C623" s="4">
        <v>93</v>
      </c>
      <c r="D623" s="3" t="s">
        <v>20</v>
      </c>
      <c r="E623" s="3" t="s">
        <v>7</v>
      </c>
      <c r="F623" s="5">
        <v>1860</v>
      </c>
      <c r="G623" s="5">
        <v>756</v>
      </c>
      <c r="H623" s="6">
        <v>106703.61</v>
      </c>
      <c r="I623" s="22">
        <v>44159.73</v>
      </c>
      <c r="J623" s="24">
        <f t="shared" si="27"/>
        <v>3.0598815389120597E-4</v>
      </c>
      <c r="K623" s="25">
        <f t="shared" si="29"/>
        <v>0.59760040138220383</v>
      </c>
      <c r="L623" s="26" t="s">
        <v>7516</v>
      </c>
      <c r="M623" s="28"/>
      <c r="N623" s="28"/>
      <c r="O623" s="20">
        <v>66437.97</v>
      </c>
      <c r="P623" s="27" t="str">
        <f t="shared" si="28"/>
        <v>verde</v>
      </c>
    </row>
    <row r="624" spans="1:16" ht="25.5">
      <c r="A624" s="3" t="s">
        <v>4</v>
      </c>
      <c r="B624" s="3" t="s">
        <v>250</v>
      </c>
      <c r="C624" s="4">
        <v>167</v>
      </c>
      <c r="D624" s="3" t="s">
        <v>251</v>
      </c>
      <c r="E624" s="3" t="s">
        <v>49</v>
      </c>
      <c r="F624" s="5">
        <v>567</v>
      </c>
      <c r="G624" s="5">
        <v>738</v>
      </c>
      <c r="H624" s="6">
        <v>30694.29</v>
      </c>
      <c r="I624" s="22">
        <v>44106.84</v>
      </c>
      <c r="J624" s="24">
        <f t="shared" si="27"/>
        <v>3.0562167263193854E-4</v>
      </c>
      <c r="K624" s="25">
        <f t="shared" si="29"/>
        <v>0.59790602305483576</v>
      </c>
      <c r="L624" s="26" t="s">
        <v>7516</v>
      </c>
      <c r="M624" s="28"/>
      <c r="N624" s="28"/>
      <c r="O624" s="20" t="s">
        <v>7530</v>
      </c>
      <c r="P624" s="27" t="str">
        <f t="shared" si="28"/>
        <v>vermelho</v>
      </c>
    </row>
    <row r="625" spans="1:16" ht="25.5">
      <c r="A625" s="3" t="s">
        <v>4962</v>
      </c>
      <c r="B625" s="3" t="s">
        <v>4963</v>
      </c>
      <c r="C625" s="4">
        <v>194</v>
      </c>
      <c r="D625" s="3" t="s">
        <v>145</v>
      </c>
      <c r="E625" s="3" t="s">
        <v>16</v>
      </c>
      <c r="F625" s="5">
        <v>684</v>
      </c>
      <c r="G625" s="5">
        <v>762</v>
      </c>
      <c r="H625" s="6">
        <v>39510.660000000003</v>
      </c>
      <c r="I625" s="22">
        <v>44100.480000000003</v>
      </c>
      <c r="J625" s="24">
        <f t="shared" si="27"/>
        <v>3.0557760341641695E-4</v>
      </c>
      <c r="K625" s="25">
        <f t="shared" si="29"/>
        <v>0.59821160065825218</v>
      </c>
      <c r="L625" s="26" t="s">
        <v>7516</v>
      </c>
      <c r="M625" s="28"/>
      <c r="N625" s="28"/>
      <c r="O625" s="20">
        <v>284940.21000000002</v>
      </c>
      <c r="P625" s="27" t="str">
        <f t="shared" si="28"/>
        <v>verde</v>
      </c>
    </row>
    <row r="626" spans="1:16" ht="25.5">
      <c r="A626" s="3" t="s">
        <v>5765</v>
      </c>
      <c r="B626" s="3" t="s">
        <v>5766</v>
      </c>
      <c r="C626" s="4">
        <v>299</v>
      </c>
      <c r="D626" s="3" t="s">
        <v>111</v>
      </c>
      <c r="E626" s="3" t="s">
        <v>49</v>
      </c>
      <c r="F626" s="5">
        <v>387</v>
      </c>
      <c r="G626" s="5">
        <v>711</v>
      </c>
      <c r="H626" s="6">
        <v>20971.637999999999</v>
      </c>
      <c r="I626" s="22">
        <v>44062.5</v>
      </c>
      <c r="J626" s="24">
        <f t="shared" si="27"/>
        <v>3.0531443536523572E-4</v>
      </c>
      <c r="K626" s="25">
        <f t="shared" si="29"/>
        <v>0.59851691509361737</v>
      </c>
      <c r="L626" s="26" t="s">
        <v>7516</v>
      </c>
      <c r="M626" s="28"/>
      <c r="N626" s="28"/>
      <c r="O626" s="20">
        <v>15598.74</v>
      </c>
      <c r="P626" s="27" t="str">
        <f t="shared" si="28"/>
        <v>amarelo</v>
      </c>
    </row>
    <row r="627" spans="1:16" ht="38.25">
      <c r="A627" s="3" t="s">
        <v>4</v>
      </c>
      <c r="B627" s="3" t="s">
        <v>252</v>
      </c>
      <c r="C627" s="4">
        <v>178</v>
      </c>
      <c r="D627" s="3" t="s">
        <v>74</v>
      </c>
      <c r="E627" s="3" t="s">
        <v>7</v>
      </c>
      <c r="F627" s="5">
        <v>849</v>
      </c>
      <c r="G627" s="5">
        <v>711</v>
      </c>
      <c r="H627" s="6">
        <v>45659.021999999997</v>
      </c>
      <c r="I627" s="22">
        <v>43926.48</v>
      </c>
      <c r="J627" s="24">
        <f t="shared" si="27"/>
        <v>3.0437193619931507E-4</v>
      </c>
      <c r="K627" s="25">
        <f t="shared" si="29"/>
        <v>0.59882128702981674</v>
      </c>
      <c r="L627" s="26" t="s">
        <v>7516</v>
      </c>
      <c r="M627" s="28"/>
      <c r="N627" s="28"/>
      <c r="O627" s="20">
        <v>12153</v>
      </c>
      <c r="P627" s="27" t="str">
        <f t="shared" si="28"/>
        <v>amarelo</v>
      </c>
    </row>
    <row r="628" spans="1:16">
      <c r="A628" s="3" t="s">
        <v>5767</v>
      </c>
      <c r="B628" s="3" t="s">
        <v>5768</v>
      </c>
      <c r="C628" s="4">
        <v>231</v>
      </c>
      <c r="D628" s="3" t="s">
        <v>52</v>
      </c>
      <c r="E628" s="3" t="s">
        <v>7</v>
      </c>
      <c r="F628" s="5">
        <v>420</v>
      </c>
      <c r="G628" s="5">
        <v>639</v>
      </c>
      <c r="H628" s="6">
        <v>24194.1</v>
      </c>
      <c r="I628" s="22">
        <v>43888.08</v>
      </c>
      <c r="J628" s="24">
        <f t="shared" si="27"/>
        <v>3.0410585791692017E-4</v>
      </c>
      <c r="K628" s="25">
        <f t="shared" si="29"/>
        <v>0.5991253928877337</v>
      </c>
      <c r="L628" s="26" t="s">
        <v>7516</v>
      </c>
      <c r="M628" s="28"/>
      <c r="N628" s="28"/>
      <c r="O628" s="20">
        <v>19375.32</v>
      </c>
      <c r="P628" s="27" t="str">
        <f t="shared" si="28"/>
        <v>amarelo</v>
      </c>
    </row>
    <row r="629" spans="1:16" ht="38.25">
      <c r="A629" s="3" t="s">
        <v>4</v>
      </c>
      <c r="B629" s="3" t="s">
        <v>253</v>
      </c>
      <c r="C629" s="4">
        <v>143</v>
      </c>
      <c r="D629" s="3" t="s">
        <v>44</v>
      </c>
      <c r="E629" s="3" t="s">
        <v>41</v>
      </c>
      <c r="F629" s="5">
        <v>1434</v>
      </c>
      <c r="G629" s="5">
        <v>684</v>
      </c>
      <c r="H629" s="6">
        <v>82530.014999999999</v>
      </c>
      <c r="I629" s="22">
        <v>43871.06</v>
      </c>
      <c r="J629" s="24">
        <f t="shared" si="27"/>
        <v>3.0398792426154618E-4</v>
      </c>
      <c r="K629" s="25">
        <f t="shared" si="29"/>
        <v>0.59942938081199526</v>
      </c>
      <c r="L629" s="26" t="s">
        <v>7516</v>
      </c>
      <c r="M629" s="28"/>
      <c r="N629" s="28"/>
      <c r="O629" s="20">
        <v>41865.919999999998</v>
      </c>
      <c r="P629" s="27" t="str">
        <f t="shared" si="28"/>
        <v>laranja</v>
      </c>
    </row>
    <row r="630" spans="1:16" ht="25.5">
      <c r="A630" s="3" t="s">
        <v>4</v>
      </c>
      <c r="B630" s="3" t="s">
        <v>254</v>
      </c>
      <c r="C630" s="4">
        <v>74</v>
      </c>
      <c r="D630" s="3" t="s">
        <v>6</v>
      </c>
      <c r="E630" s="3" t="s">
        <v>7</v>
      </c>
      <c r="F630" s="5">
        <v>492</v>
      </c>
      <c r="G630" s="5">
        <v>693</v>
      </c>
      <c r="H630" s="6">
        <v>26037.984</v>
      </c>
      <c r="I630" s="22">
        <v>43846.74</v>
      </c>
      <c r="J630" s="24">
        <f t="shared" si="27"/>
        <v>3.0381940801602942E-4</v>
      </c>
      <c r="K630" s="25">
        <f t="shared" si="29"/>
        <v>0.59973320022001131</v>
      </c>
      <c r="L630" s="26" t="s">
        <v>7516</v>
      </c>
      <c r="M630" s="28"/>
      <c r="N630" s="28"/>
      <c r="O630" s="20">
        <v>15684.6</v>
      </c>
      <c r="P630" s="27" t="str">
        <f t="shared" si="28"/>
        <v>amarelo</v>
      </c>
    </row>
    <row r="631" spans="1:16" ht="25.5">
      <c r="A631" s="3" t="s">
        <v>4</v>
      </c>
      <c r="B631" s="3" t="s">
        <v>255</v>
      </c>
      <c r="C631" s="4">
        <v>231</v>
      </c>
      <c r="D631" s="3" t="s">
        <v>52</v>
      </c>
      <c r="E631" s="3" t="s">
        <v>7</v>
      </c>
      <c r="F631" s="5">
        <v>300</v>
      </c>
      <c r="G631" s="5">
        <v>696</v>
      </c>
      <c r="H631" s="6">
        <v>14709</v>
      </c>
      <c r="I631" s="22">
        <v>43752.36</v>
      </c>
      <c r="J631" s="24">
        <f t="shared" si="27"/>
        <v>3.0316543748758071E-4</v>
      </c>
      <c r="K631" s="25">
        <f t="shared" si="29"/>
        <v>0.60003636565749885</v>
      </c>
      <c r="L631" s="26" t="s">
        <v>7516</v>
      </c>
      <c r="M631" s="28"/>
      <c r="N631" s="28"/>
      <c r="O631" s="20">
        <v>25466.04</v>
      </c>
      <c r="P631" s="27" t="str">
        <f t="shared" si="28"/>
        <v>laranja</v>
      </c>
    </row>
    <row r="632" spans="1:16" ht="38.25">
      <c r="A632" s="3" t="s">
        <v>4</v>
      </c>
      <c r="B632" s="3" t="s">
        <v>256</v>
      </c>
      <c r="C632" s="4">
        <v>45</v>
      </c>
      <c r="D632" s="3" t="s">
        <v>23</v>
      </c>
      <c r="E632" s="3" t="s">
        <v>7</v>
      </c>
      <c r="F632" s="5">
        <v>816</v>
      </c>
      <c r="G632" s="5">
        <v>648</v>
      </c>
      <c r="H632" s="6">
        <v>42320.858999999997</v>
      </c>
      <c r="I632" s="22">
        <v>43749.75</v>
      </c>
      <c r="J632" s="24">
        <f t="shared" si="27"/>
        <v>3.0314735247932419E-4</v>
      </c>
      <c r="K632" s="25">
        <f t="shared" si="29"/>
        <v>0.60033951300997812</v>
      </c>
      <c r="L632" s="26" t="s">
        <v>7516</v>
      </c>
      <c r="M632" s="28"/>
      <c r="N632" s="28"/>
      <c r="O632" s="20">
        <v>3893.28</v>
      </c>
      <c r="P632" s="27" t="str">
        <f t="shared" si="28"/>
        <v>amarelo</v>
      </c>
    </row>
    <row r="633" spans="1:16" ht="25.5">
      <c r="A633" s="3" t="s">
        <v>4</v>
      </c>
      <c r="B633" s="3" t="s">
        <v>257</v>
      </c>
      <c r="C633" s="4">
        <v>23</v>
      </c>
      <c r="D633" s="3" t="s">
        <v>87</v>
      </c>
      <c r="E633" s="3" t="s">
        <v>7</v>
      </c>
      <c r="F633" s="5">
        <v>327</v>
      </c>
      <c r="G633" s="5">
        <v>711</v>
      </c>
      <c r="H633" s="6">
        <v>18105.599999999999</v>
      </c>
      <c r="I633" s="22">
        <v>43740.3</v>
      </c>
      <c r="J633" s="24">
        <f t="shared" si="27"/>
        <v>3.030818722770161E-4</v>
      </c>
      <c r="K633" s="25">
        <f t="shared" si="29"/>
        <v>0.60064259488225513</v>
      </c>
      <c r="L633" s="26" t="s">
        <v>7516</v>
      </c>
      <c r="M633" s="28"/>
      <c r="N633" s="28">
        <v>6.2191045269381566E-2</v>
      </c>
      <c r="O633" s="20">
        <v>22480.65</v>
      </c>
      <c r="P633" s="27" t="str">
        <f t="shared" si="28"/>
        <v>laranja</v>
      </c>
    </row>
    <row r="634" spans="1:16" ht="25.5">
      <c r="A634" s="3" t="s">
        <v>4</v>
      </c>
      <c r="B634" s="3" t="s">
        <v>258</v>
      </c>
      <c r="C634" s="4">
        <v>194</v>
      </c>
      <c r="D634" s="3" t="s">
        <v>145</v>
      </c>
      <c r="E634" s="3" t="s">
        <v>16</v>
      </c>
      <c r="F634" s="5">
        <v>405</v>
      </c>
      <c r="G634" s="5">
        <v>807</v>
      </c>
      <c r="H634" s="6">
        <v>19244.55</v>
      </c>
      <c r="I634" s="22">
        <v>43684.800000000003</v>
      </c>
      <c r="J634" s="24">
        <f t="shared" si="27"/>
        <v>3.0269730600949221E-4</v>
      </c>
      <c r="K634" s="25">
        <f t="shared" si="29"/>
        <v>0.60094529218826465</v>
      </c>
      <c r="L634" s="26" t="s">
        <v>7516</v>
      </c>
      <c r="M634" s="28"/>
      <c r="N634" s="28"/>
      <c r="O634" s="20">
        <v>5747.46</v>
      </c>
      <c r="P634" s="27" t="str">
        <f t="shared" si="28"/>
        <v>amarelo</v>
      </c>
    </row>
    <row r="635" spans="1:16">
      <c r="A635" s="3" t="s">
        <v>4</v>
      </c>
      <c r="B635" s="3" t="s">
        <v>259</v>
      </c>
      <c r="C635" s="4">
        <v>167</v>
      </c>
      <c r="D635" s="3" t="s">
        <v>251</v>
      </c>
      <c r="E635" s="3" t="s">
        <v>49</v>
      </c>
      <c r="F635" s="5">
        <v>327</v>
      </c>
      <c r="G635" s="5">
        <v>615</v>
      </c>
      <c r="H635" s="6">
        <v>21265.41</v>
      </c>
      <c r="I635" s="22">
        <v>43602.23</v>
      </c>
      <c r="J635" s="24">
        <f t="shared" si="27"/>
        <v>3.0212516841112384E-4</v>
      </c>
      <c r="K635" s="25">
        <f t="shared" si="29"/>
        <v>0.60124741735667575</v>
      </c>
      <c r="L635" s="26" t="s">
        <v>7516</v>
      </c>
      <c r="M635" s="28"/>
      <c r="N635" s="28"/>
      <c r="O635" s="20">
        <v>20491.560000000001</v>
      </c>
      <c r="P635" s="27" t="str">
        <f t="shared" si="28"/>
        <v>amarelo</v>
      </c>
    </row>
    <row r="636" spans="1:16" ht="25.5">
      <c r="A636" s="3" t="s">
        <v>5769</v>
      </c>
      <c r="B636" s="3" t="s">
        <v>5770</v>
      </c>
      <c r="C636" s="4">
        <v>316</v>
      </c>
      <c r="D636" s="3" t="s">
        <v>247</v>
      </c>
      <c r="E636" s="3" t="s">
        <v>10</v>
      </c>
      <c r="F636" s="5">
        <v>0</v>
      </c>
      <c r="G636" s="5">
        <v>663</v>
      </c>
      <c r="H636" s="6">
        <v>0</v>
      </c>
      <c r="I636" s="22">
        <v>43566.33</v>
      </c>
      <c r="J636" s="24">
        <f t="shared" si="27"/>
        <v>3.0187641293357234E-4</v>
      </c>
      <c r="K636" s="25">
        <f t="shared" si="29"/>
        <v>0.60154929376960931</v>
      </c>
      <c r="L636" s="26" t="s">
        <v>7516</v>
      </c>
      <c r="M636" s="28"/>
      <c r="N636" s="28"/>
      <c r="O636" s="20">
        <v>21146.31</v>
      </c>
      <c r="P636" s="27" t="str">
        <f t="shared" si="28"/>
        <v>amarelo</v>
      </c>
    </row>
    <row r="637" spans="1:16" ht="25.5">
      <c r="A637" s="3" t="s">
        <v>5771</v>
      </c>
      <c r="B637" s="3" t="s">
        <v>5772</v>
      </c>
      <c r="C637" s="4">
        <v>194</v>
      </c>
      <c r="D637" s="3" t="s">
        <v>145</v>
      </c>
      <c r="E637" s="3" t="s">
        <v>16</v>
      </c>
      <c r="F637" s="5">
        <v>660</v>
      </c>
      <c r="G637" s="5">
        <v>726</v>
      </c>
      <c r="H637" s="6">
        <v>37587.120000000003</v>
      </c>
      <c r="I637" s="22">
        <v>43453.65</v>
      </c>
      <c r="J637" s="24">
        <f t="shared" si="27"/>
        <v>3.0109563947366979E-4</v>
      </c>
      <c r="K637" s="25">
        <f t="shared" si="29"/>
        <v>0.60185038940908298</v>
      </c>
      <c r="L637" s="26" t="s">
        <v>7516</v>
      </c>
      <c r="M637" s="28"/>
      <c r="N637" s="28"/>
      <c r="O637" s="20">
        <v>11629.68</v>
      </c>
      <c r="P637" s="27" t="str">
        <f t="shared" si="28"/>
        <v>amarelo</v>
      </c>
    </row>
    <row r="638" spans="1:16" ht="25.5">
      <c r="A638" s="3" t="s">
        <v>4</v>
      </c>
      <c r="B638" s="3" t="s">
        <v>260</v>
      </c>
      <c r="C638" s="4">
        <v>218</v>
      </c>
      <c r="D638" s="3" t="s">
        <v>104</v>
      </c>
      <c r="E638" s="3" t="s">
        <v>16</v>
      </c>
      <c r="F638" s="5">
        <v>864</v>
      </c>
      <c r="G638" s="5">
        <v>795</v>
      </c>
      <c r="H638" s="6">
        <v>41019.300000000003</v>
      </c>
      <c r="I638" s="22">
        <v>43377.75</v>
      </c>
      <c r="J638" s="24">
        <f t="shared" si="27"/>
        <v>3.0056971911862363E-4</v>
      </c>
      <c r="K638" s="25">
        <f t="shared" si="29"/>
        <v>0.6021509591282016</v>
      </c>
      <c r="L638" s="26" t="s">
        <v>7516</v>
      </c>
      <c r="M638" s="28"/>
      <c r="N638" s="28"/>
      <c r="O638" s="20" t="s">
        <v>7530</v>
      </c>
      <c r="P638" s="27" t="str">
        <f t="shared" si="28"/>
        <v>vermelho</v>
      </c>
    </row>
    <row r="639" spans="1:16" ht="25.5">
      <c r="A639" s="3" t="s">
        <v>4</v>
      </c>
      <c r="B639" s="3" t="s">
        <v>261</v>
      </c>
      <c r="C639" s="4">
        <v>93</v>
      </c>
      <c r="D639" s="3" t="s">
        <v>20</v>
      </c>
      <c r="E639" s="3" t="s">
        <v>7</v>
      </c>
      <c r="F639" s="5">
        <v>450</v>
      </c>
      <c r="G639" s="5">
        <v>672</v>
      </c>
      <c r="H639" s="6">
        <v>27413.628000000001</v>
      </c>
      <c r="I639" s="22">
        <v>43377.4</v>
      </c>
      <c r="J639" s="24">
        <f t="shared" si="27"/>
        <v>3.0056729392594561E-4</v>
      </c>
      <c r="K639" s="25">
        <f t="shared" si="29"/>
        <v>0.60245152642212751</v>
      </c>
      <c r="L639" s="26" t="s">
        <v>7516</v>
      </c>
      <c r="M639" s="28"/>
      <c r="N639" s="28"/>
      <c r="O639" s="20">
        <v>16381.5</v>
      </c>
      <c r="P639" s="27" t="str">
        <f t="shared" si="28"/>
        <v>amarelo</v>
      </c>
    </row>
    <row r="640" spans="1:16" ht="25.5">
      <c r="A640" s="3" t="s">
        <v>4</v>
      </c>
      <c r="B640" s="3" t="s">
        <v>262</v>
      </c>
      <c r="C640" s="4">
        <v>23</v>
      </c>
      <c r="D640" s="3" t="s">
        <v>87</v>
      </c>
      <c r="E640" s="3" t="s">
        <v>7</v>
      </c>
      <c r="F640" s="5">
        <v>711</v>
      </c>
      <c r="G640" s="5">
        <v>690</v>
      </c>
      <c r="H640" s="6">
        <v>35340.288</v>
      </c>
      <c r="I640" s="22">
        <v>43377.24</v>
      </c>
      <c r="J640" s="24">
        <f t="shared" si="27"/>
        <v>3.005661852664356E-4</v>
      </c>
      <c r="K640" s="25">
        <f t="shared" si="29"/>
        <v>0.60275209260739393</v>
      </c>
      <c r="L640" s="26" t="s">
        <v>7516</v>
      </c>
      <c r="M640" s="28"/>
      <c r="N640" s="28"/>
      <c r="O640" s="20" t="s">
        <v>7530</v>
      </c>
      <c r="P640" s="27" t="str">
        <f t="shared" si="28"/>
        <v>vermelho</v>
      </c>
    </row>
    <row r="641" spans="1:16" ht="25.5">
      <c r="A641" s="3" t="s">
        <v>4</v>
      </c>
      <c r="B641" s="3" t="s">
        <v>263</v>
      </c>
      <c r="C641" s="4">
        <v>232</v>
      </c>
      <c r="D641" s="3" t="s">
        <v>174</v>
      </c>
      <c r="E641" s="3" t="s">
        <v>16</v>
      </c>
      <c r="F641" s="5">
        <v>600</v>
      </c>
      <c r="G641" s="5">
        <v>744</v>
      </c>
      <c r="H641" s="6">
        <v>29590.560000000001</v>
      </c>
      <c r="I641" s="22">
        <v>43366.080000000002</v>
      </c>
      <c r="J641" s="24">
        <f t="shared" si="27"/>
        <v>3.0048885626561458E-4</v>
      </c>
      <c r="K641" s="25">
        <f t="shared" si="29"/>
        <v>0.60305258146365959</v>
      </c>
      <c r="L641" s="26" t="s">
        <v>7516</v>
      </c>
      <c r="M641" s="28"/>
      <c r="N641" s="28"/>
      <c r="O641" s="20">
        <v>20878.8</v>
      </c>
      <c r="P641" s="27" t="str">
        <f t="shared" si="28"/>
        <v>amarelo</v>
      </c>
    </row>
    <row r="642" spans="1:16" ht="25.5">
      <c r="A642" s="3" t="s">
        <v>4</v>
      </c>
      <c r="B642" s="3" t="s">
        <v>264</v>
      </c>
      <c r="C642" s="4">
        <v>19</v>
      </c>
      <c r="D642" s="3" t="s">
        <v>72</v>
      </c>
      <c r="E642" s="3" t="s">
        <v>41</v>
      </c>
      <c r="F642" s="5">
        <v>636</v>
      </c>
      <c r="G642" s="5">
        <v>660</v>
      </c>
      <c r="H642" s="6">
        <v>40107.040000000001</v>
      </c>
      <c r="I642" s="22">
        <v>43356.03</v>
      </c>
      <c r="J642" s="24">
        <f t="shared" si="27"/>
        <v>3.0041921859014404E-4</v>
      </c>
      <c r="K642" s="25">
        <f t="shared" si="29"/>
        <v>0.60335300068224973</v>
      </c>
      <c r="L642" s="26" t="s">
        <v>7516</v>
      </c>
      <c r="M642" s="28"/>
      <c r="N642" s="28"/>
      <c r="O642" s="20" t="s">
        <v>7530</v>
      </c>
      <c r="P642" s="27" t="str">
        <f t="shared" si="28"/>
        <v>vermelho</v>
      </c>
    </row>
    <row r="643" spans="1:16" ht="25.5">
      <c r="A643" s="3" t="s">
        <v>4</v>
      </c>
      <c r="B643" s="3" t="s">
        <v>265</v>
      </c>
      <c r="C643" s="4">
        <v>270</v>
      </c>
      <c r="D643" s="3" t="s">
        <v>266</v>
      </c>
      <c r="E643" s="3" t="s">
        <v>49</v>
      </c>
      <c r="F643" s="5">
        <v>522</v>
      </c>
      <c r="G643" s="5">
        <v>690</v>
      </c>
      <c r="H643" s="6">
        <v>27863.88</v>
      </c>
      <c r="I643" s="22">
        <v>43273.38</v>
      </c>
      <c r="J643" s="24">
        <f t="shared" ref="J643:J706" si="30">I643/$I$6364</f>
        <v>2.9984652666202062E-4</v>
      </c>
      <c r="K643" s="25">
        <f t="shared" si="29"/>
        <v>0.60365284720891177</v>
      </c>
      <c r="L643" s="26" t="s">
        <v>7516</v>
      </c>
      <c r="M643" s="28"/>
      <c r="N643" s="28"/>
      <c r="O643" s="20" t="s">
        <v>7530</v>
      </c>
      <c r="P643" s="27" t="str">
        <f t="shared" ref="P643:P706" si="31">IF(O643&lt;=0,"vermelho",IFERROR(IF(O643/I643&lt;=0.5098,"amarelo",IF(O643/I643&lt;1,"laranja","verde")),"vermelho"))</f>
        <v>vermelho</v>
      </c>
    </row>
    <row r="644" spans="1:16" ht="38.25">
      <c r="A644" s="3" t="s">
        <v>4</v>
      </c>
      <c r="B644" s="3" t="s">
        <v>267</v>
      </c>
      <c r="C644" s="4">
        <v>34</v>
      </c>
      <c r="D644" s="3" t="s">
        <v>54</v>
      </c>
      <c r="E644" s="3" t="s">
        <v>49</v>
      </c>
      <c r="F644" s="5">
        <v>1209</v>
      </c>
      <c r="G644" s="5">
        <v>648</v>
      </c>
      <c r="H644" s="6">
        <v>72810.648000000001</v>
      </c>
      <c r="I644" s="22">
        <v>43271.76</v>
      </c>
      <c r="J644" s="24">
        <f t="shared" si="30"/>
        <v>2.9983530148448211E-4</v>
      </c>
      <c r="K644" s="25">
        <f t="shared" ref="K644:K707" si="32">J644+K643</f>
        <v>0.60395268251039624</v>
      </c>
      <c r="L644" s="26" t="s">
        <v>7516</v>
      </c>
      <c r="M644" s="28"/>
      <c r="N644" s="28"/>
      <c r="O644" s="20">
        <v>24963</v>
      </c>
      <c r="P644" s="27" t="str">
        <f t="shared" si="31"/>
        <v>laranja</v>
      </c>
    </row>
    <row r="645" spans="1:16" ht="25.5">
      <c r="A645" s="3" t="s">
        <v>4</v>
      </c>
      <c r="B645" s="3" t="s">
        <v>268</v>
      </c>
      <c r="C645" s="4">
        <v>187</v>
      </c>
      <c r="D645" s="3" t="s">
        <v>96</v>
      </c>
      <c r="E645" s="3" t="s">
        <v>7</v>
      </c>
      <c r="F645" s="5">
        <v>900</v>
      </c>
      <c r="G645" s="5">
        <v>675</v>
      </c>
      <c r="H645" s="6">
        <v>44046.84</v>
      </c>
      <c r="I645" s="22">
        <v>43256.82</v>
      </c>
      <c r="J645" s="24">
        <f t="shared" si="30"/>
        <v>2.9973178040273784E-4</v>
      </c>
      <c r="K645" s="25">
        <f t="shared" si="32"/>
        <v>0.60425241429079901</v>
      </c>
      <c r="L645" s="26" t="s">
        <v>7516</v>
      </c>
      <c r="M645" s="28"/>
      <c r="N645" s="28"/>
      <c r="O645" s="20" t="s">
        <v>7530</v>
      </c>
      <c r="P645" s="27" t="str">
        <f t="shared" si="31"/>
        <v>vermelho</v>
      </c>
    </row>
    <row r="646" spans="1:16" ht="38.25">
      <c r="A646" s="3" t="s">
        <v>5773</v>
      </c>
      <c r="B646" s="3" t="s">
        <v>5774</v>
      </c>
      <c r="C646" s="4">
        <v>45</v>
      </c>
      <c r="D646" s="3" t="s">
        <v>23</v>
      </c>
      <c r="E646" s="3" t="s">
        <v>7</v>
      </c>
      <c r="F646" s="5">
        <v>921</v>
      </c>
      <c r="G646" s="5">
        <v>666</v>
      </c>
      <c r="H646" s="6">
        <v>53141.46</v>
      </c>
      <c r="I646" s="22">
        <v>43227.63</v>
      </c>
      <c r="J646" s="24">
        <f t="shared" si="30"/>
        <v>2.9952951933338607E-4</v>
      </c>
      <c r="K646" s="25">
        <f t="shared" si="32"/>
        <v>0.60455194381013244</v>
      </c>
      <c r="L646" s="26" t="s">
        <v>7516</v>
      </c>
      <c r="M646" s="28"/>
      <c r="N646" s="28"/>
      <c r="O646" s="20">
        <v>25011.27</v>
      </c>
      <c r="P646" s="27" t="str">
        <f t="shared" si="31"/>
        <v>laranja</v>
      </c>
    </row>
    <row r="647" spans="1:16" ht="25.5">
      <c r="A647" s="3" t="s">
        <v>4</v>
      </c>
      <c r="B647" s="3" t="s">
        <v>269</v>
      </c>
      <c r="C647" s="4">
        <v>187</v>
      </c>
      <c r="D647" s="3" t="s">
        <v>96</v>
      </c>
      <c r="E647" s="3" t="s">
        <v>7</v>
      </c>
      <c r="F647" s="5">
        <v>336</v>
      </c>
      <c r="G647" s="5">
        <v>630</v>
      </c>
      <c r="H647" s="6">
        <v>19805.64</v>
      </c>
      <c r="I647" s="22">
        <v>43212.84</v>
      </c>
      <c r="J647" s="24">
        <f t="shared" si="30"/>
        <v>2.994270376199324E-4</v>
      </c>
      <c r="K647" s="25">
        <f t="shared" si="32"/>
        <v>0.60485137084775242</v>
      </c>
      <c r="L647" s="26" t="s">
        <v>7516</v>
      </c>
      <c r="M647" s="28"/>
      <c r="N647" s="28"/>
      <c r="O647" s="20" t="s">
        <v>7530</v>
      </c>
      <c r="P647" s="27" t="str">
        <f t="shared" si="31"/>
        <v>vermelho</v>
      </c>
    </row>
    <row r="648" spans="1:16" ht="25.5">
      <c r="A648" s="3" t="s">
        <v>4</v>
      </c>
      <c r="B648" s="3" t="s">
        <v>270</v>
      </c>
      <c r="C648" s="4">
        <v>266</v>
      </c>
      <c r="D648" s="3" t="s">
        <v>80</v>
      </c>
      <c r="E648" s="3" t="s">
        <v>10</v>
      </c>
      <c r="F648" s="5">
        <v>408</v>
      </c>
      <c r="G648" s="5">
        <v>735</v>
      </c>
      <c r="H648" s="6">
        <v>23529.06</v>
      </c>
      <c r="I648" s="22">
        <v>43204.47</v>
      </c>
      <c r="J648" s="24">
        <f t="shared" si="30"/>
        <v>2.9936904086931668E-4</v>
      </c>
      <c r="K648" s="25">
        <f t="shared" si="32"/>
        <v>0.60515073988862178</v>
      </c>
      <c r="L648" s="26" t="s">
        <v>7516</v>
      </c>
      <c r="M648" s="28"/>
      <c r="N648" s="28"/>
      <c r="O648" s="20">
        <v>3573.48</v>
      </c>
      <c r="P648" s="27" t="str">
        <f t="shared" si="31"/>
        <v>amarelo</v>
      </c>
    </row>
    <row r="649" spans="1:16" ht="38.25">
      <c r="A649" s="3" t="s">
        <v>5775</v>
      </c>
      <c r="B649" s="3" t="s">
        <v>5776</v>
      </c>
      <c r="C649" s="4">
        <v>371</v>
      </c>
      <c r="D649" s="3" t="s">
        <v>82</v>
      </c>
      <c r="E649" s="3" t="s">
        <v>49</v>
      </c>
      <c r="F649" s="5">
        <v>72</v>
      </c>
      <c r="G649" s="5">
        <v>1008</v>
      </c>
      <c r="H649" s="6">
        <v>2880</v>
      </c>
      <c r="I649" s="22">
        <v>43155.24</v>
      </c>
      <c r="J649" s="24">
        <f t="shared" si="30"/>
        <v>2.9902792019634007E-4</v>
      </c>
      <c r="K649" s="25">
        <f t="shared" si="32"/>
        <v>0.6054497678088181</v>
      </c>
      <c r="L649" s="26" t="s">
        <v>7516</v>
      </c>
      <c r="M649" s="28"/>
      <c r="N649" s="28"/>
      <c r="O649" s="20" t="s">
        <v>7530</v>
      </c>
      <c r="P649" s="27" t="str">
        <f t="shared" si="31"/>
        <v>vermelho</v>
      </c>
    </row>
    <row r="650" spans="1:16" ht="25.5">
      <c r="A650" s="3" t="s">
        <v>4</v>
      </c>
      <c r="B650" s="3" t="s">
        <v>271</v>
      </c>
      <c r="C650" s="4">
        <v>187</v>
      </c>
      <c r="D650" s="3" t="s">
        <v>96</v>
      </c>
      <c r="E650" s="3" t="s">
        <v>7</v>
      </c>
      <c r="F650" s="5">
        <v>928</v>
      </c>
      <c r="G650" s="5">
        <v>705</v>
      </c>
      <c r="H650" s="6">
        <v>53672.675999999999</v>
      </c>
      <c r="I650" s="22">
        <v>43044.279000000002</v>
      </c>
      <c r="J650" s="24">
        <f t="shared" si="30"/>
        <v>2.9825905789704793E-4</v>
      </c>
      <c r="K650" s="25">
        <f t="shared" si="32"/>
        <v>0.60574802686671514</v>
      </c>
      <c r="L650" s="26" t="s">
        <v>7516</v>
      </c>
      <c r="M650" s="28">
        <v>-3.8841297254563756E-2</v>
      </c>
      <c r="N650" s="28"/>
      <c r="O650" s="20">
        <v>21920.22</v>
      </c>
      <c r="P650" s="27" t="str">
        <f t="shared" si="31"/>
        <v>amarelo</v>
      </c>
    </row>
    <row r="651" spans="1:16" ht="25.5">
      <c r="A651" s="3" t="s">
        <v>4</v>
      </c>
      <c r="B651" s="3" t="s">
        <v>272</v>
      </c>
      <c r="C651" s="4">
        <v>232</v>
      </c>
      <c r="D651" s="3" t="s">
        <v>174</v>
      </c>
      <c r="E651" s="3" t="s">
        <v>16</v>
      </c>
      <c r="F651" s="5">
        <v>1212</v>
      </c>
      <c r="G651" s="5">
        <v>780</v>
      </c>
      <c r="H651" s="6">
        <v>64317.36</v>
      </c>
      <c r="I651" s="22">
        <v>42977.4</v>
      </c>
      <c r="J651" s="24">
        <f t="shared" si="30"/>
        <v>2.9779564515099876E-4</v>
      </c>
      <c r="K651" s="25">
        <f t="shared" si="32"/>
        <v>0.60604582251186612</v>
      </c>
      <c r="L651" s="26" t="s">
        <v>7516</v>
      </c>
      <c r="M651" s="28"/>
      <c r="N651" s="28"/>
      <c r="O651" s="20" t="s">
        <v>7530</v>
      </c>
      <c r="P651" s="27" t="str">
        <f t="shared" si="31"/>
        <v>vermelho</v>
      </c>
    </row>
    <row r="652" spans="1:16" ht="25.5">
      <c r="A652" s="3" t="s">
        <v>4</v>
      </c>
      <c r="B652" s="3" t="s">
        <v>273</v>
      </c>
      <c r="C652" s="4">
        <v>316</v>
      </c>
      <c r="D652" s="3" t="s">
        <v>247</v>
      </c>
      <c r="E652" s="3" t="s">
        <v>10</v>
      </c>
      <c r="F652" s="5">
        <v>330</v>
      </c>
      <c r="G652" s="5">
        <v>825</v>
      </c>
      <c r="H652" s="6">
        <v>13831.2</v>
      </c>
      <c r="I652" s="22">
        <v>42962.7</v>
      </c>
      <c r="J652" s="24">
        <f t="shared" si="30"/>
        <v>2.9769378705851946E-4</v>
      </c>
      <c r="K652" s="25">
        <f t="shared" si="32"/>
        <v>0.60634351629892469</v>
      </c>
      <c r="L652" s="26" t="s">
        <v>7516</v>
      </c>
      <c r="M652" s="28"/>
      <c r="N652" s="28"/>
      <c r="O652" s="20">
        <v>5475.72</v>
      </c>
      <c r="P652" s="27" t="str">
        <f t="shared" si="31"/>
        <v>amarelo</v>
      </c>
    </row>
    <row r="653" spans="1:16" ht="25.5">
      <c r="A653" s="3" t="s">
        <v>4</v>
      </c>
      <c r="B653" s="3" t="s">
        <v>274</v>
      </c>
      <c r="C653" s="4">
        <v>74</v>
      </c>
      <c r="D653" s="3" t="s">
        <v>6</v>
      </c>
      <c r="E653" s="3" t="s">
        <v>7</v>
      </c>
      <c r="F653" s="5">
        <v>804</v>
      </c>
      <c r="G653" s="5">
        <v>667</v>
      </c>
      <c r="H653" s="6">
        <v>49217.85</v>
      </c>
      <c r="I653" s="22">
        <v>42941.23</v>
      </c>
      <c r="J653" s="24">
        <f t="shared" si="30"/>
        <v>2.9754501881052418E-4</v>
      </c>
      <c r="K653" s="25">
        <f t="shared" si="32"/>
        <v>0.60664106131773521</v>
      </c>
      <c r="L653" s="26" t="s">
        <v>7516</v>
      </c>
      <c r="M653" s="28">
        <v>1.396920676865962E-2</v>
      </c>
      <c r="N653" s="28"/>
      <c r="O653" s="20">
        <v>11964.72</v>
      </c>
      <c r="P653" s="27" t="str">
        <f t="shared" si="31"/>
        <v>amarelo</v>
      </c>
    </row>
    <row r="654" spans="1:16">
      <c r="A654" s="3" t="s">
        <v>5777</v>
      </c>
      <c r="B654" s="3" t="s">
        <v>5778</v>
      </c>
      <c r="C654" s="4">
        <v>240</v>
      </c>
      <c r="D654" s="3" t="s">
        <v>69</v>
      </c>
      <c r="E654" s="3" t="s">
        <v>16</v>
      </c>
      <c r="F654" s="5">
        <v>1038</v>
      </c>
      <c r="G654" s="5">
        <v>759</v>
      </c>
      <c r="H654" s="6">
        <v>53276.07</v>
      </c>
      <c r="I654" s="22">
        <v>42921.15</v>
      </c>
      <c r="J654" s="24">
        <f t="shared" si="30"/>
        <v>2.9740588204202188E-4</v>
      </c>
      <c r="K654" s="25">
        <f t="shared" si="32"/>
        <v>0.60693846719977718</v>
      </c>
      <c r="L654" s="26" t="s">
        <v>7516</v>
      </c>
      <c r="M654" s="28"/>
      <c r="N654" s="28"/>
      <c r="O654" s="20">
        <v>42644.1</v>
      </c>
      <c r="P654" s="27" t="str">
        <f t="shared" si="31"/>
        <v>laranja</v>
      </c>
    </row>
    <row r="655" spans="1:16" ht="38.25">
      <c r="A655" s="3" t="s">
        <v>5779</v>
      </c>
      <c r="B655" s="3" t="s">
        <v>5780</v>
      </c>
      <c r="C655" s="4">
        <v>292</v>
      </c>
      <c r="D655" s="3" t="s">
        <v>57</v>
      </c>
      <c r="E655" s="3" t="s">
        <v>49</v>
      </c>
      <c r="F655" s="5">
        <v>1170</v>
      </c>
      <c r="G655" s="5">
        <v>795</v>
      </c>
      <c r="H655" s="6">
        <v>62744.889000000003</v>
      </c>
      <c r="I655" s="22">
        <v>42794.466</v>
      </c>
      <c r="J655" s="24">
        <f t="shared" si="30"/>
        <v>2.9652807315850844E-4</v>
      </c>
      <c r="K655" s="25">
        <f t="shared" si="32"/>
        <v>0.60723499527293567</v>
      </c>
      <c r="L655" s="26" t="s">
        <v>7516</v>
      </c>
      <c r="M655" s="28"/>
      <c r="N655" s="28"/>
      <c r="O655" s="20" t="s">
        <v>7530</v>
      </c>
      <c r="P655" s="27" t="str">
        <f t="shared" si="31"/>
        <v>vermelho</v>
      </c>
    </row>
    <row r="656" spans="1:16" ht="25.5">
      <c r="A656" s="3" t="s">
        <v>4</v>
      </c>
      <c r="B656" s="3" t="s">
        <v>275</v>
      </c>
      <c r="C656" s="4">
        <v>61</v>
      </c>
      <c r="D656" s="3" t="s">
        <v>48</v>
      </c>
      <c r="E656" s="3" t="s">
        <v>49</v>
      </c>
      <c r="F656" s="5">
        <v>336</v>
      </c>
      <c r="G656" s="5">
        <v>687</v>
      </c>
      <c r="H656" s="6">
        <v>20060.64</v>
      </c>
      <c r="I656" s="22">
        <v>42665.7</v>
      </c>
      <c r="J656" s="24">
        <f t="shared" si="30"/>
        <v>2.9563583784312142E-4</v>
      </c>
      <c r="K656" s="25">
        <f t="shared" si="32"/>
        <v>0.60753063111077876</v>
      </c>
      <c r="L656" s="26" t="s">
        <v>7516</v>
      </c>
      <c r="M656" s="28"/>
      <c r="N656" s="28"/>
      <c r="O656" s="20">
        <v>19411.560000000001</v>
      </c>
      <c r="P656" s="27" t="str">
        <f t="shared" si="31"/>
        <v>amarelo</v>
      </c>
    </row>
    <row r="657" spans="1:16">
      <c r="A657" s="3" t="s">
        <v>4</v>
      </c>
      <c r="B657" s="3" t="s">
        <v>276</v>
      </c>
      <c r="C657" s="4">
        <v>231</v>
      </c>
      <c r="D657" s="3" t="s">
        <v>52</v>
      </c>
      <c r="E657" s="3" t="s">
        <v>7</v>
      </c>
      <c r="F657" s="5">
        <v>396</v>
      </c>
      <c r="G657" s="5">
        <v>645</v>
      </c>
      <c r="H657" s="6">
        <v>21834.09</v>
      </c>
      <c r="I657" s="22">
        <v>42628.53</v>
      </c>
      <c r="J657" s="24">
        <f t="shared" si="30"/>
        <v>2.9537828238070948E-4</v>
      </c>
      <c r="K657" s="25">
        <f t="shared" si="32"/>
        <v>0.60782600939315945</v>
      </c>
      <c r="L657" s="26" t="s">
        <v>7516</v>
      </c>
      <c r="M657" s="28"/>
      <c r="N657" s="28"/>
      <c r="O657" s="20" t="s">
        <v>7530</v>
      </c>
      <c r="P657" s="27" t="str">
        <f t="shared" si="31"/>
        <v>vermelho</v>
      </c>
    </row>
    <row r="658" spans="1:16" ht="25.5">
      <c r="A658" s="3" t="s">
        <v>4</v>
      </c>
      <c r="B658" s="3" t="s">
        <v>277</v>
      </c>
      <c r="C658" s="4">
        <v>167</v>
      </c>
      <c r="D658" s="3" t="s">
        <v>251</v>
      </c>
      <c r="E658" s="3" t="s">
        <v>49</v>
      </c>
      <c r="F658" s="5">
        <v>582</v>
      </c>
      <c r="G658" s="5">
        <v>681</v>
      </c>
      <c r="H658" s="6">
        <v>33981.51</v>
      </c>
      <c r="I658" s="22">
        <v>42587.94</v>
      </c>
      <c r="J658" s="24">
        <f t="shared" si="30"/>
        <v>2.9509702932127178E-4</v>
      </c>
      <c r="K658" s="25">
        <f t="shared" si="32"/>
        <v>0.60812110642248074</v>
      </c>
      <c r="L658" s="26" t="s">
        <v>7516</v>
      </c>
      <c r="M658" s="28"/>
      <c r="N658" s="28"/>
      <c r="O658" s="20">
        <v>23437.919999999998</v>
      </c>
      <c r="P658" s="27" t="str">
        <f t="shared" si="31"/>
        <v>laranja</v>
      </c>
    </row>
    <row r="659" spans="1:16" ht="25.5">
      <c r="A659" s="3" t="s">
        <v>4</v>
      </c>
      <c r="B659" s="3" t="s">
        <v>278</v>
      </c>
      <c r="C659" s="4">
        <v>93</v>
      </c>
      <c r="D659" s="3" t="s">
        <v>20</v>
      </c>
      <c r="E659" s="3" t="s">
        <v>7</v>
      </c>
      <c r="F659" s="5">
        <v>834</v>
      </c>
      <c r="G659" s="5">
        <v>798</v>
      </c>
      <c r="H659" s="6">
        <v>47390.01</v>
      </c>
      <c r="I659" s="22">
        <v>42476.88</v>
      </c>
      <c r="J659" s="24">
        <f t="shared" si="30"/>
        <v>2.9432748103890775E-4</v>
      </c>
      <c r="K659" s="25">
        <f t="shared" si="32"/>
        <v>0.6084154339035196</v>
      </c>
      <c r="L659" s="26" t="s">
        <v>7516</v>
      </c>
      <c r="M659" s="28"/>
      <c r="N659" s="28"/>
      <c r="O659" s="20" t="s">
        <v>7530</v>
      </c>
      <c r="P659" s="27" t="str">
        <f t="shared" si="31"/>
        <v>vermelho</v>
      </c>
    </row>
    <row r="660" spans="1:16" ht="25.5">
      <c r="A660" s="3" t="s">
        <v>4</v>
      </c>
      <c r="B660" s="3" t="s">
        <v>279</v>
      </c>
      <c r="C660" s="4">
        <v>187</v>
      </c>
      <c r="D660" s="3" t="s">
        <v>96</v>
      </c>
      <c r="E660" s="3" t="s">
        <v>7</v>
      </c>
      <c r="F660" s="5">
        <v>234</v>
      </c>
      <c r="G660" s="5">
        <v>618</v>
      </c>
      <c r="H660" s="6">
        <v>14848.14</v>
      </c>
      <c r="I660" s="22">
        <v>42462.09</v>
      </c>
      <c r="J660" s="24">
        <f t="shared" si="30"/>
        <v>2.9422499932545409E-4</v>
      </c>
      <c r="K660" s="25">
        <f t="shared" si="32"/>
        <v>0.60870965890284501</v>
      </c>
      <c r="L660" s="26" t="s">
        <v>7516</v>
      </c>
      <c r="M660" s="28">
        <v>6.4357399862265394E-2</v>
      </c>
      <c r="N660" s="28"/>
      <c r="O660" s="20">
        <v>19946.400000000001</v>
      </c>
      <c r="P660" s="27" t="str">
        <f t="shared" si="31"/>
        <v>amarelo</v>
      </c>
    </row>
    <row r="661" spans="1:16" ht="25.5">
      <c r="A661" s="3" t="s">
        <v>4</v>
      </c>
      <c r="B661" s="3" t="s">
        <v>280</v>
      </c>
      <c r="C661" s="4">
        <v>39</v>
      </c>
      <c r="D661" s="3" t="s">
        <v>26</v>
      </c>
      <c r="E661" s="3" t="s">
        <v>13</v>
      </c>
      <c r="F661" s="5">
        <v>525</v>
      </c>
      <c r="G661" s="5">
        <v>885</v>
      </c>
      <c r="H661" s="6">
        <v>21990.367999999999</v>
      </c>
      <c r="I661" s="22">
        <v>42462</v>
      </c>
      <c r="J661" s="24">
        <f t="shared" si="30"/>
        <v>2.9422437570447978E-4</v>
      </c>
      <c r="K661" s="25">
        <f t="shared" si="32"/>
        <v>0.60900388327854948</v>
      </c>
      <c r="L661" s="26" t="s">
        <v>7516</v>
      </c>
      <c r="M661" s="28"/>
      <c r="N661" s="28"/>
      <c r="O661" s="20">
        <v>13921.86</v>
      </c>
      <c r="P661" s="27" t="str">
        <f t="shared" si="31"/>
        <v>amarelo</v>
      </c>
    </row>
    <row r="662" spans="1:16" ht="25.5">
      <c r="A662" s="3" t="s">
        <v>5300</v>
      </c>
      <c r="B662" s="3" t="s">
        <v>5301</v>
      </c>
      <c r="C662" s="4">
        <v>53</v>
      </c>
      <c r="D662" s="3" t="s">
        <v>34</v>
      </c>
      <c r="E662" s="3" t="s">
        <v>16</v>
      </c>
      <c r="F662" s="5">
        <v>552</v>
      </c>
      <c r="G662" s="5">
        <v>792</v>
      </c>
      <c r="H662" s="6">
        <v>29941.08</v>
      </c>
      <c r="I662" s="22">
        <v>42365.485000000001</v>
      </c>
      <c r="J662" s="24">
        <f t="shared" si="30"/>
        <v>2.9355561150069478E-4</v>
      </c>
      <c r="K662" s="25">
        <f t="shared" si="32"/>
        <v>0.60929743889005017</v>
      </c>
      <c r="L662" s="26" t="s">
        <v>7516</v>
      </c>
      <c r="M662" s="28"/>
      <c r="N662" s="28"/>
      <c r="O662" s="20">
        <v>94508.68</v>
      </c>
      <c r="P662" s="27" t="str">
        <f t="shared" si="31"/>
        <v>verde</v>
      </c>
    </row>
    <row r="663" spans="1:16" ht="25.5">
      <c r="A663" s="3" t="s">
        <v>4</v>
      </c>
      <c r="B663" s="3" t="s">
        <v>281</v>
      </c>
      <c r="C663" s="4">
        <v>296</v>
      </c>
      <c r="D663" s="3" t="s">
        <v>282</v>
      </c>
      <c r="E663" s="3" t="s">
        <v>10</v>
      </c>
      <c r="F663" s="5">
        <v>0</v>
      </c>
      <c r="G663" s="5">
        <v>729</v>
      </c>
      <c r="H663" s="6">
        <v>0</v>
      </c>
      <c r="I663" s="22">
        <v>42295.809000000001</v>
      </c>
      <c r="J663" s="24">
        <f t="shared" si="30"/>
        <v>2.9307281800058682E-4</v>
      </c>
      <c r="K663" s="25">
        <f t="shared" si="32"/>
        <v>0.60959051170805079</v>
      </c>
      <c r="L663" s="26" t="s">
        <v>7516</v>
      </c>
      <c r="M663" s="28"/>
      <c r="N663" s="28"/>
      <c r="O663" s="20">
        <v>44108.123</v>
      </c>
      <c r="P663" s="27" t="str">
        <f t="shared" si="31"/>
        <v>verde</v>
      </c>
    </row>
    <row r="664" spans="1:16" ht="25.5">
      <c r="A664" s="3" t="s">
        <v>4</v>
      </c>
      <c r="B664" s="3" t="s">
        <v>283</v>
      </c>
      <c r="C664" s="4">
        <v>19</v>
      </c>
      <c r="D664" s="3" t="s">
        <v>72</v>
      </c>
      <c r="E664" s="3" t="s">
        <v>41</v>
      </c>
      <c r="F664" s="5">
        <v>528</v>
      </c>
      <c r="G664" s="5">
        <v>672</v>
      </c>
      <c r="H664" s="6">
        <v>31832.16</v>
      </c>
      <c r="I664" s="22">
        <v>42251.64</v>
      </c>
      <c r="J664" s="24">
        <f t="shared" si="30"/>
        <v>2.9276676561373525E-4</v>
      </c>
      <c r="K664" s="25">
        <f t="shared" si="32"/>
        <v>0.60988327847366453</v>
      </c>
      <c r="L664" s="26" t="s">
        <v>7516</v>
      </c>
      <c r="M664" s="28">
        <v>3.144632234049257E-2</v>
      </c>
      <c r="N664" s="28">
        <v>1.5737462623378475E-2</v>
      </c>
      <c r="O664" s="20">
        <v>28282.87</v>
      </c>
      <c r="P664" s="27" t="str">
        <f t="shared" si="31"/>
        <v>laranja</v>
      </c>
    </row>
    <row r="665" spans="1:16">
      <c r="A665" s="3" t="s">
        <v>5781</v>
      </c>
      <c r="B665" s="3" t="s">
        <v>5782</v>
      </c>
      <c r="C665" s="4">
        <v>240</v>
      </c>
      <c r="D665" s="3" t="s">
        <v>69</v>
      </c>
      <c r="E665" s="3" t="s">
        <v>16</v>
      </c>
      <c r="F665" s="5">
        <v>333</v>
      </c>
      <c r="G665" s="5">
        <v>726</v>
      </c>
      <c r="H665" s="6">
        <v>18679.77</v>
      </c>
      <c r="I665" s="22">
        <v>42216.63</v>
      </c>
      <c r="J665" s="24">
        <f t="shared" si="30"/>
        <v>2.9252417705470798E-4</v>
      </c>
      <c r="K665" s="25">
        <f t="shared" si="32"/>
        <v>0.61017580265071925</v>
      </c>
      <c r="L665" s="26" t="s">
        <v>7516</v>
      </c>
      <c r="M665" s="28"/>
      <c r="N665" s="28"/>
      <c r="O665" s="20">
        <v>20440.68</v>
      </c>
      <c r="P665" s="27" t="str">
        <f t="shared" si="31"/>
        <v>amarelo</v>
      </c>
    </row>
    <row r="666" spans="1:16" ht="38.25">
      <c r="A666" s="3" t="s">
        <v>4</v>
      </c>
      <c r="B666" s="3" t="s">
        <v>284</v>
      </c>
      <c r="C666" s="4">
        <v>45</v>
      </c>
      <c r="D666" s="3" t="s">
        <v>23</v>
      </c>
      <c r="E666" s="3" t="s">
        <v>7</v>
      </c>
      <c r="F666" s="5">
        <v>0</v>
      </c>
      <c r="G666" s="5">
        <v>636</v>
      </c>
      <c r="H666" s="6">
        <v>0</v>
      </c>
      <c r="I666" s="22">
        <v>42182.64</v>
      </c>
      <c r="J666" s="24">
        <f t="shared" si="30"/>
        <v>2.9228865620005689E-4</v>
      </c>
      <c r="K666" s="25">
        <f t="shared" si="32"/>
        <v>0.61046809130691926</v>
      </c>
      <c r="L666" s="26" t="s">
        <v>7516</v>
      </c>
      <c r="M666" s="28"/>
      <c r="N666" s="28"/>
      <c r="O666" s="20" t="s">
        <v>7530</v>
      </c>
      <c r="P666" s="27" t="str">
        <f t="shared" si="31"/>
        <v>vermelho</v>
      </c>
    </row>
    <row r="667" spans="1:16" ht="25.5">
      <c r="A667" s="3" t="s">
        <v>4</v>
      </c>
      <c r="B667" s="3" t="s">
        <v>285</v>
      </c>
      <c r="C667" s="4">
        <v>19</v>
      </c>
      <c r="D667" s="3" t="s">
        <v>72</v>
      </c>
      <c r="E667" s="3" t="s">
        <v>41</v>
      </c>
      <c r="F667" s="5">
        <v>426</v>
      </c>
      <c r="G667" s="5">
        <v>738</v>
      </c>
      <c r="H667" s="6">
        <v>23783.098000000002</v>
      </c>
      <c r="I667" s="22">
        <v>42125.667999999998</v>
      </c>
      <c r="J667" s="24">
        <f t="shared" si="30"/>
        <v>2.918938902650412E-4</v>
      </c>
      <c r="K667" s="25">
        <f t="shared" si="32"/>
        <v>0.61075998519718433</v>
      </c>
      <c r="L667" s="26" t="s">
        <v>7516</v>
      </c>
      <c r="M667" s="28"/>
      <c r="N667" s="28"/>
      <c r="O667" s="20">
        <v>25315.21</v>
      </c>
      <c r="P667" s="27" t="str">
        <f t="shared" si="31"/>
        <v>laranja</v>
      </c>
    </row>
    <row r="668" spans="1:16" ht="25.5">
      <c r="A668" s="3" t="s">
        <v>4</v>
      </c>
      <c r="B668" s="3" t="s">
        <v>286</v>
      </c>
      <c r="C668" s="4">
        <v>321</v>
      </c>
      <c r="D668" s="3" t="s">
        <v>136</v>
      </c>
      <c r="E668" s="3" t="s">
        <v>41</v>
      </c>
      <c r="F668" s="5">
        <v>558</v>
      </c>
      <c r="G668" s="5">
        <v>702</v>
      </c>
      <c r="H668" s="6">
        <v>32128.449000000001</v>
      </c>
      <c r="I668" s="22">
        <v>42025.116999999998</v>
      </c>
      <c r="J668" s="24">
        <f t="shared" si="30"/>
        <v>2.9119716012511703E-4</v>
      </c>
      <c r="K668" s="25">
        <f t="shared" si="32"/>
        <v>0.61105118235730949</v>
      </c>
      <c r="L668" s="26" t="s">
        <v>7516</v>
      </c>
      <c r="M668" s="28"/>
      <c r="N668" s="28"/>
      <c r="O668" s="20">
        <v>10727.75</v>
      </c>
      <c r="P668" s="27" t="str">
        <f t="shared" si="31"/>
        <v>amarelo</v>
      </c>
    </row>
    <row r="669" spans="1:16" ht="38.25">
      <c r="A669" s="3" t="s">
        <v>4</v>
      </c>
      <c r="B669" s="3" t="s">
        <v>287</v>
      </c>
      <c r="C669" s="4">
        <v>143</v>
      </c>
      <c r="D669" s="3" t="s">
        <v>44</v>
      </c>
      <c r="E669" s="3" t="s">
        <v>41</v>
      </c>
      <c r="F669" s="5">
        <v>732</v>
      </c>
      <c r="G669" s="5">
        <v>654</v>
      </c>
      <c r="H669" s="6">
        <v>42167.519999999997</v>
      </c>
      <c r="I669" s="22">
        <v>41941.74</v>
      </c>
      <c r="J669" s="24">
        <f t="shared" si="30"/>
        <v>2.9061943072534519E-4</v>
      </c>
      <c r="K669" s="25">
        <f t="shared" si="32"/>
        <v>0.61134180178803488</v>
      </c>
      <c r="L669" s="26" t="s">
        <v>7516</v>
      </c>
      <c r="M669" s="28"/>
      <c r="N669" s="28"/>
      <c r="O669" s="20" t="s">
        <v>7530</v>
      </c>
      <c r="P669" s="27" t="str">
        <f t="shared" si="31"/>
        <v>vermelho</v>
      </c>
    </row>
    <row r="670" spans="1:16" ht="25.5">
      <c r="A670" s="3" t="s">
        <v>5783</v>
      </c>
      <c r="B670" s="3" t="s">
        <v>4987</v>
      </c>
      <c r="C670" s="4">
        <v>316</v>
      </c>
      <c r="D670" s="3" t="s">
        <v>247</v>
      </c>
      <c r="E670" s="3" t="s">
        <v>10</v>
      </c>
      <c r="F670" s="5">
        <v>1875</v>
      </c>
      <c r="G670" s="5">
        <v>858</v>
      </c>
      <c r="H670" s="6">
        <v>74754.39</v>
      </c>
      <c r="I670" s="22">
        <v>41936.879999999997</v>
      </c>
      <c r="J670" s="24">
        <f t="shared" si="30"/>
        <v>2.9058575519272958E-4</v>
      </c>
      <c r="K670" s="25">
        <f t="shared" si="32"/>
        <v>0.61163238754322757</v>
      </c>
      <c r="L670" s="26" t="s">
        <v>7516</v>
      </c>
      <c r="M670" s="28"/>
      <c r="N670" s="28"/>
      <c r="O670" s="20">
        <v>81242.22</v>
      </c>
      <c r="P670" s="27" t="str">
        <f t="shared" si="31"/>
        <v>verde</v>
      </c>
    </row>
    <row r="671" spans="1:16" ht="25.5">
      <c r="A671" s="3" t="s">
        <v>5784</v>
      </c>
      <c r="B671" s="3" t="s">
        <v>5785</v>
      </c>
      <c r="C671" s="4">
        <v>316</v>
      </c>
      <c r="D671" s="3" t="s">
        <v>247</v>
      </c>
      <c r="E671" s="3" t="s">
        <v>10</v>
      </c>
      <c r="F671" s="5">
        <v>60</v>
      </c>
      <c r="G671" s="5">
        <v>726</v>
      </c>
      <c r="H671" s="6">
        <v>2838.72</v>
      </c>
      <c r="I671" s="22">
        <v>41796.828000000001</v>
      </c>
      <c r="J671" s="24">
        <f t="shared" si="30"/>
        <v>2.8961531780715745E-4</v>
      </c>
      <c r="K671" s="25">
        <f t="shared" si="32"/>
        <v>0.61192200286103471</v>
      </c>
      <c r="L671" s="26" t="s">
        <v>7516</v>
      </c>
      <c r="M671" s="28"/>
      <c r="N671" s="28"/>
      <c r="O671" s="20" t="s">
        <v>7530</v>
      </c>
      <c r="P671" s="27" t="str">
        <f t="shared" si="31"/>
        <v>vermelho</v>
      </c>
    </row>
    <row r="672" spans="1:16" ht="25.5">
      <c r="A672" s="3" t="s">
        <v>4</v>
      </c>
      <c r="B672" s="3" t="s">
        <v>288</v>
      </c>
      <c r="C672" s="4">
        <v>61</v>
      </c>
      <c r="D672" s="3" t="s">
        <v>48</v>
      </c>
      <c r="E672" s="3" t="s">
        <v>49</v>
      </c>
      <c r="F672" s="5">
        <v>504</v>
      </c>
      <c r="G672" s="5">
        <v>684</v>
      </c>
      <c r="H672" s="6">
        <v>26619.360000000001</v>
      </c>
      <c r="I672" s="22">
        <v>41697.839999999997</v>
      </c>
      <c r="J672" s="24">
        <f t="shared" si="30"/>
        <v>2.8892941788482136E-4</v>
      </c>
      <c r="K672" s="25">
        <f t="shared" si="32"/>
        <v>0.61221093227891954</v>
      </c>
      <c r="L672" s="26" t="s">
        <v>7516</v>
      </c>
      <c r="M672" s="28"/>
      <c r="N672" s="28"/>
      <c r="O672" s="20" t="s">
        <v>7530</v>
      </c>
      <c r="P672" s="27" t="str">
        <f t="shared" si="31"/>
        <v>vermelho</v>
      </c>
    </row>
    <row r="673" spans="1:16" ht="25.5">
      <c r="A673" s="3" t="s">
        <v>4</v>
      </c>
      <c r="B673" s="3" t="s">
        <v>289</v>
      </c>
      <c r="C673" s="4">
        <v>167</v>
      </c>
      <c r="D673" s="3" t="s">
        <v>251</v>
      </c>
      <c r="E673" s="3" t="s">
        <v>49</v>
      </c>
      <c r="F673" s="5">
        <v>693</v>
      </c>
      <c r="G673" s="5">
        <v>729</v>
      </c>
      <c r="H673" s="6">
        <v>43105.2</v>
      </c>
      <c r="I673" s="22">
        <v>41684.58</v>
      </c>
      <c r="J673" s="24">
        <f t="shared" si="30"/>
        <v>2.8883753772793191E-4</v>
      </c>
      <c r="K673" s="25">
        <f t="shared" si="32"/>
        <v>0.61249976981664744</v>
      </c>
      <c r="L673" s="26" t="s">
        <v>7516</v>
      </c>
      <c r="M673" s="28"/>
      <c r="N673" s="28"/>
      <c r="O673" s="20" t="s">
        <v>7530</v>
      </c>
      <c r="P673" s="27" t="str">
        <f t="shared" si="31"/>
        <v>vermelho</v>
      </c>
    </row>
    <row r="674" spans="1:16" ht="25.5">
      <c r="A674" s="3" t="s">
        <v>4</v>
      </c>
      <c r="B674" s="3" t="s">
        <v>290</v>
      </c>
      <c r="C674" s="4">
        <v>93</v>
      </c>
      <c r="D674" s="3" t="s">
        <v>20</v>
      </c>
      <c r="E674" s="3" t="s">
        <v>7</v>
      </c>
      <c r="F674" s="5">
        <v>246</v>
      </c>
      <c r="G674" s="5">
        <v>717</v>
      </c>
      <c r="H674" s="6">
        <v>12250.38</v>
      </c>
      <c r="I674" s="22">
        <v>41623.89</v>
      </c>
      <c r="J674" s="24">
        <f t="shared" si="30"/>
        <v>2.8841700931755309E-4</v>
      </c>
      <c r="K674" s="25">
        <f t="shared" si="32"/>
        <v>0.61278818682596503</v>
      </c>
      <c r="L674" s="26" t="s">
        <v>7516</v>
      </c>
      <c r="M674" s="28"/>
      <c r="N674" s="28"/>
      <c r="O674" s="20">
        <v>22634.1</v>
      </c>
      <c r="P674" s="27" t="str">
        <f t="shared" si="31"/>
        <v>laranja</v>
      </c>
    </row>
    <row r="675" spans="1:16" ht="25.5">
      <c r="A675" s="3" t="s">
        <v>4</v>
      </c>
      <c r="B675" s="3" t="s">
        <v>291</v>
      </c>
      <c r="C675" s="4">
        <v>297</v>
      </c>
      <c r="D675" s="3" t="s">
        <v>115</v>
      </c>
      <c r="E675" s="3" t="s">
        <v>41</v>
      </c>
      <c r="F675" s="5">
        <v>534</v>
      </c>
      <c r="G675" s="5">
        <v>699</v>
      </c>
      <c r="H675" s="6">
        <v>30828.99</v>
      </c>
      <c r="I675" s="22">
        <v>41572.392</v>
      </c>
      <c r="J675" s="24">
        <f t="shared" si="30"/>
        <v>2.8806017339602256E-4</v>
      </c>
      <c r="K675" s="25">
        <f t="shared" si="32"/>
        <v>0.61307624699936103</v>
      </c>
      <c r="L675" s="26" t="s">
        <v>7516</v>
      </c>
      <c r="M675" s="28"/>
      <c r="N675" s="28"/>
      <c r="O675" s="20">
        <v>5988.4269999999997</v>
      </c>
      <c r="P675" s="27" t="str">
        <f t="shared" si="31"/>
        <v>amarelo</v>
      </c>
    </row>
    <row r="676" spans="1:16" ht="38.25">
      <c r="A676" s="3" t="s">
        <v>5786</v>
      </c>
      <c r="B676" s="3" t="s">
        <v>5787</v>
      </c>
      <c r="C676" s="4">
        <v>45</v>
      </c>
      <c r="D676" s="3" t="s">
        <v>23</v>
      </c>
      <c r="E676" s="3" t="s">
        <v>7</v>
      </c>
      <c r="F676" s="5">
        <v>1488</v>
      </c>
      <c r="G676" s="5">
        <v>720</v>
      </c>
      <c r="H676" s="6">
        <v>85970.04</v>
      </c>
      <c r="I676" s="22">
        <v>41539.68</v>
      </c>
      <c r="J676" s="24">
        <f t="shared" si="30"/>
        <v>2.8783350795920739E-4</v>
      </c>
      <c r="K676" s="25">
        <f t="shared" si="32"/>
        <v>0.61336408050732028</v>
      </c>
      <c r="L676" s="26" t="s">
        <v>7516</v>
      </c>
      <c r="M676" s="28"/>
      <c r="N676" s="28"/>
      <c r="O676" s="20" t="s">
        <v>7530</v>
      </c>
      <c r="P676" s="27" t="str">
        <f t="shared" si="31"/>
        <v>vermelho</v>
      </c>
    </row>
    <row r="677" spans="1:16" ht="25.5">
      <c r="A677" s="3" t="s">
        <v>5788</v>
      </c>
      <c r="B677" s="3" t="s">
        <v>5789</v>
      </c>
      <c r="C677" s="4">
        <v>31</v>
      </c>
      <c r="D677" s="3" t="s">
        <v>194</v>
      </c>
      <c r="E677" s="3" t="s">
        <v>16</v>
      </c>
      <c r="F677" s="5">
        <v>0</v>
      </c>
      <c r="G677" s="5">
        <v>726</v>
      </c>
      <c r="H677" s="6">
        <v>0</v>
      </c>
      <c r="I677" s="22">
        <v>41525.61</v>
      </c>
      <c r="J677" s="24">
        <f t="shared" si="30"/>
        <v>2.8773601521354865E-4</v>
      </c>
      <c r="K677" s="25">
        <f t="shared" si="32"/>
        <v>0.61365181652253387</v>
      </c>
      <c r="L677" s="26" t="s">
        <v>7516</v>
      </c>
      <c r="M677" s="28"/>
      <c r="N677" s="28"/>
      <c r="O677" s="20" t="s">
        <v>7530</v>
      </c>
      <c r="P677" s="27" t="str">
        <f t="shared" si="31"/>
        <v>vermelho</v>
      </c>
    </row>
    <row r="678" spans="1:16" ht="25.5">
      <c r="A678" s="3" t="s">
        <v>5790</v>
      </c>
      <c r="B678" s="3" t="s">
        <v>5791</v>
      </c>
      <c r="C678" s="4">
        <v>74</v>
      </c>
      <c r="D678" s="3" t="s">
        <v>6</v>
      </c>
      <c r="E678" s="3" t="s">
        <v>7</v>
      </c>
      <c r="F678" s="5">
        <v>858</v>
      </c>
      <c r="G678" s="5">
        <v>648</v>
      </c>
      <c r="H678" s="6">
        <v>51251.7</v>
      </c>
      <c r="I678" s="22">
        <v>41463.9</v>
      </c>
      <c r="J678" s="24">
        <f t="shared" si="30"/>
        <v>2.8730841909879371E-4</v>
      </c>
      <c r="K678" s="25">
        <f t="shared" si="32"/>
        <v>0.61393912494163261</v>
      </c>
      <c r="L678" s="26" t="s">
        <v>7516</v>
      </c>
      <c r="M678" s="28"/>
      <c r="N678" s="28"/>
      <c r="O678" s="20" t="s">
        <v>7530</v>
      </c>
      <c r="P678" s="27" t="str">
        <f t="shared" si="31"/>
        <v>vermelho</v>
      </c>
    </row>
    <row r="679" spans="1:16" ht="25.5">
      <c r="A679" s="3" t="s">
        <v>4</v>
      </c>
      <c r="B679" s="3" t="s">
        <v>292</v>
      </c>
      <c r="C679" s="4">
        <v>302</v>
      </c>
      <c r="D679" s="3" t="s">
        <v>293</v>
      </c>
      <c r="E679" s="3" t="s">
        <v>49</v>
      </c>
      <c r="F679" s="5">
        <v>477</v>
      </c>
      <c r="G679" s="5">
        <v>663</v>
      </c>
      <c r="H679" s="6">
        <v>25232.23</v>
      </c>
      <c r="I679" s="22">
        <v>41457.1</v>
      </c>
      <c r="J679" s="24">
        <f t="shared" si="30"/>
        <v>2.8726130106961962E-4</v>
      </c>
      <c r="K679" s="25">
        <f t="shared" si="32"/>
        <v>0.6142263862427022</v>
      </c>
      <c r="L679" s="26" t="s">
        <v>7516</v>
      </c>
      <c r="M679" s="28"/>
      <c r="N679" s="28"/>
      <c r="O679" s="20">
        <v>24255.96</v>
      </c>
      <c r="P679" s="27" t="str">
        <f t="shared" si="31"/>
        <v>laranja</v>
      </c>
    </row>
    <row r="680" spans="1:16" ht="25.5">
      <c r="A680" s="3" t="s">
        <v>5792</v>
      </c>
      <c r="B680" s="3" t="s">
        <v>5793</v>
      </c>
      <c r="C680" s="4">
        <v>74</v>
      </c>
      <c r="D680" s="3" t="s">
        <v>6</v>
      </c>
      <c r="E680" s="3" t="s">
        <v>7</v>
      </c>
      <c r="F680" s="5">
        <v>870</v>
      </c>
      <c r="G680" s="5">
        <v>879</v>
      </c>
      <c r="H680" s="6">
        <v>35730.392</v>
      </c>
      <c r="I680" s="22">
        <v>41244.15</v>
      </c>
      <c r="J680" s="24">
        <f t="shared" si="30"/>
        <v>2.8578574455305733E-4</v>
      </c>
      <c r="K680" s="25">
        <f t="shared" si="32"/>
        <v>0.61451217198725527</v>
      </c>
      <c r="L680" s="26" t="s">
        <v>7516</v>
      </c>
      <c r="M680" s="28"/>
      <c r="N680" s="28"/>
      <c r="O680" s="20">
        <v>28658.16</v>
      </c>
      <c r="P680" s="27" t="str">
        <f t="shared" si="31"/>
        <v>laranja</v>
      </c>
    </row>
    <row r="681" spans="1:16" ht="38.25">
      <c r="A681" s="3" t="s">
        <v>4</v>
      </c>
      <c r="B681" s="3" t="s">
        <v>294</v>
      </c>
      <c r="C681" s="4">
        <v>45</v>
      </c>
      <c r="D681" s="3" t="s">
        <v>23</v>
      </c>
      <c r="E681" s="3" t="s">
        <v>7</v>
      </c>
      <c r="F681" s="5">
        <v>582</v>
      </c>
      <c r="G681" s="5">
        <v>633</v>
      </c>
      <c r="H681" s="6">
        <v>34534.199999999997</v>
      </c>
      <c r="I681" s="22">
        <v>41234.370000000003</v>
      </c>
      <c r="J681" s="24">
        <f t="shared" si="30"/>
        <v>2.8571797774050987E-4</v>
      </c>
      <c r="K681" s="25">
        <f t="shared" si="32"/>
        <v>0.61479788996499574</v>
      </c>
      <c r="L681" s="26" t="s">
        <v>7516</v>
      </c>
      <c r="M681" s="28"/>
      <c r="N681" s="28"/>
      <c r="O681" s="20">
        <v>31938.75</v>
      </c>
      <c r="P681" s="27" t="str">
        <f t="shared" si="31"/>
        <v>laranja</v>
      </c>
    </row>
    <row r="682" spans="1:16" ht="25.5">
      <c r="A682" s="3" t="s">
        <v>4</v>
      </c>
      <c r="B682" s="3" t="s">
        <v>295</v>
      </c>
      <c r="C682" s="4">
        <v>178</v>
      </c>
      <c r="D682" s="3" t="s">
        <v>74</v>
      </c>
      <c r="E682" s="3" t="s">
        <v>7</v>
      </c>
      <c r="F682" s="5">
        <v>756</v>
      </c>
      <c r="G682" s="5">
        <v>648</v>
      </c>
      <c r="H682" s="6">
        <v>42385.2</v>
      </c>
      <c r="I682" s="22">
        <v>41226.6</v>
      </c>
      <c r="J682" s="24">
        <f t="shared" si="30"/>
        <v>2.8566413846305649E-4</v>
      </c>
      <c r="K682" s="25">
        <f t="shared" si="32"/>
        <v>0.61508355410345883</v>
      </c>
      <c r="L682" s="26" t="s">
        <v>7516</v>
      </c>
      <c r="M682" s="28"/>
      <c r="N682" s="28"/>
      <c r="O682" s="20">
        <v>16736.400000000001</v>
      </c>
      <c r="P682" s="27" t="str">
        <f t="shared" si="31"/>
        <v>amarelo</v>
      </c>
    </row>
    <row r="683" spans="1:16" ht="25.5">
      <c r="A683" s="3" t="s">
        <v>5794</v>
      </c>
      <c r="B683" s="3" t="s">
        <v>5795</v>
      </c>
      <c r="C683" s="4">
        <v>19</v>
      </c>
      <c r="D683" s="3" t="s">
        <v>72</v>
      </c>
      <c r="E683" s="3" t="s">
        <v>41</v>
      </c>
      <c r="F683" s="5">
        <v>1101</v>
      </c>
      <c r="G683" s="5">
        <v>702</v>
      </c>
      <c r="H683" s="6">
        <v>61547.256000000001</v>
      </c>
      <c r="I683" s="22">
        <v>41180.173000000003</v>
      </c>
      <c r="J683" s="24">
        <f t="shared" si="30"/>
        <v>2.8534244011887039E-4</v>
      </c>
      <c r="K683" s="25">
        <f t="shared" si="32"/>
        <v>0.61536889654357774</v>
      </c>
      <c r="L683" s="26" t="s">
        <v>7516</v>
      </c>
      <c r="M683" s="28"/>
      <c r="N683" s="28"/>
      <c r="O683" s="20" t="s">
        <v>7530</v>
      </c>
      <c r="P683" s="27" t="str">
        <f t="shared" si="31"/>
        <v>vermelho</v>
      </c>
    </row>
    <row r="684" spans="1:16" ht="25.5">
      <c r="A684" s="3" t="s">
        <v>5796</v>
      </c>
      <c r="B684" s="3" t="s">
        <v>5797</v>
      </c>
      <c r="C684" s="4">
        <v>187</v>
      </c>
      <c r="D684" s="3" t="s">
        <v>96</v>
      </c>
      <c r="E684" s="3" t="s">
        <v>7</v>
      </c>
      <c r="F684" s="5">
        <v>570</v>
      </c>
      <c r="G684" s="5">
        <v>651</v>
      </c>
      <c r="H684" s="6">
        <v>33443.339999999997</v>
      </c>
      <c r="I684" s="22">
        <v>41116.629999999997</v>
      </c>
      <c r="J684" s="24">
        <f t="shared" si="30"/>
        <v>2.8490214292360423E-4</v>
      </c>
      <c r="K684" s="25">
        <f t="shared" si="32"/>
        <v>0.61565379868650139</v>
      </c>
      <c r="L684" s="26" t="s">
        <v>7516</v>
      </c>
      <c r="M684" s="28"/>
      <c r="N684" s="28"/>
      <c r="O684" s="20">
        <v>6015.72</v>
      </c>
      <c r="P684" s="27" t="str">
        <f t="shared" si="31"/>
        <v>amarelo</v>
      </c>
    </row>
    <row r="685" spans="1:16" ht="25.5">
      <c r="A685" s="3" t="s">
        <v>5798</v>
      </c>
      <c r="B685" s="3" t="s">
        <v>5799</v>
      </c>
      <c r="C685" s="4">
        <v>335</v>
      </c>
      <c r="D685" s="3" t="s">
        <v>36</v>
      </c>
      <c r="E685" s="3" t="s">
        <v>7</v>
      </c>
      <c r="F685" s="5">
        <v>948</v>
      </c>
      <c r="G685" s="5">
        <v>654</v>
      </c>
      <c r="H685" s="6">
        <v>61908.6</v>
      </c>
      <c r="I685" s="22">
        <v>41088.54</v>
      </c>
      <c r="J685" s="24">
        <f t="shared" si="30"/>
        <v>2.8470750388838364E-4</v>
      </c>
      <c r="K685" s="25">
        <f t="shared" si="32"/>
        <v>0.61593850619038981</v>
      </c>
      <c r="L685" s="26" t="s">
        <v>7516</v>
      </c>
      <c r="M685" s="28"/>
      <c r="N685" s="28"/>
      <c r="O685" s="20" t="s">
        <v>7530</v>
      </c>
      <c r="P685" s="27" t="str">
        <f t="shared" si="31"/>
        <v>vermelho</v>
      </c>
    </row>
    <row r="686" spans="1:16" ht="25.5">
      <c r="A686" s="3" t="s">
        <v>5800</v>
      </c>
      <c r="B686" s="3" t="s">
        <v>5801</v>
      </c>
      <c r="C686" s="4">
        <v>261</v>
      </c>
      <c r="D686" s="3" t="s">
        <v>9</v>
      </c>
      <c r="E686" s="3" t="s">
        <v>10</v>
      </c>
      <c r="F686" s="5">
        <v>339</v>
      </c>
      <c r="G686" s="5">
        <v>717</v>
      </c>
      <c r="H686" s="6">
        <v>22321.08</v>
      </c>
      <c r="I686" s="22">
        <v>41061.599999999999</v>
      </c>
      <c r="J686" s="24">
        <f t="shared" si="30"/>
        <v>2.8452083334339095E-4</v>
      </c>
      <c r="K686" s="25">
        <f t="shared" si="32"/>
        <v>0.61622302702373322</v>
      </c>
      <c r="L686" s="26" t="s">
        <v>7516</v>
      </c>
      <c r="M686" s="28"/>
      <c r="N686" s="28"/>
      <c r="O686" s="20">
        <v>26603.79</v>
      </c>
      <c r="P686" s="27" t="str">
        <f t="shared" si="31"/>
        <v>laranja</v>
      </c>
    </row>
    <row r="687" spans="1:16" ht="25.5">
      <c r="A687" s="3" t="s">
        <v>4</v>
      </c>
      <c r="B687" s="3" t="s">
        <v>296</v>
      </c>
      <c r="C687" s="4">
        <v>337</v>
      </c>
      <c r="D687" s="3" t="s">
        <v>202</v>
      </c>
      <c r="E687" s="3" t="s">
        <v>16</v>
      </c>
      <c r="F687" s="5">
        <v>624</v>
      </c>
      <c r="G687" s="5">
        <v>714</v>
      </c>
      <c r="H687" s="6">
        <v>32752.32</v>
      </c>
      <c r="I687" s="22">
        <v>40995.42</v>
      </c>
      <c r="J687" s="24">
        <f t="shared" si="30"/>
        <v>2.8406226405357601E-4</v>
      </c>
      <c r="K687" s="25">
        <f t="shared" si="32"/>
        <v>0.61650708928778675</v>
      </c>
      <c r="L687" s="26" t="s">
        <v>7516</v>
      </c>
      <c r="M687" s="28"/>
      <c r="N687" s="28"/>
      <c r="O687" s="20" t="s">
        <v>7530</v>
      </c>
      <c r="P687" s="27" t="str">
        <f t="shared" si="31"/>
        <v>vermelho</v>
      </c>
    </row>
    <row r="688" spans="1:16" ht="25.5">
      <c r="A688" s="3" t="s">
        <v>5802</v>
      </c>
      <c r="B688" s="3" t="s">
        <v>5803</v>
      </c>
      <c r="C688" s="4">
        <v>41</v>
      </c>
      <c r="D688" s="3" t="s">
        <v>178</v>
      </c>
      <c r="E688" s="3" t="s">
        <v>41</v>
      </c>
      <c r="F688" s="5">
        <v>372</v>
      </c>
      <c r="G688" s="5">
        <v>756</v>
      </c>
      <c r="H688" s="6">
        <v>17205.563999999998</v>
      </c>
      <c r="I688" s="22">
        <v>40994.364999999998</v>
      </c>
      <c r="J688" s="24">
        <f t="shared" si="30"/>
        <v>2.8405495382993209E-4</v>
      </c>
      <c r="K688" s="25">
        <f t="shared" si="32"/>
        <v>0.61679114424161663</v>
      </c>
      <c r="L688" s="26" t="s">
        <v>7516</v>
      </c>
      <c r="M688" s="28"/>
      <c r="N688" s="28"/>
      <c r="O688" s="20">
        <v>17363.099999999999</v>
      </c>
      <c r="P688" s="27" t="str">
        <f t="shared" si="31"/>
        <v>amarelo</v>
      </c>
    </row>
    <row r="689" spans="1:16" ht="25.5">
      <c r="A689" s="3" t="s">
        <v>4</v>
      </c>
      <c r="B689" s="3" t="s">
        <v>297</v>
      </c>
      <c r="C689" s="4">
        <v>178</v>
      </c>
      <c r="D689" s="3" t="s">
        <v>74</v>
      </c>
      <c r="E689" s="3" t="s">
        <v>7</v>
      </c>
      <c r="F689" s="5">
        <v>408</v>
      </c>
      <c r="G689" s="5">
        <v>636</v>
      </c>
      <c r="H689" s="6">
        <v>24231.119999999999</v>
      </c>
      <c r="I689" s="22">
        <v>40976.519999999997</v>
      </c>
      <c r="J689" s="24">
        <f t="shared" si="30"/>
        <v>2.8393130364895973E-4</v>
      </c>
      <c r="K689" s="25">
        <f t="shared" si="32"/>
        <v>0.61707507554526564</v>
      </c>
      <c r="L689" s="26" t="s">
        <v>7516</v>
      </c>
      <c r="M689" s="28"/>
      <c r="N689" s="28"/>
      <c r="O689" s="20" t="s">
        <v>7530</v>
      </c>
      <c r="P689" s="27" t="str">
        <f t="shared" si="31"/>
        <v>vermelho</v>
      </c>
    </row>
    <row r="690" spans="1:16" ht="25.5">
      <c r="A690" s="3" t="s">
        <v>4</v>
      </c>
      <c r="B690" s="3" t="s">
        <v>298</v>
      </c>
      <c r="C690" s="4">
        <v>328</v>
      </c>
      <c r="D690" s="3" t="s">
        <v>215</v>
      </c>
      <c r="E690" s="3" t="s">
        <v>41</v>
      </c>
      <c r="F690" s="5">
        <v>828</v>
      </c>
      <c r="G690" s="5">
        <v>648</v>
      </c>
      <c r="H690" s="6">
        <v>47230.559999999998</v>
      </c>
      <c r="I690" s="22">
        <v>40862.339999999997</v>
      </c>
      <c r="J690" s="24">
        <f t="shared" si="30"/>
        <v>2.8314013650615119E-4</v>
      </c>
      <c r="K690" s="25">
        <f t="shared" si="32"/>
        <v>0.61735821568177174</v>
      </c>
      <c r="L690" s="26" t="s">
        <v>7516</v>
      </c>
      <c r="M690" s="28"/>
      <c r="N690" s="28"/>
      <c r="O690" s="20">
        <v>15108.21</v>
      </c>
      <c r="P690" s="27" t="str">
        <f t="shared" si="31"/>
        <v>amarelo</v>
      </c>
    </row>
    <row r="691" spans="1:16" ht="25.5">
      <c r="A691" s="3" t="s">
        <v>4</v>
      </c>
      <c r="B691" s="3" t="s">
        <v>299</v>
      </c>
      <c r="C691" s="4">
        <v>15</v>
      </c>
      <c r="D691" s="3" t="s">
        <v>18</v>
      </c>
      <c r="E691" s="3" t="s">
        <v>16</v>
      </c>
      <c r="F691" s="5">
        <v>816</v>
      </c>
      <c r="G691" s="5">
        <v>735</v>
      </c>
      <c r="H691" s="6">
        <v>46057.32</v>
      </c>
      <c r="I691" s="22">
        <v>40837.26</v>
      </c>
      <c r="J691" s="24">
        <f t="shared" si="30"/>
        <v>2.8296635412796204E-4</v>
      </c>
      <c r="K691" s="25">
        <f t="shared" si="32"/>
        <v>0.61764118203589968</v>
      </c>
      <c r="L691" s="26" t="s">
        <v>7516</v>
      </c>
      <c r="M691" s="28"/>
      <c r="N691" s="28"/>
      <c r="O691" s="20">
        <v>20372.28</v>
      </c>
      <c r="P691" s="27" t="str">
        <f t="shared" si="31"/>
        <v>amarelo</v>
      </c>
    </row>
    <row r="692" spans="1:16" ht="38.25">
      <c r="A692" s="3" t="s">
        <v>4</v>
      </c>
      <c r="B692" s="3" t="s">
        <v>300</v>
      </c>
      <c r="C692" s="4">
        <v>45</v>
      </c>
      <c r="D692" s="3" t="s">
        <v>23</v>
      </c>
      <c r="E692" s="3" t="s">
        <v>7</v>
      </c>
      <c r="F692" s="5">
        <v>0</v>
      </c>
      <c r="G692" s="5">
        <v>603</v>
      </c>
      <c r="H692" s="6">
        <v>0</v>
      </c>
      <c r="I692" s="22">
        <v>40801.14</v>
      </c>
      <c r="J692" s="24">
        <f t="shared" si="30"/>
        <v>2.8271607424358434E-4</v>
      </c>
      <c r="K692" s="25">
        <f t="shared" si="32"/>
        <v>0.61792389811014325</v>
      </c>
      <c r="L692" s="26" t="s">
        <v>7516</v>
      </c>
      <c r="M692" s="28">
        <v>1.8635815758934717E-2</v>
      </c>
      <c r="N692" s="28"/>
      <c r="O692" s="20">
        <v>27351.78</v>
      </c>
      <c r="P692" s="27" t="str">
        <f t="shared" si="31"/>
        <v>laranja</v>
      </c>
    </row>
    <row r="693" spans="1:16" ht="38.25">
      <c r="A693" s="3" t="s">
        <v>4</v>
      </c>
      <c r="B693" s="3" t="s">
        <v>301</v>
      </c>
      <c r="C693" s="4">
        <v>11</v>
      </c>
      <c r="D693" s="3" t="s">
        <v>61</v>
      </c>
      <c r="E693" s="3" t="s">
        <v>10</v>
      </c>
      <c r="F693" s="5">
        <v>585</v>
      </c>
      <c r="G693" s="5">
        <v>624</v>
      </c>
      <c r="H693" s="6">
        <v>36160.879999999997</v>
      </c>
      <c r="I693" s="22">
        <v>40721.58</v>
      </c>
      <c r="J693" s="24">
        <f t="shared" si="30"/>
        <v>2.8216479330224741E-4</v>
      </c>
      <c r="K693" s="25">
        <f t="shared" si="32"/>
        <v>0.61820606290344549</v>
      </c>
      <c r="L693" s="26" t="s">
        <v>7516</v>
      </c>
      <c r="M693" s="28"/>
      <c r="N693" s="28"/>
      <c r="O693" s="20" t="s">
        <v>7530</v>
      </c>
      <c r="P693" s="27" t="str">
        <f t="shared" si="31"/>
        <v>vermelho</v>
      </c>
    </row>
    <row r="694" spans="1:16" ht="25.5">
      <c r="A694" s="3" t="s">
        <v>4</v>
      </c>
      <c r="B694" s="3" t="s">
        <v>302</v>
      </c>
      <c r="C694" s="4">
        <v>297</v>
      </c>
      <c r="D694" s="3" t="s">
        <v>115</v>
      </c>
      <c r="E694" s="3" t="s">
        <v>41</v>
      </c>
      <c r="F694" s="5">
        <v>0</v>
      </c>
      <c r="G694" s="5">
        <v>729</v>
      </c>
      <c r="H694" s="6">
        <v>0</v>
      </c>
      <c r="I694" s="22">
        <v>40696.86</v>
      </c>
      <c r="J694" s="24">
        <f t="shared" si="30"/>
        <v>2.8199350540795569E-4</v>
      </c>
      <c r="K694" s="25">
        <f t="shared" si="32"/>
        <v>0.6184880564088534</v>
      </c>
      <c r="L694" s="26" t="s">
        <v>7516</v>
      </c>
      <c r="M694" s="28"/>
      <c r="N694" s="28">
        <v>-3.5285394474811366E-3</v>
      </c>
      <c r="O694" s="20">
        <v>15506.22</v>
      </c>
      <c r="P694" s="27" t="str">
        <f t="shared" si="31"/>
        <v>amarelo</v>
      </c>
    </row>
    <row r="695" spans="1:16" ht="25.5">
      <c r="A695" s="3" t="s">
        <v>5804</v>
      </c>
      <c r="B695" s="3" t="s">
        <v>5805</v>
      </c>
      <c r="C695" s="4">
        <v>23</v>
      </c>
      <c r="D695" s="3" t="s">
        <v>87</v>
      </c>
      <c r="E695" s="3" t="s">
        <v>7</v>
      </c>
      <c r="F695" s="5">
        <v>540</v>
      </c>
      <c r="G695" s="5">
        <v>672</v>
      </c>
      <c r="H695" s="6">
        <v>31592.171999999999</v>
      </c>
      <c r="I695" s="22">
        <v>40655.760000000002</v>
      </c>
      <c r="J695" s="24">
        <f t="shared" si="30"/>
        <v>2.817087184963299E-4</v>
      </c>
      <c r="K695" s="25">
        <f t="shared" si="32"/>
        <v>0.61876976512734971</v>
      </c>
      <c r="L695" s="26" t="s">
        <v>7516</v>
      </c>
      <c r="M695" s="28"/>
      <c r="N695" s="28"/>
      <c r="O695" s="20">
        <v>45405.93</v>
      </c>
      <c r="P695" s="27" t="str">
        <f t="shared" si="31"/>
        <v>verde</v>
      </c>
    </row>
    <row r="696" spans="1:16" ht="38.25">
      <c r="A696" s="3" t="s">
        <v>4</v>
      </c>
      <c r="B696" s="3" t="s">
        <v>303</v>
      </c>
      <c r="C696" s="4">
        <v>143</v>
      </c>
      <c r="D696" s="3" t="s">
        <v>44</v>
      </c>
      <c r="E696" s="3" t="s">
        <v>41</v>
      </c>
      <c r="F696" s="5">
        <v>576</v>
      </c>
      <c r="G696" s="5">
        <v>708</v>
      </c>
      <c r="H696" s="6">
        <v>32601.776999999998</v>
      </c>
      <c r="I696" s="22">
        <v>40649.874000000003</v>
      </c>
      <c r="J696" s="24">
        <f t="shared" si="30"/>
        <v>2.8166793368460661E-4</v>
      </c>
      <c r="K696" s="25">
        <f t="shared" si="32"/>
        <v>0.61905143306103427</v>
      </c>
      <c r="L696" s="26" t="s">
        <v>7516</v>
      </c>
      <c r="M696" s="28"/>
      <c r="N696" s="28"/>
      <c r="O696" s="20">
        <v>23321.59</v>
      </c>
      <c r="P696" s="27" t="str">
        <f t="shared" si="31"/>
        <v>laranja</v>
      </c>
    </row>
    <row r="697" spans="1:16" ht="25.5">
      <c r="A697" s="3" t="s">
        <v>4</v>
      </c>
      <c r="B697" s="3" t="s">
        <v>304</v>
      </c>
      <c r="C697" s="4">
        <v>178</v>
      </c>
      <c r="D697" s="3" t="s">
        <v>74</v>
      </c>
      <c r="E697" s="3" t="s">
        <v>7</v>
      </c>
      <c r="F697" s="5">
        <v>552</v>
      </c>
      <c r="G697" s="5">
        <v>627</v>
      </c>
      <c r="H697" s="6">
        <v>32583.48</v>
      </c>
      <c r="I697" s="22">
        <v>40621.53</v>
      </c>
      <c r="J697" s="24">
        <f t="shared" si="30"/>
        <v>2.814715346524138E-4</v>
      </c>
      <c r="K697" s="25">
        <f t="shared" si="32"/>
        <v>0.61933290459568668</v>
      </c>
      <c r="L697" s="26" t="s">
        <v>7516</v>
      </c>
      <c r="M697" s="28"/>
      <c r="N697" s="28"/>
      <c r="O697" s="20">
        <v>20068.349999999999</v>
      </c>
      <c r="P697" s="27" t="str">
        <f t="shared" si="31"/>
        <v>amarelo</v>
      </c>
    </row>
    <row r="698" spans="1:16" ht="38.25">
      <c r="A698" s="3" t="s">
        <v>4</v>
      </c>
      <c r="B698" s="3" t="s">
        <v>305</v>
      </c>
      <c r="C698" s="4">
        <v>45</v>
      </c>
      <c r="D698" s="3" t="s">
        <v>23</v>
      </c>
      <c r="E698" s="3" t="s">
        <v>7</v>
      </c>
      <c r="F698" s="5">
        <v>393</v>
      </c>
      <c r="G698" s="5">
        <v>702</v>
      </c>
      <c r="H698" s="6">
        <v>19896.509999999998</v>
      </c>
      <c r="I698" s="22">
        <v>40618.379999999997</v>
      </c>
      <c r="J698" s="24">
        <f t="shared" si="30"/>
        <v>2.8144970791831112E-4</v>
      </c>
      <c r="K698" s="25">
        <f t="shared" si="32"/>
        <v>0.61961435430360501</v>
      </c>
      <c r="L698" s="26" t="s">
        <v>7516</v>
      </c>
      <c r="M698" s="28"/>
      <c r="N698" s="28"/>
      <c r="O698" s="20">
        <v>18542.490000000002</v>
      </c>
      <c r="P698" s="27" t="str">
        <f t="shared" si="31"/>
        <v>amarelo</v>
      </c>
    </row>
    <row r="699" spans="1:16" ht="25.5">
      <c r="A699" s="3" t="s">
        <v>4</v>
      </c>
      <c r="B699" s="3" t="s">
        <v>306</v>
      </c>
      <c r="C699" s="4">
        <v>74</v>
      </c>
      <c r="D699" s="3" t="s">
        <v>6</v>
      </c>
      <c r="E699" s="3" t="s">
        <v>7</v>
      </c>
      <c r="F699" s="5">
        <v>102</v>
      </c>
      <c r="G699" s="5">
        <v>696</v>
      </c>
      <c r="H699" s="6">
        <v>5655.54</v>
      </c>
      <c r="I699" s="22">
        <v>40571.82</v>
      </c>
      <c r="J699" s="24">
        <f t="shared" si="30"/>
        <v>2.8112708800090734E-4</v>
      </c>
      <c r="K699" s="25">
        <f t="shared" si="32"/>
        <v>0.61989548139160588</v>
      </c>
      <c r="L699" s="26" t="s">
        <v>7516</v>
      </c>
      <c r="M699" s="28"/>
      <c r="N699" s="28"/>
      <c r="O699" s="20">
        <v>15408.72</v>
      </c>
      <c r="P699" s="27" t="str">
        <f t="shared" si="31"/>
        <v>amarelo</v>
      </c>
    </row>
    <row r="700" spans="1:16">
      <c r="A700" s="3" t="s">
        <v>5806</v>
      </c>
      <c r="B700" s="3" t="s">
        <v>5807</v>
      </c>
      <c r="C700" s="4">
        <v>167</v>
      </c>
      <c r="D700" s="3" t="s">
        <v>251</v>
      </c>
      <c r="E700" s="3" t="s">
        <v>49</v>
      </c>
      <c r="F700" s="5">
        <v>1236</v>
      </c>
      <c r="G700" s="5">
        <v>708</v>
      </c>
      <c r="H700" s="6">
        <v>61799.76</v>
      </c>
      <c r="I700" s="22">
        <v>40532.339999999997</v>
      </c>
      <c r="J700" s="24">
        <f t="shared" si="30"/>
        <v>2.8085352626682001E-4</v>
      </c>
      <c r="K700" s="25">
        <f t="shared" si="32"/>
        <v>0.62017633491787272</v>
      </c>
      <c r="L700" s="26" t="s">
        <v>7516</v>
      </c>
      <c r="M700" s="28"/>
      <c r="N700" s="28"/>
      <c r="O700" s="20" t="s">
        <v>7530</v>
      </c>
      <c r="P700" s="27" t="str">
        <f t="shared" si="31"/>
        <v>vermelho</v>
      </c>
    </row>
    <row r="701" spans="1:16" ht="25.5">
      <c r="A701" s="3" t="s">
        <v>4</v>
      </c>
      <c r="B701" s="3" t="s">
        <v>307</v>
      </c>
      <c r="C701" s="4">
        <v>297</v>
      </c>
      <c r="D701" s="3" t="s">
        <v>115</v>
      </c>
      <c r="E701" s="3" t="s">
        <v>41</v>
      </c>
      <c r="F701" s="5">
        <v>843</v>
      </c>
      <c r="G701" s="5">
        <v>645</v>
      </c>
      <c r="H701" s="6">
        <v>46960.133999999998</v>
      </c>
      <c r="I701" s="22">
        <v>40461.743999999999</v>
      </c>
      <c r="J701" s="24">
        <f t="shared" si="30"/>
        <v>2.803643579745297E-4</v>
      </c>
      <c r="K701" s="25">
        <f t="shared" si="32"/>
        <v>0.62045669927584723</v>
      </c>
      <c r="L701" s="26" t="s">
        <v>7516</v>
      </c>
      <c r="M701" s="28"/>
      <c r="N701" s="28"/>
      <c r="O701" s="20">
        <v>30167.792000000001</v>
      </c>
      <c r="P701" s="27" t="str">
        <f t="shared" si="31"/>
        <v>laranja</v>
      </c>
    </row>
    <row r="702" spans="1:16" ht="38.25">
      <c r="A702" s="3" t="s">
        <v>5808</v>
      </c>
      <c r="B702" s="3" t="s">
        <v>5809</v>
      </c>
      <c r="C702" s="4">
        <v>45</v>
      </c>
      <c r="D702" s="3" t="s">
        <v>23</v>
      </c>
      <c r="E702" s="3" t="s">
        <v>7</v>
      </c>
      <c r="F702" s="5">
        <v>372</v>
      </c>
      <c r="G702" s="5">
        <v>636</v>
      </c>
      <c r="H702" s="6">
        <v>20146.919999999998</v>
      </c>
      <c r="I702" s="22">
        <v>40451.22</v>
      </c>
      <c r="J702" s="24">
        <f t="shared" si="30"/>
        <v>2.8029143589526086E-4</v>
      </c>
      <c r="K702" s="25">
        <f t="shared" si="32"/>
        <v>0.62073699071174249</v>
      </c>
      <c r="L702" s="26" t="s">
        <v>7516</v>
      </c>
      <c r="M702" s="28"/>
      <c r="N702" s="28"/>
      <c r="O702" s="20" t="s">
        <v>7530</v>
      </c>
      <c r="P702" s="27" t="str">
        <f t="shared" si="31"/>
        <v>vermelho</v>
      </c>
    </row>
    <row r="703" spans="1:16" ht="38.25">
      <c r="A703" s="3" t="s">
        <v>4</v>
      </c>
      <c r="B703" s="3" t="s">
        <v>308</v>
      </c>
      <c r="C703" s="4">
        <v>143</v>
      </c>
      <c r="D703" s="3" t="s">
        <v>44</v>
      </c>
      <c r="E703" s="3" t="s">
        <v>41</v>
      </c>
      <c r="F703" s="5">
        <v>396</v>
      </c>
      <c r="G703" s="5">
        <v>648</v>
      </c>
      <c r="H703" s="6">
        <v>25896.6</v>
      </c>
      <c r="I703" s="22">
        <v>40388.160000000003</v>
      </c>
      <c r="J703" s="24">
        <f t="shared" si="30"/>
        <v>2.7985448546589053E-4</v>
      </c>
      <c r="K703" s="25">
        <f t="shared" si="32"/>
        <v>0.62101684519720834</v>
      </c>
      <c r="L703" s="26" t="s">
        <v>7516</v>
      </c>
      <c r="M703" s="28"/>
      <c r="N703" s="28"/>
      <c r="O703" s="20" t="s">
        <v>7530</v>
      </c>
      <c r="P703" s="27" t="str">
        <f t="shared" si="31"/>
        <v>vermelho</v>
      </c>
    </row>
    <row r="704" spans="1:16" ht="25.5">
      <c r="A704" s="3" t="s">
        <v>5810</v>
      </c>
      <c r="B704" s="3" t="s">
        <v>5811</v>
      </c>
      <c r="C704" s="4">
        <v>208</v>
      </c>
      <c r="D704" s="3" t="s">
        <v>15</v>
      </c>
      <c r="E704" s="3" t="s">
        <v>16</v>
      </c>
      <c r="F704" s="5">
        <v>888</v>
      </c>
      <c r="G704" s="5">
        <v>900</v>
      </c>
      <c r="H704" s="6">
        <v>36718.800000000003</v>
      </c>
      <c r="I704" s="22">
        <v>40346.1</v>
      </c>
      <c r="J704" s="24">
        <f t="shared" si="30"/>
        <v>2.7956304659720481E-4</v>
      </c>
      <c r="K704" s="25">
        <f t="shared" si="32"/>
        <v>0.6212964082438055</v>
      </c>
      <c r="L704" s="26" t="s">
        <v>7516</v>
      </c>
      <c r="M704" s="28"/>
      <c r="N704" s="28"/>
      <c r="O704" s="20">
        <v>40346.1</v>
      </c>
      <c r="P704" s="27" t="str">
        <f t="shared" si="31"/>
        <v>verde</v>
      </c>
    </row>
    <row r="705" spans="1:16">
      <c r="A705" s="3" t="s">
        <v>4</v>
      </c>
      <c r="B705" s="3" t="s">
        <v>309</v>
      </c>
      <c r="C705" s="4">
        <v>15</v>
      </c>
      <c r="D705" s="3" t="s">
        <v>18</v>
      </c>
      <c r="E705" s="3" t="s">
        <v>16</v>
      </c>
      <c r="F705" s="5">
        <v>729</v>
      </c>
      <c r="G705" s="5">
        <v>750</v>
      </c>
      <c r="H705" s="6">
        <v>41053.68</v>
      </c>
      <c r="I705" s="22">
        <v>40317</v>
      </c>
      <c r="J705" s="24">
        <f t="shared" si="30"/>
        <v>2.7936140914882745E-4</v>
      </c>
      <c r="K705" s="25">
        <f t="shared" si="32"/>
        <v>0.62157576965295436</v>
      </c>
      <c r="L705" s="26" t="s">
        <v>7516</v>
      </c>
      <c r="M705" s="28"/>
      <c r="N705" s="28"/>
      <c r="O705" s="20">
        <v>32619.599999999999</v>
      </c>
      <c r="P705" s="27" t="str">
        <f t="shared" si="31"/>
        <v>laranja</v>
      </c>
    </row>
    <row r="706" spans="1:16" ht="38.25">
      <c r="A706" s="3" t="s">
        <v>4</v>
      </c>
      <c r="B706" s="3" t="s">
        <v>310</v>
      </c>
      <c r="C706" s="4">
        <v>143</v>
      </c>
      <c r="D706" s="3" t="s">
        <v>44</v>
      </c>
      <c r="E706" s="3" t="s">
        <v>41</v>
      </c>
      <c r="F706" s="5">
        <v>456</v>
      </c>
      <c r="G706" s="5">
        <v>660</v>
      </c>
      <c r="H706" s="6">
        <v>25479</v>
      </c>
      <c r="I706" s="22">
        <v>40258.197999999997</v>
      </c>
      <c r="J706" s="24">
        <f t="shared" si="30"/>
        <v>2.7895396292066635E-4</v>
      </c>
      <c r="K706" s="25">
        <f t="shared" si="32"/>
        <v>0.62185472361587502</v>
      </c>
      <c r="L706" s="26" t="s">
        <v>7516</v>
      </c>
      <c r="M706" s="28"/>
      <c r="N706" s="28"/>
      <c r="O706" s="20">
        <v>28964.13</v>
      </c>
      <c r="P706" s="27" t="str">
        <f t="shared" si="31"/>
        <v>laranja</v>
      </c>
    </row>
    <row r="707" spans="1:16" ht="25.5">
      <c r="A707" s="3" t="s">
        <v>5812</v>
      </c>
      <c r="B707" s="3" t="s">
        <v>5813</v>
      </c>
      <c r="C707" s="4">
        <v>194</v>
      </c>
      <c r="D707" s="3" t="s">
        <v>145</v>
      </c>
      <c r="E707" s="3" t="s">
        <v>16</v>
      </c>
      <c r="F707" s="5">
        <v>1782</v>
      </c>
      <c r="G707" s="5">
        <v>714</v>
      </c>
      <c r="H707" s="6">
        <v>104151.87</v>
      </c>
      <c r="I707" s="22">
        <v>40256.129999999997</v>
      </c>
      <c r="J707" s="24">
        <f t="shared" ref="J707:J770" si="33">I707/$I$6364</f>
        <v>2.7893963349649991E-4</v>
      </c>
      <c r="K707" s="25">
        <f t="shared" si="32"/>
        <v>0.62213366324937147</v>
      </c>
      <c r="L707" s="26" t="s">
        <v>7516</v>
      </c>
      <c r="M707" s="28"/>
      <c r="N707" s="28"/>
      <c r="O707" s="20" t="s">
        <v>7530</v>
      </c>
      <c r="P707" s="27" t="str">
        <f t="shared" ref="P707:P770" si="34">IF(O707&lt;=0,"vermelho",IFERROR(IF(O707/I707&lt;=0.5098,"amarelo",IF(O707/I707&lt;1,"laranja","verde")),"vermelho"))</f>
        <v>vermelho</v>
      </c>
    </row>
    <row r="708" spans="1:16">
      <c r="A708" s="3" t="s">
        <v>5559</v>
      </c>
      <c r="B708" s="3" t="s">
        <v>5560</v>
      </c>
      <c r="C708" s="4">
        <v>231</v>
      </c>
      <c r="D708" s="3" t="s">
        <v>52</v>
      </c>
      <c r="E708" s="3" t="s">
        <v>7</v>
      </c>
      <c r="F708" s="5">
        <v>471</v>
      </c>
      <c r="G708" s="5">
        <v>663</v>
      </c>
      <c r="H708" s="6">
        <v>24644.307000000001</v>
      </c>
      <c r="I708" s="22">
        <v>40187.1</v>
      </c>
      <c r="J708" s="24">
        <f t="shared" si="33"/>
        <v>2.7846131620916343E-4</v>
      </c>
      <c r="K708" s="25">
        <f t="shared" ref="K708:K771" si="35">J708+K707</f>
        <v>0.62241212456558059</v>
      </c>
      <c r="L708" s="26" t="s">
        <v>7516</v>
      </c>
      <c r="M708" s="28"/>
      <c r="N708" s="28"/>
      <c r="O708" s="20">
        <v>23523.72</v>
      </c>
      <c r="P708" s="27" t="str">
        <f t="shared" si="34"/>
        <v>laranja</v>
      </c>
    </row>
    <row r="709" spans="1:16" ht="25.5">
      <c r="A709" s="3" t="s">
        <v>4</v>
      </c>
      <c r="B709" s="3" t="s">
        <v>311</v>
      </c>
      <c r="C709" s="4">
        <v>217</v>
      </c>
      <c r="D709" s="3" t="s">
        <v>91</v>
      </c>
      <c r="E709" s="3" t="s">
        <v>16</v>
      </c>
      <c r="F709" s="5">
        <v>261</v>
      </c>
      <c r="G709" s="5">
        <v>672</v>
      </c>
      <c r="H709" s="6">
        <v>13636.8</v>
      </c>
      <c r="I709" s="22">
        <v>40149.96</v>
      </c>
      <c r="J709" s="24">
        <f t="shared" si="33"/>
        <v>2.7820396862040966E-4</v>
      </c>
      <c r="K709" s="25">
        <f t="shared" si="35"/>
        <v>0.62269032853420103</v>
      </c>
      <c r="L709" s="26" t="s">
        <v>7516</v>
      </c>
      <c r="M709" s="28"/>
      <c r="N709" s="28"/>
      <c r="O709" s="20" t="s">
        <v>7530</v>
      </c>
      <c r="P709" s="27" t="str">
        <f t="shared" si="34"/>
        <v>vermelho</v>
      </c>
    </row>
    <row r="710" spans="1:16" ht="25.5">
      <c r="A710" s="3" t="s">
        <v>4</v>
      </c>
      <c r="B710" s="3" t="s">
        <v>312</v>
      </c>
      <c r="C710" s="4">
        <v>299</v>
      </c>
      <c r="D710" s="3" t="s">
        <v>111</v>
      </c>
      <c r="E710" s="3" t="s">
        <v>49</v>
      </c>
      <c r="F710" s="5">
        <v>252</v>
      </c>
      <c r="G710" s="5">
        <v>771</v>
      </c>
      <c r="H710" s="6">
        <v>14765.16</v>
      </c>
      <c r="I710" s="22">
        <v>40023.629999999997</v>
      </c>
      <c r="J710" s="24">
        <f t="shared" si="33"/>
        <v>2.7732861264606205E-4</v>
      </c>
      <c r="K710" s="25">
        <f t="shared" si="35"/>
        <v>0.6229676571468471</v>
      </c>
      <c r="L710" s="26" t="s">
        <v>7516</v>
      </c>
      <c r="M710" s="28"/>
      <c r="N710" s="28">
        <v>6.8240273071014365E-2</v>
      </c>
      <c r="O710" s="20">
        <v>5529.84</v>
      </c>
      <c r="P710" s="27" t="str">
        <f t="shared" si="34"/>
        <v>amarelo</v>
      </c>
    </row>
    <row r="711" spans="1:16" ht="38.25">
      <c r="A711" s="3" t="s">
        <v>4</v>
      </c>
      <c r="B711" s="3" t="s">
        <v>313</v>
      </c>
      <c r="C711" s="4">
        <v>38</v>
      </c>
      <c r="D711" s="3" t="s">
        <v>184</v>
      </c>
      <c r="E711" s="3" t="s">
        <v>49</v>
      </c>
      <c r="F711" s="5">
        <v>522</v>
      </c>
      <c r="G711" s="5">
        <v>660</v>
      </c>
      <c r="H711" s="6">
        <v>31896.78</v>
      </c>
      <c r="I711" s="22">
        <v>40014.839999999997</v>
      </c>
      <c r="J711" s="24">
        <f t="shared" si="33"/>
        <v>2.772677056642326E-4</v>
      </c>
      <c r="K711" s="25">
        <f t="shared" si="35"/>
        <v>0.62324492485251137</v>
      </c>
      <c r="L711" s="26" t="s">
        <v>7516</v>
      </c>
      <c r="M711" s="28"/>
      <c r="N711" s="28"/>
      <c r="O711" s="20" t="s">
        <v>7530</v>
      </c>
      <c r="P711" s="27" t="str">
        <f t="shared" si="34"/>
        <v>vermelho</v>
      </c>
    </row>
    <row r="712" spans="1:16" ht="25.5">
      <c r="A712" s="3" t="s">
        <v>4</v>
      </c>
      <c r="B712" s="3" t="s">
        <v>314</v>
      </c>
      <c r="C712" s="4">
        <v>187</v>
      </c>
      <c r="D712" s="3" t="s">
        <v>96</v>
      </c>
      <c r="E712" s="3" t="s">
        <v>7</v>
      </c>
      <c r="F712" s="5">
        <v>939</v>
      </c>
      <c r="G712" s="5">
        <v>606</v>
      </c>
      <c r="H712" s="6">
        <v>53998.773000000001</v>
      </c>
      <c r="I712" s="22">
        <v>39997.35</v>
      </c>
      <c r="J712" s="24">
        <f t="shared" si="33"/>
        <v>2.7714651532154805E-4</v>
      </c>
      <c r="K712" s="25">
        <f t="shared" si="35"/>
        <v>0.62352207136783289</v>
      </c>
      <c r="L712" s="26" t="s">
        <v>7516</v>
      </c>
      <c r="M712" s="28"/>
      <c r="N712" s="28">
        <v>3.5876868892389863E-2</v>
      </c>
      <c r="O712" s="20">
        <v>16477.2</v>
      </c>
      <c r="P712" s="27" t="str">
        <f t="shared" si="34"/>
        <v>amarelo</v>
      </c>
    </row>
    <row r="713" spans="1:16">
      <c r="A713" s="3" t="s">
        <v>4</v>
      </c>
      <c r="B713" s="3" t="s">
        <v>315</v>
      </c>
      <c r="C713" s="4">
        <v>217</v>
      </c>
      <c r="D713" s="3" t="s">
        <v>91</v>
      </c>
      <c r="E713" s="3" t="s">
        <v>16</v>
      </c>
      <c r="F713" s="5">
        <v>234</v>
      </c>
      <c r="G713" s="5">
        <v>600</v>
      </c>
      <c r="H713" s="6">
        <v>13935.96</v>
      </c>
      <c r="I713" s="22">
        <v>39976.949999999997</v>
      </c>
      <c r="J713" s="24">
        <f t="shared" si="33"/>
        <v>2.7700516123402573E-4</v>
      </c>
      <c r="K713" s="25">
        <f t="shared" si="35"/>
        <v>0.62379907652906696</v>
      </c>
      <c r="L713" s="26" t="s">
        <v>7516</v>
      </c>
      <c r="M713" s="28">
        <v>-2.5330141881855332E-3</v>
      </c>
      <c r="N713" s="28"/>
      <c r="O713" s="20" t="s">
        <v>7530</v>
      </c>
      <c r="P713" s="27" t="str">
        <f t="shared" si="34"/>
        <v>vermelho</v>
      </c>
    </row>
    <row r="714" spans="1:16" ht="25.5">
      <c r="A714" s="3" t="s">
        <v>5814</v>
      </c>
      <c r="B714" s="3" t="s">
        <v>5815</v>
      </c>
      <c r="C714" s="4">
        <v>23</v>
      </c>
      <c r="D714" s="3" t="s">
        <v>87</v>
      </c>
      <c r="E714" s="3" t="s">
        <v>7</v>
      </c>
      <c r="F714" s="5">
        <v>0</v>
      </c>
      <c r="G714" s="5">
        <v>720</v>
      </c>
      <c r="H714" s="6">
        <v>0</v>
      </c>
      <c r="I714" s="22">
        <v>39966.332000000002</v>
      </c>
      <c r="J714" s="24">
        <f t="shared" si="33"/>
        <v>2.7693158781729485E-4</v>
      </c>
      <c r="K714" s="25">
        <f t="shared" si="35"/>
        <v>0.62407600811688424</v>
      </c>
      <c r="L714" s="26" t="s">
        <v>7516</v>
      </c>
      <c r="M714" s="28"/>
      <c r="N714" s="28"/>
      <c r="O714" s="20">
        <v>18084.32</v>
      </c>
      <c r="P714" s="27" t="str">
        <f t="shared" si="34"/>
        <v>amarelo</v>
      </c>
    </row>
    <row r="715" spans="1:16">
      <c r="A715" s="3" t="s">
        <v>4</v>
      </c>
      <c r="B715" s="3" t="s">
        <v>316</v>
      </c>
      <c r="C715" s="4">
        <v>240</v>
      </c>
      <c r="D715" s="3" t="s">
        <v>69</v>
      </c>
      <c r="E715" s="3" t="s">
        <v>16</v>
      </c>
      <c r="F715" s="5">
        <v>315</v>
      </c>
      <c r="G715" s="5">
        <v>660</v>
      </c>
      <c r="H715" s="6">
        <v>19734</v>
      </c>
      <c r="I715" s="22">
        <v>39942.839999999997</v>
      </c>
      <c r="J715" s="24">
        <f t="shared" si="33"/>
        <v>2.7676880888474216E-4</v>
      </c>
      <c r="K715" s="25">
        <f t="shared" si="35"/>
        <v>0.62435277692576896</v>
      </c>
      <c r="L715" s="26" t="s">
        <v>7516</v>
      </c>
      <c r="M715" s="28">
        <v>-2.1870648179333676E-2</v>
      </c>
      <c r="N715" s="28"/>
      <c r="O715" s="20" t="s">
        <v>7530</v>
      </c>
      <c r="P715" s="27" t="str">
        <f t="shared" si="34"/>
        <v>vermelho</v>
      </c>
    </row>
    <row r="716" spans="1:16" ht="25.5">
      <c r="A716" s="3" t="s">
        <v>4</v>
      </c>
      <c r="B716" s="3" t="s">
        <v>317</v>
      </c>
      <c r="C716" s="4">
        <v>327</v>
      </c>
      <c r="D716" s="3" t="s">
        <v>100</v>
      </c>
      <c r="E716" s="3" t="s">
        <v>7</v>
      </c>
      <c r="F716" s="5">
        <v>864</v>
      </c>
      <c r="G716" s="5">
        <v>624</v>
      </c>
      <c r="H716" s="6">
        <v>48138.36</v>
      </c>
      <c r="I716" s="22">
        <v>39938.370000000003</v>
      </c>
      <c r="J716" s="24">
        <f t="shared" si="33"/>
        <v>2.7673783570968216E-4</v>
      </c>
      <c r="K716" s="25">
        <f t="shared" si="35"/>
        <v>0.62462951476147865</v>
      </c>
      <c r="L716" s="26" t="s">
        <v>7516</v>
      </c>
      <c r="M716" s="28"/>
      <c r="N716" s="28"/>
      <c r="O716" s="20">
        <v>32584.44</v>
      </c>
      <c r="P716" s="27" t="str">
        <f t="shared" si="34"/>
        <v>laranja</v>
      </c>
    </row>
    <row r="717" spans="1:16" ht="25.5">
      <c r="A717" s="3" t="s">
        <v>4</v>
      </c>
      <c r="B717" s="3" t="s">
        <v>318</v>
      </c>
      <c r="C717" s="4">
        <v>19</v>
      </c>
      <c r="D717" s="3" t="s">
        <v>72</v>
      </c>
      <c r="E717" s="3" t="s">
        <v>41</v>
      </c>
      <c r="F717" s="5">
        <v>48</v>
      </c>
      <c r="G717" s="5">
        <v>627</v>
      </c>
      <c r="H717" s="6">
        <v>2589.8519999999999</v>
      </c>
      <c r="I717" s="22">
        <v>39937.351000000002</v>
      </c>
      <c r="J717" s="24">
        <f t="shared" si="33"/>
        <v>2.7673077493442798E-4</v>
      </c>
      <c r="K717" s="25">
        <f t="shared" si="35"/>
        <v>0.62490624553641305</v>
      </c>
      <c r="L717" s="26" t="s">
        <v>7516</v>
      </c>
      <c r="M717" s="28"/>
      <c r="N717" s="28"/>
      <c r="O717" s="20">
        <v>29820.78</v>
      </c>
      <c r="P717" s="27" t="str">
        <f t="shared" si="34"/>
        <v>laranja</v>
      </c>
    </row>
    <row r="718" spans="1:16" ht="25.5">
      <c r="A718" s="3" t="s">
        <v>4</v>
      </c>
      <c r="B718" s="3" t="s">
        <v>319</v>
      </c>
      <c r="C718" s="4">
        <v>178</v>
      </c>
      <c r="D718" s="3" t="s">
        <v>74</v>
      </c>
      <c r="E718" s="3" t="s">
        <v>7</v>
      </c>
      <c r="F718" s="5">
        <v>411</v>
      </c>
      <c r="G718" s="5">
        <v>594</v>
      </c>
      <c r="H718" s="6">
        <v>23461.89</v>
      </c>
      <c r="I718" s="22">
        <v>39935.519999999997</v>
      </c>
      <c r="J718" s="24">
        <f t="shared" si="33"/>
        <v>2.7671808771216063E-4</v>
      </c>
      <c r="K718" s="25">
        <f t="shared" si="35"/>
        <v>0.62518296362412518</v>
      </c>
      <c r="L718" s="26" t="s">
        <v>7516</v>
      </c>
      <c r="M718" s="28"/>
      <c r="N718" s="28"/>
      <c r="O718" s="20">
        <v>21726.48</v>
      </c>
      <c r="P718" s="27" t="str">
        <f t="shared" si="34"/>
        <v>laranja</v>
      </c>
    </row>
    <row r="719" spans="1:16" ht="38.25">
      <c r="A719" s="3" t="s">
        <v>5816</v>
      </c>
      <c r="B719" s="3" t="s">
        <v>5817</v>
      </c>
      <c r="C719" s="4">
        <v>11</v>
      </c>
      <c r="D719" s="3" t="s">
        <v>61</v>
      </c>
      <c r="E719" s="3" t="s">
        <v>10</v>
      </c>
      <c r="F719" s="5">
        <v>1071</v>
      </c>
      <c r="G719" s="5">
        <v>633</v>
      </c>
      <c r="H719" s="6">
        <v>65325.49</v>
      </c>
      <c r="I719" s="22">
        <v>39904.65</v>
      </c>
      <c r="J719" s="24">
        <f t="shared" si="33"/>
        <v>2.7650418571795415E-4</v>
      </c>
      <c r="K719" s="25">
        <f t="shared" si="35"/>
        <v>0.62545946780984318</v>
      </c>
      <c r="L719" s="26" t="s">
        <v>7516</v>
      </c>
      <c r="M719" s="28"/>
      <c r="N719" s="28"/>
      <c r="O719" s="20">
        <v>40260.160000000003</v>
      </c>
      <c r="P719" s="27" t="str">
        <f t="shared" si="34"/>
        <v>verde</v>
      </c>
    </row>
    <row r="720" spans="1:16" ht="25.5">
      <c r="A720" s="3" t="s">
        <v>4</v>
      </c>
      <c r="B720" s="3" t="s">
        <v>320</v>
      </c>
      <c r="C720" s="4">
        <v>270</v>
      </c>
      <c r="D720" s="3" t="s">
        <v>266</v>
      </c>
      <c r="E720" s="3" t="s">
        <v>49</v>
      </c>
      <c r="F720" s="5">
        <v>504</v>
      </c>
      <c r="G720" s="5">
        <v>630</v>
      </c>
      <c r="H720" s="6">
        <v>30071.4</v>
      </c>
      <c r="I720" s="22">
        <v>39888.18</v>
      </c>
      <c r="J720" s="24">
        <f t="shared" si="33"/>
        <v>2.7639006307964573E-4</v>
      </c>
      <c r="K720" s="25">
        <f t="shared" si="35"/>
        <v>0.62573585787292285</v>
      </c>
      <c r="L720" s="26" t="s">
        <v>7516</v>
      </c>
      <c r="M720" s="28"/>
      <c r="N720" s="28"/>
      <c r="O720" s="20" t="s">
        <v>7530</v>
      </c>
      <c r="P720" s="27" t="str">
        <f t="shared" si="34"/>
        <v>vermelho</v>
      </c>
    </row>
    <row r="721" spans="1:16" ht="51">
      <c r="A721" s="3" t="s">
        <v>4</v>
      </c>
      <c r="B721" s="3" t="s">
        <v>321</v>
      </c>
      <c r="C721" s="4">
        <v>282</v>
      </c>
      <c r="D721" s="3" t="s">
        <v>12</v>
      </c>
      <c r="E721" s="3" t="s">
        <v>13</v>
      </c>
      <c r="F721" s="5">
        <v>330</v>
      </c>
      <c r="G721" s="5">
        <v>585</v>
      </c>
      <c r="H721" s="6">
        <v>15775.727999999999</v>
      </c>
      <c r="I721" s="22">
        <v>39882.69</v>
      </c>
      <c r="J721" s="24">
        <f t="shared" si="33"/>
        <v>2.7635202220020955E-4</v>
      </c>
      <c r="K721" s="25">
        <f t="shared" si="35"/>
        <v>0.62601220989512307</v>
      </c>
      <c r="L721" s="26" t="s">
        <v>7516</v>
      </c>
      <c r="M721" s="28"/>
      <c r="N721" s="28"/>
      <c r="O721" s="20">
        <v>8788.11</v>
      </c>
      <c r="P721" s="27" t="str">
        <f t="shared" si="34"/>
        <v>amarelo</v>
      </c>
    </row>
    <row r="722" spans="1:16" ht="25.5">
      <c r="A722" s="3" t="s">
        <v>4</v>
      </c>
      <c r="B722" s="3" t="s">
        <v>322</v>
      </c>
      <c r="C722" s="4">
        <v>317</v>
      </c>
      <c r="D722" s="3" t="s">
        <v>78</v>
      </c>
      <c r="E722" s="3" t="s">
        <v>10</v>
      </c>
      <c r="F722" s="5">
        <v>528</v>
      </c>
      <c r="G722" s="5">
        <v>615</v>
      </c>
      <c r="H722" s="6">
        <v>32313.63</v>
      </c>
      <c r="I722" s="22">
        <v>39858.720000000001</v>
      </c>
      <c r="J722" s="24">
        <f t="shared" si="33"/>
        <v>2.7618593114737088E-4</v>
      </c>
      <c r="K722" s="25">
        <f t="shared" si="35"/>
        <v>0.62628839582627049</v>
      </c>
      <c r="L722" s="26" t="s">
        <v>7516</v>
      </c>
      <c r="M722" s="28"/>
      <c r="N722" s="28"/>
      <c r="O722" s="20" t="s">
        <v>7530</v>
      </c>
      <c r="P722" s="27" t="str">
        <f t="shared" si="34"/>
        <v>vermelho</v>
      </c>
    </row>
    <row r="723" spans="1:16">
      <c r="A723" s="3" t="s">
        <v>5818</v>
      </c>
      <c r="B723" s="3" t="s">
        <v>5819</v>
      </c>
      <c r="C723" s="4">
        <v>232</v>
      </c>
      <c r="D723" s="3" t="s">
        <v>174</v>
      </c>
      <c r="E723" s="3" t="s">
        <v>16</v>
      </c>
      <c r="F723" s="5">
        <v>480</v>
      </c>
      <c r="G723" s="5">
        <v>720</v>
      </c>
      <c r="H723" s="6">
        <v>24786.240000000002</v>
      </c>
      <c r="I723" s="22">
        <v>39822.591</v>
      </c>
      <c r="J723" s="24">
        <f t="shared" si="33"/>
        <v>2.7593558890089576E-4</v>
      </c>
      <c r="K723" s="25">
        <f t="shared" si="35"/>
        <v>0.62656433141517143</v>
      </c>
      <c r="L723" s="26" t="s">
        <v>7516</v>
      </c>
      <c r="M723" s="28"/>
      <c r="N723" s="28"/>
      <c r="O723" s="20" t="s">
        <v>7530</v>
      </c>
      <c r="P723" s="27" t="str">
        <f t="shared" si="34"/>
        <v>vermelho</v>
      </c>
    </row>
    <row r="724" spans="1:16" ht="25.5">
      <c r="A724" s="3" t="s">
        <v>4</v>
      </c>
      <c r="B724" s="3" t="s">
        <v>323</v>
      </c>
      <c r="C724" s="4">
        <v>266</v>
      </c>
      <c r="D724" s="3" t="s">
        <v>80</v>
      </c>
      <c r="E724" s="3" t="s">
        <v>10</v>
      </c>
      <c r="F724" s="5">
        <v>984</v>
      </c>
      <c r="G724" s="5">
        <v>651</v>
      </c>
      <c r="H724" s="6">
        <v>60417.84</v>
      </c>
      <c r="I724" s="22">
        <v>39736.17</v>
      </c>
      <c r="J724" s="24">
        <f t="shared" si="33"/>
        <v>2.7533676725394651E-4</v>
      </c>
      <c r="K724" s="25">
        <f t="shared" si="35"/>
        <v>0.62683966818242542</v>
      </c>
      <c r="L724" s="26" t="s">
        <v>7516</v>
      </c>
      <c r="M724" s="28"/>
      <c r="N724" s="28"/>
      <c r="O724" s="20" t="s">
        <v>7530</v>
      </c>
      <c r="P724" s="27" t="str">
        <f t="shared" si="34"/>
        <v>vermelho</v>
      </c>
    </row>
    <row r="725" spans="1:16">
      <c r="A725" s="3" t="s">
        <v>4</v>
      </c>
      <c r="B725" s="3" t="s">
        <v>324</v>
      </c>
      <c r="C725" s="4">
        <v>15</v>
      </c>
      <c r="D725" s="3" t="s">
        <v>18</v>
      </c>
      <c r="E725" s="3" t="s">
        <v>16</v>
      </c>
      <c r="F725" s="5">
        <v>1150</v>
      </c>
      <c r="G725" s="5">
        <v>759</v>
      </c>
      <c r="H725" s="6">
        <v>52495.33</v>
      </c>
      <c r="I725" s="22">
        <v>39732</v>
      </c>
      <c r="J725" s="24">
        <f t="shared" si="33"/>
        <v>2.7530787281546771E-4</v>
      </c>
      <c r="K725" s="25">
        <f t="shared" si="35"/>
        <v>0.62711497605524091</v>
      </c>
      <c r="L725" s="26" t="s">
        <v>7516</v>
      </c>
      <c r="M725" s="28"/>
      <c r="N725" s="28"/>
      <c r="O725" s="20" t="s">
        <v>7530</v>
      </c>
      <c r="P725" s="27" t="str">
        <f t="shared" si="34"/>
        <v>vermelho</v>
      </c>
    </row>
    <row r="726" spans="1:16" ht="25.5">
      <c r="A726" s="3" t="s">
        <v>5820</v>
      </c>
      <c r="B726" s="3" t="s">
        <v>5821</v>
      </c>
      <c r="C726" s="4">
        <v>74</v>
      </c>
      <c r="D726" s="3" t="s">
        <v>6</v>
      </c>
      <c r="E726" s="3" t="s">
        <v>7</v>
      </c>
      <c r="F726" s="5">
        <v>459</v>
      </c>
      <c r="G726" s="5">
        <v>618</v>
      </c>
      <c r="H726" s="6">
        <v>28267.17</v>
      </c>
      <c r="I726" s="22">
        <v>39699.660000000003</v>
      </c>
      <c r="J726" s="24">
        <f t="shared" si="33"/>
        <v>2.7508378501201332E-4</v>
      </c>
      <c r="K726" s="25">
        <f t="shared" si="35"/>
        <v>0.62739005984025298</v>
      </c>
      <c r="L726" s="26" t="s">
        <v>7516</v>
      </c>
      <c r="M726" s="28"/>
      <c r="N726" s="28"/>
      <c r="O726" s="20" t="s">
        <v>7530</v>
      </c>
      <c r="P726" s="27" t="str">
        <f t="shared" si="34"/>
        <v>vermelho</v>
      </c>
    </row>
    <row r="727" spans="1:16" ht="25.5">
      <c r="A727" s="3" t="s">
        <v>4</v>
      </c>
      <c r="B727" s="3" t="s">
        <v>325</v>
      </c>
      <c r="C727" s="4">
        <v>19</v>
      </c>
      <c r="D727" s="3" t="s">
        <v>72</v>
      </c>
      <c r="E727" s="3" t="s">
        <v>41</v>
      </c>
      <c r="F727" s="5">
        <v>0</v>
      </c>
      <c r="G727" s="5">
        <v>612</v>
      </c>
      <c r="H727" s="6">
        <v>0</v>
      </c>
      <c r="I727" s="22">
        <v>39691.980000000003</v>
      </c>
      <c r="J727" s="24">
        <f t="shared" si="33"/>
        <v>2.7503056935553429E-4</v>
      </c>
      <c r="K727" s="25">
        <f t="shared" si="35"/>
        <v>0.62766509040960849</v>
      </c>
      <c r="L727" s="26" t="s">
        <v>7516</v>
      </c>
      <c r="M727" s="28">
        <v>-1.593158460306527E-2</v>
      </c>
      <c r="N727" s="28"/>
      <c r="O727" s="20" t="s">
        <v>7530</v>
      </c>
      <c r="P727" s="27" t="str">
        <f t="shared" si="34"/>
        <v>vermelho</v>
      </c>
    </row>
    <row r="728" spans="1:16" ht="38.25">
      <c r="A728" s="3" t="s">
        <v>4</v>
      </c>
      <c r="B728" s="3" t="s">
        <v>326</v>
      </c>
      <c r="C728" s="4">
        <v>45</v>
      </c>
      <c r="D728" s="3" t="s">
        <v>23</v>
      </c>
      <c r="E728" s="3" t="s">
        <v>7</v>
      </c>
      <c r="F728" s="5">
        <v>678</v>
      </c>
      <c r="G728" s="5">
        <v>654</v>
      </c>
      <c r="H728" s="6">
        <v>35484.17</v>
      </c>
      <c r="I728" s="22">
        <v>39679.1</v>
      </c>
      <c r="J728" s="24">
        <f t="shared" si="33"/>
        <v>2.7494132226498099E-4</v>
      </c>
      <c r="K728" s="25">
        <f t="shared" si="35"/>
        <v>0.62794003173187352</v>
      </c>
      <c r="L728" s="26" t="s">
        <v>7516</v>
      </c>
      <c r="M728" s="28"/>
      <c r="N728" s="28"/>
      <c r="O728" s="20">
        <v>14617.41</v>
      </c>
      <c r="P728" s="27" t="str">
        <f t="shared" si="34"/>
        <v>amarelo</v>
      </c>
    </row>
    <row r="729" spans="1:16" ht="25.5">
      <c r="A729" s="3" t="s">
        <v>4</v>
      </c>
      <c r="B729" s="3" t="s">
        <v>327</v>
      </c>
      <c r="C729" s="4">
        <v>23</v>
      </c>
      <c r="D729" s="3" t="s">
        <v>87</v>
      </c>
      <c r="E729" s="3" t="s">
        <v>7</v>
      </c>
      <c r="F729" s="5">
        <v>318</v>
      </c>
      <c r="G729" s="5">
        <v>606</v>
      </c>
      <c r="H729" s="6">
        <v>19030.02</v>
      </c>
      <c r="I729" s="22">
        <v>39654.6</v>
      </c>
      <c r="J729" s="24">
        <f t="shared" si="33"/>
        <v>2.7477155877751551E-4</v>
      </c>
      <c r="K729" s="25">
        <f t="shared" si="35"/>
        <v>0.62821480329065105</v>
      </c>
      <c r="L729" s="26" t="s">
        <v>7516</v>
      </c>
      <c r="M729" s="28"/>
      <c r="N729" s="28"/>
      <c r="O729" s="20" t="s">
        <v>7530</v>
      </c>
      <c r="P729" s="27" t="str">
        <f t="shared" si="34"/>
        <v>vermelho</v>
      </c>
    </row>
    <row r="730" spans="1:16" ht="25.5">
      <c r="A730" s="3" t="s">
        <v>4</v>
      </c>
      <c r="B730" s="3" t="s">
        <v>328</v>
      </c>
      <c r="C730" s="4">
        <v>19</v>
      </c>
      <c r="D730" s="3" t="s">
        <v>72</v>
      </c>
      <c r="E730" s="3" t="s">
        <v>41</v>
      </c>
      <c r="F730" s="5">
        <v>594</v>
      </c>
      <c r="G730" s="5">
        <v>612</v>
      </c>
      <c r="H730" s="6">
        <v>32669.82</v>
      </c>
      <c r="I730" s="22">
        <v>39649.32</v>
      </c>
      <c r="J730" s="24">
        <f t="shared" si="33"/>
        <v>2.7473497301368623E-4</v>
      </c>
      <c r="K730" s="25">
        <f t="shared" si="35"/>
        <v>0.62848953826366472</v>
      </c>
      <c r="L730" s="26" t="s">
        <v>7516</v>
      </c>
      <c r="M730" s="28"/>
      <c r="N730" s="28"/>
      <c r="O730" s="20" t="s">
        <v>7530</v>
      </c>
      <c r="P730" s="27" t="str">
        <f t="shared" si="34"/>
        <v>vermelho</v>
      </c>
    </row>
    <row r="731" spans="1:16" ht="38.25">
      <c r="A731" s="3" t="s">
        <v>4</v>
      </c>
      <c r="B731" s="3" t="s">
        <v>329</v>
      </c>
      <c r="C731" s="4">
        <v>23</v>
      </c>
      <c r="D731" s="3" t="s">
        <v>87</v>
      </c>
      <c r="E731" s="3" t="s">
        <v>7</v>
      </c>
      <c r="F731" s="5">
        <v>408</v>
      </c>
      <c r="G731" s="5">
        <v>579</v>
      </c>
      <c r="H731" s="6">
        <v>23772.959999999999</v>
      </c>
      <c r="I731" s="22">
        <v>39566.01</v>
      </c>
      <c r="J731" s="24">
        <f t="shared" si="33"/>
        <v>2.7415770786508417E-4</v>
      </c>
      <c r="K731" s="25">
        <f t="shared" si="35"/>
        <v>0.62876369597152981</v>
      </c>
      <c r="L731" s="26" t="s">
        <v>7516</v>
      </c>
      <c r="M731" s="28"/>
      <c r="N731" s="28"/>
      <c r="O731" s="20">
        <v>15449.28</v>
      </c>
      <c r="P731" s="27" t="str">
        <f t="shared" si="34"/>
        <v>amarelo</v>
      </c>
    </row>
    <row r="732" spans="1:16" ht="25.5">
      <c r="A732" s="3" t="s">
        <v>4</v>
      </c>
      <c r="B732" s="3" t="s">
        <v>330</v>
      </c>
      <c r="C732" s="4">
        <v>23</v>
      </c>
      <c r="D732" s="3" t="s">
        <v>87</v>
      </c>
      <c r="E732" s="3" t="s">
        <v>7</v>
      </c>
      <c r="F732" s="5">
        <v>360</v>
      </c>
      <c r="G732" s="5">
        <v>666</v>
      </c>
      <c r="H732" s="6">
        <v>19304.46</v>
      </c>
      <c r="I732" s="22">
        <v>39547.26</v>
      </c>
      <c r="J732" s="24">
        <f t="shared" si="33"/>
        <v>2.7402778682875854E-4</v>
      </c>
      <c r="K732" s="25">
        <f t="shared" si="35"/>
        <v>0.62903772375835854</v>
      </c>
      <c r="L732" s="26" t="s">
        <v>7516</v>
      </c>
      <c r="M732" s="28"/>
      <c r="N732" s="28"/>
      <c r="O732" s="20" t="s">
        <v>7530</v>
      </c>
      <c r="P732" s="27" t="str">
        <f t="shared" si="34"/>
        <v>vermelho</v>
      </c>
    </row>
    <row r="733" spans="1:16" ht="38.25">
      <c r="A733" s="3" t="s">
        <v>4</v>
      </c>
      <c r="B733" s="3" t="s">
        <v>331</v>
      </c>
      <c r="C733" s="4">
        <v>15</v>
      </c>
      <c r="D733" s="3" t="s">
        <v>18</v>
      </c>
      <c r="E733" s="3" t="s">
        <v>16</v>
      </c>
      <c r="F733" s="5">
        <v>0</v>
      </c>
      <c r="G733" s="5">
        <v>714</v>
      </c>
      <c r="H733" s="6">
        <v>0</v>
      </c>
      <c r="I733" s="22">
        <v>39528.839999999997</v>
      </c>
      <c r="J733" s="24">
        <f t="shared" si="33"/>
        <v>2.7390015240267218E-4</v>
      </c>
      <c r="K733" s="25">
        <f t="shared" si="35"/>
        <v>0.62931162391076123</v>
      </c>
      <c r="L733" s="26" t="s">
        <v>7516</v>
      </c>
      <c r="M733" s="28"/>
      <c r="N733" s="28"/>
      <c r="O733" s="20" t="s">
        <v>7530</v>
      </c>
      <c r="P733" s="27" t="str">
        <f t="shared" si="34"/>
        <v>vermelho</v>
      </c>
    </row>
    <row r="734" spans="1:16" ht="38.25">
      <c r="A734" s="3" t="s">
        <v>4</v>
      </c>
      <c r="B734" s="3" t="s">
        <v>332</v>
      </c>
      <c r="C734" s="4">
        <v>39</v>
      </c>
      <c r="D734" s="3" t="s">
        <v>26</v>
      </c>
      <c r="E734" s="3" t="s">
        <v>13</v>
      </c>
      <c r="F734" s="5">
        <v>168</v>
      </c>
      <c r="G734" s="5">
        <v>564</v>
      </c>
      <c r="H734" s="6">
        <v>11710.32</v>
      </c>
      <c r="I734" s="22">
        <v>39480.815999999999</v>
      </c>
      <c r="J734" s="24">
        <f t="shared" si="33"/>
        <v>2.7356738825075208E-4</v>
      </c>
      <c r="K734" s="25">
        <f t="shared" si="35"/>
        <v>0.62958519129901203</v>
      </c>
      <c r="L734" s="26" t="s">
        <v>7516</v>
      </c>
      <c r="M734" s="28"/>
      <c r="N734" s="28"/>
      <c r="O734" s="20" t="s">
        <v>7530</v>
      </c>
      <c r="P734" s="27" t="str">
        <f t="shared" si="34"/>
        <v>vermelho</v>
      </c>
    </row>
    <row r="735" spans="1:16">
      <c r="A735" s="3" t="s">
        <v>4</v>
      </c>
      <c r="B735" s="3" t="s">
        <v>333</v>
      </c>
      <c r="C735" s="4">
        <v>315</v>
      </c>
      <c r="D735" s="3" t="s">
        <v>63</v>
      </c>
      <c r="E735" s="3" t="s">
        <v>7</v>
      </c>
      <c r="F735" s="5">
        <v>297</v>
      </c>
      <c r="G735" s="5">
        <v>618</v>
      </c>
      <c r="H735" s="6">
        <v>20357.25</v>
      </c>
      <c r="I735" s="22">
        <v>39474.351999999999</v>
      </c>
      <c r="J735" s="24">
        <f t="shared" si="33"/>
        <v>2.7352259840654898E-4</v>
      </c>
      <c r="K735" s="25">
        <f t="shared" si="35"/>
        <v>0.62985871389741854</v>
      </c>
      <c r="L735" s="26" t="s">
        <v>7516</v>
      </c>
      <c r="M735" s="28">
        <v>4.811399851399252E-2</v>
      </c>
      <c r="N735" s="28">
        <v>4.8413505617867787E-2</v>
      </c>
      <c r="O735" s="20">
        <v>21200.677</v>
      </c>
      <c r="P735" s="27" t="str">
        <f t="shared" si="34"/>
        <v>laranja</v>
      </c>
    </row>
    <row r="736" spans="1:16" ht="25.5">
      <c r="A736" s="3" t="s">
        <v>5822</v>
      </c>
      <c r="B736" s="3" t="s">
        <v>5823</v>
      </c>
      <c r="C736" s="4">
        <v>41</v>
      </c>
      <c r="D736" s="3" t="s">
        <v>178</v>
      </c>
      <c r="E736" s="3" t="s">
        <v>41</v>
      </c>
      <c r="F736" s="5">
        <v>846</v>
      </c>
      <c r="G736" s="5">
        <v>588</v>
      </c>
      <c r="H736" s="6">
        <v>46346.94</v>
      </c>
      <c r="I736" s="22">
        <v>39368.28</v>
      </c>
      <c r="J736" s="24">
        <f t="shared" si="33"/>
        <v>2.7278761258440858E-4</v>
      </c>
      <c r="K736" s="25">
        <f t="shared" si="35"/>
        <v>0.63013150151000297</v>
      </c>
      <c r="L736" s="26" t="s">
        <v>7516</v>
      </c>
      <c r="M736" s="28"/>
      <c r="N736" s="28"/>
      <c r="O736" s="20" t="s">
        <v>7530</v>
      </c>
      <c r="P736" s="27" t="str">
        <f t="shared" si="34"/>
        <v>vermelho</v>
      </c>
    </row>
    <row r="737" spans="1:16" ht="38.25">
      <c r="A737" s="3" t="s">
        <v>4</v>
      </c>
      <c r="B737" s="3" t="s">
        <v>334</v>
      </c>
      <c r="C737" s="4">
        <v>317</v>
      </c>
      <c r="D737" s="3" t="s">
        <v>78</v>
      </c>
      <c r="E737" s="3" t="s">
        <v>10</v>
      </c>
      <c r="F737" s="5">
        <v>2562</v>
      </c>
      <c r="G737" s="5">
        <v>1964</v>
      </c>
      <c r="H737" s="6">
        <v>80337.72</v>
      </c>
      <c r="I737" s="22">
        <v>39267.800000000003</v>
      </c>
      <c r="J737" s="24">
        <f t="shared" si="33"/>
        <v>2.7209137441214194E-4</v>
      </c>
      <c r="K737" s="25">
        <f t="shared" si="35"/>
        <v>0.63040359288441505</v>
      </c>
      <c r="L737" s="26" t="s">
        <v>7516</v>
      </c>
      <c r="M737" s="28"/>
      <c r="N737" s="28"/>
      <c r="O737" s="20" t="s">
        <v>7530</v>
      </c>
      <c r="P737" s="27" t="str">
        <f t="shared" si="34"/>
        <v>vermelho</v>
      </c>
    </row>
    <row r="738" spans="1:16" ht="25.5">
      <c r="A738" s="3" t="s">
        <v>5667</v>
      </c>
      <c r="B738" s="3" t="s">
        <v>5668</v>
      </c>
      <c r="C738" s="4">
        <v>187</v>
      </c>
      <c r="D738" s="3" t="s">
        <v>96</v>
      </c>
      <c r="E738" s="3" t="s">
        <v>7</v>
      </c>
      <c r="F738" s="5">
        <v>972</v>
      </c>
      <c r="G738" s="5">
        <v>633</v>
      </c>
      <c r="H738" s="6">
        <v>54251.34</v>
      </c>
      <c r="I738" s="22">
        <v>39219.06</v>
      </c>
      <c r="J738" s="24">
        <f t="shared" si="33"/>
        <v>2.7175364900891466E-4</v>
      </c>
      <c r="K738" s="25">
        <f t="shared" si="35"/>
        <v>0.63067534653342394</v>
      </c>
      <c r="L738" s="26" t="s">
        <v>7516</v>
      </c>
      <c r="M738" s="28"/>
      <c r="N738" s="28"/>
      <c r="O738" s="20">
        <v>10240.32</v>
      </c>
      <c r="P738" s="27" t="str">
        <f t="shared" si="34"/>
        <v>amarelo</v>
      </c>
    </row>
    <row r="739" spans="1:16" ht="25.5">
      <c r="A739" s="3" t="s">
        <v>4</v>
      </c>
      <c r="B739" s="3" t="s">
        <v>336</v>
      </c>
      <c r="C739" s="4">
        <v>297</v>
      </c>
      <c r="D739" s="3" t="s">
        <v>115</v>
      </c>
      <c r="E739" s="3" t="s">
        <v>41</v>
      </c>
      <c r="F739" s="5">
        <v>564</v>
      </c>
      <c r="G739" s="5">
        <v>645</v>
      </c>
      <c r="H739" s="6">
        <v>33507.9</v>
      </c>
      <c r="I739" s="22">
        <v>39218.129999999997</v>
      </c>
      <c r="J739" s="24">
        <f t="shared" si="33"/>
        <v>2.7174720492551289E-4</v>
      </c>
      <c r="K739" s="25">
        <f t="shared" si="35"/>
        <v>0.63094709373834945</v>
      </c>
      <c r="L739" s="26" t="s">
        <v>7516</v>
      </c>
      <c r="M739" s="28"/>
      <c r="N739" s="28"/>
      <c r="O739" s="20" t="s">
        <v>7530</v>
      </c>
      <c r="P739" s="27" t="str">
        <f t="shared" si="34"/>
        <v>vermelho</v>
      </c>
    </row>
    <row r="740" spans="1:16">
      <c r="A740" s="3" t="s">
        <v>4</v>
      </c>
      <c r="B740" s="3" t="s">
        <v>337</v>
      </c>
      <c r="C740" s="4">
        <v>231</v>
      </c>
      <c r="D740" s="3" t="s">
        <v>52</v>
      </c>
      <c r="E740" s="3" t="s">
        <v>7</v>
      </c>
      <c r="F740" s="5">
        <v>510</v>
      </c>
      <c r="G740" s="5">
        <v>639</v>
      </c>
      <c r="H740" s="6">
        <v>30688.65</v>
      </c>
      <c r="I740" s="22">
        <v>39127.68</v>
      </c>
      <c r="J740" s="24">
        <f t="shared" si="33"/>
        <v>2.7112046584627808E-4</v>
      </c>
      <c r="K740" s="25">
        <f t="shared" si="35"/>
        <v>0.63121821420419577</v>
      </c>
      <c r="L740" s="26" t="s">
        <v>7516</v>
      </c>
      <c r="M740" s="28"/>
      <c r="N740" s="28"/>
      <c r="O740" s="20">
        <v>29423.7</v>
      </c>
      <c r="P740" s="27" t="str">
        <f t="shared" si="34"/>
        <v>laranja</v>
      </c>
    </row>
    <row r="741" spans="1:16" ht="25.5">
      <c r="A741" s="3" t="s">
        <v>5824</v>
      </c>
      <c r="B741" s="3" t="s">
        <v>5825</v>
      </c>
      <c r="C741" s="4">
        <v>187</v>
      </c>
      <c r="D741" s="3" t="s">
        <v>96</v>
      </c>
      <c r="E741" s="3" t="s">
        <v>7</v>
      </c>
      <c r="F741" s="5">
        <v>831</v>
      </c>
      <c r="G741" s="5">
        <v>570</v>
      </c>
      <c r="H741" s="6">
        <v>52440.45</v>
      </c>
      <c r="I741" s="22">
        <v>39109.86</v>
      </c>
      <c r="J741" s="24">
        <f t="shared" si="33"/>
        <v>2.7099698889335416E-4</v>
      </c>
      <c r="K741" s="25">
        <f t="shared" si="35"/>
        <v>0.63148921119308909</v>
      </c>
      <c r="L741" s="26" t="s">
        <v>7516</v>
      </c>
      <c r="M741" s="28"/>
      <c r="N741" s="28"/>
      <c r="O741" s="20">
        <v>12211.26</v>
      </c>
      <c r="P741" s="27" t="str">
        <f t="shared" si="34"/>
        <v>amarelo</v>
      </c>
    </row>
    <row r="742" spans="1:16" ht="51">
      <c r="A742" s="3" t="s">
        <v>5826</v>
      </c>
      <c r="B742" s="3" t="s">
        <v>5827</v>
      </c>
      <c r="C742" s="4">
        <v>282</v>
      </c>
      <c r="D742" s="3" t="s">
        <v>12</v>
      </c>
      <c r="E742" s="3" t="s">
        <v>13</v>
      </c>
      <c r="F742" s="5">
        <v>288</v>
      </c>
      <c r="G742" s="5">
        <v>672</v>
      </c>
      <c r="H742" s="6">
        <v>12522.24</v>
      </c>
      <c r="I742" s="22">
        <v>39103.68</v>
      </c>
      <c r="J742" s="24">
        <f t="shared" si="33"/>
        <v>2.7095416691978123E-4</v>
      </c>
      <c r="K742" s="25">
        <f t="shared" si="35"/>
        <v>0.6317601653600089</v>
      </c>
      <c r="L742" s="26" t="s">
        <v>7516</v>
      </c>
      <c r="M742" s="28"/>
      <c r="N742" s="28"/>
      <c r="O742" s="20" t="s">
        <v>7530</v>
      </c>
      <c r="P742" s="27" t="str">
        <f t="shared" si="34"/>
        <v>vermelho</v>
      </c>
    </row>
    <row r="743" spans="1:16" ht="25.5">
      <c r="A743" s="3" t="s">
        <v>5828</v>
      </c>
      <c r="B743" s="3" t="s">
        <v>5829</v>
      </c>
      <c r="C743" s="4">
        <v>261</v>
      </c>
      <c r="D743" s="3" t="s">
        <v>9</v>
      </c>
      <c r="E743" s="3" t="s">
        <v>10</v>
      </c>
      <c r="F743" s="5">
        <v>495</v>
      </c>
      <c r="G743" s="5">
        <v>654</v>
      </c>
      <c r="H743" s="6">
        <v>27765.21</v>
      </c>
      <c r="I743" s="22">
        <v>39072.81</v>
      </c>
      <c r="J743" s="24">
        <f t="shared" si="33"/>
        <v>2.707402649255747E-4</v>
      </c>
      <c r="K743" s="25">
        <f t="shared" si="35"/>
        <v>0.63203090562493447</v>
      </c>
      <c r="L743" s="26" t="s">
        <v>7516</v>
      </c>
      <c r="M743" s="28"/>
      <c r="N743" s="28"/>
      <c r="O743" s="20" t="s">
        <v>7530</v>
      </c>
      <c r="P743" s="27" t="str">
        <f t="shared" si="34"/>
        <v>vermelho</v>
      </c>
    </row>
    <row r="744" spans="1:16" ht="25.5">
      <c r="A744" s="3" t="s">
        <v>4</v>
      </c>
      <c r="B744" s="3" t="s">
        <v>338</v>
      </c>
      <c r="C744" s="4">
        <v>19</v>
      </c>
      <c r="D744" s="3" t="s">
        <v>72</v>
      </c>
      <c r="E744" s="3" t="s">
        <v>41</v>
      </c>
      <c r="F744" s="5">
        <v>264</v>
      </c>
      <c r="G744" s="5">
        <v>654</v>
      </c>
      <c r="H744" s="6">
        <v>16470.72</v>
      </c>
      <c r="I744" s="22">
        <v>38929.629999999997</v>
      </c>
      <c r="J744" s="24">
        <f t="shared" si="33"/>
        <v>2.6974815324658252E-4</v>
      </c>
      <c r="K744" s="25">
        <f t="shared" si="35"/>
        <v>0.63230065377818101</v>
      </c>
      <c r="L744" s="26" t="s">
        <v>7516</v>
      </c>
      <c r="M744" s="28"/>
      <c r="N744" s="28"/>
      <c r="O744" s="20" t="s">
        <v>7530</v>
      </c>
      <c r="P744" s="27" t="str">
        <f t="shared" si="34"/>
        <v>vermelho</v>
      </c>
    </row>
    <row r="745" spans="1:16" ht="38.25">
      <c r="A745" s="3" t="s">
        <v>4</v>
      </c>
      <c r="B745" s="3" t="s">
        <v>339</v>
      </c>
      <c r="C745" s="4">
        <v>231</v>
      </c>
      <c r="D745" s="3" t="s">
        <v>52</v>
      </c>
      <c r="E745" s="3" t="s">
        <v>7</v>
      </c>
      <c r="F745" s="5">
        <v>1620</v>
      </c>
      <c r="G745" s="5">
        <v>633</v>
      </c>
      <c r="H745" s="6">
        <v>100904.34</v>
      </c>
      <c r="I745" s="22">
        <v>38882.67</v>
      </c>
      <c r="J745" s="24">
        <f t="shared" si="33"/>
        <v>2.6942276168040376E-4</v>
      </c>
      <c r="K745" s="25">
        <f t="shared" si="35"/>
        <v>0.63257007653986141</v>
      </c>
      <c r="L745" s="26" t="s">
        <v>7516</v>
      </c>
      <c r="M745" s="28"/>
      <c r="N745" s="28"/>
      <c r="O745" s="20">
        <v>29464.17</v>
      </c>
      <c r="P745" s="27" t="str">
        <f t="shared" si="34"/>
        <v>laranja</v>
      </c>
    </row>
    <row r="746" spans="1:16" ht="25.5">
      <c r="A746" s="3" t="s">
        <v>4</v>
      </c>
      <c r="B746" s="3" t="s">
        <v>340</v>
      </c>
      <c r="C746" s="4">
        <v>15</v>
      </c>
      <c r="D746" s="3" t="s">
        <v>18</v>
      </c>
      <c r="E746" s="3" t="s">
        <v>16</v>
      </c>
      <c r="F746" s="5">
        <v>1440</v>
      </c>
      <c r="G746" s="5">
        <v>672</v>
      </c>
      <c r="H746" s="6">
        <v>79772.399999999994</v>
      </c>
      <c r="I746" s="22">
        <v>38855.279999999999</v>
      </c>
      <c r="J746" s="24">
        <f t="shared" si="33"/>
        <v>2.6923297303053928E-4</v>
      </c>
      <c r="K746" s="25">
        <f t="shared" si="35"/>
        <v>0.63283930951289191</v>
      </c>
      <c r="L746" s="26" t="s">
        <v>7516</v>
      </c>
      <c r="M746" s="28"/>
      <c r="N746" s="28"/>
      <c r="O746" s="20">
        <v>34029.599999999999</v>
      </c>
      <c r="P746" s="27" t="str">
        <f t="shared" si="34"/>
        <v>laranja</v>
      </c>
    </row>
    <row r="747" spans="1:16" ht="25.5">
      <c r="A747" s="3" t="s">
        <v>5830</v>
      </c>
      <c r="B747" s="3" t="s">
        <v>5831</v>
      </c>
      <c r="C747" s="4">
        <v>266</v>
      </c>
      <c r="D747" s="3" t="s">
        <v>80</v>
      </c>
      <c r="E747" s="3" t="s">
        <v>10</v>
      </c>
      <c r="F747" s="5">
        <v>333</v>
      </c>
      <c r="G747" s="5">
        <v>663</v>
      </c>
      <c r="H747" s="6">
        <v>18576.060000000001</v>
      </c>
      <c r="I747" s="22">
        <v>38770.92</v>
      </c>
      <c r="J747" s="24">
        <f t="shared" si="33"/>
        <v>2.6864843230390298E-4</v>
      </c>
      <c r="K747" s="25">
        <f t="shared" si="35"/>
        <v>0.63310795794519581</v>
      </c>
      <c r="L747" s="26" t="s">
        <v>7516</v>
      </c>
      <c r="M747" s="28"/>
      <c r="N747" s="28"/>
      <c r="O747" s="20" t="s">
        <v>7530</v>
      </c>
      <c r="P747" s="27" t="str">
        <f t="shared" si="34"/>
        <v>vermelho</v>
      </c>
    </row>
    <row r="748" spans="1:16" ht="25.5">
      <c r="A748" s="3" t="s">
        <v>4</v>
      </c>
      <c r="B748" s="3" t="s">
        <v>341</v>
      </c>
      <c r="C748" s="4">
        <v>19</v>
      </c>
      <c r="D748" s="3" t="s">
        <v>72</v>
      </c>
      <c r="E748" s="3" t="s">
        <v>41</v>
      </c>
      <c r="F748" s="5">
        <v>354</v>
      </c>
      <c r="G748" s="5">
        <v>600</v>
      </c>
      <c r="H748" s="6">
        <v>21274.5</v>
      </c>
      <c r="I748" s="22">
        <v>38766</v>
      </c>
      <c r="J748" s="24">
        <f t="shared" si="33"/>
        <v>2.6861434102397113E-4</v>
      </c>
      <c r="K748" s="25">
        <f t="shared" si="35"/>
        <v>0.6333765722862198</v>
      </c>
      <c r="L748" s="26" t="s">
        <v>7516</v>
      </c>
      <c r="M748" s="28"/>
      <c r="N748" s="28"/>
      <c r="O748" s="20" t="s">
        <v>7530</v>
      </c>
      <c r="P748" s="27" t="str">
        <f t="shared" si="34"/>
        <v>vermelho</v>
      </c>
    </row>
    <row r="749" spans="1:16" ht="25.5">
      <c r="A749" s="3" t="s">
        <v>5832</v>
      </c>
      <c r="B749" s="3" t="s">
        <v>5833</v>
      </c>
      <c r="C749" s="4">
        <v>74</v>
      </c>
      <c r="D749" s="3" t="s">
        <v>6</v>
      </c>
      <c r="E749" s="3" t="s">
        <v>7</v>
      </c>
      <c r="F749" s="5">
        <v>105</v>
      </c>
      <c r="G749" s="5">
        <v>573</v>
      </c>
      <c r="H749" s="6">
        <v>6628.95</v>
      </c>
      <c r="I749" s="22">
        <v>38753.040000000001</v>
      </c>
      <c r="J749" s="24">
        <f t="shared" si="33"/>
        <v>2.6852453960366288E-4</v>
      </c>
      <c r="K749" s="25">
        <f t="shared" si="35"/>
        <v>0.63364509682582348</v>
      </c>
      <c r="L749" s="26" t="s">
        <v>7516</v>
      </c>
      <c r="M749" s="28"/>
      <c r="N749" s="28"/>
      <c r="O749" s="20" t="s">
        <v>7530</v>
      </c>
      <c r="P749" s="27" t="str">
        <f t="shared" si="34"/>
        <v>vermelho</v>
      </c>
    </row>
    <row r="750" spans="1:16" ht="25.5">
      <c r="A750" s="3" t="s">
        <v>5834</v>
      </c>
      <c r="B750" s="3" t="s">
        <v>5835</v>
      </c>
      <c r="C750" s="4">
        <v>267</v>
      </c>
      <c r="D750" s="3" t="s">
        <v>125</v>
      </c>
      <c r="E750" s="3" t="s">
        <v>16</v>
      </c>
      <c r="F750" s="5">
        <v>2025</v>
      </c>
      <c r="G750" s="5">
        <v>768</v>
      </c>
      <c r="H750" s="6">
        <v>88785.45</v>
      </c>
      <c r="I750" s="22">
        <v>38524.74</v>
      </c>
      <c r="J750" s="24">
        <f t="shared" si="33"/>
        <v>2.6694262106536195E-4</v>
      </c>
      <c r="K750" s="25">
        <f t="shared" si="35"/>
        <v>0.6339120394468889</v>
      </c>
      <c r="L750" s="26" t="s">
        <v>7516</v>
      </c>
      <c r="M750" s="28"/>
      <c r="N750" s="28"/>
      <c r="O750" s="20" t="s">
        <v>7530</v>
      </c>
      <c r="P750" s="27" t="str">
        <f t="shared" si="34"/>
        <v>vermelho</v>
      </c>
    </row>
    <row r="751" spans="1:16" ht="25.5">
      <c r="A751" s="3" t="s">
        <v>4</v>
      </c>
      <c r="B751" s="3" t="s">
        <v>342</v>
      </c>
      <c r="C751" s="4">
        <v>23</v>
      </c>
      <c r="D751" s="3" t="s">
        <v>87</v>
      </c>
      <c r="E751" s="3" t="s">
        <v>7</v>
      </c>
      <c r="F751" s="5">
        <v>444</v>
      </c>
      <c r="G751" s="5">
        <v>564</v>
      </c>
      <c r="H751" s="6">
        <v>25968.6</v>
      </c>
      <c r="I751" s="22">
        <v>38516.160000000003</v>
      </c>
      <c r="J751" s="24">
        <f t="shared" si="33"/>
        <v>2.6688316919913939E-4</v>
      </c>
      <c r="K751" s="25">
        <f t="shared" si="35"/>
        <v>0.63417892261608799</v>
      </c>
      <c r="L751" s="26" t="s">
        <v>7516</v>
      </c>
      <c r="M751" s="28"/>
      <c r="N751" s="28"/>
      <c r="O751" s="20">
        <v>21612.6</v>
      </c>
      <c r="P751" s="27" t="str">
        <f t="shared" si="34"/>
        <v>laranja</v>
      </c>
    </row>
    <row r="752" spans="1:16" ht="51">
      <c r="A752" s="3" t="s">
        <v>4</v>
      </c>
      <c r="B752" s="3" t="s">
        <v>343</v>
      </c>
      <c r="C752" s="4">
        <v>282</v>
      </c>
      <c r="D752" s="3" t="s">
        <v>12</v>
      </c>
      <c r="E752" s="3" t="s">
        <v>13</v>
      </c>
      <c r="F752" s="5">
        <v>1056</v>
      </c>
      <c r="G752" s="5">
        <v>684</v>
      </c>
      <c r="H752" s="6">
        <v>61973.52</v>
      </c>
      <c r="I752" s="22">
        <v>38507.856</v>
      </c>
      <c r="J752" s="24">
        <f t="shared" si="33"/>
        <v>2.6682562977057146E-4</v>
      </c>
      <c r="K752" s="25">
        <f t="shared" si="35"/>
        <v>0.63444574824585853</v>
      </c>
      <c r="L752" s="26" t="s">
        <v>7516</v>
      </c>
      <c r="M752" s="28"/>
      <c r="N752" s="28"/>
      <c r="O752" s="20">
        <v>59340.993999999999</v>
      </c>
      <c r="P752" s="27" t="str">
        <f t="shared" si="34"/>
        <v>verde</v>
      </c>
    </row>
    <row r="753" spans="1:16" ht="25.5">
      <c r="A753" s="3" t="s">
        <v>4</v>
      </c>
      <c r="B753" s="3" t="s">
        <v>344</v>
      </c>
      <c r="C753" s="4">
        <v>167</v>
      </c>
      <c r="D753" s="3" t="s">
        <v>251</v>
      </c>
      <c r="E753" s="3" t="s">
        <v>49</v>
      </c>
      <c r="F753" s="5">
        <v>564</v>
      </c>
      <c r="G753" s="5">
        <v>681</v>
      </c>
      <c r="H753" s="6">
        <v>27521.09</v>
      </c>
      <c r="I753" s="22">
        <v>38492.839999999997</v>
      </c>
      <c r="J753" s="24">
        <f t="shared" si="33"/>
        <v>2.6672158207555994E-4</v>
      </c>
      <c r="K753" s="25">
        <f t="shared" si="35"/>
        <v>0.63471246982793406</v>
      </c>
      <c r="L753" s="26" t="s">
        <v>7516</v>
      </c>
      <c r="M753" s="28"/>
      <c r="N753" s="28"/>
      <c r="O753" s="20">
        <v>16380.61</v>
      </c>
      <c r="P753" s="27" t="str">
        <f t="shared" si="34"/>
        <v>amarelo</v>
      </c>
    </row>
    <row r="754" spans="1:16" ht="25.5">
      <c r="A754" s="3" t="s">
        <v>4</v>
      </c>
      <c r="B754" s="3" t="s">
        <v>345</v>
      </c>
      <c r="C754" s="4">
        <v>327</v>
      </c>
      <c r="D754" s="3" t="s">
        <v>100</v>
      </c>
      <c r="E754" s="3" t="s">
        <v>7</v>
      </c>
      <c r="F754" s="5">
        <v>270</v>
      </c>
      <c r="G754" s="5">
        <v>624</v>
      </c>
      <c r="H754" s="6">
        <v>16020.12</v>
      </c>
      <c r="I754" s="22">
        <v>38484.957999999999</v>
      </c>
      <c r="J754" s="24">
        <f t="shared" si="33"/>
        <v>2.6666696673644961E-4</v>
      </c>
      <c r="K754" s="25">
        <f t="shared" si="35"/>
        <v>0.63497913679467055</v>
      </c>
      <c r="L754" s="26" t="s">
        <v>7516</v>
      </c>
      <c r="M754" s="28"/>
      <c r="N754" s="28"/>
      <c r="O754" s="20" t="s">
        <v>7530</v>
      </c>
      <c r="P754" s="27" t="str">
        <f t="shared" si="34"/>
        <v>vermelho</v>
      </c>
    </row>
    <row r="755" spans="1:16" ht="25.5">
      <c r="A755" s="3" t="s">
        <v>4</v>
      </c>
      <c r="B755" s="3" t="s">
        <v>346</v>
      </c>
      <c r="C755" s="4">
        <v>31</v>
      </c>
      <c r="D755" s="3" t="s">
        <v>194</v>
      </c>
      <c r="E755" s="3" t="s">
        <v>16</v>
      </c>
      <c r="F755" s="5">
        <v>402</v>
      </c>
      <c r="G755" s="5">
        <v>660</v>
      </c>
      <c r="H755" s="6">
        <v>24028.26</v>
      </c>
      <c r="I755" s="22">
        <v>38470.199999999997</v>
      </c>
      <c r="J755" s="24">
        <f t="shared" si="33"/>
        <v>2.6656470675489794E-4</v>
      </c>
      <c r="K755" s="25">
        <f t="shared" si="35"/>
        <v>0.63524570150142545</v>
      </c>
      <c r="L755" s="26" t="s">
        <v>7516</v>
      </c>
      <c r="M755" s="28"/>
      <c r="N755" s="28">
        <v>4.4568289062564513E-2</v>
      </c>
      <c r="O755" s="20">
        <v>33361.17</v>
      </c>
      <c r="P755" s="27" t="str">
        <f t="shared" si="34"/>
        <v>laranja</v>
      </c>
    </row>
    <row r="756" spans="1:16" ht="25.5">
      <c r="A756" s="3" t="s">
        <v>5836</v>
      </c>
      <c r="B756" s="3" t="s">
        <v>5837</v>
      </c>
      <c r="C756" s="4">
        <v>93</v>
      </c>
      <c r="D756" s="3" t="s">
        <v>20</v>
      </c>
      <c r="E756" s="3" t="s">
        <v>7</v>
      </c>
      <c r="F756" s="5">
        <v>504</v>
      </c>
      <c r="G756" s="5">
        <v>621</v>
      </c>
      <c r="H756" s="6">
        <v>30883.919999999998</v>
      </c>
      <c r="I756" s="22">
        <v>38469.480000000003</v>
      </c>
      <c r="J756" s="24">
        <f t="shared" si="33"/>
        <v>2.6655971778710306E-4</v>
      </c>
      <c r="K756" s="25">
        <f t="shared" si="35"/>
        <v>0.63551226121921256</v>
      </c>
      <c r="L756" s="26" t="s">
        <v>7516</v>
      </c>
      <c r="M756" s="28"/>
      <c r="N756" s="28"/>
      <c r="O756" s="20">
        <v>35929.71</v>
      </c>
      <c r="P756" s="27" t="str">
        <f t="shared" si="34"/>
        <v>laranja</v>
      </c>
    </row>
    <row r="757" spans="1:16" ht="25.5">
      <c r="A757" s="3" t="s">
        <v>5838</v>
      </c>
      <c r="B757" s="3" t="s">
        <v>5839</v>
      </c>
      <c r="C757" s="4">
        <v>327</v>
      </c>
      <c r="D757" s="3" t="s">
        <v>100</v>
      </c>
      <c r="E757" s="3" t="s">
        <v>7</v>
      </c>
      <c r="F757" s="5">
        <v>111</v>
      </c>
      <c r="G757" s="5">
        <v>642</v>
      </c>
      <c r="H757" s="6">
        <v>6552.45</v>
      </c>
      <c r="I757" s="22">
        <v>38421.72</v>
      </c>
      <c r="J757" s="24">
        <f t="shared" si="33"/>
        <v>2.6622878292337443E-4</v>
      </c>
      <c r="K757" s="25">
        <f t="shared" si="35"/>
        <v>0.63577849000213593</v>
      </c>
      <c r="L757" s="26" t="s">
        <v>7516</v>
      </c>
      <c r="M757" s="28"/>
      <c r="N757" s="28"/>
      <c r="O757" s="20" t="s">
        <v>7530</v>
      </c>
      <c r="P757" s="27" t="str">
        <f t="shared" si="34"/>
        <v>vermelho</v>
      </c>
    </row>
    <row r="758" spans="1:16" ht="25.5">
      <c r="A758" s="3" t="s">
        <v>4</v>
      </c>
      <c r="B758" s="3" t="s">
        <v>347</v>
      </c>
      <c r="C758" s="4">
        <v>297</v>
      </c>
      <c r="D758" s="3" t="s">
        <v>115</v>
      </c>
      <c r="E758" s="3" t="s">
        <v>41</v>
      </c>
      <c r="F758" s="5">
        <v>0</v>
      </c>
      <c r="G758" s="5">
        <v>609</v>
      </c>
      <c r="H758" s="6">
        <v>0</v>
      </c>
      <c r="I758" s="22">
        <v>38345.9</v>
      </c>
      <c r="J758" s="24">
        <f t="shared" si="33"/>
        <v>2.6570341689808328E-4</v>
      </c>
      <c r="K758" s="25">
        <f t="shared" si="35"/>
        <v>0.63604419341903407</v>
      </c>
      <c r="L758" s="26" t="s">
        <v>7516</v>
      </c>
      <c r="M758" s="28"/>
      <c r="N758" s="28"/>
      <c r="O758" s="20">
        <v>13589.38</v>
      </c>
      <c r="P758" s="27" t="str">
        <f t="shared" si="34"/>
        <v>amarelo</v>
      </c>
    </row>
    <row r="759" spans="1:16" ht="25.5">
      <c r="A759" s="3" t="s">
        <v>4</v>
      </c>
      <c r="B759" s="3" t="s">
        <v>348</v>
      </c>
      <c r="C759" s="4">
        <v>270</v>
      </c>
      <c r="D759" s="3" t="s">
        <v>266</v>
      </c>
      <c r="E759" s="3" t="s">
        <v>49</v>
      </c>
      <c r="F759" s="5">
        <v>924</v>
      </c>
      <c r="G759" s="5">
        <v>588</v>
      </c>
      <c r="H759" s="6">
        <v>51775.71</v>
      </c>
      <c r="I759" s="22">
        <v>38328.959999999999</v>
      </c>
      <c r="J759" s="24">
        <f t="shared" si="33"/>
        <v>2.6558603757246424E-4</v>
      </c>
      <c r="K759" s="25">
        <f t="shared" si="35"/>
        <v>0.63630977945660649</v>
      </c>
      <c r="L759" s="26" t="s">
        <v>7516</v>
      </c>
      <c r="M759" s="28"/>
      <c r="N759" s="28"/>
      <c r="O759" s="20">
        <v>2727</v>
      </c>
      <c r="P759" s="27" t="str">
        <f t="shared" si="34"/>
        <v>amarelo</v>
      </c>
    </row>
    <row r="760" spans="1:16" ht="25.5">
      <c r="A760" s="3" t="s">
        <v>4</v>
      </c>
      <c r="B760" s="3" t="s">
        <v>349</v>
      </c>
      <c r="C760" s="4">
        <v>208</v>
      </c>
      <c r="D760" s="3" t="s">
        <v>15</v>
      </c>
      <c r="E760" s="3" t="s">
        <v>16</v>
      </c>
      <c r="F760" s="5">
        <v>804</v>
      </c>
      <c r="G760" s="5">
        <v>612</v>
      </c>
      <c r="H760" s="6">
        <v>44545.440000000002</v>
      </c>
      <c r="I760" s="22">
        <v>38318.879999999997</v>
      </c>
      <c r="J760" s="24">
        <f t="shared" si="33"/>
        <v>2.6551619202333558E-4</v>
      </c>
      <c r="K760" s="25">
        <f t="shared" si="35"/>
        <v>0.6365752956486298</v>
      </c>
      <c r="L760" s="26" t="s">
        <v>7516</v>
      </c>
      <c r="M760" s="28"/>
      <c r="N760" s="28"/>
      <c r="O760" s="20">
        <v>14813.28</v>
      </c>
      <c r="P760" s="27" t="str">
        <f t="shared" si="34"/>
        <v>amarelo</v>
      </c>
    </row>
    <row r="761" spans="1:16" ht="25.5">
      <c r="A761" s="3" t="s">
        <v>5840</v>
      </c>
      <c r="B761" s="3" t="s">
        <v>5841</v>
      </c>
      <c r="C761" s="4">
        <v>41</v>
      </c>
      <c r="D761" s="3" t="s">
        <v>178</v>
      </c>
      <c r="E761" s="3" t="s">
        <v>41</v>
      </c>
      <c r="F761" s="5">
        <v>396</v>
      </c>
      <c r="G761" s="5">
        <v>648</v>
      </c>
      <c r="H761" s="6">
        <v>14005.44</v>
      </c>
      <c r="I761" s="22">
        <v>38269.800000000003</v>
      </c>
      <c r="J761" s="24">
        <f t="shared" si="33"/>
        <v>2.6517611071864963E-4</v>
      </c>
      <c r="K761" s="25">
        <f t="shared" si="35"/>
        <v>0.63684047175934844</v>
      </c>
      <c r="L761" s="26" t="s">
        <v>7516</v>
      </c>
      <c r="M761" s="28"/>
      <c r="N761" s="28"/>
      <c r="O761" s="20" t="s">
        <v>7530</v>
      </c>
      <c r="P761" s="27" t="str">
        <f t="shared" si="34"/>
        <v>vermelho</v>
      </c>
    </row>
    <row r="762" spans="1:16" ht="51">
      <c r="A762" s="3" t="s">
        <v>5842</v>
      </c>
      <c r="B762" s="3" t="s">
        <v>5843</v>
      </c>
      <c r="C762" s="4">
        <v>282</v>
      </c>
      <c r="D762" s="3" t="s">
        <v>12</v>
      </c>
      <c r="E762" s="3" t="s">
        <v>13</v>
      </c>
      <c r="F762" s="5">
        <v>852</v>
      </c>
      <c r="G762" s="5">
        <v>672</v>
      </c>
      <c r="H762" s="6">
        <v>38461.919999999998</v>
      </c>
      <c r="I762" s="22">
        <v>38208.563999999998</v>
      </c>
      <c r="J762" s="24">
        <f t="shared" si="33"/>
        <v>2.6475179900769299E-4</v>
      </c>
      <c r="K762" s="25">
        <f t="shared" si="35"/>
        <v>0.63710522355835608</v>
      </c>
      <c r="L762" s="26" t="s">
        <v>7516</v>
      </c>
      <c r="M762" s="28"/>
      <c r="N762" s="28"/>
      <c r="O762" s="20">
        <v>3279.915</v>
      </c>
      <c r="P762" s="27" t="str">
        <f t="shared" si="34"/>
        <v>amarelo</v>
      </c>
    </row>
    <row r="763" spans="1:16">
      <c r="A763" s="3" t="s">
        <v>5844</v>
      </c>
      <c r="B763" s="3" t="s">
        <v>5845</v>
      </c>
      <c r="C763" s="4">
        <v>231</v>
      </c>
      <c r="D763" s="3" t="s">
        <v>52</v>
      </c>
      <c r="E763" s="3" t="s">
        <v>7</v>
      </c>
      <c r="F763" s="5">
        <v>462</v>
      </c>
      <c r="G763" s="5">
        <v>657</v>
      </c>
      <c r="H763" s="6">
        <v>26966.25</v>
      </c>
      <c r="I763" s="22">
        <v>38195.370000000003</v>
      </c>
      <c r="J763" s="24">
        <f t="shared" si="33"/>
        <v>2.6466037617285139E-4</v>
      </c>
      <c r="K763" s="25">
        <f t="shared" si="35"/>
        <v>0.63736988393452898</v>
      </c>
      <c r="L763" s="26" t="s">
        <v>7516</v>
      </c>
      <c r="M763" s="28"/>
      <c r="N763" s="28"/>
      <c r="O763" s="20">
        <v>45527.07</v>
      </c>
      <c r="P763" s="27" t="str">
        <f t="shared" si="34"/>
        <v>verde</v>
      </c>
    </row>
    <row r="764" spans="1:16">
      <c r="A764" s="3" t="s">
        <v>5846</v>
      </c>
      <c r="B764" s="3" t="s">
        <v>5847</v>
      </c>
      <c r="C764" s="4">
        <v>315</v>
      </c>
      <c r="D764" s="3" t="s">
        <v>63</v>
      </c>
      <c r="E764" s="3" t="s">
        <v>7</v>
      </c>
      <c r="F764" s="5">
        <v>0</v>
      </c>
      <c r="G764" s="5">
        <v>732</v>
      </c>
      <c r="H764" s="6">
        <v>0</v>
      </c>
      <c r="I764" s="22">
        <v>38135.347000000002</v>
      </c>
      <c r="J764" s="24">
        <f t="shared" si="33"/>
        <v>2.6424446948680481E-4</v>
      </c>
      <c r="K764" s="25">
        <f t="shared" si="35"/>
        <v>0.63763412840401579</v>
      </c>
      <c r="L764" s="26" t="s">
        <v>7516</v>
      </c>
      <c r="M764" s="28"/>
      <c r="N764" s="28"/>
      <c r="O764" s="20" t="s">
        <v>7530</v>
      </c>
      <c r="P764" s="27" t="str">
        <f t="shared" si="34"/>
        <v>vermelho</v>
      </c>
    </row>
    <row r="765" spans="1:16" ht="25.5">
      <c r="A765" s="3" t="s">
        <v>4</v>
      </c>
      <c r="B765" s="3" t="s">
        <v>350</v>
      </c>
      <c r="C765" s="4">
        <v>273</v>
      </c>
      <c r="D765" s="3" t="s">
        <v>149</v>
      </c>
      <c r="E765" s="3" t="s">
        <v>16</v>
      </c>
      <c r="F765" s="5">
        <v>0</v>
      </c>
      <c r="G765" s="5">
        <v>621</v>
      </c>
      <c r="H765" s="6">
        <v>0</v>
      </c>
      <c r="I765" s="22">
        <v>38017.298999999999</v>
      </c>
      <c r="J765" s="24">
        <f t="shared" si="33"/>
        <v>2.6342650050034249E-4</v>
      </c>
      <c r="K765" s="25">
        <f t="shared" si="35"/>
        <v>0.63789755490451616</v>
      </c>
      <c r="L765" s="26" t="s">
        <v>7516</v>
      </c>
      <c r="M765" s="28">
        <v>-2.2987276352133199E-2</v>
      </c>
      <c r="N765" s="28">
        <v>6.1962775918497602E-2</v>
      </c>
      <c r="O765" s="20">
        <v>15244.26</v>
      </c>
      <c r="P765" s="27" t="str">
        <f t="shared" si="34"/>
        <v>amarelo</v>
      </c>
    </row>
    <row r="766" spans="1:16" ht="25.5">
      <c r="A766" s="3" t="s">
        <v>4</v>
      </c>
      <c r="B766" s="3" t="s">
        <v>351</v>
      </c>
      <c r="C766" s="4">
        <v>217</v>
      </c>
      <c r="D766" s="3" t="s">
        <v>91</v>
      </c>
      <c r="E766" s="3" t="s">
        <v>16</v>
      </c>
      <c r="F766" s="5">
        <v>0</v>
      </c>
      <c r="G766" s="5">
        <v>648</v>
      </c>
      <c r="H766" s="6">
        <v>0</v>
      </c>
      <c r="I766" s="22">
        <v>37976.519999999997</v>
      </c>
      <c r="J766" s="24">
        <f t="shared" si="33"/>
        <v>2.631439378368586E-4</v>
      </c>
      <c r="K766" s="25">
        <f t="shared" si="35"/>
        <v>0.63816069884235305</v>
      </c>
      <c r="L766" s="26" t="s">
        <v>7516</v>
      </c>
      <c r="M766" s="28"/>
      <c r="N766" s="28"/>
      <c r="O766" s="20" t="s">
        <v>7530</v>
      </c>
      <c r="P766" s="27" t="str">
        <f t="shared" si="34"/>
        <v>vermelho</v>
      </c>
    </row>
    <row r="767" spans="1:16" ht="25.5">
      <c r="A767" s="3" t="s">
        <v>5848</v>
      </c>
      <c r="B767" s="3" t="s">
        <v>5849</v>
      </c>
      <c r="C767" s="4">
        <v>266</v>
      </c>
      <c r="D767" s="3" t="s">
        <v>80</v>
      </c>
      <c r="E767" s="3" t="s">
        <v>10</v>
      </c>
      <c r="F767" s="5">
        <v>654</v>
      </c>
      <c r="G767" s="5">
        <v>669</v>
      </c>
      <c r="H767" s="6">
        <v>36264.239999999998</v>
      </c>
      <c r="I767" s="22">
        <v>37961.370000000003</v>
      </c>
      <c r="J767" s="24">
        <f t="shared" si="33"/>
        <v>2.630389616395075E-4</v>
      </c>
      <c r="K767" s="25">
        <f t="shared" si="35"/>
        <v>0.63842373780399253</v>
      </c>
      <c r="L767" s="26" t="s">
        <v>7516</v>
      </c>
      <c r="M767" s="28"/>
      <c r="N767" s="28"/>
      <c r="O767" s="20">
        <v>44701.864000000001</v>
      </c>
      <c r="P767" s="27" t="str">
        <f t="shared" si="34"/>
        <v>verde</v>
      </c>
    </row>
    <row r="768" spans="1:16">
      <c r="A768" s="3" t="s">
        <v>4</v>
      </c>
      <c r="B768" s="3" t="s">
        <v>352</v>
      </c>
      <c r="C768" s="4">
        <v>15</v>
      </c>
      <c r="D768" s="3" t="s">
        <v>18</v>
      </c>
      <c r="E768" s="3" t="s">
        <v>16</v>
      </c>
      <c r="F768" s="5">
        <v>0</v>
      </c>
      <c r="G768" s="5">
        <v>576</v>
      </c>
      <c r="H768" s="6">
        <v>0</v>
      </c>
      <c r="I768" s="22">
        <v>37949.58</v>
      </c>
      <c r="J768" s="24">
        <f t="shared" si="33"/>
        <v>2.6295726729186596E-4</v>
      </c>
      <c r="K768" s="25">
        <f t="shared" si="35"/>
        <v>0.63868669507128439</v>
      </c>
      <c r="L768" s="26" t="s">
        <v>7516</v>
      </c>
      <c r="M768" s="28"/>
      <c r="N768" s="28"/>
      <c r="O768" s="20" t="s">
        <v>7530</v>
      </c>
      <c r="P768" s="27" t="str">
        <f t="shared" si="34"/>
        <v>vermelho</v>
      </c>
    </row>
    <row r="769" spans="1:16" ht="25.5">
      <c r="A769" s="3" t="s">
        <v>4</v>
      </c>
      <c r="B769" s="3" t="s">
        <v>353</v>
      </c>
      <c r="C769" s="4">
        <v>194</v>
      </c>
      <c r="D769" s="3" t="s">
        <v>145</v>
      </c>
      <c r="E769" s="3" t="s">
        <v>16</v>
      </c>
      <c r="F769" s="5">
        <v>489</v>
      </c>
      <c r="G769" s="5">
        <v>684</v>
      </c>
      <c r="H769" s="6">
        <v>28026.12</v>
      </c>
      <c r="I769" s="22">
        <v>37848.36</v>
      </c>
      <c r="J769" s="24">
        <f t="shared" si="33"/>
        <v>2.6225590156936563E-4</v>
      </c>
      <c r="K769" s="25">
        <f t="shared" si="35"/>
        <v>0.63894895097285376</v>
      </c>
      <c r="L769" s="26" t="s">
        <v>7516</v>
      </c>
      <c r="M769" s="28"/>
      <c r="N769" s="28">
        <v>1.9851115583855775E-2</v>
      </c>
      <c r="O769" s="20">
        <v>4175.88</v>
      </c>
      <c r="P769" s="27" t="str">
        <f t="shared" si="34"/>
        <v>amarelo</v>
      </c>
    </row>
    <row r="770" spans="1:16">
      <c r="A770" s="3" t="s">
        <v>4</v>
      </c>
      <c r="B770" s="3" t="s">
        <v>354</v>
      </c>
      <c r="C770" s="4">
        <v>315</v>
      </c>
      <c r="D770" s="3" t="s">
        <v>63</v>
      </c>
      <c r="E770" s="3" t="s">
        <v>7</v>
      </c>
      <c r="F770" s="5">
        <v>228</v>
      </c>
      <c r="G770" s="5">
        <v>555</v>
      </c>
      <c r="H770" s="6">
        <v>11001.3</v>
      </c>
      <c r="I770" s="22">
        <v>37834.735000000001</v>
      </c>
      <c r="J770" s="24">
        <f t="shared" si="33"/>
        <v>2.6216149228296901E-4</v>
      </c>
      <c r="K770" s="25">
        <f t="shared" si="35"/>
        <v>0.63921111246513673</v>
      </c>
      <c r="L770" s="26" t="s">
        <v>7516</v>
      </c>
      <c r="M770" s="28"/>
      <c r="N770" s="28"/>
      <c r="O770" s="20">
        <v>19654.555</v>
      </c>
      <c r="P770" s="27" t="str">
        <f t="shared" si="34"/>
        <v>laranja</v>
      </c>
    </row>
    <row r="771" spans="1:16">
      <c r="A771" s="3" t="s">
        <v>5850</v>
      </c>
      <c r="B771" s="3" t="s">
        <v>5851</v>
      </c>
      <c r="C771" s="4">
        <v>315</v>
      </c>
      <c r="D771" s="3" t="s">
        <v>63</v>
      </c>
      <c r="E771" s="3" t="s">
        <v>7</v>
      </c>
      <c r="F771" s="5">
        <v>0</v>
      </c>
      <c r="G771" s="5">
        <v>678</v>
      </c>
      <c r="H771" s="6">
        <v>0</v>
      </c>
      <c r="I771" s="22">
        <v>37820.858999999997</v>
      </c>
      <c r="J771" s="24">
        <f t="shared" ref="J771:J834" si="36">I771/$I$6364</f>
        <v>2.6206534378696609E-4</v>
      </c>
      <c r="K771" s="25">
        <f t="shared" si="35"/>
        <v>0.63947317780892365</v>
      </c>
      <c r="L771" s="26" t="s">
        <v>7516</v>
      </c>
      <c r="M771" s="28"/>
      <c r="N771" s="28"/>
      <c r="O771" s="20" t="s">
        <v>7530</v>
      </c>
      <c r="P771" s="27" t="str">
        <f t="shared" ref="P771:P834" si="37">IF(O771&lt;=0,"vermelho",IFERROR(IF(O771/I771&lt;=0.5098,"amarelo",IF(O771/I771&lt;1,"laranja","verde")),"vermelho"))</f>
        <v>vermelho</v>
      </c>
    </row>
    <row r="772" spans="1:16" ht="25.5">
      <c r="A772" s="3" t="s">
        <v>4</v>
      </c>
      <c r="B772" s="3" t="s">
        <v>355</v>
      </c>
      <c r="C772" s="4">
        <v>93</v>
      </c>
      <c r="D772" s="3" t="s">
        <v>20</v>
      </c>
      <c r="E772" s="3" t="s">
        <v>7</v>
      </c>
      <c r="F772" s="5">
        <v>477</v>
      </c>
      <c r="G772" s="5">
        <v>579</v>
      </c>
      <c r="H772" s="6">
        <v>27315.119999999999</v>
      </c>
      <c r="I772" s="22">
        <v>37751.4</v>
      </c>
      <c r="J772" s="24">
        <f t="shared" si="36"/>
        <v>2.6158405390631852E-4</v>
      </c>
      <c r="K772" s="25">
        <f t="shared" ref="K772:K835" si="38">J772+K771</f>
        <v>0.63973476186282996</v>
      </c>
      <c r="L772" s="26" t="s">
        <v>7516</v>
      </c>
      <c r="M772" s="28"/>
      <c r="N772" s="28"/>
      <c r="O772" s="20">
        <v>15028.5</v>
      </c>
      <c r="P772" s="27" t="str">
        <f t="shared" si="37"/>
        <v>amarelo</v>
      </c>
    </row>
    <row r="773" spans="1:16" ht="25.5">
      <c r="A773" s="3" t="s">
        <v>4</v>
      </c>
      <c r="B773" s="3" t="s">
        <v>356</v>
      </c>
      <c r="C773" s="4">
        <v>320</v>
      </c>
      <c r="D773" s="3" t="s">
        <v>218</v>
      </c>
      <c r="E773" s="3" t="s">
        <v>49</v>
      </c>
      <c r="F773" s="5">
        <v>252</v>
      </c>
      <c r="G773" s="5">
        <v>600</v>
      </c>
      <c r="H773" s="6">
        <v>14545.68</v>
      </c>
      <c r="I773" s="22">
        <v>37666.559999999998</v>
      </c>
      <c r="J773" s="24">
        <f t="shared" si="36"/>
        <v>2.609961872011523E-4</v>
      </c>
      <c r="K773" s="25">
        <f t="shared" si="38"/>
        <v>0.63999575805003106</v>
      </c>
      <c r="L773" s="26" t="s">
        <v>7516</v>
      </c>
      <c r="M773" s="28"/>
      <c r="N773" s="28"/>
      <c r="O773" s="20" t="s">
        <v>7530</v>
      </c>
      <c r="P773" s="27" t="str">
        <f t="shared" si="37"/>
        <v>vermelho</v>
      </c>
    </row>
    <row r="774" spans="1:16" ht="25.5">
      <c r="A774" s="3" t="s">
        <v>5852</v>
      </c>
      <c r="B774" s="3" t="s">
        <v>5853</v>
      </c>
      <c r="C774" s="4">
        <v>261</v>
      </c>
      <c r="D774" s="3" t="s">
        <v>9</v>
      </c>
      <c r="E774" s="3" t="s">
        <v>10</v>
      </c>
      <c r="F774" s="5">
        <v>192</v>
      </c>
      <c r="G774" s="5">
        <v>645</v>
      </c>
      <c r="H774" s="6">
        <v>12969.12</v>
      </c>
      <c r="I774" s="22">
        <v>37612.379999999997</v>
      </c>
      <c r="J774" s="24">
        <f t="shared" si="36"/>
        <v>2.6062076737458573E-4</v>
      </c>
      <c r="K774" s="25">
        <f t="shared" si="38"/>
        <v>0.6402563788174056</v>
      </c>
      <c r="L774" s="26" t="s">
        <v>7516</v>
      </c>
      <c r="M774" s="28"/>
      <c r="N774" s="28"/>
      <c r="O774" s="20" t="s">
        <v>7530</v>
      </c>
      <c r="P774" s="27" t="str">
        <f t="shared" si="37"/>
        <v>vermelho</v>
      </c>
    </row>
    <row r="775" spans="1:16" ht="25.5">
      <c r="A775" s="3" t="s">
        <v>5854</v>
      </c>
      <c r="B775" s="3" t="s">
        <v>5855</v>
      </c>
      <c r="C775" s="4">
        <v>197</v>
      </c>
      <c r="D775" s="3" t="s">
        <v>66</v>
      </c>
      <c r="E775" s="3" t="s">
        <v>41</v>
      </c>
      <c r="F775" s="5">
        <v>588</v>
      </c>
      <c r="G775" s="5">
        <v>609</v>
      </c>
      <c r="H775" s="6">
        <v>31611.9</v>
      </c>
      <c r="I775" s="22">
        <v>37571.339999999997</v>
      </c>
      <c r="J775" s="24">
        <f t="shared" si="36"/>
        <v>2.6033639621027619E-4</v>
      </c>
      <c r="K775" s="25">
        <f t="shared" si="38"/>
        <v>0.64051671521361586</v>
      </c>
      <c r="L775" s="26" t="s">
        <v>7516</v>
      </c>
      <c r="M775" s="28"/>
      <c r="N775" s="28"/>
      <c r="O775" s="20" t="s">
        <v>7530</v>
      </c>
      <c r="P775" s="27" t="str">
        <f t="shared" si="37"/>
        <v>vermelho</v>
      </c>
    </row>
    <row r="776" spans="1:16" ht="25.5">
      <c r="A776" s="3" t="s">
        <v>5856</v>
      </c>
      <c r="B776" s="3" t="s">
        <v>5857</v>
      </c>
      <c r="C776" s="4">
        <v>266</v>
      </c>
      <c r="D776" s="3" t="s">
        <v>80</v>
      </c>
      <c r="E776" s="3" t="s">
        <v>10</v>
      </c>
      <c r="F776" s="5">
        <v>0</v>
      </c>
      <c r="G776" s="5">
        <v>792</v>
      </c>
      <c r="H776" s="6">
        <v>0</v>
      </c>
      <c r="I776" s="22">
        <v>37508.04</v>
      </c>
      <c r="J776" s="24">
        <f t="shared" si="36"/>
        <v>2.598977827916409E-4</v>
      </c>
      <c r="K776" s="25">
        <f t="shared" si="38"/>
        <v>0.64077661299640754</v>
      </c>
      <c r="L776" s="26" t="s">
        <v>7516</v>
      </c>
      <c r="M776" s="28"/>
      <c r="N776" s="28"/>
      <c r="O776" s="20" t="s">
        <v>7530</v>
      </c>
      <c r="P776" s="27" t="str">
        <f t="shared" si="37"/>
        <v>vermelho</v>
      </c>
    </row>
    <row r="777" spans="1:16" ht="51">
      <c r="A777" s="3" t="s">
        <v>4</v>
      </c>
      <c r="B777" s="3" t="s">
        <v>357</v>
      </c>
      <c r="C777" s="4">
        <v>282</v>
      </c>
      <c r="D777" s="3" t="s">
        <v>12</v>
      </c>
      <c r="E777" s="3" t="s">
        <v>13</v>
      </c>
      <c r="F777" s="5">
        <v>405</v>
      </c>
      <c r="G777" s="5">
        <v>636</v>
      </c>
      <c r="H777" s="6">
        <v>26535.45</v>
      </c>
      <c r="I777" s="22">
        <v>37497.942999999999</v>
      </c>
      <c r="J777" s="24">
        <f t="shared" si="36"/>
        <v>2.5982781944743928E-4</v>
      </c>
      <c r="K777" s="25">
        <f t="shared" si="38"/>
        <v>0.64103644081585498</v>
      </c>
      <c r="L777" s="26" t="s">
        <v>7516</v>
      </c>
      <c r="M777" s="28"/>
      <c r="N777" s="28"/>
      <c r="O777" s="20">
        <v>10544.117</v>
      </c>
      <c r="P777" s="27" t="str">
        <f t="shared" si="37"/>
        <v>amarelo</v>
      </c>
    </row>
    <row r="778" spans="1:16" ht="38.25">
      <c r="A778" s="3" t="s">
        <v>5858</v>
      </c>
      <c r="B778" s="3" t="s">
        <v>5859</v>
      </c>
      <c r="C778" s="4">
        <v>371</v>
      </c>
      <c r="D778" s="3" t="s">
        <v>82</v>
      </c>
      <c r="E778" s="3" t="s">
        <v>49</v>
      </c>
      <c r="F778" s="5">
        <v>2184</v>
      </c>
      <c r="G778" s="5">
        <v>900</v>
      </c>
      <c r="H778" s="6">
        <v>74821.512000000002</v>
      </c>
      <c r="I778" s="22">
        <v>37494</v>
      </c>
      <c r="J778" s="24">
        <f t="shared" si="36"/>
        <v>2.5980049791964028E-4</v>
      </c>
      <c r="K778" s="25">
        <f t="shared" si="38"/>
        <v>0.64129624131377461</v>
      </c>
      <c r="L778" s="26" t="s">
        <v>7516</v>
      </c>
      <c r="M778" s="28"/>
      <c r="N778" s="28"/>
      <c r="O778" s="20" t="s">
        <v>7530</v>
      </c>
      <c r="P778" s="27" t="str">
        <f t="shared" si="37"/>
        <v>vermelho</v>
      </c>
    </row>
    <row r="779" spans="1:16" ht="25.5">
      <c r="A779" s="3" t="s">
        <v>4</v>
      </c>
      <c r="B779" s="3" t="s">
        <v>358</v>
      </c>
      <c r="C779" s="4">
        <v>61</v>
      </c>
      <c r="D779" s="3" t="s">
        <v>48</v>
      </c>
      <c r="E779" s="3" t="s">
        <v>49</v>
      </c>
      <c r="F779" s="5">
        <v>588</v>
      </c>
      <c r="G779" s="5">
        <v>687</v>
      </c>
      <c r="H779" s="6">
        <v>27882.99</v>
      </c>
      <c r="I779" s="22">
        <v>37492.14</v>
      </c>
      <c r="J779" s="24">
        <f t="shared" si="36"/>
        <v>2.5978760975283675E-4</v>
      </c>
      <c r="K779" s="25">
        <f t="shared" si="38"/>
        <v>0.64155602892352748</v>
      </c>
      <c r="L779" s="26" t="s">
        <v>7516</v>
      </c>
      <c r="M779" s="28"/>
      <c r="N779" s="28"/>
      <c r="O779" s="20">
        <v>22495.919999999998</v>
      </c>
      <c r="P779" s="27" t="str">
        <f t="shared" si="37"/>
        <v>laranja</v>
      </c>
    </row>
    <row r="780" spans="1:16" ht="25.5">
      <c r="A780" s="3" t="s">
        <v>4</v>
      </c>
      <c r="B780" s="3" t="s">
        <v>359</v>
      </c>
      <c r="C780" s="4">
        <v>19</v>
      </c>
      <c r="D780" s="3" t="s">
        <v>72</v>
      </c>
      <c r="E780" s="3" t="s">
        <v>41</v>
      </c>
      <c r="F780" s="5">
        <v>240</v>
      </c>
      <c r="G780" s="5">
        <v>618</v>
      </c>
      <c r="H780" s="6">
        <v>12839.04</v>
      </c>
      <c r="I780" s="22">
        <v>37467.360000000001</v>
      </c>
      <c r="J780" s="24">
        <f t="shared" si="36"/>
        <v>2.5961590611122879E-4</v>
      </c>
      <c r="K780" s="25">
        <f t="shared" si="38"/>
        <v>0.64181564482963871</v>
      </c>
      <c r="L780" s="26" t="s">
        <v>7516</v>
      </c>
      <c r="M780" s="28"/>
      <c r="N780" s="28"/>
      <c r="O780" s="20">
        <v>18240.45</v>
      </c>
      <c r="P780" s="27" t="str">
        <f t="shared" si="37"/>
        <v>amarelo</v>
      </c>
    </row>
    <row r="781" spans="1:16" ht="25.5">
      <c r="A781" s="3" t="s">
        <v>5860</v>
      </c>
      <c r="B781" s="3" t="s">
        <v>5861</v>
      </c>
      <c r="C781" s="4">
        <v>316</v>
      </c>
      <c r="D781" s="3" t="s">
        <v>247</v>
      </c>
      <c r="E781" s="3" t="s">
        <v>10</v>
      </c>
      <c r="F781" s="5">
        <v>0</v>
      </c>
      <c r="G781" s="5">
        <v>597</v>
      </c>
      <c r="H781" s="6">
        <v>0</v>
      </c>
      <c r="I781" s="22">
        <v>37396.44</v>
      </c>
      <c r="J781" s="24">
        <f t="shared" si="36"/>
        <v>2.5912449278343071E-4</v>
      </c>
      <c r="K781" s="25">
        <f t="shared" si="38"/>
        <v>0.64207476932242213</v>
      </c>
      <c r="L781" s="26" t="s">
        <v>7516</v>
      </c>
      <c r="M781" s="28"/>
      <c r="N781" s="28"/>
      <c r="O781" s="20" t="s">
        <v>7530</v>
      </c>
      <c r="P781" s="27" t="str">
        <f t="shared" si="37"/>
        <v>vermelho</v>
      </c>
    </row>
    <row r="782" spans="1:16">
      <c r="A782" s="3" t="s">
        <v>5862</v>
      </c>
      <c r="B782" s="3" t="s">
        <v>5863</v>
      </c>
      <c r="C782" s="4">
        <v>315</v>
      </c>
      <c r="D782" s="3" t="s">
        <v>63</v>
      </c>
      <c r="E782" s="3" t="s">
        <v>7</v>
      </c>
      <c r="F782" s="5">
        <v>0</v>
      </c>
      <c r="G782" s="5">
        <v>624</v>
      </c>
      <c r="H782" s="6">
        <v>0</v>
      </c>
      <c r="I782" s="22">
        <v>37373.008999999998</v>
      </c>
      <c r="J782" s="24">
        <f t="shared" si="36"/>
        <v>2.5896213652731626E-4</v>
      </c>
      <c r="K782" s="25">
        <f t="shared" si="38"/>
        <v>0.64233373145894945</v>
      </c>
      <c r="L782" s="26" t="s">
        <v>7516</v>
      </c>
      <c r="M782" s="28"/>
      <c r="N782" s="28"/>
      <c r="O782" s="20" t="s">
        <v>7530</v>
      </c>
      <c r="P782" s="27" t="str">
        <f t="shared" si="37"/>
        <v>vermelho</v>
      </c>
    </row>
    <row r="783" spans="1:16" ht="38.25">
      <c r="A783" s="3" t="s">
        <v>4</v>
      </c>
      <c r="B783" s="3" t="s">
        <v>360</v>
      </c>
      <c r="C783" s="4">
        <v>11</v>
      </c>
      <c r="D783" s="3" t="s">
        <v>61</v>
      </c>
      <c r="E783" s="3" t="s">
        <v>10</v>
      </c>
      <c r="F783" s="5">
        <v>699</v>
      </c>
      <c r="G783" s="5">
        <v>572</v>
      </c>
      <c r="H783" s="6">
        <v>41318.160000000003</v>
      </c>
      <c r="I783" s="22">
        <v>37369.99</v>
      </c>
      <c r="J783" s="24">
        <f t="shared" si="36"/>
        <v>2.5894121750818735E-4</v>
      </c>
      <c r="K783" s="25">
        <f t="shared" si="38"/>
        <v>0.64259267267645759</v>
      </c>
      <c r="L783" s="26" t="s">
        <v>7516</v>
      </c>
      <c r="M783" s="28"/>
      <c r="N783" s="28"/>
      <c r="O783" s="20">
        <v>5541.84</v>
      </c>
      <c r="P783" s="27" t="str">
        <f t="shared" si="37"/>
        <v>amarelo</v>
      </c>
    </row>
    <row r="784" spans="1:16" ht="25.5">
      <c r="A784" s="3" t="s">
        <v>4</v>
      </c>
      <c r="B784" s="3" t="s">
        <v>361</v>
      </c>
      <c r="C784" s="4">
        <v>31</v>
      </c>
      <c r="D784" s="3" t="s">
        <v>194</v>
      </c>
      <c r="E784" s="3" t="s">
        <v>16</v>
      </c>
      <c r="F784" s="5">
        <v>354</v>
      </c>
      <c r="G784" s="5">
        <v>669</v>
      </c>
      <c r="H784" s="6">
        <v>18374.55</v>
      </c>
      <c r="I784" s="22">
        <v>37345.629999999997</v>
      </c>
      <c r="J784" s="24">
        <f t="shared" si="36"/>
        <v>2.5877242409779307E-4</v>
      </c>
      <c r="K784" s="25">
        <f t="shared" si="38"/>
        <v>0.64285144510055536</v>
      </c>
      <c r="L784" s="26" t="s">
        <v>7516</v>
      </c>
      <c r="M784" s="28"/>
      <c r="N784" s="28"/>
      <c r="O784" s="20">
        <v>12255.96</v>
      </c>
      <c r="P784" s="27" t="str">
        <f t="shared" si="37"/>
        <v>amarelo</v>
      </c>
    </row>
    <row r="785" spans="1:16" ht="25.5">
      <c r="A785" s="3" t="s">
        <v>4</v>
      </c>
      <c r="B785" s="3" t="s">
        <v>362</v>
      </c>
      <c r="C785" s="4">
        <v>23</v>
      </c>
      <c r="D785" s="3" t="s">
        <v>87</v>
      </c>
      <c r="E785" s="3" t="s">
        <v>7</v>
      </c>
      <c r="F785" s="5">
        <v>228</v>
      </c>
      <c r="G785" s="5">
        <v>582</v>
      </c>
      <c r="H785" s="6">
        <v>13093.248</v>
      </c>
      <c r="I785" s="22">
        <v>37297.620000000003</v>
      </c>
      <c r="J785" s="24">
        <f t="shared" si="36"/>
        <v>2.5843975695358012E-4</v>
      </c>
      <c r="K785" s="25">
        <f t="shared" si="38"/>
        <v>0.64310988485750897</v>
      </c>
      <c r="L785" s="26" t="s">
        <v>7516</v>
      </c>
      <c r="M785" s="28"/>
      <c r="N785" s="28"/>
      <c r="O785" s="20">
        <v>16017.254999999999</v>
      </c>
      <c r="P785" s="27" t="str">
        <f t="shared" si="37"/>
        <v>amarelo</v>
      </c>
    </row>
    <row r="786" spans="1:16" ht="25.5">
      <c r="A786" s="3" t="s">
        <v>5864</v>
      </c>
      <c r="B786" s="3" t="s">
        <v>5865</v>
      </c>
      <c r="C786" s="4">
        <v>208</v>
      </c>
      <c r="D786" s="3" t="s">
        <v>15</v>
      </c>
      <c r="E786" s="3" t="s">
        <v>16</v>
      </c>
      <c r="F786" s="5">
        <v>600</v>
      </c>
      <c r="G786" s="5">
        <v>660</v>
      </c>
      <c r="H786" s="6">
        <v>34471.919999999998</v>
      </c>
      <c r="I786" s="22">
        <v>37284.720000000001</v>
      </c>
      <c r="J786" s="24">
        <f t="shared" si="36"/>
        <v>2.5835037128058811E-4</v>
      </c>
      <c r="K786" s="25">
        <f t="shared" si="38"/>
        <v>0.64336823522878961</v>
      </c>
      <c r="L786" s="26" t="s">
        <v>7516</v>
      </c>
      <c r="M786" s="28"/>
      <c r="N786" s="28"/>
      <c r="O786" s="20" t="s">
        <v>7530</v>
      </c>
      <c r="P786" s="27" t="str">
        <f t="shared" si="37"/>
        <v>vermelho</v>
      </c>
    </row>
    <row r="787" spans="1:16" ht="38.25">
      <c r="A787" s="3" t="s">
        <v>4</v>
      </c>
      <c r="B787" s="3" t="s">
        <v>363</v>
      </c>
      <c r="C787" s="4">
        <v>34</v>
      </c>
      <c r="D787" s="3" t="s">
        <v>54</v>
      </c>
      <c r="E787" s="3" t="s">
        <v>49</v>
      </c>
      <c r="F787" s="5">
        <v>909</v>
      </c>
      <c r="G787" s="5">
        <v>570</v>
      </c>
      <c r="H787" s="6">
        <v>53736.69</v>
      </c>
      <c r="I787" s="22">
        <v>37260.480000000003</v>
      </c>
      <c r="J787" s="24">
        <f t="shared" si="36"/>
        <v>2.581824093648263E-4</v>
      </c>
      <c r="K787" s="25">
        <f t="shared" si="38"/>
        <v>0.64362641763815442</v>
      </c>
      <c r="L787" s="26" t="s">
        <v>7516</v>
      </c>
      <c r="M787" s="28">
        <v>-4.1690274604833176E-2</v>
      </c>
      <c r="N787" s="28">
        <v>6.2919057584669355E-2</v>
      </c>
      <c r="O787" s="20">
        <v>45559.29</v>
      </c>
      <c r="P787" s="27" t="str">
        <f t="shared" si="37"/>
        <v>verde</v>
      </c>
    </row>
    <row r="788" spans="1:16" ht="25.5">
      <c r="A788" s="3" t="s">
        <v>4</v>
      </c>
      <c r="B788" s="3" t="s">
        <v>364</v>
      </c>
      <c r="C788" s="4">
        <v>178</v>
      </c>
      <c r="D788" s="3" t="s">
        <v>74</v>
      </c>
      <c r="E788" s="3" t="s">
        <v>7</v>
      </c>
      <c r="F788" s="5">
        <v>417</v>
      </c>
      <c r="G788" s="5">
        <v>516</v>
      </c>
      <c r="H788" s="6">
        <v>22448.31</v>
      </c>
      <c r="I788" s="22">
        <v>37251.03</v>
      </c>
      <c r="J788" s="24">
        <f t="shared" si="36"/>
        <v>2.5811692916251816E-4</v>
      </c>
      <c r="K788" s="25">
        <f t="shared" si="38"/>
        <v>0.64388453456731698</v>
      </c>
      <c r="L788" s="26" t="s">
        <v>7516</v>
      </c>
      <c r="M788" s="28">
        <v>-1.2882565562792445E-2</v>
      </c>
      <c r="N788" s="28"/>
      <c r="O788" s="20">
        <v>14701.8</v>
      </c>
      <c r="P788" s="27" t="str">
        <f t="shared" si="37"/>
        <v>amarelo</v>
      </c>
    </row>
    <row r="789" spans="1:16" ht="25.5">
      <c r="A789" s="3" t="s">
        <v>5866</v>
      </c>
      <c r="B789" s="3" t="s">
        <v>5867</v>
      </c>
      <c r="C789" s="4">
        <v>261</v>
      </c>
      <c r="D789" s="3" t="s">
        <v>9</v>
      </c>
      <c r="E789" s="3" t="s">
        <v>10</v>
      </c>
      <c r="F789" s="5">
        <v>198</v>
      </c>
      <c r="G789" s="5">
        <v>633</v>
      </c>
      <c r="H789" s="6">
        <v>9799.02</v>
      </c>
      <c r="I789" s="22">
        <v>37237.08</v>
      </c>
      <c r="J789" s="24">
        <f t="shared" si="36"/>
        <v>2.580202679114919E-4</v>
      </c>
      <c r="K789" s="25">
        <f t="shared" si="38"/>
        <v>0.64414255483522842</v>
      </c>
      <c r="L789" s="26" t="s">
        <v>7516</v>
      </c>
      <c r="M789" s="28"/>
      <c r="N789" s="28"/>
      <c r="O789" s="20">
        <v>13363.02</v>
      </c>
      <c r="P789" s="27" t="str">
        <f t="shared" si="37"/>
        <v>amarelo</v>
      </c>
    </row>
    <row r="790" spans="1:16" ht="38.25">
      <c r="A790" s="3" t="s">
        <v>5868</v>
      </c>
      <c r="B790" s="3" t="s">
        <v>5869</v>
      </c>
      <c r="C790" s="4">
        <v>38</v>
      </c>
      <c r="D790" s="3" t="s">
        <v>184</v>
      </c>
      <c r="E790" s="3" t="s">
        <v>49</v>
      </c>
      <c r="F790" s="5">
        <v>0</v>
      </c>
      <c r="G790" s="5">
        <v>666</v>
      </c>
      <c r="H790" s="6">
        <v>0</v>
      </c>
      <c r="I790" s="22">
        <v>37233.599999999999</v>
      </c>
      <c r="J790" s="24">
        <f t="shared" si="36"/>
        <v>2.5799615456714985E-4</v>
      </c>
      <c r="K790" s="25">
        <f t="shared" si="38"/>
        <v>0.64440055098979554</v>
      </c>
      <c r="L790" s="26" t="s">
        <v>7516</v>
      </c>
      <c r="M790" s="28"/>
      <c r="N790" s="28"/>
      <c r="O790" s="20" t="s">
        <v>7530</v>
      </c>
      <c r="P790" s="27" t="str">
        <f t="shared" si="37"/>
        <v>vermelho</v>
      </c>
    </row>
    <row r="791" spans="1:16" ht="25.5">
      <c r="A791" s="3" t="s">
        <v>4</v>
      </c>
      <c r="B791" s="3" t="s">
        <v>365</v>
      </c>
      <c r="C791" s="4">
        <v>31</v>
      </c>
      <c r="D791" s="3" t="s">
        <v>194</v>
      </c>
      <c r="E791" s="3" t="s">
        <v>16</v>
      </c>
      <c r="F791" s="5">
        <v>228</v>
      </c>
      <c r="G791" s="5">
        <v>651</v>
      </c>
      <c r="H791" s="6">
        <v>11553.72</v>
      </c>
      <c r="I791" s="22">
        <v>37193.61</v>
      </c>
      <c r="J791" s="24">
        <f t="shared" si="36"/>
        <v>2.5771905898087455E-4</v>
      </c>
      <c r="K791" s="25">
        <f t="shared" si="38"/>
        <v>0.64465827004877641</v>
      </c>
      <c r="L791" s="26" t="s">
        <v>7516</v>
      </c>
      <c r="M791" s="28"/>
      <c r="N791" s="28"/>
      <c r="O791" s="20">
        <v>15480.96</v>
      </c>
      <c r="P791" s="27" t="str">
        <f t="shared" si="37"/>
        <v>amarelo</v>
      </c>
    </row>
    <row r="792" spans="1:16" ht="38.25">
      <c r="A792" s="3" t="s">
        <v>4</v>
      </c>
      <c r="B792" s="3" t="s">
        <v>366</v>
      </c>
      <c r="C792" s="4">
        <v>34</v>
      </c>
      <c r="D792" s="3" t="s">
        <v>54</v>
      </c>
      <c r="E792" s="3" t="s">
        <v>49</v>
      </c>
      <c r="F792" s="5">
        <v>360</v>
      </c>
      <c r="G792" s="5">
        <v>642</v>
      </c>
      <c r="H792" s="6">
        <v>18954.990000000002</v>
      </c>
      <c r="I792" s="22">
        <v>37171.379999999997</v>
      </c>
      <c r="J792" s="24">
        <f t="shared" si="36"/>
        <v>2.5756502460020687E-4</v>
      </c>
      <c r="K792" s="25">
        <f t="shared" si="38"/>
        <v>0.64491583507337658</v>
      </c>
      <c r="L792" s="26" t="s">
        <v>7516</v>
      </c>
      <c r="M792" s="28"/>
      <c r="N792" s="28"/>
      <c r="O792" s="20">
        <v>9778.9500000000007</v>
      </c>
      <c r="P792" s="27" t="str">
        <f t="shared" si="37"/>
        <v>amarelo</v>
      </c>
    </row>
    <row r="793" spans="1:16" ht="25.5">
      <c r="A793" s="3" t="s">
        <v>4</v>
      </c>
      <c r="B793" s="3" t="s">
        <v>367</v>
      </c>
      <c r="C793" s="4">
        <v>328</v>
      </c>
      <c r="D793" s="3" t="s">
        <v>215</v>
      </c>
      <c r="E793" s="3" t="s">
        <v>41</v>
      </c>
      <c r="F793" s="5">
        <v>270</v>
      </c>
      <c r="G793" s="5">
        <v>651</v>
      </c>
      <c r="H793" s="6">
        <v>15162.54</v>
      </c>
      <c r="I793" s="22">
        <v>37159.89</v>
      </c>
      <c r="J793" s="24">
        <f t="shared" si="36"/>
        <v>2.5748540898914654E-4</v>
      </c>
      <c r="K793" s="25">
        <f t="shared" si="38"/>
        <v>0.64517332048236575</v>
      </c>
      <c r="L793" s="26" t="s">
        <v>7516</v>
      </c>
      <c r="M793" s="28"/>
      <c r="N793" s="28"/>
      <c r="O793" s="20" t="s">
        <v>7530</v>
      </c>
      <c r="P793" s="27" t="str">
        <f t="shared" si="37"/>
        <v>vermelho</v>
      </c>
    </row>
    <row r="794" spans="1:16" ht="25.5">
      <c r="A794" s="3" t="s">
        <v>5870</v>
      </c>
      <c r="B794" s="3" t="s">
        <v>5871</v>
      </c>
      <c r="C794" s="4">
        <v>240</v>
      </c>
      <c r="D794" s="3" t="s">
        <v>69</v>
      </c>
      <c r="E794" s="3" t="s">
        <v>16</v>
      </c>
      <c r="F794" s="5">
        <v>0</v>
      </c>
      <c r="G794" s="5">
        <v>600</v>
      </c>
      <c r="H794" s="6">
        <v>0</v>
      </c>
      <c r="I794" s="22">
        <v>37154.82</v>
      </c>
      <c r="J794" s="24">
        <f t="shared" si="36"/>
        <v>2.5745027834092409E-4</v>
      </c>
      <c r="K794" s="25">
        <f t="shared" si="38"/>
        <v>0.64543077076070665</v>
      </c>
      <c r="L794" s="26" t="s">
        <v>7516</v>
      </c>
      <c r="M794" s="28"/>
      <c r="N794" s="28"/>
      <c r="O794" s="20" t="s">
        <v>7530</v>
      </c>
      <c r="P794" s="27" t="str">
        <f t="shared" si="37"/>
        <v>vermelho</v>
      </c>
    </row>
    <row r="795" spans="1:16" ht="25.5">
      <c r="A795" s="3" t="s">
        <v>4</v>
      </c>
      <c r="B795" s="3" t="s">
        <v>368</v>
      </c>
      <c r="C795" s="4">
        <v>74</v>
      </c>
      <c r="D795" s="3" t="s">
        <v>6</v>
      </c>
      <c r="E795" s="3" t="s">
        <v>7</v>
      </c>
      <c r="F795" s="5">
        <v>114</v>
      </c>
      <c r="G795" s="5">
        <v>555</v>
      </c>
      <c r="H795" s="6">
        <v>7210.86</v>
      </c>
      <c r="I795" s="22">
        <v>37116.03</v>
      </c>
      <c r="J795" s="24">
        <f t="shared" si="36"/>
        <v>2.5718149770097363E-4</v>
      </c>
      <c r="K795" s="25">
        <f t="shared" si="38"/>
        <v>0.64568795225840758</v>
      </c>
      <c r="L795" s="26" t="s">
        <v>7516</v>
      </c>
      <c r="M795" s="28"/>
      <c r="N795" s="28"/>
      <c r="O795" s="20">
        <v>9876.7199999999993</v>
      </c>
      <c r="P795" s="27" t="str">
        <f t="shared" si="37"/>
        <v>amarelo</v>
      </c>
    </row>
    <row r="796" spans="1:16" ht="25.5">
      <c r="A796" s="3" t="s">
        <v>4</v>
      </c>
      <c r="B796" s="3" t="s">
        <v>369</v>
      </c>
      <c r="C796" s="4">
        <v>187</v>
      </c>
      <c r="D796" s="3" t="s">
        <v>96</v>
      </c>
      <c r="E796" s="3" t="s">
        <v>7</v>
      </c>
      <c r="F796" s="5">
        <v>330</v>
      </c>
      <c r="G796" s="5">
        <v>597</v>
      </c>
      <c r="H796" s="6">
        <v>21222.12</v>
      </c>
      <c r="I796" s="22">
        <v>37114.5</v>
      </c>
      <c r="J796" s="24">
        <f t="shared" si="36"/>
        <v>2.5717089614440947E-4</v>
      </c>
      <c r="K796" s="25">
        <f t="shared" si="38"/>
        <v>0.64594512315455199</v>
      </c>
      <c r="L796" s="26" t="s">
        <v>7516</v>
      </c>
      <c r="M796" s="28"/>
      <c r="N796" s="28"/>
      <c r="O796" s="20">
        <v>21258.15</v>
      </c>
      <c r="P796" s="27" t="str">
        <f t="shared" si="37"/>
        <v>laranja</v>
      </c>
    </row>
    <row r="797" spans="1:16" ht="25.5">
      <c r="A797" s="3" t="s">
        <v>4</v>
      </c>
      <c r="B797" s="3" t="s">
        <v>370</v>
      </c>
      <c r="C797" s="4">
        <v>178</v>
      </c>
      <c r="D797" s="3" t="s">
        <v>74</v>
      </c>
      <c r="E797" s="3" t="s">
        <v>7</v>
      </c>
      <c r="F797" s="5">
        <v>240</v>
      </c>
      <c r="G797" s="5">
        <v>600</v>
      </c>
      <c r="H797" s="6">
        <v>12768.6</v>
      </c>
      <c r="I797" s="22">
        <v>37012.559999999998</v>
      </c>
      <c r="J797" s="24">
        <f t="shared" si="36"/>
        <v>2.5646454145411427E-4</v>
      </c>
      <c r="K797" s="25">
        <f t="shared" si="38"/>
        <v>0.64620158769600611</v>
      </c>
      <c r="L797" s="26" t="s">
        <v>7516</v>
      </c>
      <c r="M797" s="28"/>
      <c r="N797" s="28"/>
      <c r="O797" s="20">
        <v>13091.82</v>
      </c>
      <c r="P797" s="27" t="str">
        <f t="shared" si="37"/>
        <v>amarelo</v>
      </c>
    </row>
    <row r="798" spans="1:16">
      <c r="A798" s="3" t="s">
        <v>5872</v>
      </c>
      <c r="B798" s="3" t="s">
        <v>5873</v>
      </c>
      <c r="C798" s="4">
        <v>15</v>
      </c>
      <c r="D798" s="3" t="s">
        <v>18</v>
      </c>
      <c r="E798" s="3" t="s">
        <v>16</v>
      </c>
      <c r="F798" s="5">
        <v>348</v>
      </c>
      <c r="G798" s="5">
        <v>663</v>
      </c>
      <c r="H798" s="6">
        <v>21464.880000000001</v>
      </c>
      <c r="I798" s="22">
        <v>36977.440000000002</v>
      </c>
      <c r="J798" s="24">
        <f t="shared" si="36"/>
        <v>2.5622119069167393E-4</v>
      </c>
      <c r="K798" s="25">
        <f t="shared" si="38"/>
        <v>0.64645780888669779</v>
      </c>
      <c r="L798" s="26" t="s">
        <v>7516</v>
      </c>
      <c r="M798" s="28"/>
      <c r="N798" s="28"/>
      <c r="O798" s="20" t="s">
        <v>7530</v>
      </c>
      <c r="P798" s="27" t="str">
        <f t="shared" si="37"/>
        <v>vermelho</v>
      </c>
    </row>
    <row r="799" spans="1:16">
      <c r="A799" s="3" t="s">
        <v>5874</v>
      </c>
      <c r="B799" s="3" t="s">
        <v>5875</v>
      </c>
      <c r="C799" s="4">
        <v>217</v>
      </c>
      <c r="D799" s="3" t="s">
        <v>91</v>
      </c>
      <c r="E799" s="3" t="s">
        <v>16</v>
      </c>
      <c r="F799" s="5">
        <v>1044</v>
      </c>
      <c r="G799" s="5">
        <v>629</v>
      </c>
      <c r="H799" s="6">
        <v>60898.8</v>
      </c>
      <c r="I799" s="22">
        <v>36970.167999999998</v>
      </c>
      <c r="J799" s="24">
        <f t="shared" si="36"/>
        <v>2.5617080211694536E-4</v>
      </c>
      <c r="K799" s="25">
        <f t="shared" si="38"/>
        <v>0.64671397968881472</v>
      </c>
      <c r="L799" s="26" t="s">
        <v>7516</v>
      </c>
      <c r="M799" s="28"/>
      <c r="N799" s="28"/>
      <c r="O799" s="20">
        <v>2444.85</v>
      </c>
      <c r="P799" s="27" t="str">
        <f t="shared" si="37"/>
        <v>amarelo</v>
      </c>
    </row>
    <row r="800" spans="1:16" ht="25.5">
      <c r="A800" s="3" t="s">
        <v>4</v>
      </c>
      <c r="B800" s="3" t="s">
        <v>371</v>
      </c>
      <c r="C800" s="4">
        <v>217</v>
      </c>
      <c r="D800" s="3" t="s">
        <v>91</v>
      </c>
      <c r="E800" s="3" t="s">
        <v>16</v>
      </c>
      <c r="F800" s="5">
        <v>648</v>
      </c>
      <c r="G800" s="5">
        <v>606</v>
      </c>
      <c r="H800" s="6">
        <v>35012.519999999997</v>
      </c>
      <c r="I800" s="22">
        <v>36921.06</v>
      </c>
      <c r="J800" s="24">
        <f t="shared" si="36"/>
        <v>2.5583052679684515E-4</v>
      </c>
      <c r="K800" s="25">
        <f t="shared" si="38"/>
        <v>0.64696981021561162</v>
      </c>
      <c r="L800" s="26" t="s">
        <v>7516</v>
      </c>
      <c r="M800" s="28">
        <v>-1.326913096879008E-2</v>
      </c>
      <c r="N800" s="28"/>
      <c r="O800" s="20" t="s">
        <v>7530</v>
      </c>
      <c r="P800" s="27" t="str">
        <f t="shared" si="37"/>
        <v>vermelho</v>
      </c>
    </row>
    <row r="801" spans="1:16" ht="25.5">
      <c r="A801" s="3" t="s">
        <v>4</v>
      </c>
      <c r="B801" s="3" t="s">
        <v>372</v>
      </c>
      <c r="C801" s="4">
        <v>231</v>
      </c>
      <c r="D801" s="3" t="s">
        <v>52</v>
      </c>
      <c r="E801" s="3" t="s">
        <v>7</v>
      </c>
      <c r="F801" s="5">
        <v>669</v>
      </c>
      <c r="G801" s="5">
        <v>642</v>
      </c>
      <c r="H801" s="6">
        <v>34261.949999999997</v>
      </c>
      <c r="I801" s="22">
        <v>36861.089999999997</v>
      </c>
      <c r="J801" s="24">
        <f t="shared" si="36"/>
        <v>2.5541498735426126E-4</v>
      </c>
      <c r="K801" s="25">
        <f t="shared" si="38"/>
        <v>0.64722522520296588</v>
      </c>
      <c r="L801" s="26" t="s">
        <v>7516</v>
      </c>
      <c r="M801" s="28"/>
      <c r="N801" s="28"/>
      <c r="O801" s="20">
        <v>12953.16</v>
      </c>
      <c r="P801" s="27" t="str">
        <f t="shared" si="37"/>
        <v>amarelo</v>
      </c>
    </row>
    <row r="802" spans="1:16" ht="25.5">
      <c r="A802" s="3" t="s">
        <v>4</v>
      </c>
      <c r="B802" s="3" t="s">
        <v>373</v>
      </c>
      <c r="C802" s="4">
        <v>299</v>
      </c>
      <c r="D802" s="3" t="s">
        <v>111</v>
      </c>
      <c r="E802" s="3" t="s">
        <v>49</v>
      </c>
      <c r="F802" s="5">
        <v>918</v>
      </c>
      <c r="G802" s="5">
        <v>684</v>
      </c>
      <c r="H802" s="6">
        <v>50506.38</v>
      </c>
      <c r="I802" s="22">
        <v>36853.53</v>
      </c>
      <c r="J802" s="24">
        <f t="shared" si="36"/>
        <v>2.5536260319241477E-4</v>
      </c>
      <c r="K802" s="25">
        <f t="shared" si="38"/>
        <v>0.64748058780615825</v>
      </c>
      <c r="L802" s="26" t="s">
        <v>7516</v>
      </c>
      <c r="M802" s="28"/>
      <c r="N802" s="28"/>
      <c r="O802" s="20" t="s">
        <v>7530</v>
      </c>
      <c r="P802" s="27" t="str">
        <f t="shared" si="37"/>
        <v>vermelho</v>
      </c>
    </row>
    <row r="803" spans="1:16" ht="25.5">
      <c r="A803" s="3" t="s">
        <v>5878</v>
      </c>
      <c r="B803" s="3" t="s">
        <v>5879</v>
      </c>
      <c r="C803" s="4">
        <v>270</v>
      </c>
      <c r="D803" s="3" t="s">
        <v>266</v>
      </c>
      <c r="E803" s="3" t="s">
        <v>49</v>
      </c>
      <c r="F803" s="5">
        <v>972</v>
      </c>
      <c r="G803" s="5">
        <v>600</v>
      </c>
      <c r="H803" s="6">
        <v>53057.016000000003</v>
      </c>
      <c r="I803" s="22">
        <v>36837.42</v>
      </c>
      <c r="J803" s="24">
        <f t="shared" si="36"/>
        <v>2.5525097503800378E-4</v>
      </c>
      <c r="K803" s="25">
        <f t="shared" si="38"/>
        <v>0.64773583878119623</v>
      </c>
      <c r="L803" s="26" t="s">
        <v>7516</v>
      </c>
      <c r="M803" s="28"/>
      <c r="N803" s="28"/>
      <c r="O803" s="20">
        <v>7758.57</v>
      </c>
      <c r="P803" s="27" t="str">
        <f t="shared" si="37"/>
        <v>amarelo</v>
      </c>
    </row>
    <row r="804" spans="1:16" ht="25.5">
      <c r="A804" s="3" t="s">
        <v>4</v>
      </c>
      <c r="B804" s="3" t="s">
        <v>374</v>
      </c>
      <c r="C804" s="4">
        <v>317</v>
      </c>
      <c r="D804" s="3" t="s">
        <v>78</v>
      </c>
      <c r="E804" s="3" t="s">
        <v>10</v>
      </c>
      <c r="F804" s="5">
        <v>336</v>
      </c>
      <c r="G804" s="5">
        <v>600</v>
      </c>
      <c r="H804" s="6">
        <v>20743.2</v>
      </c>
      <c r="I804" s="22">
        <v>36808.47</v>
      </c>
      <c r="J804" s="24">
        <f t="shared" si="36"/>
        <v>2.5505037695791702E-4</v>
      </c>
      <c r="K804" s="25">
        <f t="shared" si="38"/>
        <v>0.64799088915815417</v>
      </c>
      <c r="L804" s="26" t="s">
        <v>7516</v>
      </c>
      <c r="M804" s="28"/>
      <c r="N804" s="28"/>
      <c r="O804" s="20" t="s">
        <v>7530</v>
      </c>
      <c r="P804" s="27" t="str">
        <f t="shared" si="37"/>
        <v>vermelho</v>
      </c>
    </row>
    <row r="805" spans="1:16" ht="25.5">
      <c r="A805" s="3" t="s">
        <v>5880</v>
      </c>
      <c r="B805" s="3" t="s">
        <v>5881</v>
      </c>
      <c r="C805" s="4">
        <v>39</v>
      </c>
      <c r="D805" s="3" t="s">
        <v>26</v>
      </c>
      <c r="E805" s="3" t="s">
        <v>13</v>
      </c>
      <c r="F805" s="5">
        <v>489</v>
      </c>
      <c r="G805" s="5">
        <v>663</v>
      </c>
      <c r="H805" s="6">
        <v>25980.847000000002</v>
      </c>
      <c r="I805" s="22">
        <v>36800.269999999997</v>
      </c>
      <c r="J805" s="24">
        <f t="shared" si="36"/>
        <v>2.5499355815803061E-4</v>
      </c>
      <c r="K805" s="25">
        <f t="shared" si="38"/>
        <v>0.64824588271631223</v>
      </c>
      <c r="L805" s="26" t="s">
        <v>7516</v>
      </c>
      <c r="M805" s="28"/>
      <c r="N805" s="28"/>
      <c r="O805" s="20">
        <v>18375.189999999999</v>
      </c>
      <c r="P805" s="27" t="str">
        <f t="shared" si="37"/>
        <v>amarelo</v>
      </c>
    </row>
    <row r="806" spans="1:16">
      <c r="A806" s="3" t="s">
        <v>5882</v>
      </c>
      <c r="B806" s="3" t="s">
        <v>5883</v>
      </c>
      <c r="C806" s="4">
        <v>315</v>
      </c>
      <c r="D806" s="3" t="s">
        <v>63</v>
      </c>
      <c r="E806" s="3" t="s">
        <v>7</v>
      </c>
      <c r="F806" s="5">
        <v>664</v>
      </c>
      <c r="G806" s="5">
        <v>678</v>
      </c>
      <c r="H806" s="6">
        <v>28955.17</v>
      </c>
      <c r="I806" s="22">
        <v>36773.881999999998</v>
      </c>
      <c r="J806" s="24">
        <f t="shared" si="36"/>
        <v>2.5481071248834735E-4</v>
      </c>
      <c r="K806" s="25">
        <f t="shared" si="38"/>
        <v>0.64850069342880057</v>
      </c>
      <c r="L806" s="26" t="s">
        <v>7516</v>
      </c>
      <c r="M806" s="28"/>
      <c r="N806" s="28"/>
      <c r="O806" s="20" t="s">
        <v>7530</v>
      </c>
      <c r="P806" s="27" t="str">
        <f t="shared" si="37"/>
        <v>vermelho</v>
      </c>
    </row>
    <row r="807" spans="1:16" ht="25.5">
      <c r="A807" s="3" t="s">
        <v>4</v>
      </c>
      <c r="B807" s="3" t="s">
        <v>375</v>
      </c>
      <c r="C807" s="4">
        <v>31</v>
      </c>
      <c r="D807" s="3" t="s">
        <v>194</v>
      </c>
      <c r="E807" s="3" t="s">
        <v>16</v>
      </c>
      <c r="F807" s="5">
        <v>87</v>
      </c>
      <c r="G807" s="5">
        <v>636</v>
      </c>
      <c r="H807" s="6">
        <v>4524.33</v>
      </c>
      <c r="I807" s="22">
        <v>36751.08</v>
      </c>
      <c r="J807" s="24">
        <f t="shared" si="36"/>
        <v>2.5465271464993153E-4</v>
      </c>
      <c r="K807" s="25">
        <f t="shared" si="38"/>
        <v>0.64875534614345054</v>
      </c>
      <c r="L807" s="26" t="s">
        <v>7516</v>
      </c>
      <c r="M807" s="28"/>
      <c r="N807" s="28"/>
      <c r="O807" s="20">
        <v>5890.92</v>
      </c>
      <c r="P807" s="27" t="str">
        <f t="shared" si="37"/>
        <v>amarelo</v>
      </c>
    </row>
    <row r="808" spans="1:16" ht="25.5">
      <c r="A808" s="3" t="s">
        <v>4</v>
      </c>
      <c r="B808" s="3" t="s">
        <v>376</v>
      </c>
      <c r="C808" s="4">
        <v>178</v>
      </c>
      <c r="D808" s="3" t="s">
        <v>74</v>
      </c>
      <c r="E808" s="3" t="s">
        <v>7</v>
      </c>
      <c r="F808" s="5">
        <v>618</v>
      </c>
      <c r="G808" s="5">
        <v>633</v>
      </c>
      <c r="H808" s="6">
        <v>34207.17</v>
      </c>
      <c r="I808" s="22">
        <v>36745.199999999997</v>
      </c>
      <c r="J808" s="24">
        <f t="shared" si="36"/>
        <v>2.546119714129398E-4</v>
      </c>
      <c r="K808" s="25">
        <f t="shared" si="38"/>
        <v>0.64900995811486351</v>
      </c>
      <c r="L808" s="26" t="s">
        <v>7516</v>
      </c>
      <c r="M808" s="28"/>
      <c r="N808" s="28"/>
      <c r="O808" s="20" t="s">
        <v>7530</v>
      </c>
      <c r="P808" s="27" t="str">
        <f t="shared" si="37"/>
        <v>vermelho</v>
      </c>
    </row>
    <row r="809" spans="1:16" ht="25.5">
      <c r="A809" s="3" t="s">
        <v>4</v>
      </c>
      <c r="B809" s="3" t="s">
        <v>377</v>
      </c>
      <c r="C809" s="4">
        <v>316</v>
      </c>
      <c r="D809" s="3" t="s">
        <v>247</v>
      </c>
      <c r="E809" s="3" t="s">
        <v>10</v>
      </c>
      <c r="F809" s="5">
        <v>288</v>
      </c>
      <c r="G809" s="5">
        <v>694</v>
      </c>
      <c r="H809" s="6">
        <v>9881.76</v>
      </c>
      <c r="I809" s="22">
        <v>36732.415999999997</v>
      </c>
      <c r="J809" s="24">
        <f t="shared" si="36"/>
        <v>2.5452338951809247E-4</v>
      </c>
      <c r="K809" s="25">
        <f t="shared" si="38"/>
        <v>0.64926448150438165</v>
      </c>
      <c r="L809" s="26" t="s">
        <v>7516</v>
      </c>
      <c r="M809" s="28"/>
      <c r="N809" s="28"/>
      <c r="O809" s="20">
        <v>3787.08</v>
      </c>
      <c r="P809" s="27" t="str">
        <f t="shared" si="37"/>
        <v>amarelo</v>
      </c>
    </row>
    <row r="810" spans="1:16" ht="25.5">
      <c r="A810" s="3" t="s">
        <v>4</v>
      </c>
      <c r="B810" s="3" t="s">
        <v>378</v>
      </c>
      <c r="C810" s="4">
        <v>19</v>
      </c>
      <c r="D810" s="3" t="s">
        <v>72</v>
      </c>
      <c r="E810" s="3" t="s">
        <v>41</v>
      </c>
      <c r="F810" s="5">
        <v>360</v>
      </c>
      <c r="G810" s="5">
        <v>624</v>
      </c>
      <c r="H810" s="6">
        <v>21404.400000000001</v>
      </c>
      <c r="I810" s="22">
        <v>36717.629999999997</v>
      </c>
      <c r="J810" s="24">
        <f t="shared" si="36"/>
        <v>2.544209355211266E-4</v>
      </c>
      <c r="K810" s="25">
        <f t="shared" si="38"/>
        <v>0.64951890243990273</v>
      </c>
      <c r="L810" s="26" t="s">
        <v>7516</v>
      </c>
      <c r="M810" s="28"/>
      <c r="N810" s="28"/>
      <c r="O810" s="20" t="s">
        <v>7530</v>
      </c>
      <c r="P810" s="27" t="str">
        <f t="shared" si="37"/>
        <v>vermelho</v>
      </c>
    </row>
    <row r="811" spans="1:16" ht="38.25">
      <c r="A811" s="3" t="s">
        <v>5884</v>
      </c>
      <c r="B811" s="3" t="s">
        <v>5885</v>
      </c>
      <c r="C811" s="4">
        <v>34</v>
      </c>
      <c r="D811" s="3" t="s">
        <v>54</v>
      </c>
      <c r="E811" s="3" t="s">
        <v>49</v>
      </c>
      <c r="F811" s="5">
        <v>1470</v>
      </c>
      <c r="G811" s="5">
        <v>528</v>
      </c>
      <c r="H811" s="6">
        <v>85322.22</v>
      </c>
      <c r="I811" s="22">
        <v>36613.11</v>
      </c>
      <c r="J811" s="24">
        <f t="shared" si="36"/>
        <v>2.5369670369623299E-4</v>
      </c>
      <c r="K811" s="25">
        <f t="shared" si="38"/>
        <v>0.64977259914359897</v>
      </c>
      <c r="L811" s="26" t="s">
        <v>7516</v>
      </c>
      <c r="M811" s="28"/>
      <c r="N811" s="28"/>
      <c r="O811" s="20">
        <v>41669.699999999997</v>
      </c>
      <c r="P811" s="27" t="str">
        <f t="shared" si="37"/>
        <v>verde</v>
      </c>
    </row>
    <row r="812" spans="1:16" ht="38.25">
      <c r="A812" s="3" t="s">
        <v>4</v>
      </c>
      <c r="B812" s="3" t="s">
        <v>379</v>
      </c>
      <c r="C812" s="4">
        <v>143</v>
      </c>
      <c r="D812" s="3" t="s">
        <v>44</v>
      </c>
      <c r="E812" s="3" t="s">
        <v>41</v>
      </c>
      <c r="F812" s="5">
        <v>552</v>
      </c>
      <c r="G812" s="5">
        <v>612</v>
      </c>
      <c r="H812" s="6">
        <v>31395.599999999999</v>
      </c>
      <c r="I812" s="22">
        <v>36600.614000000001</v>
      </c>
      <c r="J812" s="24">
        <f t="shared" si="36"/>
        <v>2.5361011738850368E-4</v>
      </c>
      <c r="K812" s="25">
        <f t="shared" si="38"/>
        <v>0.65002620926098753</v>
      </c>
      <c r="L812" s="26" t="s">
        <v>7516</v>
      </c>
      <c r="M812" s="28"/>
      <c r="N812" s="28"/>
      <c r="O812" s="20" t="s">
        <v>7530</v>
      </c>
      <c r="P812" s="27" t="str">
        <f t="shared" si="37"/>
        <v>vermelho</v>
      </c>
    </row>
    <row r="813" spans="1:16" ht="25.5">
      <c r="A813" s="3" t="s">
        <v>5886</v>
      </c>
      <c r="B813" s="3" t="s">
        <v>5887</v>
      </c>
      <c r="C813" s="4">
        <v>218</v>
      </c>
      <c r="D813" s="3" t="s">
        <v>104</v>
      </c>
      <c r="E813" s="3" t="s">
        <v>16</v>
      </c>
      <c r="F813" s="5">
        <v>726</v>
      </c>
      <c r="G813" s="5">
        <v>666</v>
      </c>
      <c r="H813" s="6">
        <v>38008.14</v>
      </c>
      <c r="I813" s="22">
        <v>36593.46</v>
      </c>
      <c r="J813" s="24">
        <f t="shared" si="36"/>
        <v>2.5356054645016372E-4</v>
      </c>
      <c r="K813" s="25">
        <f t="shared" si="38"/>
        <v>0.65027976980743774</v>
      </c>
      <c r="L813" s="26" t="s">
        <v>7516</v>
      </c>
      <c r="M813" s="28"/>
      <c r="N813" s="28"/>
      <c r="O813" s="20">
        <v>3808.74</v>
      </c>
      <c r="P813" s="27" t="str">
        <f t="shared" si="37"/>
        <v>amarelo</v>
      </c>
    </row>
    <row r="814" spans="1:16" ht="38.25">
      <c r="A814" s="3" t="s">
        <v>4</v>
      </c>
      <c r="B814" s="3" t="s">
        <v>380</v>
      </c>
      <c r="C814" s="4">
        <v>11</v>
      </c>
      <c r="D814" s="3" t="s">
        <v>61</v>
      </c>
      <c r="E814" s="3" t="s">
        <v>10</v>
      </c>
      <c r="F814" s="5">
        <v>429</v>
      </c>
      <c r="G814" s="5">
        <v>573</v>
      </c>
      <c r="H814" s="6">
        <v>23418.99</v>
      </c>
      <c r="I814" s="22">
        <v>36591.089999999997</v>
      </c>
      <c r="J814" s="24">
        <f t="shared" si="36"/>
        <v>2.5354412443117215E-4</v>
      </c>
      <c r="K814" s="25">
        <f t="shared" si="38"/>
        <v>0.65053331393186886</v>
      </c>
      <c r="L814" s="26" t="s">
        <v>7516</v>
      </c>
      <c r="M814" s="28"/>
      <c r="N814" s="28"/>
      <c r="O814" s="20" t="s">
        <v>7530</v>
      </c>
      <c r="P814" s="27" t="str">
        <f t="shared" si="37"/>
        <v>vermelho</v>
      </c>
    </row>
    <row r="815" spans="1:16" ht="25.5">
      <c r="A815" s="3" t="s">
        <v>4</v>
      </c>
      <c r="B815" s="3" t="s">
        <v>381</v>
      </c>
      <c r="C815" s="4">
        <v>23</v>
      </c>
      <c r="D815" s="3" t="s">
        <v>87</v>
      </c>
      <c r="E815" s="3" t="s">
        <v>7</v>
      </c>
      <c r="F815" s="5">
        <v>576</v>
      </c>
      <c r="G815" s="5">
        <v>609</v>
      </c>
      <c r="H815" s="6">
        <v>33976.608</v>
      </c>
      <c r="I815" s="22">
        <v>36534.788999999997</v>
      </c>
      <c r="J815" s="24">
        <f t="shared" si="36"/>
        <v>2.5315400793697644E-4</v>
      </c>
      <c r="K815" s="25">
        <f t="shared" si="38"/>
        <v>0.65078646793980588</v>
      </c>
      <c r="L815" s="26" t="s">
        <v>7516</v>
      </c>
      <c r="M815" s="28"/>
      <c r="N815" s="28"/>
      <c r="O815" s="20">
        <v>5098.32</v>
      </c>
      <c r="P815" s="27" t="str">
        <f t="shared" si="37"/>
        <v>amarelo</v>
      </c>
    </row>
    <row r="816" spans="1:16" ht="38.25">
      <c r="A816" s="3" t="s">
        <v>4</v>
      </c>
      <c r="B816" s="3" t="s">
        <v>382</v>
      </c>
      <c r="C816" s="4">
        <v>266</v>
      </c>
      <c r="D816" s="3" t="s">
        <v>80</v>
      </c>
      <c r="E816" s="3" t="s">
        <v>10</v>
      </c>
      <c r="F816" s="5">
        <v>192</v>
      </c>
      <c r="G816" s="5">
        <v>600</v>
      </c>
      <c r="H816" s="6">
        <v>10519.32</v>
      </c>
      <c r="I816" s="22">
        <v>36527.01</v>
      </c>
      <c r="J816" s="24">
        <f t="shared" si="36"/>
        <v>2.5310010629742569E-4</v>
      </c>
      <c r="K816" s="25">
        <f t="shared" si="38"/>
        <v>0.6510395680461033</v>
      </c>
      <c r="L816" s="26" t="s">
        <v>7516</v>
      </c>
      <c r="M816" s="28"/>
      <c r="N816" s="28"/>
      <c r="O816" s="20" t="s">
        <v>7530</v>
      </c>
      <c r="P816" s="27" t="str">
        <f t="shared" si="37"/>
        <v>vermelho</v>
      </c>
    </row>
    <row r="817" spans="1:16">
      <c r="A817" s="3" t="s">
        <v>4</v>
      </c>
      <c r="B817" s="3" t="s">
        <v>383</v>
      </c>
      <c r="C817" s="4">
        <v>15</v>
      </c>
      <c r="D817" s="3" t="s">
        <v>18</v>
      </c>
      <c r="E817" s="3" t="s">
        <v>16</v>
      </c>
      <c r="F817" s="5">
        <v>288</v>
      </c>
      <c r="G817" s="5">
        <v>642</v>
      </c>
      <c r="H817" s="6">
        <v>13613.04</v>
      </c>
      <c r="I817" s="22">
        <v>36498.54</v>
      </c>
      <c r="J817" s="24">
        <f t="shared" si="36"/>
        <v>2.5290283419586885E-4</v>
      </c>
      <c r="K817" s="25">
        <f t="shared" si="38"/>
        <v>0.65129247088029918</v>
      </c>
      <c r="L817" s="26" t="s">
        <v>7516</v>
      </c>
      <c r="M817" s="28"/>
      <c r="N817" s="28"/>
      <c r="O817" s="20" t="s">
        <v>7530</v>
      </c>
      <c r="P817" s="27" t="str">
        <f t="shared" si="37"/>
        <v>vermelho</v>
      </c>
    </row>
    <row r="818" spans="1:16" ht="25.5">
      <c r="A818" s="3" t="s">
        <v>4</v>
      </c>
      <c r="B818" s="3" t="s">
        <v>384</v>
      </c>
      <c r="C818" s="4">
        <v>178</v>
      </c>
      <c r="D818" s="3" t="s">
        <v>74</v>
      </c>
      <c r="E818" s="3" t="s">
        <v>7</v>
      </c>
      <c r="F818" s="5">
        <v>336</v>
      </c>
      <c r="G818" s="5">
        <v>576</v>
      </c>
      <c r="H818" s="6">
        <v>16052.64</v>
      </c>
      <c r="I818" s="22">
        <v>36414.239999999998</v>
      </c>
      <c r="J818" s="24">
        <f t="shared" si="36"/>
        <v>2.5231870921654879E-4</v>
      </c>
      <c r="K818" s="25">
        <f t="shared" si="38"/>
        <v>0.65154478958951578</v>
      </c>
      <c r="L818" s="26" t="s">
        <v>7516</v>
      </c>
      <c r="M818" s="28"/>
      <c r="N818" s="28"/>
      <c r="O818" s="20" t="s">
        <v>7530</v>
      </c>
      <c r="P818" s="27" t="str">
        <f t="shared" si="37"/>
        <v>vermelho</v>
      </c>
    </row>
    <row r="819" spans="1:16">
      <c r="A819" s="3" t="s">
        <v>4</v>
      </c>
      <c r="B819" s="3" t="s">
        <v>385</v>
      </c>
      <c r="C819" s="4">
        <v>217</v>
      </c>
      <c r="D819" s="3" t="s">
        <v>91</v>
      </c>
      <c r="E819" s="3" t="s">
        <v>16</v>
      </c>
      <c r="F819" s="5">
        <v>798</v>
      </c>
      <c r="G819" s="5">
        <v>636</v>
      </c>
      <c r="H819" s="6">
        <v>40459.83</v>
      </c>
      <c r="I819" s="22">
        <v>36407.64</v>
      </c>
      <c r="J819" s="24">
        <f t="shared" si="36"/>
        <v>2.5227297701176218E-4</v>
      </c>
      <c r="K819" s="25">
        <f t="shared" si="38"/>
        <v>0.65179706256652759</v>
      </c>
      <c r="L819" s="26" t="s">
        <v>7516</v>
      </c>
      <c r="M819" s="28"/>
      <c r="N819" s="28"/>
      <c r="O819" s="20" t="s">
        <v>7530</v>
      </c>
      <c r="P819" s="27" t="str">
        <f t="shared" si="37"/>
        <v>vermelho</v>
      </c>
    </row>
    <row r="820" spans="1:16">
      <c r="A820" s="3" t="s">
        <v>4</v>
      </c>
      <c r="B820" s="3" t="s">
        <v>386</v>
      </c>
      <c r="C820" s="4">
        <v>232</v>
      </c>
      <c r="D820" s="3" t="s">
        <v>174</v>
      </c>
      <c r="E820" s="3" t="s">
        <v>16</v>
      </c>
      <c r="F820" s="5">
        <v>483</v>
      </c>
      <c r="G820" s="5">
        <v>600</v>
      </c>
      <c r="H820" s="6">
        <v>26384.85</v>
      </c>
      <c r="I820" s="22">
        <v>36365.4</v>
      </c>
      <c r="J820" s="24">
        <f t="shared" si="36"/>
        <v>2.5198029090112779E-4</v>
      </c>
      <c r="K820" s="25">
        <f t="shared" si="38"/>
        <v>0.65204904285742871</v>
      </c>
      <c r="L820" s="26" t="s">
        <v>7516</v>
      </c>
      <c r="M820" s="28"/>
      <c r="N820" s="28"/>
      <c r="O820" s="20" t="s">
        <v>7530</v>
      </c>
      <c r="P820" s="27" t="str">
        <f t="shared" si="37"/>
        <v>vermelho</v>
      </c>
    </row>
    <row r="821" spans="1:16" ht="51">
      <c r="A821" s="3" t="s">
        <v>5888</v>
      </c>
      <c r="B821" s="3" t="s">
        <v>5889</v>
      </c>
      <c r="C821" s="4">
        <v>282</v>
      </c>
      <c r="D821" s="3" t="s">
        <v>12</v>
      </c>
      <c r="E821" s="3" t="s">
        <v>13</v>
      </c>
      <c r="F821" s="5">
        <v>360</v>
      </c>
      <c r="G821" s="5">
        <v>636</v>
      </c>
      <c r="H821" s="6">
        <v>11372.76</v>
      </c>
      <c r="I821" s="22">
        <v>36359.366000000002</v>
      </c>
      <c r="J821" s="24">
        <f t="shared" si="36"/>
        <v>2.5193848057935772E-4</v>
      </c>
      <c r="K821" s="25">
        <f t="shared" si="38"/>
        <v>0.65230098133800807</v>
      </c>
      <c r="L821" s="26" t="s">
        <v>7516</v>
      </c>
      <c r="M821" s="28"/>
      <c r="N821" s="28"/>
      <c r="O821" s="20" t="s">
        <v>7530</v>
      </c>
      <c r="P821" s="27" t="str">
        <f t="shared" si="37"/>
        <v>vermelho</v>
      </c>
    </row>
    <row r="822" spans="1:16" ht="38.25">
      <c r="A822" s="3" t="s">
        <v>5890</v>
      </c>
      <c r="B822" s="3" t="s">
        <v>5891</v>
      </c>
      <c r="C822" s="4">
        <v>371</v>
      </c>
      <c r="D822" s="3" t="s">
        <v>82</v>
      </c>
      <c r="E822" s="3" t="s">
        <v>49</v>
      </c>
      <c r="F822" s="5">
        <v>213</v>
      </c>
      <c r="G822" s="5">
        <v>528</v>
      </c>
      <c r="H822" s="6">
        <v>13910.97</v>
      </c>
      <c r="I822" s="22">
        <v>36353.730000000003</v>
      </c>
      <c r="J822" s="24">
        <f t="shared" si="36"/>
        <v>2.5189942804811874E-4</v>
      </c>
      <c r="K822" s="25">
        <f t="shared" si="38"/>
        <v>0.65255288076605622</v>
      </c>
      <c r="L822" s="26" t="s">
        <v>7516</v>
      </c>
      <c r="M822" s="28"/>
      <c r="N822" s="28"/>
      <c r="O822" s="20">
        <v>42910.92</v>
      </c>
      <c r="P822" s="27" t="str">
        <f t="shared" si="37"/>
        <v>verde</v>
      </c>
    </row>
    <row r="823" spans="1:16">
      <c r="A823" s="3" t="s">
        <v>4</v>
      </c>
      <c r="B823" s="3" t="s">
        <v>387</v>
      </c>
      <c r="C823" s="4">
        <v>240</v>
      </c>
      <c r="D823" s="3" t="s">
        <v>69</v>
      </c>
      <c r="E823" s="3" t="s">
        <v>16</v>
      </c>
      <c r="F823" s="5">
        <v>660</v>
      </c>
      <c r="G823" s="5">
        <v>609</v>
      </c>
      <c r="H823" s="6">
        <v>34030.44</v>
      </c>
      <c r="I823" s="22">
        <v>36352.050000000003</v>
      </c>
      <c r="J823" s="24">
        <f t="shared" si="36"/>
        <v>2.5188778712326398E-4</v>
      </c>
      <c r="K823" s="25">
        <f t="shared" si="38"/>
        <v>0.65280476855317948</v>
      </c>
      <c r="L823" s="26" t="s">
        <v>7516</v>
      </c>
      <c r="M823" s="28"/>
      <c r="N823" s="28">
        <v>3.2029562541505352E-2</v>
      </c>
      <c r="O823" s="20">
        <v>3150.24</v>
      </c>
      <c r="P823" s="27" t="str">
        <f t="shared" si="37"/>
        <v>amarelo</v>
      </c>
    </row>
    <row r="824" spans="1:16" ht="25.5">
      <c r="A824" s="3" t="s">
        <v>5892</v>
      </c>
      <c r="B824" s="3" t="s">
        <v>5893</v>
      </c>
      <c r="C824" s="4">
        <v>328</v>
      </c>
      <c r="D824" s="3" t="s">
        <v>215</v>
      </c>
      <c r="E824" s="3" t="s">
        <v>41</v>
      </c>
      <c r="F824" s="5">
        <v>0</v>
      </c>
      <c r="G824" s="5">
        <v>648</v>
      </c>
      <c r="H824" s="6">
        <v>0</v>
      </c>
      <c r="I824" s="22">
        <v>36229.385000000002</v>
      </c>
      <c r="J824" s="24">
        <f t="shared" si="36"/>
        <v>2.5103782638081682E-4</v>
      </c>
      <c r="K824" s="25">
        <f t="shared" si="38"/>
        <v>0.65305580637956029</v>
      </c>
      <c r="L824" s="26" t="s">
        <v>7516</v>
      </c>
      <c r="M824" s="28"/>
      <c r="N824" s="28"/>
      <c r="O824" s="20">
        <v>18336.494999999999</v>
      </c>
      <c r="P824" s="27" t="str">
        <f t="shared" si="37"/>
        <v>amarelo</v>
      </c>
    </row>
    <row r="825" spans="1:16" ht="25.5">
      <c r="A825" s="3" t="s">
        <v>4</v>
      </c>
      <c r="B825" s="3" t="s">
        <v>388</v>
      </c>
      <c r="C825" s="4">
        <v>53</v>
      </c>
      <c r="D825" s="3" t="s">
        <v>34</v>
      </c>
      <c r="E825" s="3" t="s">
        <v>16</v>
      </c>
      <c r="F825" s="5">
        <v>0</v>
      </c>
      <c r="G825" s="5">
        <v>600</v>
      </c>
      <c r="H825" s="6">
        <v>0</v>
      </c>
      <c r="I825" s="22">
        <v>36219.599999999999</v>
      </c>
      <c r="J825" s="24">
        <f t="shared" si="36"/>
        <v>2.5097002492265968E-4</v>
      </c>
      <c r="K825" s="25">
        <f t="shared" si="38"/>
        <v>0.65330677640448298</v>
      </c>
      <c r="L825" s="26" t="s">
        <v>7516</v>
      </c>
      <c r="M825" s="28"/>
      <c r="N825" s="28"/>
      <c r="O825" s="20">
        <v>34679.279999999999</v>
      </c>
      <c r="P825" s="27" t="str">
        <f t="shared" si="37"/>
        <v>laranja</v>
      </c>
    </row>
    <row r="826" spans="1:16" ht="25.5">
      <c r="A826" s="3" t="s">
        <v>4</v>
      </c>
      <c r="B826" s="3" t="s">
        <v>389</v>
      </c>
      <c r="C826" s="4">
        <v>31</v>
      </c>
      <c r="D826" s="3" t="s">
        <v>194</v>
      </c>
      <c r="E826" s="3" t="s">
        <v>16</v>
      </c>
      <c r="F826" s="5">
        <v>384</v>
      </c>
      <c r="G826" s="5">
        <v>639</v>
      </c>
      <c r="H826" s="6">
        <v>21151.99</v>
      </c>
      <c r="I826" s="22">
        <v>36016.660000000003</v>
      </c>
      <c r="J826" s="24">
        <f t="shared" si="36"/>
        <v>2.4956382891669045E-4</v>
      </c>
      <c r="K826" s="25">
        <f t="shared" si="38"/>
        <v>0.6535563402333997</v>
      </c>
      <c r="L826" s="26" t="s">
        <v>7516</v>
      </c>
      <c r="M826" s="28">
        <v>8.9271965912897489E-2</v>
      </c>
      <c r="N826" s="28"/>
      <c r="O826" s="20" t="s">
        <v>7530</v>
      </c>
      <c r="P826" s="27" t="str">
        <f t="shared" si="37"/>
        <v>vermelho</v>
      </c>
    </row>
    <row r="827" spans="1:16" ht="25.5">
      <c r="A827" s="3" t="s">
        <v>4</v>
      </c>
      <c r="B827" s="3" t="s">
        <v>390</v>
      </c>
      <c r="C827" s="4">
        <v>261</v>
      </c>
      <c r="D827" s="3" t="s">
        <v>9</v>
      </c>
      <c r="E827" s="3" t="s">
        <v>10</v>
      </c>
      <c r="F827" s="5">
        <v>0</v>
      </c>
      <c r="G827" s="5">
        <v>573</v>
      </c>
      <c r="H827" s="6">
        <v>0</v>
      </c>
      <c r="I827" s="22">
        <v>36004.230000000003</v>
      </c>
      <c r="J827" s="24">
        <f t="shared" si="36"/>
        <v>2.4947769993100894E-4</v>
      </c>
      <c r="K827" s="25">
        <f t="shared" si="38"/>
        <v>0.6538058179333307</v>
      </c>
      <c r="L827" s="26" t="s">
        <v>7516</v>
      </c>
      <c r="M827" s="28"/>
      <c r="N827" s="28"/>
      <c r="O827" s="20" t="s">
        <v>7530</v>
      </c>
      <c r="P827" s="27" t="str">
        <f t="shared" si="37"/>
        <v>vermelho</v>
      </c>
    </row>
    <row r="828" spans="1:16" ht="25.5">
      <c r="A828" s="3" t="s">
        <v>4</v>
      </c>
      <c r="B828" s="3" t="s">
        <v>391</v>
      </c>
      <c r="C828" s="4">
        <v>178</v>
      </c>
      <c r="D828" s="3" t="s">
        <v>74</v>
      </c>
      <c r="E828" s="3" t="s">
        <v>7</v>
      </c>
      <c r="F828" s="5">
        <v>588</v>
      </c>
      <c r="G828" s="5">
        <v>540</v>
      </c>
      <c r="H828" s="6">
        <v>31502.28</v>
      </c>
      <c r="I828" s="22">
        <v>35900.28</v>
      </c>
      <c r="J828" s="24">
        <f t="shared" si="36"/>
        <v>2.4875741770561961E-4</v>
      </c>
      <c r="K828" s="25">
        <f t="shared" si="38"/>
        <v>0.65405457535103628</v>
      </c>
      <c r="L828" s="26" t="s">
        <v>7516</v>
      </c>
      <c r="M828" s="28"/>
      <c r="N828" s="28"/>
      <c r="O828" s="20">
        <v>30423.24</v>
      </c>
      <c r="P828" s="27" t="str">
        <f t="shared" si="37"/>
        <v>laranja</v>
      </c>
    </row>
    <row r="829" spans="1:16" ht="25.5">
      <c r="A829" s="3" t="s">
        <v>5894</v>
      </c>
      <c r="B829" s="3" t="s">
        <v>5895</v>
      </c>
      <c r="C829" s="4">
        <v>266</v>
      </c>
      <c r="D829" s="3" t="s">
        <v>80</v>
      </c>
      <c r="E829" s="3" t="s">
        <v>10</v>
      </c>
      <c r="F829" s="5">
        <v>0</v>
      </c>
      <c r="G829" s="5">
        <v>636</v>
      </c>
      <c r="H829" s="6">
        <v>0</v>
      </c>
      <c r="I829" s="22">
        <v>35819.730000000003</v>
      </c>
      <c r="J829" s="24">
        <f t="shared" si="36"/>
        <v>2.4819927693356473E-4</v>
      </c>
      <c r="K829" s="25">
        <f t="shared" si="38"/>
        <v>0.65430277462796982</v>
      </c>
      <c r="L829" s="26" t="s">
        <v>7516</v>
      </c>
      <c r="M829" s="28"/>
      <c r="N829" s="28"/>
      <c r="O829" s="20">
        <v>18661.241000000002</v>
      </c>
      <c r="P829" s="27" t="str">
        <f t="shared" si="37"/>
        <v>laranja</v>
      </c>
    </row>
    <row r="830" spans="1:16" ht="38.25">
      <c r="A830" s="3" t="s">
        <v>4</v>
      </c>
      <c r="B830" s="3" t="s">
        <v>392</v>
      </c>
      <c r="C830" s="4">
        <v>45</v>
      </c>
      <c r="D830" s="3" t="s">
        <v>23</v>
      </c>
      <c r="E830" s="3" t="s">
        <v>7</v>
      </c>
      <c r="F830" s="5">
        <v>696</v>
      </c>
      <c r="G830" s="5">
        <v>597</v>
      </c>
      <c r="H830" s="6">
        <v>37854.008000000002</v>
      </c>
      <c r="I830" s="22">
        <v>35816.1</v>
      </c>
      <c r="J830" s="24">
        <f t="shared" si="36"/>
        <v>2.4817412422093208E-4</v>
      </c>
      <c r="K830" s="25">
        <f t="shared" si="38"/>
        <v>0.65455094875219078</v>
      </c>
      <c r="L830" s="26" t="s">
        <v>7516</v>
      </c>
      <c r="M830" s="28"/>
      <c r="N830" s="28"/>
      <c r="O830" s="20">
        <v>15791.58</v>
      </c>
      <c r="P830" s="27" t="str">
        <f t="shared" si="37"/>
        <v>amarelo</v>
      </c>
    </row>
    <row r="831" spans="1:16" ht="25.5">
      <c r="A831" s="3" t="s">
        <v>5896</v>
      </c>
      <c r="B831" s="3" t="s">
        <v>5449</v>
      </c>
      <c r="C831" s="4">
        <v>299</v>
      </c>
      <c r="D831" s="3" t="s">
        <v>111</v>
      </c>
      <c r="E831" s="3" t="s">
        <v>49</v>
      </c>
      <c r="F831" s="5">
        <v>0</v>
      </c>
      <c r="G831" s="5">
        <v>720</v>
      </c>
      <c r="H831" s="6">
        <v>0</v>
      </c>
      <c r="I831" s="22">
        <v>35809.631999999998</v>
      </c>
      <c r="J831" s="24">
        <f t="shared" si="36"/>
        <v>2.4812930666024118E-4</v>
      </c>
      <c r="K831" s="25">
        <f t="shared" si="38"/>
        <v>0.65479907805885107</v>
      </c>
      <c r="L831" s="26" t="s">
        <v>7516</v>
      </c>
      <c r="M831" s="28"/>
      <c r="N831" s="28"/>
      <c r="O831" s="20">
        <v>20248.542000000001</v>
      </c>
      <c r="P831" s="27" t="str">
        <f t="shared" si="37"/>
        <v>laranja</v>
      </c>
    </row>
    <row r="832" spans="1:16" ht="25.5">
      <c r="A832" s="3" t="s">
        <v>4</v>
      </c>
      <c r="B832" s="3" t="s">
        <v>393</v>
      </c>
      <c r="C832" s="4">
        <v>31</v>
      </c>
      <c r="D832" s="3" t="s">
        <v>194</v>
      </c>
      <c r="E832" s="3" t="s">
        <v>16</v>
      </c>
      <c r="F832" s="5">
        <v>744</v>
      </c>
      <c r="G832" s="5">
        <v>624</v>
      </c>
      <c r="H832" s="6">
        <v>40144.199999999997</v>
      </c>
      <c r="I832" s="22">
        <v>35767.800000000003</v>
      </c>
      <c r="J832" s="24">
        <f t="shared" si="36"/>
        <v>2.4783944763135724E-4</v>
      </c>
      <c r="K832" s="25">
        <f t="shared" si="38"/>
        <v>0.65504691750648247</v>
      </c>
      <c r="L832" s="26" t="s">
        <v>7516</v>
      </c>
      <c r="M832" s="28"/>
      <c r="N832" s="28"/>
      <c r="O832" s="20">
        <v>15586.92</v>
      </c>
      <c r="P832" s="27" t="str">
        <f t="shared" si="37"/>
        <v>amarelo</v>
      </c>
    </row>
    <row r="833" spans="1:16" ht="25.5">
      <c r="A833" s="3" t="s">
        <v>4</v>
      </c>
      <c r="B833" s="3" t="s">
        <v>394</v>
      </c>
      <c r="C833" s="4">
        <v>178</v>
      </c>
      <c r="D833" s="3" t="s">
        <v>74</v>
      </c>
      <c r="E833" s="3" t="s">
        <v>7</v>
      </c>
      <c r="F833" s="5">
        <v>0</v>
      </c>
      <c r="G833" s="5">
        <v>576</v>
      </c>
      <c r="H833" s="6">
        <v>0</v>
      </c>
      <c r="I833" s="22">
        <v>35764.379999999997</v>
      </c>
      <c r="J833" s="24">
        <f t="shared" si="36"/>
        <v>2.4781575003433143E-4</v>
      </c>
      <c r="K833" s="25">
        <f t="shared" si="38"/>
        <v>0.65529473325651677</v>
      </c>
      <c r="L833" s="26" t="s">
        <v>7516</v>
      </c>
      <c r="M833" s="28"/>
      <c r="N833" s="28"/>
      <c r="O833" s="20">
        <v>12349.2</v>
      </c>
      <c r="P833" s="27" t="str">
        <f t="shared" si="37"/>
        <v>amarelo</v>
      </c>
    </row>
    <row r="834" spans="1:16" ht="38.25">
      <c r="A834" s="3" t="s">
        <v>4</v>
      </c>
      <c r="B834" s="3" t="s">
        <v>395</v>
      </c>
      <c r="C834" s="4">
        <v>38</v>
      </c>
      <c r="D834" s="3" t="s">
        <v>184</v>
      </c>
      <c r="E834" s="3" t="s">
        <v>49</v>
      </c>
      <c r="F834" s="5">
        <v>525</v>
      </c>
      <c r="G834" s="5">
        <v>606</v>
      </c>
      <c r="H834" s="6">
        <v>24810.081999999999</v>
      </c>
      <c r="I834" s="22">
        <v>35746.74</v>
      </c>
      <c r="J834" s="24">
        <f t="shared" si="36"/>
        <v>2.4769352032335629E-4</v>
      </c>
      <c r="K834" s="25">
        <f t="shared" si="38"/>
        <v>0.65554242677684016</v>
      </c>
      <c r="L834" s="26" t="s">
        <v>7516</v>
      </c>
      <c r="M834" s="28"/>
      <c r="N834" s="28"/>
      <c r="O834" s="20">
        <v>12340.17</v>
      </c>
      <c r="P834" s="27" t="str">
        <f t="shared" si="37"/>
        <v>amarelo</v>
      </c>
    </row>
    <row r="835" spans="1:16" ht="25.5">
      <c r="A835" s="3" t="s">
        <v>4</v>
      </c>
      <c r="B835" s="3" t="s">
        <v>396</v>
      </c>
      <c r="C835" s="4">
        <v>261</v>
      </c>
      <c r="D835" s="3" t="s">
        <v>9</v>
      </c>
      <c r="E835" s="3" t="s">
        <v>10</v>
      </c>
      <c r="F835" s="5">
        <v>435</v>
      </c>
      <c r="G835" s="5">
        <v>582</v>
      </c>
      <c r="H835" s="6">
        <v>27341.25</v>
      </c>
      <c r="I835" s="22">
        <v>35706.9</v>
      </c>
      <c r="J835" s="24">
        <f t="shared" ref="J835:J898" si="39">I835/$I$6364</f>
        <v>2.4741746410537159E-4</v>
      </c>
      <c r="K835" s="25">
        <f t="shared" si="38"/>
        <v>0.65578984424094555</v>
      </c>
      <c r="L835" s="26" t="s">
        <v>7516</v>
      </c>
      <c r="M835" s="28"/>
      <c r="N835" s="28"/>
      <c r="O835" s="20">
        <v>16567.02</v>
      </c>
      <c r="P835" s="27" t="str">
        <f t="shared" ref="P835:P898" si="40">IF(O835&lt;=0,"vermelho",IFERROR(IF(O835/I835&lt;=0.5098,"amarelo",IF(O835/I835&lt;1,"laranja","verde")),"vermelho"))</f>
        <v>amarelo</v>
      </c>
    </row>
    <row r="836" spans="1:16" ht="38.25">
      <c r="A836" s="3" t="s">
        <v>4</v>
      </c>
      <c r="B836" s="3" t="s">
        <v>397</v>
      </c>
      <c r="C836" s="4">
        <v>11</v>
      </c>
      <c r="D836" s="3" t="s">
        <v>61</v>
      </c>
      <c r="E836" s="3" t="s">
        <v>10</v>
      </c>
      <c r="F836" s="5">
        <v>228</v>
      </c>
      <c r="G836" s="5">
        <v>600</v>
      </c>
      <c r="H836" s="6">
        <v>15849.72</v>
      </c>
      <c r="I836" s="22">
        <v>35696.160000000003</v>
      </c>
      <c r="J836" s="24">
        <f t="shared" si="39"/>
        <v>2.473430453357643E-4</v>
      </c>
      <c r="K836" s="25">
        <f t="shared" ref="K836:K899" si="41">J836+K835</f>
        <v>0.65603718728628135</v>
      </c>
      <c r="L836" s="26" t="s">
        <v>7516</v>
      </c>
      <c r="M836" s="28"/>
      <c r="N836" s="28"/>
      <c r="O836" s="20" t="s">
        <v>7530</v>
      </c>
      <c r="P836" s="27" t="str">
        <f t="shared" si="40"/>
        <v>vermelho</v>
      </c>
    </row>
    <row r="837" spans="1:16" ht="25.5">
      <c r="A837" s="3" t="s">
        <v>5897</v>
      </c>
      <c r="B837" s="3" t="s">
        <v>5898</v>
      </c>
      <c r="C837" s="4">
        <v>93</v>
      </c>
      <c r="D837" s="3" t="s">
        <v>20</v>
      </c>
      <c r="E837" s="3" t="s">
        <v>7</v>
      </c>
      <c r="F837" s="5">
        <v>588</v>
      </c>
      <c r="G837" s="5">
        <v>720</v>
      </c>
      <c r="H837" s="6">
        <v>37707.120000000003</v>
      </c>
      <c r="I837" s="22">
        <v>35671.919999999998</v>
      </c>
      <c r="J837" s="24">
        <f t="shared" si="39"/>
        <v>2.4717508342000249E-4</v>
      </c>
      <c r="K837" s="25">
        <f t="shared" si="41"/>
        <v>0.65628436236970134</v>
      </c>
      <c r="L837" s="26" t="s">
        <v>7516</v>
      </c>
      <c r="M837" s="28"/>
      <c r="N837" s="28"/>
      <c r="O837" s="20" t="s">
        <v>7530</v>
      </c>
      <c r="P837" s="27" t="str">
        <f t="shared" si="40"/>
        <v>vermelho</v>
      </c>
    </row>
    <row r="838" spans="1:16">
      <c r="A838" s="3" t="s">
        <v>4</v>
      </c>
      <c r="B838" s="3" t="s">
        <v>398</v>
      </c>
      <c r="C838" s="4">
        <v>232</v>
      </c>
      <c r="D838" s="3" t="s">
        <v>174</v>
      </c>
      <c r="E838" s="3" t="s">
        <v>16</v>
      </c>
      <c r="F838" s="5">
        <v>399</v>
      </c>
      <c r="G838" s="5">
        <v>648</v>
      </c>
      <c r="H838" s="6">
        <v>22480.35</v>
      </c>
      <c r="I838" s="22">
        <v>35611.050000000003</v>
      </c>
      <c r="J838" s="24">
        <f t="shared" si="39"/>
        <v>2.4675330776767501E-4</v>
      </c>
      <c r="K838" s="25">
        <f t="shared" si="41"/>
        <v>0.65653111567746902</v>
      </c>
      <c r="L838" s="26" t="s">
        <v>7516</v>
      </c>
      <c r="M838" s="28"/>
      <c r="N838" s="28"/>
      <c r="O838" s="20">
        <v>17969.939999999999</v>
      </c>
      <c r="P838" s="27" t="str">
        <f t="shared" si="40"/>
        <v>amarelo</v>
      </c>
    </row>
    <row r="839" spans="1:16" ht="25.5">
      <c r="A839" s="3" t="s">
        <v>4</v>
      </c>
      <c r="B839" s="3" t="s">
        <v>399</v>
      </c>
      <c r="C839" s="4">
        <v>31</v>
      </c>
      <c r="D839" s="3" t="s">
        <v>194</v>
      </c>
      <c r="E839" s="3" t="s">
        <v>16</v>
      </c>
      <c r="F839" s="5">
        <v>900</v>
      </c>
      <c r="G839" s="5">
        <v>618</v>
      </c>
      <c r="H839" s="6">
        <v>51088.32</v>
      </c>
      <c r="I839" s="22">
        <v>35597.760000000002</v>
      </c>
      <c r="J839" s="24">
        <f t="shared" si="39"/>
        <v>2.4666121973712738E-4</v>
      </c>
      <c r="K839" s="25">
        <f t="shared" si="41"/>
        <v>0.65677777689720618</v>
      </c>
      <c r="L839" s="26" t="s">
        <v>7516</v>
      </c>
      <c r="M839" s="28"/>
      <c r="N839" s="28"/>
      <c r="O839" s="20">
        <v>13101</v>
      </c>
      <c r="P839" s="27" t="str">
        <f t="shared" si="40"/>
        <v>amarelo</v>
      </c>
    </row>
    <row r="840" spans="1:16" ht="25.5">
      <c r="A840" s="3" t="s">
        <v>4</v>
      </c>
      <c r="B840" s="3" t="s">
        <v>400</v>
      </c>
      <c r="C840" s="4">
        <v>299</v>
      </c>
      <c r="D840" s="3" t="s">
        <v>111</v>
      </c>
      <c r="E840" s="3" t="s">
        <v>49</v>
      </c>
      <c r="F840" s="5">
        <v>0</v>
      </c>
      <c r="G840" s="5">
        <v>570</v>
      </c>
      <c r="H840" s="6">
        <v>0</v>
      </c>
      <c r="I840" s="22">
        <v>35581.08</v>
      </c>
      <c r="J840" s="24">
        <f t="shared" si="39"/>
        <v>2.4654564198321207E-4</v>
      </c>
      <c r="K840" s="25">
        <f t="shared" si="41"/>
        <v>0.65702432253918941</v>
      </c>
      <c r="L840" s="26" t="s">
        <v>7516</v>
      </c>
      <c r="M840" s="28"/>
      <c r="N840" s="28"/>
      <c r="O840" s="20" t="s">
        <v>7530</v>
      </c>
      <c r="P840" s="27" t="str">
        <f t="shared" si="40"/>
        <v>vermelho</v>
      </c>
    </row>
    <row r="841" spans="1:16" ht="25.5">
      <c r="A841" s="3" t="s">
        <v>5899</v>
      </c>
      <c r="B841" s="3" t="s">
        <v>5900</v>
      </c>
      <c r="C841" s="4">
        <v>194</v>
      </c>
      <c r="D841" s="3" t="s">
        <v>145</v>
      </c>
      <c r="E841" s="3" t="s">
        <v>16</v>
      </c>
      <c r="F841" s="5">
        <v>726</v>
      </c>
      <c r="G841" s="5">
        <v>609</v>
      </c>
      <c r="H841" s="6">
        <v>41372.339999999997</v>
      </c>
      <c r="I841" s="22">
        <v>35552.910000000003</v>
      </c>
      <c r="J841" s="24">
        <f t="shared" si="39"/>
        <v>2.4635044861823647E-4</v>
      </c>
      <c r="K841" s="25">
        <f t="shared" si="41"/>
        <v>0.65727067298780761</v>
      </c>
      <c r="L841" s="26" t="s">
        <v>7516</v>
      </c>
      <c r="M841" s="28"/>
      <c r="N841" s="28"/>
      <c r="O841" s="20">
        <v>20558.88</v>
      </c>
      <c r="P841" s="27" t="str">
        <f t="shared" si="40"/>
        <v>laranja</v>
      </c>
    </row>
    <row r="842" spans="1:16" ht="38.25">
      <c r="A842" s="3" t="s">
        <v>5149</v>
      </c>
      <c r="B842" s="3" t="s">
        <v>4963</v>
      </c>
      <c r="C842" s="4">
        <v>301</v>
      </c>
      <c r="D842" s="3" t="s">
        <v>519</v>
      </c>
      <c r="E842" s="3" t="s">
        <v>16</v>
      </c>
      <c r="F842" s="5">
        <v>1455</v>
      </c>
      <c r="G842" s="5">
        <v>654</v>
      </c>
      <c r="H842" s="6">
        <v>84437.7</v>
      </c>
      <c r="I842" s="22">
        <v>35402.04</v>
      </c>
      <c r="J842" s="24">
        <f t="shared" si="39"/>
        <v>2.4530505199154586E-4</v>
      </c>
      <c r="K842" s="25">
        <f t="shared" si="41"/>
        <v>0.65751597803979911</v>
      </c>
      <c r="L842" s="26" t="s">
        <v>7516</v>
      </c>
      <c r="M842" s="28"/>
      <c r="N842" s="28"/>
      <c r="O842" s="20">
        <v>284940.21000000002</v>
      </c>
      <c r="P842" s="27" t="str">
        <f t="shared" si="40"/>
        <v>verde</v>
      </c>
    </row>
    <row r="843" spans="1:16" ht="25.5">
      <c r="A843" s="3" t="s">
        <v>4</v>
      </c>
      <c r="B843" s="3" t="s">
        <v>401</v>
      </c>
      <c r="C843" s="4">
        <v>74</v>
      </c>
      <c r="D843" s="3" t="s">
        <v>6</v>
      </c>
      <c r="E843" s="3" t="s">
        <v>7</v>
      </c>
      <c r="F843" s="5">
        <v>0</v>
      </c>
      <c r="G843" s="5">
        <v>576</v>
      </c>
      <c r="H843" s="6">
        <v>0</v>
      </c>
      <c r="I843" s="22">
        <v>35260.92</v>
      </c>
      <c r="J843" s="24">
        <f t="shared" si="39"/>
        <v>2.4432721430374464E-4</v>
      </c>
      <c r="K843" s="25">
        <f t="shared" si="41"/>
        <v>0.65776030525410289</v>
      </c>
      <c r="L843" s="26" t="s">
        <v>7516</v>
      </c>
      <c r="M843" s="28"/>
      <c r="N843" s="28"/>
      <c r="O843" s="20" t="s">
        <v>7530</v>
      </c>
      <c r="P843" s="27" t="str">
        <f t="shared" si="40"/>
        <v>vermelho</v>
      </c>
    </row>
    <row r="844" spans="1:16" ht="25.5">
      <c r="A844" s="3" t="s">
        <v>4</v>
      </c>
      <c r="B844" s="3" t="s">
        <v>402</v>
      </c>
      <c r="C844" s="4">
        <v>317</v>
      </c>
      <c r="D844" s="3" t="s">
        <v>78</v>
      </c>
      <c r="E844" s="3" t="s">
        <v>10</v>
      </c>
      <c r="F844" s="5">
        <v>384</v>
      </c>
      <c r="G844" s="5">
        <v>546</v>
      </c>
      <c r="H844" s="6">
        <v>20256.599999999999</v>
      </c>
      <c r="I844" s="22">
        <v>35257.08</v>
      </c>
      <c r="J844" s="24">
        <f t="shared" si="39"/>
        <v>2.4430060647550515E-4</v>
      </c>
      <c r="K844" s="25">
        <f t="shared" si="41"/>
        <v>0.65800460586057841</v>
      </c>
      <c r="L844" s="26" t="s">
        <v>7516</v>
      </c>
      <c r="M844" s="28"/>
      <c r="N844" s="28"/>
      <c r="O844" s="20" t="s">
        <v>7530</v>
      </c>
      <c r="P844" s="27" t="str">
        <f t="shared" si="40"/>
        <v>vermelho</v>
      </c>
    </row>
    <row r="845" spans="1:16" ht="25.5">
      <c r="A845" s="3" t="s">
        <v>5901</v>
      </c>
      <c r="B845" s="3" t="s">
        <v>5902</v>
      </c>
      <c r="C845" s="4">
        <v>93</v>
      </c>
      <c r="D845" s="3" t="s">
        <v>20</v>
      </c>
      <c r="E845" s="3" t="s">
        <v>7</v>
      </c>
      <c r="F845" s="5">
        <v>180</v>
      </c>
      <c r="G845" s="5">
        <v>564</v>
      </c>
      <c r="H845" s="6">
        <v>10928.88</v>
      </c>
      <c r="I845" s="22">
        <v>35239.199999999997</v>
      </c>
      <c r="J845" s="24">
        <f t="shared" si="39"/>
        <v>2.44176713775265E-4</v>
      </c>
      <c r="K845" s="25">
        <f t="shared" si="41"/>
        <v>0.65824878257435371</v>
      </c>
      <c r="L845" s="26" t="s">
        <v>7516</v>
      </c>
      <c r="M845" s="28"/>
      <c r="N845" s="28"/>
      <c r="O845" s="20">
        <v>11068.2</v>
      </c>
      <c r="P845" s="27" t="str">
        <f t="shared" si="40"/>
        <v>amarelo</v>
      </c>
    </row>
    <row r="846" spans="1:16" ht="38.25">
      <c r="A846" s="3" t="s">
        <v>4</v>
      </c>
      <c r="B846" s="3" t="s">
        <v>403</v>
      </c>
      <c r="C846" s="4">
        <v>45</v>
      </c>
      <c r="D846" s="3" t="s">
        <v>23</v>
      </c>
      <c r="E846" s="3" t="s">
        <v>7</v>
      </c>
      <c r="F846" s="5">
        <v>747</v>
      </c>
      <c r="G846" s="5">
        <v>588</v>
      </c>
      <c r="H846" s="6">
        <v>44029.53</v>
      </c>
      <c r="I846" s="22">
        <v>35222.639999999999</v>
      </c>
      <c r="J846" s="24">
        <f t="shared" si="39"/>
        <v>2.4406196751598221E-4</v>
      </c>
      <c r="K846" s="25">
        <f t="shared" si="41"/>
        <v>0.65849284454186974</v>
      </c>
      <c r="L846" s="26" t="s">
        <v>7516</v>
      </c>
      <c r="M846" s="28"/>
      <c r="N846" s="28">
        <v>5.0813703978770393E-2</v>
      </c>
      <c r="O846" s="20">
        <v>15181.44</v>
      </c>
      <c r="P846" s="27" t="str">
        <f t="shared" si="40"/>
        <v>amarelo</v>
      </c>
    </row>
    <row r="847" spans="1:16" ht="51">
      <c r="A847" s="3" t="s">
        <v>5903</v>
      </c>
      <c r="B847" s="3" t="s">
        <v>5904</v>
      </c>
      <c r="C847" s="4">
        <v>282</v>
      </c>
      <c r="D847" s="3" t="s">
        <v>12</v>
      </c>
      <c r="E847" s="3" t="s">
        <v>13</v>
      </c>
      <c r="F847" s="5">
        <v>0</v>
      </c>
      <c r="G847" s="5">
        <v>926</v>
      </c>
      <c r="H847" s="6">
        <v>0</v>
      </c>
      <c r="I847" s="22">
        <v>35217.230000000003</v>
      </c>
      <c r="J847" s="24">
        <f t="shared" si="39"/>
        <v>2.4402448096630109E-4</v>
      </c>
      <c r="K847" s="25">
        <f t="shared" si="41"/>
        <v>0.65873686902283601</v>
      </c>
      <c r="L847" s="26" t="s">
        <v>7516</v>
      </c>
      <c r="M847" s="28"/>
      <c r="N847" s="28"/>
      <c r="O847" s="20" t="s">
        <v>7530</v>
      </c>
      <c r="P847" s="27" t="str">
        <f t="shared" si="40"/>
        <v>vermelho</v>
      </c>
    </row>
    <row r="848" spans="1:16" ht="25.5">
      <c r="A848" s="3" t="s">
        <v>4</v>
      </c>
      <c r="B848" s="3" t="s">
        <v>404</v>
      </c>
      <c r="C848" s="4">
        <v>19</v>
      </c>
      <c r="D848" s="3" t="s">
        <v>72</v>
      </c>
      <c r="E848" s="3" t="s">
        <v>41</v>
      </c>
      <c r="F848" s="5">
        <v>720</v>
      </c>
      <c r="G848" s="5">
        <v>597</v>
      </c>
      <c r="H848" s="6">
        <v>42204.84</v>
      </c>
      <c r="I848" s="22">
        <v>35194.199999999997</v>
      </c>
      <c r="J848" s="24">
        <f t="shared" si="39"/>
        <v>2.4386490328808349E-4</v>
      </c>
      <c r="K848" s="25">
        <f t="shared" si="41"/>
        <v>0.65898073392612411</v>
      </c>
      <c r="L848" s="26" t="s">
        <v>7516</v>
      </c>
      <c r="M848" s="28"/>
      <c r="N848" s="28"/>
      <c r="O848" s="20" t="s">
        <v>7530</v>
      </c>
      <c r="P848" s="27" t="str">
        <f t="shared" si="40"/>
        <v>vermelho</v>
      </c>
    </row>
    <row r="849" spans="1:16" ht="25.5">
      <c r="A849" s="3" t="s">
        <v>4</v>
      </c>
      <c r="B849" s="3" t="s">
        <v>405</v>
      </c>
      <c r="C849" s="4">
        <v>337</v>
      </c>
      <c r="D849" s="3" t="s">
        <v>202</v>
      </c>
      <c r="E849" s="3" t="s">
        <v>16</v>
      </c>
      <c r="F849" s="5">
        <v>0</v>
      </c>
      <c r="G849" s="5">
        <v>576</v>
      </c>
      <c r="H849" s="6">
        <v>0</v>
      </c>
      <c r="I849" s="22">
        <v>35158.559999999998</v>
      </c>
      <c r="J849" s="24">
        <f t="shared" si="39"/>
        <v>2.4361794938223573E-4</v>
      </c>
      <c r="K849" s="25">
        <f t="shared" si="41"/>
        <v>0.65922435187550632</v>
      </c>
      <c r="L849" s="26" t="s">
        <v>7516</v>
      </c>
      <c r="M849" s="28"/>
      <c r="N849" s="28"/>
      <c r="O849" s="20" t="s">
        <v>7530</v>
      </c>
      <c r="P849" s="27" t="str">
        <f t="shared" si="40"/>
        <v>vermelho</v>
      </c>
    </row>
    <row r="850" spans="1:16" ht="25.5">
      <c r="A850" s="3" t="s">
        <v>4</v>
      </c>
      <c r="B850" s="3" t="s">
        <v>406</v>
      </c>
      <c r="C850" s="4">
        <v>335</v>
      </c>
      <c r="D850" s="3" t="s">
        <v>36</v>
      </c>
      <c r="E850" s="3" t="s">
        <v>7</v>
      </c>
      <c r="F850" s="5">
        <v>0</v>
      </c>
      <c r="G850" s="5">
        <v>447</v>
      </c>
      <c r="H850" s="6">
        <v>0</v>
      </c>
      <c r="I850" s="22">
        <v>35128.74</v>
      </c>
      <c r="J850" s="24">
        <f t="shared" si="39"/>
        <v>2.4341132296606344E-4</v>
      </c>
      <c r="K850" s="25">
        <f t="shared" si="41"/>
        <v>0.65946776319847233</v>
      </c>
      <c r="L850" s="26" t="s">
        <v>7516</v>
      </c>
      <c r="M850" s="28"/>
      <c r="N850" s="28"/>
      <c r="O850" s="20">
        <v>17924.16</v>
      </c>
      <c r="P850" s="27" t="str">
        <f t="shared" si="40"/>
        <v>laranja</v>
      </c>
    </row>
    <row r="851" spans="1:16" ht="38.25">
      <c r="A851" s="3" t="s">
        <v>5322</v>
      </c>
      <c r="B851" s="3" t="s">
        <v>5323</v>
      </c>
      <c r="C851" s="4">
        <v>301</v>
      </c>
      <c r="D851" s="3" t="s">
        <v>519</v>
      </c>
      <c r="E851" s="3" t="s">
        <v>16</v>
      </c>
      <c r="F851" s="5">
        <v>966</v>
      </c>
      <c r="G851" s="5">
        <v>648</v>
      </c>
      <c r="H851" s="6">
        <v>47033.58</v>
      </c>
      <c r="I851" s="22">
        <v>35077.56</v>
      </c>
      <c r="J851" s="24">
        <f t="shared" si="39"/>
        <v>2.43056690505309E-4</v>
      </c>
      <c r="K851" s="25">
        <f t="shared" si="41"/>
        <v>0.65971081988897762</v>
      </c>
      <c r="L851" s="26" t="s">
        <v>7516</v>
      </c>
      <c r="M851" s="28"/>
      <c r="N851" s="28"/>
      <c r="O851" s="20">
        <v>3388.89</v>
      </c>
      <c r="P851" s="27" t="str">
        <f t="shared" si="40"/>
        <v>amarelo</v>
      </c>
    </row>
    <row r="852" spans="1:16" ht="38.25">
      <c r="A852" s="3" t="s">
        <v>4</v>
      </c>
      <c r="B852" s="3" t="s">
        <v>407</v>
      </c>
      <c r="C852" s="4">
        <v>34</v>
      </c>
      <c r="D852" s="3" t="s">
        <v>54</v>
      </c>
      <c r="E852" s="3" t="s">
        <v>49</v>
      </c>
      <c r="F852" s="5">
        <v>348</v>
      </c>
      <c r="G852" s="5">
        <v>525</v>
      </c>
      <c r="H852" s="6">
        <v>19895.189999999999</v>
      </c>
      <c r="I852" s="22">
        <v>35022.21</v>
      </c>
      <c r="J852" s="24">
        <f t="shared" si="39"/>
        <v>2.4267316360607573E-4</v>
      </c>
      <c r="K852" s="25">
        <f t="shared" si="41"/>
        <v>0.65995349305258366</v>
      </c>
      <c r="L852" s="26" t="s">
        <v>7516</v>
      </c>
      <c r="M852" s="28"/>
      <c r="N852" s="28"/>
      <c r="O852" s="20" t="s">
        <v>7530</v>
      </c>
      <c r="P852" s="27" t="str">
        <f t="shared" si="40"/>
        <v>vermelho</v>
      </c>
    </row>
    <row r="853" spans="1:16" ht="25.5">
      <c r="A853" s="3" t="s">
        <v>4</v>
      </c>
      <c r="B853" s="3" t="s">
        <v>408</v>
      </c>
      <c r="C853" s="4">
        <v>267</v>
      </c>
      <c r="D853" s="3" t="s">
        <v>125</v>
      </c>
      <c r="E853" s="3" t="s">
        <v>16</v>
      </c>
      <c r="F853" s="5">
        <v>120</v>
      </c>
      <c r="G853" s="5">
        <v>708</v>
      </c>
      <c r="H853" s="6">
        <v>4998.4799999999996</v>
      </c>
      <c r="I853" s="22">
        <v>34991.879999999997</v>
      </c>
      <c r="J853" s="24">
        <f t="shared" si="39"/>
        <v>2.4246300333771538E-4</v>
      </c>
      <c r="K853" s="25">
        <f t="shared" si="41"/>
        <v>0.66019595605592141</v>
      </c>
      <c r="L853" s="26" t="s">
        <v>7516</v>
      </c>
      <c r="M853" s="28"/>
      <c r="N853" s="28"/>
      <c r="O853" s="20" t="s">
        <v>7530</v>
      </c>
      <c r="P853" s="27" t="str">
        <f t="shared" si="40"/>
        <v>vermelho</v>
      </c>
    </row>
    <row r="854" spans="1:16" ht="25.5">
      <c r="A854" s="3" t="s">
        <v>4</v>
      </c>
      <c r="B854" s="3" t="s">
        <v>409</v>
      </c>
      <c r="C854" s="4">
        <v>178</v>
      </c>
      <c r="D854" s="3" t="s">
        <v>74</v>
      </c>
      <c r="E854" s="3" t="s">
        <v>7</v>
      </c>
      <c r="F854" s="5">
        <v>600</v>
      </c>
      <c r="G854" s="5">
        <v>546</v>
      </c>
      <c r="H854" s="6">
        <v>35070</v>
      </c>
      <c r="I854" s="22">
        <v>34962.660000000003</v>
      </c>
      <c r="J854" s="24">
        <f t="shared" si="39"/>
        <v>2.4226053439470557E-4</v>
      </c>
      <c r="K854" s="25">
        <f t="shared" si="41"/>
        <v>0.6604382165903161</v>
      </c>
      <c r="L854" s="26" t="s">
        <v>7516</v>
      </c>
      <c r="M854" s="28"/>
      <c r="N854" s="28"/>
      <c r="O854" s="20">
        <v>13134.12</v>
      </c>
      <c r="P854" s="27" t="str">
        <f t="shared" si="40"/>
        <v>amarelo</v>
      </c>
    </row>
    <row r="855" spans="1:16" ht="25.5">
      <c r="A855" s="3" t="s">
        <v>5905</v>
      </c>
      <c r="B855" s="3" t="s">
        <v>5906</v>
      </c>
      <c r="C855" s="4">
        <v>267</v>
      </c>
      <c r="D855" s="3" t="s">
        <v>125</v>
      </c>
      <c r="E855" s="3" t="s">
        <v>16</v>
      </c>
      <c r="F855" s="5">
        <v>192</v>
      </c>
      <c r="G855" s="5">
        <v>660</v>
      </c>
      <c r="H855" s="6">
        <v>7939.2</v>
      </c>
      <c r="I855" s="22">
        <v>34929.03</v>
      </c>
      <c r="J855" s="24">
        <f t="shared" si="39"/>
        <v>2.4202750802395189E-4</v>
      </c>
      <c r="K855" s="25">
        <f t="shared" si="41"/>
        <v>0.66068024409834003</v>
      </c>
      <c r="L855" s="26" t="s">
        <v>7516</v>
      </c>
      <c r="M855" s="28"/>
      <c r="N855" s="28"/>
      <c r="O855" s="20" t="s">
        <v>7530</v>
      </c>
      <c r="P855" s="27" t="str">
        <f t="shared" si="40"/>
        <v>vermelho</v>
      </c>
    </row>
    <row r="856" spans="1:16" ht="25.5">
      <c r="A856" s="3" t="s">
        <v>4</v>
      </c>
      <c r="B856" s="3" t="s">
        <v>410</v>
      </c>
      <c r="C856" s="4">
        <v>167</v>
      </c>
      <c r="D856" s="3" t="s">
        <v>251</v>
      </c>
      <c r="E856" s="3" t="s">
        <v>49</v>
      </c>
      <c r="F856" s="5">
        <v>288</v>
      </c>
      <c r="G856" s="5">
        <v>645</v>
      </c>
      <c r="H856" s="6">
        <v>15168.69</v>
      </c>
      <c r="I856" s="22">
        <v>34897.199999999997</v>
      </c>
      <c r="J856" s="24">
        <f t="shared" si="39"/>
        <v>2.4180695407268547E-4</v>
      </c>
      <c r="K856" s="25">
        <f t="shared" si="41"/>
        <v>0.66092205105241275</v>
      </c>
      <c r="L856" s="26" t="s">
        <v>7516</v>
      </c>
      <c r="M856" s="28"/>
      <c r="N856" s="28"/>
      <c r="O856" s="20" t="s">
        <v>7530</v>
      </c>
      <c r="P856" s="27" t="str">
        <f t="shared" si="40"/>
        <v>vermelho</v>
      </c>
    </row>
    <row r="857" spans="1:16">
      <c r="A857" s="3" t="s">
        <v>4</v>
      </c>
      <c r="B857" s="3" t="s">
        <v>411</v>
      </c>
      <c r="C857" s="4">
        <v>232</v>
      </c>
      <c r="D857" s="3" t="s">
        <v>174</v>
      </c>
      <c r="E857" s="3" t="s">
        <v>16</v>
      </c>
      <c r="F857" s="5">
        <v>456</v>
      </c>
      <c r="G857" s="5">
        <v>594</v>
      </c>
      <c r="H857" s="6">
        <v>24634.560000000001</v>
      </c>
      <c r="I857" s="22">
        <v>34866.36</v>
      </c>
      <c r="J857" s="24">
        <f t="shared" si="39"/>
        <v>2.4159325995213709E-4</v>
      </c>
      <c r="K857" s="25">
        <f t="shared" si="41"/>
        <v>0.66116364431236485</v>
      </c>
      <c r="L857" s="26" t="s">
        <v>7516</v>
      </c>
      <c r="M857" s="28"/>
      <c r="N857" s="28"/>
      <c r="O857" s="20">
        <v>2707.1</v>
      </c>
      <c r="P857" s="27" t="str">
        <f t="shared" si="40"/>
        <v>amarelo</v>
      </c>
    </row>
    <row r="858" spans="1:16" ht="25.5">
      <c r="A858" s="3" t="s">
        <v>4</v>
      </c>
      <c r="B858" s="3" t="s">
        <v>412</v>
      </c>
      <c r="C858" s="4">
        <v>240</v>
      </c>
      <c r="D858" s="3" t="s">
        <v>69</v>
      </c>
      <c r="E858" s="3" t="s">
        <v>16</v>
      </c>
      <c r="F858" s="5">
        <v>456</v>
      </c>
      <c r="G858" s="5">
        <v>576</v>
      </c>
      <c r="H858" s="6">
        <v>27713.16</v>
      </c>
      <c r="I858" s="22">
        <v>34837.56</v>
      </c>
      <c r="J858" s="24">
        <f t="shared" si="39"/>
        <v>2.413937012403409E-4</v>
      </c>
      <c r="K858" s="25">
        <f t="shared" si="41"/>
        <v>0.66140503801360517</v>
      </c>
      <c r="L858" s="26" t="s">
        <v>7516</v>
      </c>
      <c r="M858" s="28"/>
      <c r="N858" s="28">
        <v>2.8632379999403518E-2</v>
      </c>
      <c r="O858" s="20">
        <v>13761.12</v>
      </c>
      <c r="P858" s="27" t="str">
        <f t="shared" si="40"/>
        <v>amarelo</v>
      </c>
    </row>
    <row r="859" spans="1:16">
      <c r="A859" s="3" t="s">
        <v>5907</v>
      </c>
      <c r="B859" s="3" t="s">
        <v>5908</v>
      </c>
      <c r="C859" s="4">
        <v>240</v>
      </c>
      <c r="D859" s="3" t="s">
        <v>69</v>
      </c>
      <c r="E859" s="3" t="s">
        <v>16</v>
      </c>
      <c r="F859" s="5">
        <v>606</v>
      </c>
      <c r="G859" s="5">
        <v>588</v>
      </c>
      <c r="H859" s="6">
        <v>35800.47</v>
      </c>
      <c r="I859" s="22">
        <v>34773.360000000001</v>
      </c>
      <c r="J859" s="24">
        <f t="shared" si="39"/>
        <v>2.4094885161196196E-4</v>
      </c>
      <c r="K859" s="25">
        <f t="shared" si="41"/>
        <v>0.66164598686521714</v>
      </c>
      <c r="L859" s="26" t="s">
        <v>7516</v>
      </c>
      <c r="M859" s="28"/>
      <c r="N859" s="28"/>
      <c r="O859" s="20">
        <v>11344.2</v>
      </c>
      <c r="P859" s="27" t="str">
        <f t="shared" si="40"/>
        <v>amarelo</v>
      </c>
    </row>
    <row r="860" spans="1:16" ht="25.5">
      <c r="A860" s="3" t="s">
        <v>5909</v>
      </c>
      <c r="B860" s="3" t="s">
        <v>5910</v>
      </c>
      <c r="C860" s="4">
        <v>335</v>
      </c>
      <c r="D860" s="3" t="s">
        <v>36</v>
      </c>
      <c r="E860" s="3" t="s">
        <v>7</v>
      </c>
      <c r="F860" s="5">
        <v>219</v>
      </c>
      <c r="G860" s="5">
        <v>546</v>
      </c>
      <c r="H860" s="6">
        <v>12199.44</v>
      </c>
      <c r="I860" s="22">
        <v>34742.01</v>
      </c>
      <c r="J860" s="24">
        <f t="shared" si="39"/>
        <v>2.4073162363922552E-4</v>
      </c>
      <c r="K860" s="25">
        <f t="shared" si="41"/>
        <v>0.66188671848885638</v>
      </c>
      <c r="L860" s="26" t="s">
        <v>7516</v>
      </c>
      <c r="M860" s="28"/>
      <c r="N860" s="28"/>
      <c r="O860" s="20">
        <v>19117.02</v>
      </c>
      <c r="P860" s="27" t="str">
        <f t="shared" si="40"/>
        <v>laranja</v>
      </c>
    </row>
    <row r="861" spans="1:16">
      <c r="A861" s="3" t="s">
        <v>4</v>
      </c>
      <c r="B861" s="3" t="s">
        <v>413</v>
      </c>
      <c r="C861" s="4">
        <v>240</v>
      </c>
      <c r="D861" s="3" t="s">
        <v>69</v>
      </c>
      <c r="E861" s="3" t="s">
        <v>16</v>
      </c>
      <c r="F861" s="5">
        <v>456</v>
      </c>
      <c r="G861" s="5">
        <v>588</v>
      </c>
      <c r="H861" s="6">
        <v>25050.12</v>
      </c>
      <c r="I861" s="22">
        <v>34723.800000000003</v>
      </c>
      <c r="J861" s="24">
        <f t="shared" si="39"/>
        <v>2.4060544432874607E-4</v>
      </c>
      <c r="K861" s="25">
        <f t="shared" si="41"/>
        <v>0.66212732393318519</v>
      </c>
      <c r="L861" s="26" t="s">
        <v>7516</v>
      </c>
      <c r="M861" s="28"/>
      <c r="N861" s="28"/>
      <c r="O861" s="20">
        <v>13852.8</v>
      </c>
      <c r="P861" s="27" t="str">
        <f t="shared" si="40"/>
        <v>amarelo</v>
      </c>
    </row>
    <row r="862" spans="1:16" ht="38.25">
      <c r="A862" s="3" t="s">
        <v>4</v>
      </c>
      <c r="B862" s="3" t="s">
        <v>414</v>
      </c>
      <c r="C862" s="4">
        <v>371</v>
      </c>
      <c r="D862" s="3" t="s">
        <v>82</v>
      </c>
      <c r="E862" s="3" t="s">
        <v>49</v>
      </c>
      <c r="F862" s="5">
        <v>0</v>
      </c>
      <c r="G862" s="5">
        <v>681</v>
      </c>
      <c r="H862" s="6">
        <v>0</v>
      </c>
      <c r="I862" s="22">
        <v>34716.54</v>
      </c>
      <c r="J862" s="24">
        <f t="shared" si="39"/>
        <v>2.4055513890348078E-4</v>
      </c>
      <c r="K862" s="25">
        <f t="shared" si="41"/>
        <v>0.66236787907208872</v>
      </c>
      <c r="L862" s="26" t="s">
        <v>7516</v>
      </c>
      <c r="M862" s="28"/>
      <c r="N862" s="28"/>
      <c r="O862" s="20" t="s">
        <v>7530</v>
      </c>
      <c r="P862" s="27" t="str">
        <f t="shared" si="40"/>
        <v>vermelho</v>
      </c>
    </row>
    <row r="863" spans="1:16" ht="38.25">
      <c r="A863" s="3" t="s">
        <v>4</v>
      </c>
      <c r="B863" s="3" t="s">
        <v>415</v>
      </c>
      <c r="C863" s="4">
        <v>266</v>
      </c>
      <c r="D863" s="3" t="s">
        <v>80</v>
      </c>
      <c r="E863" s="3" t="s">
        <v>10</v>
      </c>
      <c r="F863" s="5">
        <v>864</v>
      </c>
      <c r="G863" s="5">
        <v>597</v>
      </c>
      <c r="H863" s="6">
        <v>48024.27</v>
      </c>
      <c r="I863" s="22">
        <v>34633.620000000003</v>
      </c>
      <c r="J863" s="24">
        <f t="shared" si="39"/>
        <v>2.399805761124343E-4</v>
      </c>
      <c r="K863" s="25">
        <f t="shared" si="41"/>
        <v>0.66260785964820113</v>
      </c>
      <c r="L863" s="26" t="s">
        <v>7516</v>
      </c>
      <c r="M863" s="28"/>
      <c r="N863" s="28"/>
      <c r="O863" s="20" t="s">
        <v>7530</v>
      </c>
      <c r="P863" s="27" t="str">
        <f t="shared" si="40"/>
        <v>vermelho</v>
      </c>
    </row>
    <row r="864" spans="1:16" ht="25.5">
      <c r="A864" s="3" t="s">
        <v>4</v>
      </c>
      <c r="B864" s="3" t="s">
        <v>416</v>
      </c>
      <c r="C864" s="4">
        <v>74</v>
      </c>
      <c r="D864" s="3" t="s">
        <v>6</v>
      </c>
      <c r="E864" s="3" t="s">
        <v>7</v>
      </c>
      <c r="F864" s="5">
        <v>267</v>
      </c>
      <c r="G864" s="5">
        <v>546</v>
      </c>
      <c r="H864" s="6">
        <v>15930.27</v>
      </c>
      <c r="I864" s="22">
        <v>34619.85</v>
      </c>
      <c r="J864" s="24">
        <f t="shared" si="39"/>
        <v>2.3988516210335674E-4</v>
      </c>
      <c r="K864" s="25">
        <f t="shared" si="41"/>
        <v>0.66284774481030451</v>
      </c>
      <c r="L864" s="26" t="s">
        <v>7516</v>
      </c>
      <c r="M864" s="28"/>
      <c r="N864" s="28"/>
      <c r="O864" s="20" t="s">
        <v>7530</v>
      </c>
      <c r="P864" s="27" t="str">
        <f t="shared" si="40"/>
        <v>vermelho</v>
      </c>
    </row>
    <row r="865" spans="1:16">
      <c r="A865" s="3" t="s">
        <v>5911</v>
      </c>
      <c r="B865" s="3" t="s">
        <v>5912</v>
      </c>
      <c r="C865" s="4">
        <v>232</v>
      </c>
      <c r="D865" s="3" t="s">
        <v>174</v>
      </c>
      <c r="E865" s="3" t="s">
        <v>16</v>
      </c>
      <c r="F865" s="5">
        <v>1068</v>
      </c>
      <c r="G865" s="5">
        <v>618</v>
      </c>
      <c r="H865" s="6">
        <v>57078.96</v>
      </c>
      <c r="I865" s="22">
        <v>34609.620000000003</v>
      </c>
      <c r="J865" s="24">
        <f t="shared" si="39"/>
        <v>2.3981427718593748E-4</v>
      </c>
      <c r="K865" s="25">
        <f t="shared" si="41"/>
        <v>0.6630875590874904</v>
      </c>
      <c r="L865" s="26" t="s">
        <v>7516</v>
      </c>
      <c r="M865" s="28"/>
      <c r="N865" s="28"/>
      <c r="O865" s="20">
        <v>7062</v>
      </c>
      <c r="P865" s="27" t="str">
        <f t="shared" si="40"/>
        <v>amarelo</v>
      </c>
    </row>
    <row r="866" spans="1:16" ht="25.5">
      <c r="A866" s="3" t="s">
        <v>5913</v>
      </c>
      <c r="B866" s="3" t="s">
        <v>5914</v>
      </c>
      <c r="C866" s="4">
        <v>317</v>
      </c>
      <c r="D866" s="3" t="s">
        <v>78</v>
      </c>
      <c r="E866" s="3" t="s">
        <v>10</v>
      </c>
      <c r="F866" s="5">
        <v>0</v>
      </c>
      <c r="G866" s="5">
        <v>555</v>
      </c>
      <c r="H866" s="6">
        <v>0</v>
      </c>
      <c r="I866" s="22">
        <v>34580.910000000003</v>
      </c>
      <c r="J866" s="24">
        <f t="shared" si="39"/>
        <v>2.3961534209511571E-4</v>
      </c>
      <c r="K866" s="25">
        <f t="shared" si="41"/>
        <v>0.66332717442958555</v>
      </c>
      <c r="L866" s="26" t="s">
        <v>7516</v>
      </c>
      <c r="M866" s="28"/>
      <c r="N866" s="28"/>
      <c r="O866" s="20" t="s">
        <v>7530</v>
      </c>
      <c r="P866" s="27" t="str">
        <f t="shared" si="40"/>
        <v>vermelho</v>
      </c>
    </row>
    <row r="867" spans="1:16" ht="25.5">
      <c r="A867" s="3" t="s">
        <v>4</v>
      </c>
      <c r="B867" s="3" t="s">
        <v>417</v>
      </c>
      <c r="C867" s="4">
        <v>316</v>
      </c>
      <c r="D867" s="3" t="s">
        <v>247</v>
      </c>
      <c r="E867" s="3" t="s">
        <v>10</v>
      </c>
      <c r="F867" s="5">
        <v>1146</v>
      </c>
      <c r="G867" s="5">
        <v>540</v>
      </c>
      <c r="H867" s="6">
        <v>68614.62</v>
      </c>
      <c r="I867" s="22">
        <v>34580.22</v>
      </c>
      <c r="J867" s="24">
        <f t="shared" si="39"/>
        <v>2.396105610009789E-4</v>
      </c>
      <c r="K867" s="25">
        <f t="shared" si="41"/>
        <v>0.66356678499058652</v>
      </c>
      <c r="L867" s="26" t="s">
        <v>7516</v>
      </c>
      <c r="M867" s="28"/>
      <c r="N867" s="28"/>
      <c r="O867" s="20" t="s">
        <v>7530</v>
      </c>
      <c r="P867" s="27" t="str">
        <f t="shared" si="40"/>
        <v>vermelho</v>
      </c>
    </row>
    <row r="868" spans="1:16" ht="25.5">
      <c r="A868" s="3" t="s">
        <v>5915</v>
      </c>
      <c r="B868" s="3" t="s">
        <v>5916</v>
      </c>
      <c r="C868" s="4">
        <v>317</v>
      </c>
      <c r="D868" s="3" t="s">
        <v>78</v>
      </c>
      <c r="E868" s="3" t="s">
        <v>10</v>
      </c>
      <c r="F868" s="5">
        <v>858</v>
      </c>
      <c r="G868" s="5">
        <v>450</v>
      </c>
      <c r="H868" s="6">
        <v>43960.2</v>
      </c>
      <c r="I868" s="22">
        <v>34568.550000000003</v>
      </c>
      <c r="J868" s="24">
        <f t="shared" si="39"/>
        <v>2.3952969814796985E-4</v>
      </c>
      <c r="K868" s="25">
        <f t="shared" si="41"/>
        <v>0.66380631468873452</v>
      </c>
      <c r="L868" s="26" t="s">
        <v>7516</v>
      </c>
      <c r="M868" s="28"/>
      <c r="N868" s="28"/>
      <c r="O868" s="20" t="s">
        <v>7530</v>
      </c>
      <c r="P868" s="27" t="str">
        <f t="shared" si="40"/>
        <v>vermelho</v>
      </c>
    </row>
    <row r="869" spans="1:16" ht="38.25">
      <c r="A869" s="3" t="s">
        <v>4</v>
      </c>
      <c r="B869" s="3" t="s">
        <v>418</v>
      </c>
      <c r="C869" s="4">
        <v>38</v>
      </c>
      <c r="D869" s="3" t="s">
        <v>184</v>
      </c>
      <c r="E869" s="3" t="s">
        <v>49</v>
      </c>
      <c r="F869" s="5">
        <v>291</v>
      </c>
      <c r="G869" s="5">
        <v>561</v>
      </c>
      <c r="H869" s="6">
        <v>15832.53</v>
      </c>
      <c r="I869" s="22">
        <v>34557.313000000002</v>
      </c>
      <c r="J869" s="24">
        <f t="shared" si="39"/>
        <v>2.3945183560475963E-4</v>
      </c>
      <c r="K869" s="25">
        <f t="shared" si="41"/>
        <v>0.66404576652433933</v>
      </c>
      <c r="L869" s="26" t="s">
        <v>7516</v>
      </c>
      <c r="M869" s="28"/>
      <c r="N869" s="28"/>
      <c r="O869" s="20">
        <v>9013.02</v>
      </c>
      <c r="P869" s="27" t="str">
        <f t="shared" si="40"/>
        <v>amarelo</v>
      </c>
    </row>
    <row r="870" spans="1:16" ht="25.5">
      <c r="A870" s="3" t="s">
        <v>5917</v>
      </c>
      <c r="B870" s="3" t="s">
        <v>5918</v>
      </c>
      <c r="C870" s="4">
        <v>187</v>
      </c>
      <c r="D870" s="3" t="s">
        <v>96</v>
      </c>
      <c r="E870" s="3" t="s">
        <v>7</v>
      </c>
      <c r="F870" s="5">
        <v>48</v>
      </c>
      <c r="G870" s="5">
        <v>531</v>
      </c>
      <c r="H870" s="6">
        <v>2219.52</v>
      </c>
      <c r="I870" s="22">
        <v>34533.480000000003</v>
      </c>
      <c r="J870" s="24">
        <f t="shared" si="39"/>
        <v>2.3928669384162636E-4</v>
      </c>
      <c r="K870" s="25">
        <f t="shared" si="41"/>
        <v>0.66428505321818099</v>
      </c>
      <c r="L870" s="26" t="s">
        <v>7516</v>
      </c>
      <c r="M870" s="28"/>
      <c r="N870" s="28"/>
      <c r="O870" s="20" t="s">
        <v>7530</v>
      </c>
      <c r="P870" s="27" t="str">
        <f t="shared" si="40"/>
        <v>vermelho</v>
      </c>
    </row>
    <row r="871" spans="1:16">
      <c r="A871" s="3" t="s">
        <v>5919</v>
      </c>
      <c r="B871" s="3" t="s">
        <v>5920</v>
      </c>
      <c r="C871" s="4">
        <v>231</v>
      </c>
      <c r="D871" s="3" t="s">
        <v>52</v>
      </c>
      <c r="E871" s="3" t="s">
        <v>7</v>
      </c>
      <c r="F871" s="5">
        <v>867</v>
      </c>
      <c r="G871" s="5">
        <v>582</v>
      </c>
      <c r="H871" s="6">
        <v>52603.199999999997</v>
      </c>
      <c r="I871" s="22">
        <v>34531.800000000003</v>
      </c>
      <c r="J871" s="24">
        <f t="shared" si="39"/>
        <v>2.3927505291677158E-4</v>
      </c>
      <c r="K871" s="25">
        <f t="shared" si="41"/>
        <v>0.66452432827109775</v>
      </c>
      <c r="L871" s="26" t="s">
        <v>7516</v>
      </c>
      <c r="M871" s="28"/>
      <c r="N871" s="28"/>
      <c r="O871" s="20" t="s">
        <v>7530</v>
      </c>
      <c r="P871" s="27" t="str">
        <f t="shared" si="40"/>
        <v>vermelho</v>
      </c>
    </row>
    <row r="872" spans="1:16" ht="25.5">
      <c r="A872" s="3" t="s">
        <v>5921</v>
      </c>
      <c r="B872" s="3" t="s">
        <v>5922</v>
      </c>
      <c r="C872" s="4">
        <v>317</v>
      </c>
      <c r="D872" s="3" t="s">
        <v>78</v>
      </c>
      <c r="E872" s="3" t="s">
        <v>10</v>
      </c>
      <c r="F872" s="5">
        <v>0</v>
      </c>
      <c r="G872" s="5">
        <v>564</v>
      </c>
      <c r="H872" s="6">
        <v>0</v>
      </c>
      <c r="I872" s="22">
        <v>34515.39</v>
      </c>
      <c r="J872" s="24">
        <f t="shared" si="39"/>
        <v>2.3916134602577937E-4</v>
      </c>
      <c r="K872" s="25">
        <f t="shared" si="41"/>
        <v>0.6647634896171235</v>
      </c>
      <c r="L872" s="26" t="s">
        <v>7516</v>
      </c>
      <c r="M872" s="28"/>
      <c r="N872" s="28"/>
      <c r="O872" s="20">
        <v>5077.1400000000003</v>
      </c>
      <c r="P872" s="27" t="str">
        <f t="shared" si="40"/>
        <v>amarelo</v>
      </c>
    </row>
    <row r="873" spans="1:16" ht="25.5">
      <c r="A873" s="3" t="s">
        <v>5923</v>
      </c>
      <c r="B873" s="3" t="s">
        <v>5924</v>
      </c>
      <c r="C873" s="4">
        <v>93</v>
      </c>
      <c r="D873" s="3" t="s">
        <v>20</v>
      </c>
      <c r="E873" s="3" t="s">
        <v>7</v>
      </c>
      <c r="F873" s="5">
        <v>432</v>
      </c>
      <c r="G873" s="5">
        <v>585</v>
      </c>
      <c r="H873" s="6">
        <v>23634.240000000002</v>
      </c>
      <c r="I873" s="22">
        <v>34506.39</v>
      </c>
      <c r="J873" s="24">
        <f t="shared" si="39"/>
        <v>2.3909898392834308E-4</v>
      </c>
      <c r="K873" s="25">
        <f t="shared" si="41"/>
        <v>0.66500258860105188</v>
      </c>
      <c r="L873" s="26" t="s">
        <v>7516</v>
      </c>
      <c r="M873" s="28"/>
      <c r="N873" s="28"/>
      <c r="O873" s="20" t="s">
        <v>7530</v>
      </c>
      <c r="P873" s="27" t="str">
        <f t="shared" si="40"/>
        <v>vermelho</v>
      </c>
    </row>
    <row r="874" spans="1:16">
      <c r="A874" s="3" t="s">
        <v>4</v>
      </c>
      <c r="B874" s="3" t="s">
        <v>419</v>
      </c>
      <c r="C874" s="4">
        <v>315</v>
      </c>
      <c r="D874" s="3" t="s">
        <v>63</v>
      </c>
      <c r="E874" s="3" t="s">
        <v>7</v>
      </c>
      <c r="F874" s="5">
        <v>303</v>
      </c>
      <c r="G874" s="5">
        <v>662</v>
      </c>
      <c r="H874" s="6">
        <v>12828.9</v>
      </c>
      <c r="I874" s="22">
        <v>34447.161</v>
      </c>
      <c r="J874" s="24">
        <f t="shared" si="39"/>
        <v>2.3868857896511476E-4</v>
      </c>
      <c r="K874" s="25">
        <f t="shared" si="41"/>
        <v>0.66524127718001702</v>
      </c>
      <c r="L874" s="26" t="s">
        <v>7516</v>
      </c>
      <c r="M874" s="28">
        <v>1.0037637824348784E-2</v>
      </c>
      <c r="N874" s="28"/>
      <c r="O874" s="20" t="s">
        <v>7530</v>
      </c>
      <c r="P874" s="27" t="str">
        <f t="shared" si="40"/>
        <v>vermelho</v>
      </c>
    </row>
    <row r="875" spans="1:16" ht="25.5">
      <c r="A875" s="3" t="s">
        <v>4</v>
      </c>
      <c r="B875" s="3" t="s">
        <v>420</v>
      </c>
      <c r="C875" s="4">
        <v>299</v>
      </c>
      <c r="D875" s="3" t="s">
        <v>111</v>
      </c>
      <c r="E875" s="3" t="s">
        <v>49</v>
      </c>
      <c r="F875" s="5">
        <v>489</v>
      </c>
      <c r="G875" s="5">
        <v>558</v>
      </c>
      <c r="H875" s="6">
        <v>29610.37</v>
      </c>
      <c r="I875" s="22">
        <v>34443.449999999997</v>
      </c>
      <c r="J875" s="24">
        <f t="shared" si="39"/>
        <v>2.3866286499360517E-4</v>
      </c>
      <c r="K875" s="25">
        <f t="shared" si="41"/>
        <v>0.66547994004501065</v>
      </c>
      <c r="L875" s="26" t="s">
        <v>7516</v>
      </c>
      <c r="M875" s="28"/>
      <c r="N875" s="28"/>
      <c r="O875" s="20">
        <v>15864.33</v>
      </c>
      <c r="P875" s="27" t="str">
        <f t="shared" si="40"/>
        <v>amarelo</v>
      </c>
    </row>
    <row r="876" spans="1:16" ht="25.5">
      <c r="A876" s="3" t="s">
        <v>5925</v>
      </c>
      <c r="B876" s="3" t="s">
        <v>5926</v>
      </c>
      <c r="C876" s="4">
        <v>197</v>
      </c>
      <c r="D876" s="3" t="s">
        <v>66</v>
      </c>
      <c r="E876" s="3" t="s">
        <v>41</v>
      </c>
      <c r="F876" s="5">
        <v>300</v>
      </c>
      <c r="G876" s="5">
        <v>606</v>
      </c>
      <c r="H876" s="6">
        <v>14694.03</v>
      </c>
      <c r="I876" s="22">
        <v>34399.730000000003</v>
      </c>
      <c r="J876" s="24">
        <f t="shared" si="39"/>
        <v>2.3835992378250354E-4</v>
      </c>
      <c r="K876" s="25">
        <f t="shared" si="41"/>
        <v>0.66571829996879317</v>
      </c>
      <c r="L876" s="26" t="s">
        <v>7516</v>
      </c>
      <c r="M876" s="28"/>
      <c r="N876" s="28"/>
      <c r="O876" s="20">
        <v>19287.03</v>
      </c>
      <c r="P876" s="27" t="str">
        <f t="shared" si="40"/>
        <v>laranja</v>
      </c>
    </row>
    <row r="877" spans="1:16">
      <c r="A877" s="3" t="s">
        <v>5927</v>
      </c>
      <c r="B877" s="3" t="s">
        <v>5928</v>
      </c>
      <c r="C877" s="4">
        <v>240</v>
      </c>
      <c r="D877" s="3" t="s">
        <v>69</v>
      </c>
      <c r="E877" s="3" t="s">
        <v>16</v>
      </c>
      <c r="F877" s="5">
        <v>486</v>
      </c>
      <c r="G877" s="5">
        <v>594</v>
      </c>
      <c r="H877" s="6">
        <v>27564.720000000001</v>
      </c>
      <c r="I877" s="22">
        <v>34395.42</v>
      </c>
      <c r="J877" s="24">
        <f t="shared" si="39"/>
        <v>2.3833005926695344E-4</v>
      </c>
      <c r="K877" s="25">
        <f t="shared" si="41"/>
        <v>0.66595663002806016</v>
      </c>
      <c r="L877" s="26" t="s">
        <v>7516</v>
      </c>
      <c r="M877" s="28"/>
      <c r="N877" s="28"/>
      <c r="O877" s="20">
        <v>14064.45</v>
      </c>
      <c r="P877" s="27" t="str">
        <f t="shared" si="40"/>
        <v>amarelo</v>
      </c>
    </row>
    <row r="878" spans="1:16" ht="25.5">
      <c r="A878" s="3" t="s">
        <v>4</v>
      </c>
      <c r="B878" s="3" t="s">
        <v>421</v>
      </c>
      <c r="C878" s="4">
        <v>19</v>
      </c>
      <c r="D878" s="3" t="s">
        <v>72</v>
      </c>
      <c r="E878" s="3" t="s">
        <v>41</v>
      </c>
      <c r="F878" s="5">
        <v>438</v>
      </c>
      <c r="G878" s="5">
        <v>570</v>
      </c>
      <c r="H878" s="6">
        <v>26984.58</v>
      </c>
      <c r="I878" s="22">
        <v>34356.49</v>
      </c>
      <c r="J878" s="24">
        <f t="shared" si="39"/>
        <v>2.3806030854993173E-4</v>
      </c>
      <c r="K878" s="25">
        <f t="shared" si="41"/>
        <v>0.66619469033661005</v>
      </c>
      <c r="L878" s="26" t="s">
        <v>7516</v>
      </c>
      <c r="M878" s="28"/>
      <c r="N878" s="28"/>
      <c r="O878" s="20" t="s">
        <v>7530</v>
      </c>
      <c r="P878" s="27" t="str">
        <f t="shared" si="40"/>
        <v>vermelho</v>
      </c>
    </row>
    <row r="879" spans="1:16" ht="38.25">
      <c r="A879" s="3" t="s">
        <v>5240</v>
      </c>
      <c r="B879" s="3" t="s">
        <v>5241</v>
      </c>
      <c r="C879" s="4">
        <v>301</v>
      </c>
      <c r="D879" s="3" t="s">
        <v>519</v>
      </c>
      <c r="E879" s="3" t="s">
        <v>16</v>
      </c>
      <c r="F879" s="5">
        <v>0</v>
      </c>
      <c r="G879" s="5">
        <v>558</v>
      </c>
      <c r="H879" s="6">
        <v>0</v>
      </c>
      <c r="I879" s="22">
        <v>34288.14</v>
      </c>
      <c r="J879" s="24">
        <f t="shared" si="39"/>
        <v>2.3758670306551271E-4</v>
      </c>
      <c r="K879" s="25">
        <f t="shared" si="41"/>
        <v>0.66643227703967556</v>
      </c>
      <c r="L879" s="26" t="s">
        <v>7516</v>
      </c>
      <c r="M879" s="28"/>
      <c r="N879" s="28"/>
      <c r="O879" s="20" t="s">
        <v>7530</v>
      </c>
      <c r="P879" s="27" t="str">
        <f t="shared" si="40"/>
        <v>vermelho</v>
      </c>
    </row>
    <row r="880" spans="1:16" ht="25.5">
      <c r="A880" s="3" t="s">
        <v>4</v>
      </c>
      <c r="B880" s="3" t="s">
        <v>422</v>
      </c>
      <c r="C880" s="4">
        <v>266</v>
      </c>
      <c r="D880" s="3" t="s">
        <v>80</v>
      </c>
      <c r="E880" s="3" t="s">
        <v>10</v>
      </c>
      <c r="F880" s="5">
        <v>0</v>
      </c>
      <c r="G880" s="5">
        <v>597</v>
      </c>
      <c r="H880" s="6">
        <v>0</v>
      </c>
      <c r="I880" s="22">
        <v>34284.21</v>
      </c>
      <c r="J880" s="24">
        <f t="shared" si="39"/>
        <v>2.3755947161629886E-4</v>
      </c>
      <c r="K880" s="25">
        <f t="shared" si="41"/>
        <v>0.66666983651129186</v>
      </c>
      <c r="L880" s="26" t="s">
        <v>7516</v>
      </c>
      <c r="M880" s="28"/>
      <c r="N880" s="28"/>
      <c r="O880" s="20" t="s">
        <v>7530</v>
      </c>
      <c r="P880" s="27" t="str">
        <f t="shared" si="40"/>
        <v>vermelho</v>
      </c>
    </row>
    <row r="881" spans="1:16" ht="25.5">
      <c r="A881" s="3" t="s">
        <v>4</v>
      </c>
      <c r="B881" s="3" t="s">
        <v>423</v>
      </c>
      <c r="C881" s="4">
        <v>23</v>
      </c>
      <c r="D881" s="3" t="s">
        <v>87</v>
      </c>
      <c r="E881" s="3" t="s">
        <v>7</v>
      </c>
      <c r="F881" s="5">
        <v>0</v>
      </c>
      <c r="G881" s="5">
        <v>603</v>
      </c>
      <c r="H881" s="6">
        <v>0</v>
      </c>
      <c r="I881" s="22">
        <v>34271.4</v>
      </c>
      <c r="J881" s="24">
        <f t="shared" si="39"/>
        <v>2.3747070956428121E-4</v>
      </c>
      <c r="K881" s="25">
        <f t="shared" si="41"/>
        <v>0.66690730722085612</v>
      </c>
      <c r="L881" s="26" t="s">
        <v>7516</v>
      </c>
      <c r="M881" s="28"/>
      <c r="N881" s="28"/>
      <c r="O881" s="20" t="s">
        <v>7530</v>
      </c>
      <c r="P881" s="27" t="str">
        <f t="shared" si="40"/>
        <v>vermelho</v>
      </c>
    </row>
    <row r="882" spans="1:16" ht="25.5">
      <c r="A882" s="3" t="s">
        <v>4</v>
      </c>
      <c r="B882" s="3" t="s">
        <v>424</v>
      </c>
      <c r="C882" s="4">
        <v>19</v>
      </c>
      <c r="D882" s="3" t="s">
        <v>72</v>
      </c>
      <c r="E882" s="3" t="s">
        <v>41</v>
      </c>
      <c r="F882" s="5">
        <v>441</v>
      </c>
      <c r="G882" s="5">
        <v>576</v>
      </c>
      <c r="H882" s="6">
        <v>23958.638999999999</v>
      </c>
      <c r="I882" s="22">
        <v>34266.01</v>
      </c>
      <c r="J882" s="24">
        <f t="shared" si="39"/>
        <v>2.374333615970388E-4</v>
      </c>
      <c r="K882" s="25">
        <f t="shared" si="41"/>
        <v>0.6671447405824531</v>
      </c>
      <c r="L882" s="26" t="s">
        <v>7516</v>
      </c>
      <c r="M882" s="28"/>
      <c r="N882" s="28"/>
      <c r="O882" s="20">
        <v>18156.810000000001</v>
      </c>
      <c r="P882" s="27" t="str">
        <f t="shared" si="40"/>
        <v>laranja</v>
      </c>
    </row>
    <row r="883" spans="1:16" ht="25.5">
      <c r="A883" s="3" t="s">
        <v>4</v>
      </c>
      <c r="B883" s="3" t="s">
        <v>425</v>
      </c>
      <c r="C883" s="4">
        <v>321</v>
      </c>
      <c r="D883" s="3" t="s">
        <v>136</v>
      </c>
      <c r="E883" s="3" t="s">
        <v>41</v>
      </c>
      <c r="F883" s="5">
        <v>588</v>
      </c>
      <c r="G883" s="5">
        <v>531</v>
      </c>
      <c r="H883" s="6">
        <v>36054.767999999996</v>
      </c>
      <c r="I883" s="22">
        <v>34262.188000000002</v>
      </c>
      <c r="J883" s="24">
        <f t="shared" si="39"/>
        <v>2.3740687849299418E-4</v>
      </c>
      <c r="K883" s="25">
        <f t="shared" si="41"/>
        <v>0.66738214746094604</v>
      </c>
      <c r="L883" s="26" t="s">
        <v>7516</v>
      </c>
      <c r="M883" s="28"/>
      <c r="N883" s="28"/>
      <c r="O883" s="20">
        <v>6926.58</v>
      </c>
      <c r="P883" s="27" t="str">
        <f t="shared" si="40"/>
        <v>amarelo</v>
      </c>
    </row>
    <row r="884" spans="1:16" ht="25.5">
      <c r="A884" s="3" t="s">
        <v>4</v>
      </c>
      <c r="B884" s="3" t="s">
        <v>426</v>
      </c>
      <c r="C884" s="4">
        <v>194</v>
      </c>
      <c r="D884" s="3" t="s">
        <v>145</v>
      </c>
      <c r="E884" s="3" t="s">
        <v>16</v>
      </c>
      <c r="F884" s="5">
        <v>777</v>
      </c>
      <c r="G884" s="5">
        <v>600</v>
      </c>
      <c r="H884" s="6">
        <v>42913.23</v>
      </c>
      <c r="I884" s="22">
        <v>34250.730000000003</v>
      </c>
      <c r="J884" s="24">
        <f t="shared" si="39"/>
        <v>2.3732748461383584E-4</v>
      </c>
      <c r="K884" s="25">
        <f t="shared" si="41"/>
        <v>0.66761947494555984</v>
      </c>
      <c r="L884" s="26" t="s">
        <v>7516</v>
      </c>
      <c r="M884" s="28"/>
      <c r="N884" s="28"/>
      <c r="O884" s="20">
        <v>17555.580000000002</v>
      </c>
      <c r="P884" s="27" t="str">
        <f t="shared" si="40"/>
        <v>laranja</v>
      </c>
    </row>
    <row r="885" spans="1:16" ht="25.5">
      <c r="A885" s="3" t="s">
        <v>5929</v>
      </c>
      <c r="B885" s="3" t="s">
        <v>5930</v>
      </c>
      <c r="C885" s="4">
        <v>178</v>
      </c>
      <c r="D885" s="3" t="s">
        <v>74</v>
      </c>
      <c r="E885" s="3" t="s">
        <v>7</v>
      </c>
      <c r="F885" s="5">
        <v>648</v>
      </c>
      <c r="G885" s="5">
        <v>546</v>
      </c>
      <c r="H885" s="6">
        <v>40826.129999999997</v>
      </c>
      <c r="I885" s="22">
        <v>34182.9</v>
      </c>
      <c r="J885" s="24">
        <f t="shared" si="39"/>
        <v>2.3685748227282423E-4</v>
      </c>
      <c r="K885" s="25">
        <f t="shared" si="41"/>
        <v>0.66785633242783271</v>
      </c>
      <c r="L885" s="26" t="s">
        <v>7516</v>
      </c>
      <c r="M885" s="28"/>
      <c r="N885" s="28"/>
      <c r="O885" s="20">
        <v>31818.48</v>
      </c>
      <c r="P885" s="27" t="str">
        <f t="shared" si="40"/>
        <v>laranja</v>
      </c>
    </row>
    <row r="886" spans="1:16" ht="38.25">
      <c r="A886" s="3" t="s">
        <v>4</v>
      </c>
      <c r="B886" s="3" t="s">
        <v>427</v>
      </c>
      <c r="C886" s="4">
        <v>45</v>
      </c>
      <c r="D886" s="3" t="s">
        <v>23</v>
      </c>
      <c r="E886" s="3" t="s">
        <v>7</v>
      </c>
      <c r="F886" s="5">
        <v>240</v>
      </c>
      <c r="G886" s="5">
        <v>570</v>
      </c>
      <c r="H886" s="6">
        <v>14117.76</v>
      </c>
      <c r="I886" s="22">
        <v>34180.35</v>
      </c>
      <c r="J886" s="24">
        <f t="shared" si="39"/>
        <v>2.3683981301188392E-4</v>
      </c>
      <c r="K886" s="25">
        <f t="shared" si="41"/>
        <v>0.66809317224084463</v>
      </c>
      <c r="L886" s="26" t="s">
        <v>7516</v>
      </c>
      <c r="M886" s="28"/>
      <c r="N886" s="28"/>
      <c r="O886" s="20" t="s">
        <v>7530</v>
      </c>
      <c r="P886" s="27" t="str">
        <f t="shared" si="40"/>
        <v>vermelho</v>
      </c>
    </row>
    <row r="887" spans="1:16">
      <c r="A887" s="3" t="s">
        <v>5931</v>
      </c>
      <c r="B887" s="3" t="s">
        <v>5932</v>
      </c>
      <c r="C887" s="4">
        <v>231</v>
      </c>
      <c r="D887" s="3" t="s">
        <v>52</v>
      </c>
      <c r="E887" s="3" t="s">
        <v>7</v>
      </c>
      <c r="F887" s="5">
        <v>255</v>
      </c>
      <c r="G887" s="5">
        <v>534</v>
      </c>
      <c r="H887" s="6">
        <v>14931.45</v>
      </c>
      <c r="I887" s="22">
        <v>34150.32</v>
      </c>
      <c r="J887" s="24">
        <f t="shared" si="39"/>
        <v>2.3663173148010479E-4</v>
      </c>
      <c r="K887" s="25">
        <f t="shared" si="41"/>
        <v>0.66832980397232478</v>
      </c>
      <c r="L887" s="26" t="s">
        <v>7516</v>
      </c>
      <c r="M887" s="28"/>
      <c r="N887" s="28"/>
      <c r="O887" s="20">
        <v>25276.44</v>
      </c>
      <c r="P887" s="27" t="str">
        <f t="shared" si="40"/>
        <v>laranja</v>
      </c>
    </row>
    <row r="888" spans="1:16" ht="38.25">
      <c r="A888" s="3" t="s">
        <v>4</v>
      </c>
      <c r="B888" s="3" t="s">
        <v>428</v>
      </c>
      <c r="C888" s="4">
        <v>143</v>
      </c>
      <c r="D888" s="3" t="s">
        <v>44</v>
      </c>
      <c r="E888" s="3" t="s">
        <v>41</v>
      </c>
      <c r="F888" s="5">
        <v>96</v>
      </c>
      <c r="G888" s="5">
        <v>537</v>
      </c>
      <c r="H888" s="6">
        <v>5303.04</v>
      </c>
      <c r="I888" s="22">
        <v>34102.620000000003</v>
      </c>
      <c r="J888" s="24">
        <f t="shared" si="39"/>
        <v>2.363012123636924E-4</v>
      </c>
      <c r="K888" s="25">
        <f t="shared" si="41"/>
        <v>0.66856610518468851</v>
      </c>
      <c r="L888" s="26" t="s">
        <v>7516</v>
      </c>
      <c r="M888" s="28"/>
      <c r="N888" s="28"/>
      <c r="O888" s="20">
        <v>8065.08</v>
      </c>
      <c r="P888" s="27" t="str">
        <f t="shared" si="40"/>
        <v>amarelo</v>
      </c>
    </row>
    <row r="889" spans="1:16" ht="38.25">
      <c r="A889" s="3" t="s">
        <v>4</v>
      </c>
      <c r="B889" s="3" t="s">
        <v>429</v>
      </c>
      <c r="C889" s="4">
        <v>34</v>
      </c>
      <c r="D889" s="3" t="s">
        <v>54</v>
      </c>
      <c r="E889" s="3" t="s">
        <v>49</v>
      </c>
      <c r="F889" s="5">
        <v>552</v>
      </c>
      <c r="G889" s="5">
        <v>546</v>
      </c>
      <c r="H889" s="6">
        <v>30536.73</v>
      </c>
      <c r="I889" s="22">
        <v>34094.58</v>
      </c>
      <c r="J889" s="24">
        <f t="shared" si="39"/>
        <v>2.3624550222331597E-4</v>
      </c>
      <c r="K889" s="25">
        <f t="shared" si="41"/>
        <v>0.66880235068691185</v>
      </c>
      <c r="L889" s="26" t="s">
        <v>7516</v>
      </c>
      <c r="M889" s="28"/>
      <c r="N889" s="28"/>
      <c r="O889" s="20" t="s">
        <v>7530</v>
      </c>
      <c r="P889" s="27" t="str">
        <f t="shared" si="40"/>
        <v>vermelho</v>
      </c>
    </row>
    <row r="890" spans="1:16" ht="38.25">
      <c r="A890" s="3" t="s">
        <v>5933</v>
      </c>
      <c r="B890" s="3" t="s">
        <v>5934</v>
      </c>
      <c r="C890" s="4">
        <v>34</v>
      </c>
      <c r="D890" s="3" t="s">
        <v>54</v>
      </c>
      <c r="E890" s="3" t="s">
        <v>49</v>
      </c>
      <c r="F890" s="5">
        <v>414</v>
      </c>
      <c r="G890" s="5">
        <v>436</v>
      </c>
      <c r="H890" s="6">
        <v>25684.62</v>
      </c>
      <c r="I890" s="22">
        <v>34021.360000000001</v>
      </c>
      <c r="J890" s="24">
        <f t="shared" si="39"/>
        <v>2.3573815191506195E-4</v>
      </c>
      <c r="K890" s="25">
        <f t="shared" si="41"/>
        <v>0.66903808883882687</v>
      </c>
      <c r="L890" s="26" t="s">
        <v>7516</v>
      </c>
      <c r="M890" s="28"/>
      <c r="N890" s="28"/>
      <c r="O890" s="20" t="s">
        <v>7530</v>
      </c>
      <c r="P890" s="27" t="str">
        <f t="shared" si="40"/>
        <v>vermelho</v>
      </c>
    </row>
    <row r="891" spans="1:16" ht="25.5">
      <c r="A891" s="3" t="s">
        <v>4</v>
      </c>
      <c r="B891" s="3" t="s">
        <v>430</v>
      </c>
      <c r="C891" s="4">
        <v>187</v>
      </c>
      <c r="D891" s="3" t="s">
        <v>96</v>
      </c>
      <c r="E891" s="3" t="s">
        <v>7</v>
      </c>
      <c r="F891" s="5">
        <v>405</v>
      </c>
      <c r="G891" s="5">
        <v>522</v>
      </c>
      <c r="H891" s="6">
        <v>23647.35</v>
      </c>
      <c r="I891" s="22">
        <v>34007.699999999997</v>
      </c>
      <c r="J891" s="24">
        <f t="shared" si="39"/>
        <v>2.3564350010939748E-4</v>
      </c>
      <c r="K891" s="25">
        <f t="shared" si="41"/>
        <v>0.66927373233893628</v>
      </c>
      <c r="L891" s="26" t="s">
        <v>7516</v>
      </c>
      <c r="M891" s="28"/>
      <c r="N891" s="28"/>
      <c r="O891" s="20">
        <v>15143.79</v>
      </c>
      <c r="P891" s="27" t="str">
        <f t="shared" si="40"/>
        <v>amarelo</v>
      </c>
    </row>
    <row r="892" spans="1:16" ht="25.5">
      <c r="A892" s="3" t="s">
        <v>5935</v>
      </c>
      <c r="B892" s="3" t="s">
        <v>5936</v>
      </c>
      <c r="C892" s="4">
        <v>19</v>
      </c>
      <c r="D892" s="3" t="s">
        <v>72</v>
      </c>
      <c r="E892" s="3" t="s">
        <v>41</v>
      </c>
      <c r="F892" s="5">
        <v>519</v>
      </c>
      <c r="G892" s="5">
        <v>558</v>
      </c>
      <c r="H892" s="6">
        <v>29450.337</v>
      </c>
      <c r="I892" s="22">
        <v>33968.239999999998</v>
      </c>
      <c r="J892" s="24">
        <f t="shared" si="39"/>
        <v>2.3537007695774898E-4</v>
      </c>
      <c r="K892" s="25">
        <f t="shared" si="41"/>
        <v>0.66950910241589401</v>
      </c>
      <c r="L892" s="26" t="s">
        <v>7516</v>
      </c>
      <c r="M892" s="28"/>
      <c r="N892" s="28"/>
      <c r="O892" s="20">
        <v>17177.86</v>
      </c>
      <c r="P892" s="27" t="str">
        <f t="shared" si="40"/>
        <v>amarelo</v>
      </c>
    </row>
    <row r="893" spans="1:16" ht="38.25">
      <c r="A893" s="3" t="s">
        <v>4</v>
      </c>
      <c r="B893" s="3" t="s">
        <v>431</v>
      </c>
      <c r="C893" s="4">
        <v>38</v>
      </c>
      <c r="D893" s="3" t="s">
        <v>184</v>
      </c>
      <c r="E893" s="3" t="s">
        <v>49</v>
      </c>
      <c r="F893" s="5">
        <v>771</v>
      </c>
      <c r="G893" s="5">
        <v>537</v>
      </c>
      <c r="H893" s="6">
        <v>43904.798999999999</v>
      </c>
      <c r="I893" s="22">
        <v>33957.112000000001</v>
      </c>
      <c r="J893" s="24">
        <f t="shared" si="39"/>
        <v>2.3529296968882997E-4</v>
      </c>
      <c r="K893" s="25">
        <f t="shared" si="41"/>
        <v>0.66974439538558284</v>
      </c>
      <c r="L893" s="26" t="s">
        <v>7516</v>
      </c>
      <c r="M893" s="28">
        <v>3.4522642562658717E-2</v>
      </c>
      <c r="N893" s="28"/>
      <c r="O893" s="20">
        <v>23561.19</v>
      </c>
      <c r="P893" s="27" t="str">
        <f t="shared" si="40"/>
        <v>laranja</v>
      </c>
    </row>
    <row r="894" spans="1:16" ht="25.5">
      <c r="A894" s="3" t="s">
        <v>4</v>
      </c>
      <c r="B894" s="3" t="s">
        <v>432</v>
      </c>
      <c r="C894" s="4">
        <v>218</v>
      </c>
      <c r="D894" s="3" t="s">
        <v>104</v>
      </c>
      <c r="E894" s="3" t="s">
        <v>16</v>
      </c>
      <c r="F894" s="5">
        <v>1347</v>
      </c>
      <c r="G894" s="5">
        <v>600</v>
      </c>
      <c r="H894" s="6">
        <v>72658.77</v>
      </c>
      <c r="I894" s="22">
        <v>33933.120000000003</v>
      </c>
      <c r="J894" s="24">
        <f t="shared" si="39"/>
        <v>2.3512672619530869E-4</v>
      </c>
      <c r="K894" s="25">
        <f t="shared" si="41"/>
        <v>0.66997952211177814</v>
      </c>
      <c r="L894" s="26" t="s">
        <v>7516</v>
      </c>
      <c r="M894" s="28"/>
      <c r="N894" s="28"/>
      <c r="O894" s="20">
        <v>22744.080000000002</v>
      </c>
      <c r="P894" s="27" t="str">
        <f t="shared" si="40"/>
        <v>laranja</v>
      </c>
    </row>
    <row r="895" spans="1:16">
      <c r="A895" s="3" t="s">
        <v>4</v>
      </c>
      <c r="B895" s="3" t="s">
        <v>433</v>
      </c>
      <c r="C895" s="4">
        <v>315</v>
      </c>
      <c r="D895" s="3" t="s">
        <v>63</v>
      </c>
      <c r="E895" s="3" t="s">
        <v>7</v>
      </c>
      <c r="F895" s="5">
        <v>279</v>
      </c>
      <c r="G895" s="5">
        <v>600</v>
      </c>
      <c r="H895" s="6">
        <v>16556.55</v>
      </c>
      <c r="I895" s="22">
        <v>33929.832000000002</v>
      </c>
      <c r="J895" s="24">
        <f t="shared" si="39"/>
        <v>2.3510394324237861E-4</v>
      </c>
      <c r="K895" s="25">
        <f t="shared" si="41"/>
        <v>0.67021462605502047</v>
      </c>
      <c r="L895" s="26" t="s">
        <v>7516</v>
      </c>
      <c r="M895" s="28"/>
      <c r="N895" s="28"/>
      <c r="O895" s="20">
        <v>18096.076000000001</v>
      </c>
      <c r="P895" s="27" t="str">
        <f t="shared" si="40"/>
        <v>laranja</v>
      </c>
    </row>
    <row r="896" spans="1:16" ht="25.5">
      <c r="A896" s="3" t="s">
        <v>4</v>
      </c>
      <c r="B896" s="3" t="s">
        <v>434</v>
      </c>
      <c r="C896" s="4">
        <v>197</v>
      </c>
      <c r="D896" s="3" t="s">
        <v>66</v>
      </c>
      <c r="E896" s="3" t="s">
        <v>41</v>
      </c>
      <c r="F896" s="5">
        <v>504</v>
      </c>
      <c r="G896" s="5">
        <v>738</v>
      </c>
      <c r="H896" s="6">
        <v>22452</v>
      </c>
      <c r="I896" s="22">
        <v>33926.699999999997</v>
      </c>
      <c r="J896" s="24">
        <f t="shared" si="39"/>
        <v>2.3508224123247075E-4</v>
      </c>
      <c r="K896" s="25">
        <f t="shared" si="41"/>
        <v>0.67044970829625294</v>
      </c>
      <c r="L896" s="26" t="s">
        <v>7516</v>
      </c>
      <c r="M896" s="28"/>
      <c r="N896" s="28">
        <v>-9.0917921092220605E-2</v>
      </c>
      <c r="O896" s="20">
        <v>5273.64</v>
      </c>
      <c r="P896" s="27" t="str">
        <f t="shared" si="40"/>
        <v>amarelo</v>
      </c>
    </row>
    <row r="897" spans="1:16" ht="25.5">
      <c r="A897" s="3" t="s">
        <v>4</v>
      </c>
      <c r="B897" s="3" t="s">
        <v>435</v>
      </c>
      <c r="C897" s="4">
        <v>217</v>
      </c>
      <c r="D897" s="3" t="s">
        <v>91</v>
      </c>
      <c r="E897" s="3" t="s">
        <v>16</v>
      </c>
      <c r="F897" s="5">
        <v>288</v>
      </c>
      <c r="G897" s="5">
        <v>528</v>
      </c>
      <c r="H897" s="6">
        <v>14536.8</v>
      </c>
      <c r="I897" s="22">
        <v>33924.959999999999</v>
      </c>
      <c r="J897" s="24">
        <f t="shared" si="39"/>
        <v>2.3507018456029975E-4</v>
      </c>
      <c r="K897" s="25">
        <f t="shared" si="41"/>
        <v>0.6706847784808132</v>
      </c>
      <c r="L897" s="26" t="s">
        <v>7516</v>
      </c>
      <c r="M897" s="28"/>
      <c r="N897" s="28"/>
      <c r="O897" s="20" t="s">
        <v>7530</v>
      </c>
      <c r="P897" s="27" t="str">
        <f t="shared" si="40"/>
        <v>vermelho</v>
      </c>
    </row>
    <row r="898" spans="1:16" ht="25.5">
      <c r="A898" s="3" t="s">
        <v>4</v>
      </c>
      <c r="B898" s="3" t="s">
        <v>436</v>
      </c>
      <c r="C898" s="4">
        <v>167</v>
      </c>
      <c r="D898" s="3" t="s">
        <v>251</v>
      </c>
      <c r="E898" s="3" t="s">
        <v>49</v>
      </c>
      <c r="F898" s="5">
        <v>540</v>
      </c>
      <c r="G898" s="5">
        <v>558</v>
      </c>
      <c r="H898" s="6">
        <v>31204.89</v>
      </c>
      <c r="I898" s="22">
        <v>33898.68</v>
      </c>
      <c r="J898" s="24">
        <f t="shared" si="39"/>
        <v>2.3488808723578575E-4</v>
      </c>
      <c r="K898" s="25">
        <f t="shared" si="41"/>
        <v>0.67091966656804902</v>
      </c>
      <c r="L898" s="26" t="s">
        <v>7516</v>
      </c>
      <c r="M898" s="28"/>
      <c r="N898" s="28"/>
      <c r="O898" s="20">
        <v>20439.509999999998</v>
      </c>
      <c r="P898" s="27" t="str">
        <f t="shared" si="40"/>
        <v>laranja</v>
      </c>
    </row>
    <row r="899" spans="1:16" ht="38.25">
      <c r="A899" s="3" t="s">
        <v>4</v>
      </c>
      <c r="B899" s="3" t="s">
        <v>437</v>
      </c>
      <c r="C899" s="4">
        <v>34</v>
      </c>
      <c r="D899" s="3" t="s">
        <v>54</v>
      </c>
      <c r="E899" s="3" t="s">
        <v>49</v>
      </c>
      <c r="F899" s="5">
        <v>216</v>
      </c>
      <c r="G899" s="5">
        <v>516</v>
      </c>
      <c r="H899" s="6">
        <v>11529.84</v>
      </c>
      <c r="I899" s="22">
        <v>33876.120000000003</v>
      </c>
      <c r="J899" s="24">
        <f t="shared" ref="J899:J962" si="42">I899/$I$6364</f>
        <v>2.3473176624487876E-4</v>
      </c>
      <c r="K899" s="25">
        <f t="shared" si="41"/>
        <v>0.67115439833429391</v>
      </c>
      <c r="L899" s="26" t="s">
        <v>7516</v>
      </c>
      <c r="M899" s="28"/>
      <c r="N899" s="28"/>
      <c r="O899" s="20" t="s">
        <v>7530</v>
      </c>
      <c r="P899" s="27" t="str">
        <f t="shared" ref="P899:P962" si="43">IF(O899&lt;=0,"vermelho",IFERROR(IF(O899/I899&lt;=0.5098,"amarelo",IF(O899/I899&lt;1,"laranja","verde")),"vermelho"))</f>
        <v>vermelho</v>
      </c>
    </row>
    <row r="900" spans="1:16" ht="25.5">
      <c r="A900" s="3" t="s">
        <v>5937</v>
      </c>
      <c r="B900" s="3" t="s">
        <v>5938</v>
      </c>
      <c r="C900" s="4">
        <v>327</v>
      </c>
      <c r="D900" s="3" t="s">
        <v>100</v>
      </c>
      <c r="E900" s="3" t="s">
        <v>7</v>
      </c>
      <c r="F900" s="5">
        <v>429</v>
      </c>
      <c r="G900" s="5">
        <v>525</v>
      </c>
      <c r="H900" s="6">
        <v>25562.79</v>
      </c>
      <c r="I900" s="22">
        <v>33716.616999999998</v>
      </c>
      <c r="J900" s="24">
        <f t="shared" si="42"/>
        <v>2.3362655050850287E-4</v>
      </c>
      <c r="K900" s="25">
        <f t="shared" ref="K900:K963" si="44">J900+K899</f>
        <v>0.67138802488480243</v>
      </c>
      <c r="L900" s="26" t="s">
        <v>7516</v>
      </c>
      <c r="M900" s="28"/>
      <c r="N900" s="28"/>
      <c r="O900" s="20" t="s">
        <v>7530</v>
      </c>
      <c r="P900" s="27" t="str">
        <f t="shared" si="43"/>
        <v>vermelho</v>
      </c>
    </row>
    <row r="901" spans="1:16" ht="25.5">
      <c r="A901" s="3" t="s">
        <v>4</v>
      </c>
      <c r="B901" s="3" t="s">
        <v>438</v>
      </c>
      <c r="C901" s="4">
        <v>208</v>
      </c>
      <c r="D901" s="3" t="s">
        <v>15</v>
      </c>
      <c r="E901" s="3" t="s">
        <v>16</v>
      </c>
      <c r="F901" s="5">
        <v>372</v>
      </c>
      <c r="G901" s="5">
        <v>612</v>
      </c>
      <c r="H901" s="6">
        <v>20150.28</v>
      </c>
      <c r="I901" s="22">
        <v>33707.4</v>
      </c>
      <c r="J901" s="24">
        <f t="shared" si="42"/>
        <v>2.3356268479160619E-4</v>
      </c>
      <c r="K901" s="25">
        <f t="shared" si="44"/>
        <v>0.671621587569594</v>
      </c>
      <c r="L901" s="26" t="s">
        <v>7516</v>
      </c>
      <c r="M901" s="28"/>
      <c r="N901" s="28"/>
      <c r="O901" s="20">
        <v>14379.12</v>
      </c>
      <c r="P901" s="27" t="str">
        <f t="shared" si="43"/>
        <v>amarelo</v>
      </c>
    </row>
    <row r="902" spans="1:16" ht="38.25">
      <c r="A902" s="3" t="s">
        <v>4</v>
      </c>
      <c r="B902" s="3" t="s">
        <v>439</v>
      </c>
      <c r="C902" s="4">
        <v>371</v>
      </c>
      <c r="D902" s="3" t="s">
        <v>82</v>
      </c>
      <c r="E902" s="3" t="s">
        <v>49</v>
      </c>
      <c r="F902" s="5">
        <v>291</v>
      </c>
      <c r="G902" s="5">
        <v>672</v>
      </c>
      <c r="H902" s="6">
        <v>14311.934999999999</v>
      </c>
      <c r="I902" s="22">
        <v>33707.22</v>
      </c>
      <c r="J902" s="24">
        <f t="shared" si="42"/>
        <v>2.3356143754965744E-4</v>
      </c>
      <c r="K902" s="25">
        <f t="shared" si="44"/>
        <v>0.67185514900714371</v>
      </c>
      <c r="L902" s="26" t="s">
        <v>7516</v>
      </c>
      <c r="M902" s="28"/>
      <c r="N902" s="28"/>
      <c r="O902" s="20" t="s">
        <v>7530</v>
      </c>
      <c r="P902" s="27" t="str">
        <f t="shared" si="43"/>
        <v>vermelho</v>
      </c>
    </row>
    <row r="903" spans="1:16" ht="25.5">
      <c r="A903" s="3" t="s">
        <v>4</v>
      </c>
      <c r="B903" s="3" t="s">
        <v>440</v>
      </c>
      <c r="C903" s="4">
        <v>261</v>
      </c>
      <c r="D903" s="3" t="s">
        <v>9</v>
      </c>
      <c r="E903" s="3" t="s">
        <v>10</v>
      </c>
      <c r="F903" s="5">
        <v>267</v>
      </c>
      <c r="G903" s="5">
        <v>558</v>
      </c>
      <c r="H903" s="6">
        <v>15273.39</v>
      </c>
      <c r="I903" s="22">
        <v>33694.32</v>
      </c>
      <c r="J903" s="24">
        <f t="shared" si="42"/>
        <v>2.334720518766654E-4</v>
      </c>
      <c r="K903" s="25">
        <f t="shared" si="44"/>
        <v>0.67208862105902034</v>
      </c>
      <c r="L903" s="26" t="s">
        <v>7516</v>
      </c>
      <c r="M903" s="28"/>
      <c r="N903" s="28"/>
      <c r="O903" s="20" t="s">
        <v>7530</v>
      </c>
      <c r="P903" s="27" t="str">
        <f t="shared" si="43"/>
        <v>vermelho</v>
      </c>
    </row>
    <row r="904" spans="1:16" ht="25.5">
      <c r="A904" s="3" t="s">
        <v>4</v>
      </c>
      <c r="B904" s="3" t="s">
        <v>441</v>
      </c>
      <c r="C904" s="4">
        <v>61</v>
      </c>
      <c r="D904" s="3" t="s">
        <v>48</v>
      </c>
      <c r="E904" s="3" t="s">
        <v>49</v>
      </c>
      <c r="F904" s="5">
        <v>555</v>
      </c>
      <c r="G904" s="5">
        <v>504</v>
      </c>
      <c r="H904" s="6">
        <v>29466.720000000001</v>
      </c>
      <c r="I904" s="22">
        <v>33642.720000000001</v>
      </c>
      <c r="J904" s="24">
        <f t="shared" si="42"/>
        <v>2.3311450918469729E-4</v>
      </c>
      <c r="K904" s="25">
        <f t="shared" si="44"/>
        <v>0.67232173556820507</v>
      </c>
      <c r="L904" s="26" t="s">
        <v>7516</v>
      </c>
      <c r="M904" s="28"/>
      <c r="N904" s="28"/>
      <c r="O904" s="20">
        <v>34924.980000000003</v>
      </c>
      <c r="P904" s="27" t="str">
        <f t="shared" si="43"/>
        <v>verde</v>
      </c>
    </row>
    <row r="905" spans="1:16" ht="25.5">
      <c r="A905" s="3" t="s">
        <v>4</v>
      </c>
      <c r="B905" s="3" t="s">
        <v>442</v>
      </c>
      <c r="C905" s="4">
        <v>53</v>
      </c>
      <c r="D905" s="3" t="s">
        <v>34</v>
      </c>
      <c r="E905" s="3" t="s">
        <v>16</v>
      </c>
      <c r="F905" s="5">
        <v>378</v>
      </c>
      <c r="G905" s="5">
        <v>618</v>
      </c>
      <c r="H905" s="6">
        <v>19383.18</v>
      </c>
      <c r="I905" s="22">
        <v>33612.379999999997</v>
      </c>
      <c r="J905" s="24">
        <f t="shared" si="42"/>
        <v>2.3290427962511753E-4</v>
      </c>
      <c r="K905" s="25">
        <f t="shared" si="44"/>
        <v>0.67255463984783015</v>
      </c>
      <c r="L905" s="26" t="s">
        <v>7516</v>
      </c>
      <c r="M905" s="28"/>
      <c r="N905" s="28"/>
      <c r="O905" s="20">
        <v>10233.24</v>
      </c>
      <c r="P905" s="27" t="str">
        <f t="shared" si="43"/>
        <v>amarelo</v>
      </c>
    </row>
    <row r="906" spans="1:16" ht="25.5">
      <c r="A906" s="3" t="s">
        <v>5939</v>
      </c>
      <c r="B906" s="3" t="s">
        <v>5940</v>
      </c>
      <c r="C906" s="4">
        <v>93</v>
      </c>
      <c r="D906" s="3" t="s">
        <v>20</v>
      </c>
      <c r="E906" s="3" t="s">
        <v>7</v>
      </c>
      <c r="F906" s="5">
        <v>324</v>
      </c>
      <c r="G906" s="5">
        <v>468</v>
      </c>
      <c r="H906" s="6">
        <v>19634.580000000002</v>
      </c>
      <c r="I906" s="22">
        <v>33503.879999999997</v>
      </c>
      <c r="J906" s="24">
        <f t="shared" si="42"/>
        <v>2.3215246989491322E-4</v>
      </c>
      <c r="K906" s="25">
        <f t="shared" si="44"/>
        <v>0.67278679231772509</v>
      </c>
      <c r="L906" s="26" t="s">
        <v>7516</v>
      </c>
      <c r="M906" s="28"/>
      <c r="N906" s="28"/>
      <c r="O906" s="20">
        <v>12198</v>
      </c>
      <c r="P906" s="27" t="str">
        <f t="shared" si="43"/>
        <v>amarelo</v>
      </c>
    </row>
    <row r="907" spans="1:16" ht="25.5">
      <c r="A907" s="3" t="s">
        <v>5941</v>
      </c>
      <c r="B907" s="3" t="s">
        <v>5942</v>
      </c>
      <c r="C907" s="4">
        <v>327</v>
      </c>
      <c r="D907" s="3" t="s">
        <v>100</v>
      </c>
      <c r="E907" s="3" t="s">
        <v>7</v>
      </c>
      <c r="F907" s="5">
        <v>138</v>
      </c>
      <c r="G907" s="5">
        <v>600</v>
      </c>
      <c r="H907" s="6">
        <v>6688.98</v>
      </c>
      <c r="I907" s="22">
        <v>33433.53</v>
      </c>
      <c r="J907" s="24">
        <f t="shared" si="42"/>
        <v>2.3166500616661945E-4</v>
      </c>
      <c r="K907" s="25">
        <f t="shared" si="44"/>
        <v>0.67301845732389176</v>
      </c>
      <c r="L907" s="26" t="s">
        <v>7516</v>
      </c>
      <c r="M907" s="28"/>
      <c r="N907" s="28"/>
      <c r="O907" s="20">
        <v>14426.04</v>
      </c>
      <c r="P907" s="27" t="str">
        <f t="shared" si="43"/>
        <v>amarelo</v>
      </c>
    </row>
    <row r="908" spans="1:16">
      <c r="A908" s="3" t="s">
        <v>4</v>
      </c>
      <c r="B908" s="3" t="s">
        <v>443</v>
      </c>
      <c r="C908" s="4">
        <v>15</v>
      </c>
      <c r="D908" s="3" t="s">
        <v>18</v>
      </c>
      <c r="E908" s="3" t="s">
        <v>16</v>
      </c>
      <c r="F908" s="5">
        <v>852</v>
      </c>
      <c r="G908" s="5">
        <v>504</v>
      </c>
      <c r="H908" s="6">
        <v>48317.01</v>
      </c>
      <c r="I908" s="22">
        <v>33325.199999999997</v>
      </c>
      <c r="J908" s="24">
        <f t="shared" si="42"/>
        <v>2.3091437438714447E-4</v>
      </c>
      <c r="K908" s="25">
        <f t="shared" si="44"/>
        <v>0.67324937169827892</v>
      </c>
      <c r="L908" s="26" t="s">
        <v>7516</v>
      </c>
      <c r="M908" s="28"/>
      <c r="N908" s="28"/>
      <c r="O908" s="20" t="s">
        <v>7530</v>
      </c>
      <c r="P908" s="27" t="str">
        <f t="shared" si="43"/>
        <v>vermelho</v>
      </c>
    </row>
    <row r="909" spans="1:16" ht="25.5">
      <c r="A909" s="3" t="s">
        <v>4</v>
      </c>
      <c r="B909" s="3" t="s">
        <v>444</v>
      </c>
      <c r="C909" s="4">
        <v>53</v>
      </c>
      <c r="D909" s="3" t="s">
        <v>34</v>
      </c>
      <c r="E909" s="3" t="s">
        <v>16</v>
      </c>
      <c r="F909" s="5">
        <v>456</v>
      </c>
      <c r="G909" s="5">
        <v>579</v>
      </c>
      <c r="H909" s="6">
        <v>23975.4</v>
      </c>
      <c r="I909" s="22">
        <v>33254.339999999997</v>
      </c>
      <c r="J909" s="24">
        <f t="shared" si="42"/>
        <v>2.3042337680666264E-4</v>
      </c>
      <c r="K909" s="25">
        <f t="shared" si="44"/>
        <v>0.6734797950750856</v>
      </c>
      <c r="L909" s="26" t="s">
        <v>7516</v>
      </c>
      <c r="M909" s="28">
        <v>6.3968366571499458E-2</v>
      </c>
      <c r="N909" s="28"/>
      <c r="O909" s="20" t="s">
        <v>7530</v>
      </c>
      <c r="P909" s="27" t="str">
        <f t="shared" si="43"/>
        <v>vermelho</v>
      </c>
    </row>
    <row r="910" spans="1:16" ht="25.5">
      <c r="A910" s="3" t="s">
        <v>5943</v>
      </c>
      <c r="B910" s="3" t="s">
        <v>5944</v>
      </c>
      <c r="C910" s="4">
        <v>261</v>
      </c>
      <c r="D910" s="3" t="s">
        <v>9</v>
      </c>
      <c r="E910" s="3" t="s">
        <v>10</v>
      </c>
      <c r="F910" s="5">
        <v>381</v>
      </c>
      <c r="G910" s="5">
        <v>558</v>
      </c>
      <c r="H910" s="6">
        <v>20929.349999999999</v>
      </c>
      <c r="I910" s="22">
        <v>33214.71</v>
      </c>
      <c r="J910" s="24">
        <f t="shared" si="42"/>
        <v>2.301487757042848E-4</v>
      </c>
      <c r="K910" s="25">
        <f t="shared" si="44"/>
        <v>0.67370994385078986</v>
      </c>
      <c r="L910" s="26" t="s">
        <v>7516</v>
      </c>
      <c r="M910" s="28"/>
      <c r="N910" s="28"/>
      <c r="O910" s="20">
        <v>2727</v>
      </c>
      <c r="P910" s="27" t="str">
        <f t="shared" si="43"/>
        <v>amarelo</v>
      </c>
    </row>
    <row r="911" spans="1:16" ht="25.5">
      <c r="A911" s="3" t="s">
        <v>5246</v>
      </c>
      <c r="B911" s="3" t="s">
        <v>5247</v>
      </c>
      <c r="C911" s="4">
        <v>194</v>
      </c>
      <c r="D911" s="3" t="s">
        <v>145</v>
      </c>
      <c r="E911" s="3" t="s">
        <v>16</v>
      </c>
      <c r="F911" s="5">
        <v>816</v>
      </c>
      <c r="G911" s="5">
        <v>642</v>
      </c>
      <c r="H911" s="6">
        <v>40131.839999999997</v>
      </c>
      <c r="I911" s="22">
        <v>33210.959999999999</v>
      </c>
      <c r="J911" s="24">
        <f t="shared" si="42"/>
        <v>2.3012279149701968E-4</v>
      </c>
      <c r="K911" s="25">
        <f t="shared" si="44"/>
        <v>0.67394006664228689</v>
      </c>
      <c r="L911" s="26" t="s">
        <v>7516</v>
      </c>
      <c r="M911" s="28"/>
      <c r="N911" s="28"/>
      <c r="O911" s="20">
        <v>22678.2</v>
      </c>
      <c r="P911" s="27" t="str">
        <f t="shared" si="43"/>
        <v>laranja</v>
      </c>
    </row>
    <row r="912" spans="1:16" ht="25.5">
      <c r="A912" s="3" t="s">
        <v>5945</v>
      </c>
      <c r="B912" s="3" t="s">
        <v>5946</v>
      </c>
      <c r="C912" s="4">
        <v>328</v>
      </c>
      <c r="D912" s="3" t="s">
        <v>215</v>
      </c>
      <c r="E912" s="3" t="s">
        <v>41</v>
      </c>
      <c r="F912" s="5">
        <v>723</v>
      </c>
      <c r="G912" s="5">
        <v>588</v>
      </c>
      <c r="H912" s="6">
        <v>40872.135000000002</v>
      </c>
      <c r="I912" s="22">
        <v>33190.527999999998</v>
      </c>
      <c r="J912" s="24">
        <f t="shared" si="42"/>
        <v>2.2998121567759539E-4</v>
      </c>
      <c r="K912" s="25">
        <f t="shared" si="44"/>
        <v>0.67417004785796453</v>
      </c>
      <c r="L912" s="26" t="s">
        <v>7516</v>
      </c>
      <c r="M912" s="28"/>
      <c r="N912" s="28"/>
      <c r="O912" s="20" t="s">
        <v>7530</v>
      </c>
      <c r="P912" s="27" t="str">
        <f t="shared" si="43"/>
        <v>vermelho</v>
      </c>
    </row>
    <row r="913" spans="1:16" ht="25.5">
      <c r="A913" s="3" t="s">
        <v>4</v>
      </c>
      <c r="B913" s="3" t="s">
        <v>445</v>
      </c>
      <c r="C913" s="4">
        <v>93</v>
      </c>
      <c r="D913" s="3" t="s">
        <v>20</v>
      </c>
      <c r="E913" s="3" t="s">
        <v>7</v>
      </c>
      <c r="F913" s="5">
        <v>420</v>
      </c>
      <c r="G913" s="5">
        <v>516</v>
      </c>
      <c r="H913" s="6">
        <v>23844.36</v>
      </c>
      <c r="I913" s="22">
        <v>33189.599999999999</v>
      </c>
      <c r="J913" s="24">
        <f t="shared" si="42"/>
        <v>2.299747854524375E-4</v>
      </c>
      <c r="K913" s="25">
        <f t="shared" si="44"/>
        <v>0.67440002264341692</v>
      </c>
      <c r="L913" s="26" t="s">
        <v>7516</v>
      </c>
      <c r="M913" s="28"/>
      <c r="N913" s="28"/>
      <c r="O913" s="20">
        <v>5342.16</v>
      </c>
      <c r="P913" s="27" t="str">
        <f t="shared" si="43"/>
        <v>amarelo</v>
      </c>
    </row>
    <row r="914" spans="1:16" ht="25.5">
      <c r="A914" s="3" t="s">
        <v>4</v>
      </c>
      <c r="B914" s="3" t="s">
        <v>446</v>
      </c>
      <c r="C914" s="4">
        <v>208</v>
      </c>
      <c r="D914" s="3" t="s">
        <v>15</v>
      </c>
      <c r="E914" s="3" t="s">
        <v>16</v>
      </c>
      <c r="F914" s="5">
        <v>564</v>
      </c>
      <c r="G914" s="5">
        <v>588</v>
      </c>
      <c r="H914" s="6">
        <v>25319.52</v>
      </c>
      <c r="I914" s="22">
        <v>33188.28</v>
      </c>
      <c r="J914" s="24">
        <f t="shared" si="42"/>
        <v>2.2996563901148018E-4</v>
      </c>
      <c r="K914" s="25">
        <f t="shared" si="44"/>
        <v>0.67462998828242837</v>
      </c>
      <c r="L914" s="26" t="s">
        <v>7516</v>
      </c>
      <c r="M914" s="28">
        <v>-2.772040113793503E-2</v>
      </c>
      <c r="N914" s="28"/>
      <c r="O914" s="20">
        <v>33188.28</v>
      </c>
      <c r="P914" s="27" t="str">
        <f t="shared" si="43"/>
        <v>verde</v>
      </c>
    </row>
    <row r="915" spans="1:16" ht="25.5">
      <c r="A915" s="3" t="s">
        <v>4</v>
      </c>
      <c r="B915" s="3" t="s">
        <v>447</v>
      </c>
      <c r="C915" s="4">
        <v>231</v>
      </c>
      <c r="D915" s="3" t="s">
        <v>52</v>
      </c>
      <c r="E915" s="3" t="s">
        <v>7</v>
      </c>
      <c r="F915" s="5">
        <v>957</v>
      </c>
      <c r="G915" s="5">
        <v>570</v>
      </c>
      <c r="H915" s="6">
        <v>50102.67</v>
      </c>
      <c r="I915" s="22">
        <v>33171.03</v>
      </c>
      <c r="J915" s="24">
        <f t="shared" si="42"/>
        <v>2.2984611165806061E-4</v>
      </c>
      <c r="K915" s="25">
        <f t="shared" si="44"/>
        <v>0.67485983439408648</v>
      </c>
      <c r="L915" s="26" t="s">
        <v>7516</v>
      </c>
      <c r="M915" s="28">
        <v>3.7741782565403399E-2</v>
      </c>
      <c r="N915" s="28"/>
      <c r="O915" s="20">
        <v>21084.720000000001</v>
      </c>
      <c r="P915" s="27" t="str">
        <f t="shared" si="43"/>
        <v>laranja</v>
      </c>
    </row>
    <row r="916" spans="1:16" ht="25.5">
      <c r="A916" s="3" t="s">
        <v>4</v>
      </c>
      <c r="B916" s="3" t="s">
        <v>448</v>
      </c>
      <c r="C916" s="4">
        <v>187</v>
      </c>
      <c r="D916" s="3" t="s">
        <v>96</v>
      </c>
      <c r="E916" s="3" t="s">
        <v>7</v>
      </c>
      <c r="F916" s="5">
        <v>201</v>
      </c>
      <c r="G916" s="5">
        <v>504</v>
      </c>
      <c r="H916" s="6">
        <v>11441.55</v>
      </c>
      <c r="I916" s="22">
        <v>33160.35</v>
      </c>
      <c r="J916" s="24">
        <f t="shared" si="42"/>
        <v>2.2977210863576951E-4</v>
      </c>
      <c r="K916" s="25">
        <f t="shared" si="44"/>
        <v>0.67508960650272221</v>
      </c>
      <c r="L916" s="26" t="s">
        <v>7516</v>
      </c>
      <c r="M916" s="28"/>
      <c r="N916" s="28"/>
      <c r="O916" s="20" t="s">
        <v>7530</v>
      </c>
      <c r="P916" s="27" t="str">
        <f t="shared" si="43"/>
        <v>vermelho</v>
      </c>
    </row>
    <row r="917" spans="1:16" ht="25.5">
      <c r="A917" s="3" t="s">
        <v>4</v>
      </c>
      <c r="B917" s="3" t="s">
        <v>450</v>
      </c>
      <c r="C917" s="4">
        <v>297</v>
      </c>
      <c r="D917" s="3" t="s">
        <v>115</v>
      </c>
      <c r="E917" s="3" t="s">
        <v>41</v>
      </c>
      <c r="F917" s="5">
        <v>207</v>
      </c>
      <c r="G917" s="5">
        <v>582</v>
      </c>
      <c r="H917" s="6">
        <v>10446.513000000001</v>
      </c>
      <c r="I917" s="22">
        <v>33071.553999999996</v>
      </c>
      <c r="J917" s="24">
        <f t="shared" si="42"/>
        <v>2.2915683032421905E-4</v>
      </c>
      <c r="K917" s="25">
        <f t="shared" si="44"/>
        <v>0.67531876333304641</v>
      </c>
      <c r="L917" s="26" t="s">
        <v>7516</v>
      </c>
      <c r="M917" s="28"/>
      <c r="N917" s="28"/>
      <c r="O917" s="20">
        <v>31035.97</v>
      </c>
      <c r="P917" s="27" t="str">
        <f t="shared" si="43"/>
        <v>laranja</v>
      </c>
    </row>
    <row r="918" spans="1:16" ht="25.5">
      <c r="A918" s="3" t="s">
        <v>4</v>
      </c>
      <c r="B918" s="3" t="s">
        <v>451</v>
      </c>
      <c r="C918" s="4">
        <v>273</v>
      </c>
      <c r="D918" s="3" t="s">
        <v>149</v>
      </c>
      <c r="E918" s="3" t="s">
        <v>16</v>
      </c>
      <c r="F918" s="5">
        <v>105</v>
      </c>
      <c r="G918" s="5">
        <v>522</v>
      </c>
      <c r="H918" s="6">
        <v>5785.95</v>
      </c>
      <c r="I918" s="22">
        <v>33056.057000000001</v>
      </c>
      <c r="J918" s="24">
        <f t="shared" si="42"/>
        <v>2.290494497215557E-4</v>
      </c>
      <c r="K918" s="25">
        <f t="shared" si="44"/>
        <v>0.67554781278276799</v>
      </c>
      <c r="L918" s="26" t="s">
        <v>7516</v>
      </c>
      <c r="M918" s="28"/>
      <c r="N918" s="28"/>
      <c r="O918" s="20" t="s">
        <v>7530</v>
      </c>
      <c r="P918" s="27" t="str">
        <f t="shared" si="43"/>
        <v>vermelho</v>
      </c>
    </row>
    <row r="919" spans="1:16" ht="25.5">
      <c r="A919" s="3" t="s">
        <v>4</v>
      </c>
      <c r="B919" s="3" t="s">
        <v>452</v>
      </c>
      <c r="C919" s="4">
        <v>194</v>
      </c>
      <c r="D919" s="3" t="s">
        <v>145</v>
      </c>
      <c r="E919" s="3" t="s">
        <v>16</v>
      </c>
      <c r="F919" s="5">
        <v>459</v>
      </c>
      <c r="G919" s="5">
        <v>555</v>
      </c>
      <c r="H919" s="6">
        <v>24202.41</v>
      </c>
      <c r="I919" s="22">
        <v>33052.230000000003</v>
      </c>
      <c r="J919" s="24">
        <f t="shared" si="42"/>
        <v>2.2902293197190143E-4</v>
      </c>
      <c r="K919" s="25">
        <f t="shared" si="44"/>
        <v>0.6757768357147399</v>
      </c>
      <c r="L919" s="26" t="s">
        <v>7516</v>
      </c>
      <c r="M919" s="28"/>
      <c r="N919" s="28">
        <v>5.2416431868301243E-2</v>
      </c>
      <c r="O919" s="20">
        <v>7403.76</v>
      </c>
      <c r="P919" s="27" t="str">
        <f t="shared" si="43"/>
        <v>amarelo</v>
      </c>
    </row>
    <row r="920" spans="1:16" ht="38.25">
      <c r="A920" s="3" t="s">
        <v>4</v>
      </c>
      <c r="B920" s="3" t="s">
        <v>453</v>
      </c>
      <c r="C920" s="4">
        <v>45</v>
      </c>
      <c r="D920" s="3" t="s">
        <v>23</v>
      </c>
      <c r="E920" s="3" t="s">
        <v>7</v>
      </c>
      <c r="F920" s="5">
        <v>747</v>
      </c>
      <c r="G920" s="5">
        <v>492</v>
      </c>
      <c r="H920" s="6">
        <v>39398.084999999999</v>
      </c>
      <c r="I920" s="22">
        <v>33011.94</v>
      </c>
      <c r="J920" s="24">
        <f t="shared" si="42"/>
        <v>2.287437576490449E-4</v>
      </c>
      <c r="K920" s="25">
        <f t="shared" si="44"/>
        <v>0.67600557947238893</v>
      </c>
      <c r="L920" s="26" t="s">
        <v>7516</v>
      </c>
      <c r="M920" s="28"/>
      <c r="N920" s="28"/>
      <c r="O920" s="20">
        <v>16520.22</v>
      </c>
      <c r="P920" s="27" t="str">
        <f t="shared" si="43"/>
        <v>amarelo</v>
      </c>
    </row>
    <row r="921" spans="1:16">
      <c r="A921" s="3" t="s">
        <v>5947</v>
      </c>
      <c r="B921" s="3" t="s">
        <v>5948</v>
      </c>
      <c r="C921" s="4">
        <v>231</v>
      </c>
      <c r="D921" s="3" t="s">
        <v>52</v>
      </c>
      <c r="E921" s="3" t="s">
        <v>7</v>
      </c>
      <c r="F921" s="5">
        <v>498</v>
      </c>
      <c r="G921" s="5">
        <v>564</v>
      </c>
      <c r="H921" s="6">
        <v>31403.279999999999</v>
      </c>
      <c r="I921" s="22">
        <v>32998.92</v>
      </c>
      <c r="J921" s="24">
        <f t="shared" si="42"/>
        <v>2.2865354048142036E-4</v>
      </c>
      <c r="K921" s="25">
        <f t="shared" si="44"/>
        <v>0.67623423301287033</v>
      </c>
      <c r="L921" s="26" t="s">
        <v>7516</v>
      </c>
      <c r="M921" s="28"/>
      <c r="N921" s="28"/>
      <c r="O921" s="20" t="s">
        <v>7530</v>
      </c>
      <c r="P921" s="27" t="str">
        <f t="shared" si="43"/>
        <v>vermelho</v>
      </c>
    </row>
    <row r="922" spans="1:16" ht="38.25">
      <c r="A922" s="3" t="s">
        <v>5949</v>
      </c>
      <c r="B922" s="3" t="s">
        <v>5950</v>
      </c>
      <c r="C922" s="4">
        <v>11</v>
      </c>
      <c r="D922" s="3" t="s">
        <v>61</v>
      </c>
      <c r="E922" s="3" t="s">
        <v>10</v>
      </c>
      <c r="F922" s="5">
        <v>528</v>
      </c>
      <c r="G922" s="5">
        <v>504</v>
      </c>
      <c r="H922" s="6">
        <v>30232.080000000002</v>
      </c>
      <c r="I922" s="22">
        <v>32995.08</v>
      </c>
      <c r="J922" s="24">
        <f t="shared" si="42"/>
        <v>2.286269326531809E-4</v>
      </c>
      <c r="K922" s="25">
        <f t="shared" si="44"/>
        <v>0.67646285994552346</v>
      </c>
      <c r="L922" s="26" t="s">
        <v>7516</v>
      </c>
      <c r="M922" s="28"/>
      <c r="N922" s="28"/>
      <c r="O922" s="20" t="s">
        <v>7530</v>
      </c>
      <c r="P922" s="27" t="str">
        <f t="shared" si="43"/>
        <v>vermelho</v>
      </c>
    </row>
    <row r="923" spans="1:16" ht="38.25">
      <c r="A923" s="3" t="s">
        <v>4</v>
      </c>
      <c r="B923" s="3" t="s">
        <v>454</v>
      </c>
      <c r="C923" s="4">
        <v>143</v>
      </c>
      <c r="D923" s="3" t="s">
        <v>44</v>
      </c>
      <c r="E923" s="3" t="s">
        <v>41</v>
      </c>
      <c r="F923" s="5">
        <v>369</v>
      </c>
      <c r="G923" s="5">
        <v>552</v>
      </c>
      <c r="H923" s="6">
        <v>20466.75</v>
      </c>
      <c r="I923" s="22">
        <v>32977.08</v>
      </c>
      <c r="J923" s="24">
        <f t="shared" si="42"/>
        <v>2.2850220845830829E-4</v>
      </c>
      <c r="K923" s="25">
        <f t="shared" si="44"/>
        <v>0.67669136215398173</v>
      </c>
      <c r="L923" s="26" t="s">
        <v>7516</v>
      </c>
      <c r="M923" s="28"/>
      <c r="N923" s="28"/>
      <c r="O923" s="20" t="s">
        <v>7530</v>
      </c>
      <c r="P923" s="27" t="str">
        <f t="shared" si="43"/>
        <v>vermelho</v>
      </c>
    </row>
    <row r="924" spans="1:16" ht="25.5">
      <c r="A924" s="3" t="s">
        <v>4</v>
      </c>
      <c r="B924" s="3" t="s">
        <v>455</v>
      </c>
      <c r="C924" s="4">
        <v>335</v>
      </c>
      <c r="D924" s="3" t="s">
        <v>36</v>
      </c>
      <c r="E924" s="3" t="s">
        <v>7</v>
      </c>
      <c r="F924" s="5">
        <v>732</v>
      </c>
      <c r="G924" s="5">
        <v>531</v>
      </c>
      <c r="H924" s="6">
        <v>41676.449999999997</v>
      </c>
      <c r="I924" s="22">
        <v>32890.89</v>
      </c>
      <c r="J924" s="24">
        <f t="shared" si="42"/>
        <v>2.2790498743852661E-4</v>
      </c>
      <c r="K924" s="25">
        <f t="shared" si="44"/>
        <v>0.67691926714142026</v>
      </c>
      <c r="L924" s="26" t="s">
        <v>7516</v>
      </c>
      <c r="M924" s="28"/>
      <c r="N924" s="28"/>
      <c r="O924" s="20">
        <v>21571.74</v>
      </c>
      <c r="P924" s="27" t="str">
        <f t="shared" si="43"/>
        <v>laranja</v>
      </c>
    </row>
    <row r="925" spans="1:16" ht="25.5">
      <c r="A925" s="3" t="s">
        <v>4</v>
      </c>
      <c r="B925" s="3" t="s">
        <v>456</v>
      </c>
      <c r="C925" s="4">
        <v>261</v>
      </c>
      <c r="D925" s="3" t="s">
        <v>9</v>
      </c>
      <c r="E925" s="3" t="s">
        <v>10</v>
      </c>
      <c r="F925" s="5">
        <v>282</v>
      </c>
      <c r="G925" s="5">
        <v>507</v>
      </c>
      <c r="H925" s="6">
        <v>15310.98</v>
      </c>
      <c r="I925" s="22">
        <v>32864.97</v>
      </c>
      <c r="J925" s="24">
        <f t="shared" si="42"/>
        <v>2.2772538459791004E-4</v>
      </c>
      <c r="K925" s="25">
        <f t="shared" si="44"/>
        <v>0.67714699252601818</v>
      </c>
      <c r="L925" s="26" t="s">
        <v>7516</v>
      </c>
      <c r="M925" s="28"/>
      <c r="N925" s="28"/>
      <c r="O925" s="20" t="s">
        <v>7530</v>
      </c>
      <c r="P925" s="27" t="str">
        <f t="shared" si="43"/>
        <v>vermelho</v>
      </c>
    </row>
    <row r="926" spans="1:16" ht="25.5">
      <c r="A926" s="3" t="s">
        <v>4</v>
      </c>
      <c r="B926" s="3" t="s">
        <v>457</v>
      </c>
      <c r="C926" s="4">
        <v>39</v>
      </c>
      <c r="D926" s="3" t="s">
        <v>26</v>
      </c>
      <c r="E926" s="3" t="s">
        <v>13</v>
      </c>
      <c r="F926" s="5">
        <v>261</v>
      </c>
      <c r="G926" s="5">
        <v>585</v>
      </c>
      <c r="H926" s="6">
        <v>12803.300999999999</v>
      </c>
      <c r="I926" s="22">
        <v>32863.800000000003</v>
      </c>
      <c r="J926" s="24">
        <f t="shared" si="42"/>
        <v>2.2771727752524335E-4</v>
      </c>
      <c r="K926" s="25">
        <f t="shared" si="44"/>
        <v>0.67737470980354342</v>
      </c>
      <c r="L926" s="26" t="s">
        <v>7516</v>
      </c>
      <c r="M926" s="28"/>
      <c r="N926" s="28"/>
      <c r="O926" s="20" t="s">
        <v>7530</v>
      </c>
      <c r="P926" s="27" t="str">
        <f t="shared" si="43"/>
        <v>vermelho</v>
      </c>
    </row>
    <row r="927" spans="1:16" ht="25.5">
      <c r="A927" s="3" t="s">
        <v>4</v>
      </c>
      <c r="B927" s="3" t="s">
        <v>458</v>
      </c>
      <c r="C927" s="4">
        <v>74</v>
      </c>
      <c r="D927" s="3" t="s">
        <v>6</v>
      </c>
      <c r="E927" s="3" t="s">
        <v>7</v>
      </c>
      <c r="F927" s="5">
        <v>498</v>
      </c>
      <c r="G927" s="5">
        <v>528</v>
      </c>
      <c r="H927" s="6">
        <v>27720.54</v>
      </c>
      <c r="I927" s="22">
        <v>32834.730000000003</v>
      </c>
      <c r="J927" s="24">
        <f t="shared" si="42"/>
        <v>2.2751584795052408E-4</v>
      </c>
      <c r="K927" s="25">
        <f t="shared" si="44"/>
        <v>0.67760222565149397</v>
      </c>
      <c r="L927" s="26" t="s">
        <v>7516</v>
      </c>
      <c r="M927" s="28"/>
      <c r="N927" s="28"/>
      <c r="O927" s="20" t="s">
        <v>7530</v>
      </c>
      <c r="P927" s="27" t="str">
        <f t="shared" si="43"/>
        <v>vermelho</v>
      </c>
    </row>
    <row r="928" spans="1:16" ht="38.25">
      <c r="A928" s="3" t="s">
        <v>4</v>
      </c>
      <c r="B928" s="3" t="s">
        <v>459</v>
      </c>
      <c r="C928" s="4">
        <v>267</v>
      </c>
      <c r="D928" s="3" t="s">
        <v>125</v>
      </c>
      <c r="E928" s="3" t="s">
        <v>16</v>
      </c>
      <c r="F928" s="5">
        <v>516</v>
      </c>
      <c r="G928" s="5">
        <v>543</v>
      </c>
      <c r="H928" s="6">
        <v>28368.36</v>
      </c>
      <c r="I928" s="22">
        <v>32806.019999999997</v>
      </c>
      <c r="J928" s="24">
        <f t="shared" si="42"/>
        <v>2.2731691285970225E-4</v>
      </c>
      <c r="K928" s="25">
        <f t="shared" si="44"/>
        <v>0.67782954256435368</v>
      </c>
      <c r="L928" s="26" t="s">
        <v>7516</v>
      </c>
      <c r="M928" s="28"/>
      <c r="N928" s="28"/>
      <c r="O928" s="20">
        <v>5867.64</v>
      </c>
      <c r="P928" s="27" t="str">
        <f t="shared" si="43"/>
        <v>amarelo</v>
      </c>
    </row>
    <row r="929" spans="1:16" ht="38.25">
      <c r="A929" s="3" t="s">
        <v>5951</v>
      </c>
      <c r="B929" s="3" t="s">
        <v>5952</v>
      </c>
      <c r="C929" s="4">
        <v>301</v>
      </c>
      <c r="D929" s="3" t="s">
        <v>519</v>
      </c>
      <c r="E929" s="3" t="s">
        <v>16</v>
      </c>
      <c r="F929" s="5">
        <v>684</v>
      </c>
      <c r="G929" s="5">
        <v>600</v>
      </c>
      <c r="H929" s="6">
        <v>37785.449999999997</v>
      </c>
      <c r="I929" s="22">
        <v>32805.96</v>
      </c>
      <c r="J929" s="24">
        <f t="shared" si="42"/>
        <v>2.2731649711238601E-4</v>
      </c>
      <c r="K929" s="25">
        <f t="shared" si="44"/>
        <v>0.67805685906146607</v>
      </c>
      <c r="L929" s="26" t="s">
        <v>7516</v>
      </c>
      <c r="M929" s="28"/>
      <c r="N929" s="28"/>
      <c r="O929" s="20">
        <v>23117.759999999998</v>
      </c>
      <c r="P929" s="27" t="str">
        <f t="shared" si="43"/>
        <v>laranja</v>
      </c>
    </row>
    <row r="930" spans="1:16" ht="25.5">
      <c r="A930" s="3" t="s">
        <v>4</v>
      </c>
      <c r="B930" s="3" t="s">
        <v>460</v>
      </c>
      <c r="C930" s="4">
        <v>266</v>
      </c>
      <c r="D930" s="3" t="s">
        <v>80</v>
      </c>
      <c r="E930" s="3" t="s">
        <v>10</v>
      </c>
      <c r="F930" s="5">
        <v>192</v>
      </c>
      <c r="G930" s="5">
        <v>537</v>
      </c>
      <c r="H930" s="6">
        <v>10519.32</v>
      </c>
      <c r="I930" s="22">
        <v>32803.589999999997</v>
      </c>
      <c r="J930" s="24">
        <f t="shared" si="42"/>
        <v>2.2730007509339444E-4</v>
      </c>
      <c r="K930" s="25">
        <f t="shared" si="44"/>
        <v>0.67828415913655948</v>
      </c>
      <c r="L930" s="26" t="s">
        <v>7516</v>
      </c>
      <c r="M930" s="28"/>
      <c r="N930" s="28"/>
      <c r="O930" s="20" t="s">
        <v>7530</v>
      </c>
      <c r="P930" s="27" t="str">
        <f t="shared" si="43"/>
        <v>vermelho</v>
      </c>
    </row>
    <row r="931" spans="1:16" ht="25.5">
      <c r="A931" s="3" t="s">
        <v>4</v>
      </c>
      <c r="B931" s="3" t="s">
        <v>461</v>
      </c>
      <c r="C931" s="4">
        <v>297</v>
      </c>
      <c r="D931" s="3" t="s">
        <v>115</v>
      </c>
      <c r="E931" s="3" t="s">
        <v>41</v>
      </c>
      <c r="F931" s="5">
        <v>264</v>
      </c>
      <c r="G931" s="5">
        <v>528</v>
      </c>
      <c r="H931" s="6">
        <v>15479.976000000001</v>
      </c>
      <c r="I931" s="22">
        <v>32802.239999999998</v>
      </c>
      <c r="J931" s="24">
        <f t="shared" si="42"/>
        <v>2.27290720778779E-4</v>
      </c>
      <c r="K931" s="25">
        <f t="shared" si="44"/>
        <v>0.67851144985733824</v>
      </c>
      <c r="L931" s="26" t="s">
        <v>7516</v>
      </c>
      <c r="M931" s="28"/>
      <c r="N931" s="28"/>
      <c r="O931" s="20" t="s">
        <v>7530</v>
      </c>
      <c r="P931" s="27" t="str">
        <f t="shared" si="43"/>
        <v>vermelho</v>
      </c>
    </row>
    <row r="932" spans="1:16" ht="25.5">
      <c r="A932" s="3" t="s">
        <v>4</v>
      </c>
      <c r="B932" s="3" t="s">
        <v>462</v>
      </c>
      <c r="C932" s="4">
        <v>321</v>
      </c>
      <c r="D932" s="3" t="s">
        <v>136</v>
      </c>
      <c r="E932" s="3" t="s">
        <v>41</v>
      </c>
      <c r="F932" s="5">
        <v>657</v>
      </c>
      <c r="G932" s="5">
        <v>567</v>
      </c>
      <c r="H932" s="6">
        <v>36989.714999999997</v>
      </c>
      <c r="I932" s="22">
        <v>32734.7</v>
      </c>
      <c r="J932" s="24">
        <f t="shared" si="42"/>
        <v>2.2682272788312924E-4</v>
      </c>
      <c r="K932" s="25">
        <f t="shared" si="44"/>
        <v>0.67873827258522135</v>
      </c>
      <c r="L932" s="26" t="s">
        <v>7516</v>
      </c>
      <c r="M932" s="28"/>
      <c r="N932" s="28"/>
      <c r="O932" s="20">
        <v>16577.580000000002</v>
      </c>
      <c r="P932" s="27" t="str">
        <f t="shared" si="43"/>
        <v>amarelo</v>
      </c>
    </row>
    <row r="933" spans="1:16" ht="38.25">
      <c r="A933" s="3" t="s">
        <v>4</v>
      </c>
      <c r="B933" s="3" t="s">
        <v>463</v>
      </c>
      <c r="C933" s="4">
        <v>231</v>
      </c>
      <c r="D933" s="3" t="s">
        <v>52</v>
      </c>
      <c r="E933" s="3" t="s">
        <v>7</v>
      </c>
      <c r="F933" s="5">
        <v>99</v>
      </c>
      <c r="G933" s="5">
        <v>540</v>
      </c>
      <c r="H933" s="6">
        <v>5252.01</v>
      </c>
      <c r="I933" s="22">
        <v>32722.799999999999</v>
      </c>
      <c r="J933" s="24">
        <f t="shared" si="42"/>
        <v>2.2674027133207458E-4</v>
      </c>
      <c r="K933" s="25">
        <f t="shared" si="44"/>
        <v>0.67896501285655342</v>
      </c>
      <c r="L933" s="26" t="s">
        <v>7516</v>
      </c>
      <c r="M933" s="28"/>
      <c r="N933" s="28"/>
      <c r="O933" s="20" t="s">
        <v>7530</v>
      </c>
      <c r="P933" s="27" t="str">
        <f t="shared" si="43"/>
        <v>vermelho</v>
      </c>
    </row>
    <row r="934" spans="1:16" ht="25.5">
      <c r="A934" s="3" t="s">
        <v>4</v>
      </c>
      <c r="B934" s="3" t="s">
        <v>464</v>
      </c>
      <c r="C934" s="4">
        <v>261</v>
      </c>
      <c r="D934" s="3" t="s">
        <v>9</v>
      </c>
      <c r="E934" s="3" t="s">
        <v>10</v>
      </c>
      <c r="F934" s="5">
        <v>582</v>
      </c>
      <c r="G934" s="5">
        <v>558</v>
      </c>
      <c r="H934" s="6">
        <v>33033.06</v>
      </c>
      <c r="I934" s="22">
        <v>32714.974999999999</v>
      </c>
      <c r="J934" s="24">
        <f t="shared" si="42"/>
        <v>2.2668605095291466E-4</v>
      </c>
      <c r="K934" s="25">
        <f t="shared" si="44"/>
        <v>0.6791916989075063</v>
      </c>
      <c r="L934" s="26" t="s">
        <v>7516</v>
      </c>
      <c r="M934" s="28"/>
      <c r="N934" s="28"/>
      <c r="O934" s="20">
        <v>30876.9</v>
      </c>
      <c r="P934" s="27" t="str">
        <f t="shared" si="43"/>
        <v>laranja</v>
      </c>
    </row>
    <row r="935" spans="1:16" ht="38.25">
      <c r="A935" s="3" t="s">
        <v>4</v>
      </c>
      <c r="B935" s="3" t="s">
        <v>465</v>
      </c>
      <c r="C935" s="4">
        <v>34</v>
      </c>
      <c r="D935" s="3" t="s">
        <v>54</v>
      </c>
      <c r="E935" s="3" t="s">
        <v>49</v>
      </c>
      <c r="F935" s="5">
        <v>612</v>
      </c>
      <c r="G935" s="5">
        <v>516</v>
      </c>
      <c r="H935" s="6">
        <v>32616.383999999998</v>
      </c>
      <c r="I935" s="22">
        <v>32654.52</v>
      </c>
      <c r="J935" s="24">
        <f t="shared" si="42"/>
        <v>2.2626715088619115E-4</v>
      </c>
      <c r="K935" s="25">
        <f t="shared" si="44"/>
        <v>0.67941796605839244</v>
      </c>
      <c r="L935" s="26" t="s">
        <v>7516</v>
      </c>
      <c r="M935" s="28"/>
      <c r="N935" s="28"/>
      <c r="O935" s="20" t="s">
        <v>7530</v>
      </c>
      <c r="P935" s="27" t="str">
        <f t="shared" si="43"/>
        <v>vermelho</v>
      </c>
    </row>
    <row r="936" spans="1:16" ht="25.5">
      <c r="A936" s="3" t="s">
        <v>4</v>
      </c>
      <c r="B936" s="3" t="s">
        <v>466</v>
      </c>
      <c r="C936" s="4">
        <v>208</v>
      </c>
      <c r="D936" s="3" t="s">
        <v>15</v>
      </c>
      <c r="E936" s="3" t="s">
        <v>16</v>
      </c>
      <c r="F936" s="5">
        <v>492</v>
      </c>
      <c r="G936" s="5">
        <v>492</v>
      </c>
      <c r="H936" s="6">
        <v>27181.56</v>
      </c>
      <c r="I936" s="22">
        <v>32590.92</v>
      </c>
      <c r="J936" s="24">
        <f t="shared" si="42"/>
        <v>2.2582645873097461E-4</v>
      </c>
      <c r="K936" s="25">
        <f t="shared" si="44"/>
        <v>0.67964379251712337</v>
      </c>
      <c r="L936" s="26" t="s">
        <v>7516</v>
      </c>
      <c r="M936" s="28">
        <v>3.2104762578192099E-3</v>
      </c>
      <c r="N936" s="28"/>
      <c r="O936" s="20">
        <v>19795.439999999999</v>
      </c>
      <c r="P936" s="27" t="str">
        <f t="shared" si="43"/>
        <v>laranja</v>
      </c>
    </row>
    <row r="937" spans="1:16" ht="25.5">
      <c r="A937" s="3" t="s">
        <v>5953</v>
      </c>
      <c r="B937" s="3" t="s">
        <v>5954</v>
      </c>
      <c r="C937" s="4">
        <v>74</v>
      </c>
      <c r="D937" s="3" t="s">
        <v>6</v>
      </c>
      <c r="E937" s="3" t="s">
        <v>7</v>
      </c>
      <c r="F937" s="5">
        <v>126</v>
      </c>
      <c r="G937" s="5">
        <v>504</v>
      </c>
      <c r="H937" s="6">
        <v>8377.98</v>
      </c>
      <c r="I937" s="22">
        <v>32583.84</v>
      </c>
      <c r="J937" s="24">
        <f t="shared" si="42"/>
        <v>2.2577740054765806E-4</v>
      </c>
      <c r="K937" s="25">
        <f t="shared" si="44"/>
        <v>0.679869569917671</v>
      </c>
      <c r="L937" s="26" t="s">
        <v>7516</v>
      </c>
      <c r="M937" s="28"/>
      <c r="N937" s="28"/>
      <c r="O937" s="20" t="s">
        <v>7530</v>
      </c>
      <c r="P937" s="27" t="str">
        <f t="shared" si="43"/>
        <v>vermelho</v>
      </c>
    </row>
    <row r="938" spans="1:16">
      <c r="A938" s="3" t="s">
        <v>5955</v>
      </c>
      <c r="B938" s="3" t="s">
        <v>5956</v>
      </c>
      <c r="C938" s="4">
        <v>240</v>
      </c>
      <c r="D938" s="3" t="s">
        <v>69</v>
      </c>
      <c r="E938" s="3" t="s">
        <v>16</v>
      </c>
      <c r="F938" s="5">
        <v>244</v>
      </c>
      <c r="G938" s="5">
        <v>636</v>
      </c>
      <c r="H938" s="6">
        <v>10394.4</v>
      </c>
      <c r="I938" s="22">
        <v>32576.04</v>
      </c>
      <c r="J938" s="24">
        <f t="shared" si="42"/>
        <v>2.2572335339654658E-4</v>
      </c>
      <c r="K938" s="25">
        <f t="shared" si="44"/>
        <v>0.68009529327106755</v>
      </c>
      <c r="L938" s="26" t="s">
        <v>7516</v>
      </c>
      <c r="M938" s="28"/>
      <c r="N938" s="28"/>
      <c r="O938" s="20" t="s">
        <v>7530</v>
      </c>
      <c r="P938" s="27" t="str">
        <f t="shared" si="43"/>
        <v>vermelho</v>
      </c>
    </row>
    <row r="939" spans="1:16" ht="38.25">
      <c r="A939" s="3" t="s">
        <v>4</v>
      </c>
      <c r="B939" s="3" t="s">
        <v>467</v>
      </c>
      <c r="C939" s="4">
        <v>371</v>
      </c>
      <c r="D939" s="3" t="s">
        <v>82</v>
      </c>
      <c r="E939" s="3" t="s">
        <v>49</v>
      </c>
      <c r="F939" s="5">
        <v>778</v>
      </c>
      <c r="G939" s="5">
        <v>582</v>
      </c>
      <c r="H939" s="6">
        <v>38559.438000000002</v>
      </c>
      <c r="I939" s="22">
        <v>32547.018</v>
      </c>
      <c r="J939" s="24">
        <f t="shared" si="42"/>
        <v>2.2552225641968033E-4</v>
      </c>
      <c r="K939" s="25">
        <f t="shared" si="44"/>
        <v>0.68032081552748724</v>
      </c>
      <c r="L939" s="26" t="s">
        <v>7516</v>
      </c>
      <c r="M939" s="28"/>
      <c r="N939" s="28"/>
      <c r="O939" s="20">
        <v>15389.082</v>
      </c>
      <c r="P939" s="27" t="str">
        <f t="shared" si="43"/>
        <v>amarelo</v>
      </c>
    </row>
    <row r="940" spans="1:16" ht="25.5">
      <c r="A940" s="3" t="s">
        <v>4</v>
      </c>
      <c r="B940" s="3" t="s">
        <v>468</v>
      </c>
      <c r="C940" s="4">
        <v>15</v>
      </c>
      <c r="D940" s="3" t="s">
        <v>18</v>
      </c>
      <c r="E940" s="3" t="s">
        <v>16</v>
      </c>
      <c r="F940" s="5">
        <v>696</v>
      </c>
      <c r="G940" s="5">
        <v>558</v>
      </c>
      <c r="H940" s="6">
        <v>37431.480000000003</v>
      </c>
      <c r="I940" s="22">
        <v>32542.98</v>
      </c>
      <c r="J940" s="24">
        <f t="shared" si="42"/>
        <v>2.2549427662529723E-4</v>
      </c>
      <c r="K940" s="25">
        <f t="shared" si="44"/>
        <v>0.68054630980411257</v>
      </c>
      <c r="L940" s="26" t="s">
        <v>7516</v>
      </c>
      <c r="M940" s="28"/>
      <c r="N940" s="28"/>
      <c r="O940" s="20" t="s">
        <v>7530</v>
      </c>
      <c r="P940" s="27" t="str">
        <f t="shared" si="43"/>
        <v>vermelho</v>
      </c>
    </row>
    <row r="941" spans="1:16" ht="25.5">
      <c r="A941" s="3" t="s">
        <v>4</v>
      </c>
      <c r="B941" s="3" t="s">
        <v>469</v>
      </c>
      <c r="C941" s="4">
        <v>267</v>
      </c>
      <c r="D941" s="3" t="s">
        <v>125</v>
      </c>
      <c r="E941" s="3" t="s">
        <v>16</v>
      </c>
      <c r="F941" s="5">
        <v>189</v>
      </c>
      <c r="G941" s="5">
        <v>624</v>
      </c>
      <c r="H941" s="6">
        <v>9826.5300000000007</v>
      </c>
      <c r="I941" s="22">
        <v>32484.78</v>
      </c>
      <c r="J941" s="24">
        <f t="shared" si="42"/>
        <v>2.2509100172854246E-4</v>
      </c>
      <c r="K941" s="25">
        <f t="shared" si="44"/>
        <v>0.68077140080584109</v>
      </c>
      <c r="L941" s="26" t="s">
        <v>7516</v>
      </c>
      <c r="M941" s="28">
        <v>-1.326913096879008E-2</v>
      </c>
      <c r="N941" s="28"/>
      <c r="O941" s="20">
        <v>9362.82</v>
      </c>
      <c r="P941" s="27" t="str">
        <f t="shared" si="43"/>
        <v>amarelo</v>
      </c>
    </row>
    <row r="942" spans="1:16">
      <c r="A942" s="3" t="s">
        <v>4</v>
      </c>
      <c r="B942" s="3" t="s">
        <v>470</v>
      </c>
      <c r="C942" s="4">
        <v>15</v>
      </c>
      <c r="D942" s="3" t="s">
        <v>18</v>
      </c>
      <c r="E942" s="3" t="s">
        <v>16</v>
      </c>
      <c r="F942" s="5">
        <v>0</v>
      </c>
      <c r="G942" s="5">
        <v>465</v>
      </c>
      <c r="H942" s="6">
        <v>0</v>
      </c>
      <c r="I942" s="22">
        <v>32475.09</v>
      </c>
      <c r="J942" s="24">
        <f t="shared" si="42"/>
        <v>2.2502385853696939E-4</v>
      </c>
      <c r="K942" s="25">
        <f t="shared" si="44"/>
        <v>0.68099642466437804</v>
      </c>
      <c r="L942" s="26" t="s">
        <v>7516</v>
      </c>
      <c r="M942" s="28"/>
      <c r="N942" s="28"/>
      <c r="O942" s="20">
        <v>22476.6</v>
      </c>
      <c r="P942" s="27" t="str">
        <f t="shared" si="43"/>
        <v>laranja</v>
      </c>
    </row>
    <row r="943" spans="1:16" ht="25.5">
      <c r="A943" s="3" t="s">
        <v>4</v>
      </c>
      <c r="B943" s="3" t="s">
        <v>471</v>
      </c>
      <c r="C943" s="4">
        <v>297</v>
      </c>
      <c r="D943" s="3" t="s">
        <v>115</v>
      </c>
      <c r="E943" s="3" t="s">
        <v>41</v>
      </c>
      <c r="F943" s="5">
        <v>0</v>
      </c>
      <c r="G943" s="5">
        <v>540</v>
      </c>
      <c r="H943" s="6">
        <v>0</v>
      </c>
      <c r="I943" s="22">
        <v>32464.468000000001</v>
      </c>
      <c r="J943" s="24">
        <f t="shared" si="42"/>
        <v>2.2495025740375068E-4</v>
      </c>
      <c r="K943" s="25">
        <f t="shared" si="44"/>
        <v>0.68122137492178181</v>
      </c>
      <c r="L943" s="26" t="s">
        <v>7516</v>
      </c>
      <c r="M943" s="28"/>
      <c r="N943" s="28"/>
      <c r="O943" s="20">
        <v>17887.509999999998</v>
      </c>
      <c r="P943" s="27" t="str">
        <f t="shared" si="43"/>
        <v>laranja</v>
      </c>
    </row>
    <row r="944" spans="1:16" ht="38.25">
      <c r="A944" s="3" t="s">
        <v>4</v>
      </c>
      <c r="B944" s="3" t="s">
        <v>472</v>
      </c>
      <c r="C944" s="4">
        <v>292</v>
      </c>
      <c r="D944" s="3" t="s">
        <v>57</v>
      </c>
      <c r="E944" s="3" t="s">
        <v>49</v>
      </c>
      <c r="F944" s="5">
        <v>348</v>
      </c>
      <c r="G944" s="5">
        <v>570</v>
      </c>
      <c r="H944" s="6">
        <v>16740.995999999999</v>
      </c>
      <c r="I944" s="22">
        <v>32442.126</v>
      </c>
      <c r="J944" s="24">
        <f t="shared" si="42"/>
        <v>2.2479544696142601E-4</v>
      </c>
      <c r="K944" s="25">
        <f t="shared" si="44"/>
        <v>0.68144617036874322</v>
      </c>
      <c r="L944" s="26" t="s">
        <v>7516</v>
      </c>
      <c r="M944" s="28"/>
      <c r="N944" s="28"/>
      <c r="O944" s="20" t="s">
        <v>7530</v>
      </c>
      <c r="P944" s="27" t="str">
        <f t="shared" si="43"/>
        <v>vermelho</v>
      </c>
    </row>
    <row r="945" spans="1:16" ht="25.5">
      <c r="A945" s="3" t="s">
        <v>4</v>
      </c>
      <c r="B945" s="3" t="s">
        <v>473</v>
      </c>
      <c r="C945" s="4">
        <v>53</v>
      </c>
      <c r="D945" s="3" t="s">
        <v>34</v>
      </c>
      <c r="E945" s="3" t="s">
        <v>16</v>
      </c>
      <c r="F945" s="5">
        <v>402</v>
      </c>
      <c r="G945" s="5">
        <v>594</v>
      </c>
      <c r="H945" s="6">
        <v>20273.79</v>
      </c>
      <c r="I945" s="22">
        <v>32352.97</v>
      </c>
      <c r="J945" s="24">
        <f t="shared" si="42"/>
        <v>2.2417767416597813E-4</v>
      </c>
      <c r="K945" s="25">
        <f t="shared" si="44"/>
        <v>0.68167034804290916</v>
      </c>
      <c r="L945" s="26" t="s">
        <v>7516</v>
      </c>
      <c r="M945" s="28"/>
      <c r="N945" s="28">
        <v>4.3110543566726174E-2</v>
      </c>
      <c r="O945" s="20">
        <v>3422.52</v>
      </c>
      <c r="P945" s="27" t="str">
        <f t="shared" si="43"/>
        <v>amarelo</v>
      </c>
    </row>
    <row r="946" spans="1:16" ht="25.5">
      <c r="A946" s="3" t="s">
        <v>5957</v>
      </c>
      <c r="B946" s="3" t="s">
        <v>5958</v>
      </c>
      <c r="C946" s="4">
        <v>321</v>
      </c>
      <c r="D946" s="3" t="s">
        <v>136</v>
      </c>
      <c r="E946" s="3" t="s">
        <v>41</v>
      </c>
      <c r="F946" s="5">
        <v>0</v>
      </c>
      <c r="G946" s="5">
        <v>618</v>
      </c>
      <c r="H946" s="6">
        <v>0</v>
      </c>
      <c r="I946" s="22">
        <v>32325.358</v>
      </c>
      <c r="J946" s="24">
        <f t="shared" si="42"/>
        <v>2.2398634725104353E-4</v>
      </c>
      <c r="K946" s="25">
        <f t="shared" si="44"/>
        <v>0.68189433439016023</v>
      </c>
      <c r="L946" s="26" t="s">
        <v>7516</v>
      </c>
      <c r="M946" s="28"/>
      <c r="N946" s="28"/>
      <c r="O946" s="20">
        <v>5512.9080000000004</v>
      </c>
      <c r="P946" s="27" t="str">
        <f t="shared" si="43"/>
        <v>amarelo</v>
      </c>
    </row>
    <row r="947" spans="1:16" ht="25.5">
      <c r="A947" s="3" t="s">
        <v>4</v>
      </c>
      <c r="B947" s="3" t="s">
        <v>474</v>
      </c>
      <c r="C947" s="4">
        <v>297</v>
      </c>
      <c r="D947" s="3" t="s">
        <v>115</v>
      </c>
      <c r="E947" s="3" t="s">
        <v>41</v>
      </c>
      <c r="F947" s="5">
        <v>453</v>
      </c>
      <c r="G947" s="5">
        <v>579</v>
      </c>
      <c r="H947" s="6">
        <v>24842.766</v>
      </c>
      <c r="I947" s="22">
        <v>32323.201000000001</v>
      </c>
      <c r="J947" s="24">
        <f t="shared" si="42"/>
        <v>2.2397140113502464E-4</v>
      </c>
      <c r="K947" s="25">
        <f t="shared" si="44"/>
        <v>0.68211830579129529</v>
      </c>
      <c r="L947" s="26" t="s">
        <v>7516</v>
      </c>
      <c r="M947" s="28"/>
      <c r="N947" s="28"/>
      <c r="O947" s="20">
        <v>18334.349999999999</v>
      </c>
      <c r="P947" s="27" t="str">
        <f t="shared" si="43"/>
        <v>laranja</v>
      </c>
    </row>
    <row r="948" spans="1:16" ht="25.5">
      <c r="A948" s="3" t="s">
        <v>4</v>
      </c>
      <c r="B948" s="3" t="s">
        <v>475</v>
      </c>
      <c r="C948" s="4">
        <v>19</v>
      </c>
      <c r="D948" s="3" t="s">
        <v>72</v>
      </c>
      <c r="E948" s="3" t="s">
        <v>41</v>
      </c>
      <c r="F948" s="5">
        <v>0</v>
      </c>
      <c r="G948" s="5">
        <v>510</v>
      </c>
      <c r="H948" s="6">
        <v>0</v>
      </c>
      <c r="I948" s="22">
        <v>32298.99</v>
      </c>
      <c r="J948" s="24">
        <f t="shared" si="42"/>
        <v>2.2380364016379904E-4</v>
      </c>
      <c r="K948" s="25">
        <f t="shared" si="44"/>
        <v>0.68234210943145912</v>
      </c>
      <c r="L948" s="26" t="s">
        <v>7516</v>
      </c>
      <c r="M948" s="28"/>
      <c r="N948" s="28"/>
      <c r="O948" s="20" t="s">
        <v>7530</v>
      </c>
      <c r="P948" s="27" t="str">
        <f t="shared" si="43"/>
        <v>vermelho</v>
      </c>
    </row>
    <row r="949" spans="1:16" ht="38.25">
      <c r="A949" s="3" t="s">
        <v>4</v>
      </c>
      <c r="B949" s="3" t="s">
        <v>476</v>
      </c>
      <c r="C949" s="4">
        <v>143</v>
      </c>
      <c r="D949" s="3" t="s">
        <v>44</v>
      </c>
      <c r="E949" s="3" t="s">
        <v>41</v>
      </c>
      <c r="F949" s="5">
        <v>789</v>
      </c>
      <c r="G949" s="5">
        <v>519</v>
      </c>
      <c r="H949" s="6">
        <v>46159.71</v>
      </c>
      <c r="I949" s="22">
        <v>32266.74</v>
      </c>
      <c r="J949" s="24">
        <f t="shared" si="42"/>
        <v>2.2358017598131898E-4</v>
      </c>
      <c r="K949" s="25">
        <f t="shared" si="44"/>
        <v>0.68256568960744046</v>
      </c>
      <c r="L949" s="26" t="s">
        <v>7516</v>
      </c>
      <c r="M949" s="28"/>
      <c r="N949" s="28"/>
      <c r="O949" s="20" t="s">
        <v>7530</v>
      </c>
      <c r="P949" s="27" t="str">
        <f t="shared" si="43"/>
        <v>vermelho</v>
      </c>
    </row>
    <row r="950" spans="1:16">
      <c r="A950" s="3" t="s">
        <v>4</v>
      </c>
      <c r="B950" s="3" t="s">
        <v>477</v>
      </c>
      <c r="C950" s="4">
        <v>315</v>
      </c>
      <c r="D950" s="3" t="s">
        <v>63</v>
      </c>
      <c r="E950" s="3" t="s">
        <v>7</v>
      </c>
      <c r="F950" s="5">
        <v>120</v>
      </c>
      <c r="G950" s="5">
        <v>663</v>
      </c>
      <c r="H950" s="6">
        <v>5541.84</v>
      </c>
      <c r="I950" s="22">
        <v>32219.781999999999</v>
      </c>
      <c r="J950" s="24">
        <f t="shared" si="42"/>
        <v>2.2325479827338407E-4</v>
      </c>
      <c r="K950" s="25">
        <f t="shared" si="44"/>
        <v>0.6827889444057138</v>
      </c>
      <c r="L950" s="26" t="s">
        <v>7516</v>
      </c>
      <c r="M950" s="28"/>
      <c r="N950" s="28"/>
      <c r="O950" s="20">
        <v>14293.492</v>
      </c>
      <c r="P950" s="27" t="str">
        <f t="shared" si="43"/>
        <v>amarelo</v>
      </c>
    </row>
    <row r="951" spans="1:16" ht="25.5">
      <c r="A951" s="3" t="s">
        <v>4</v>
      </c>
      <c r="B951" s="3" t="s">
        <v>478</v>
      </c>
      <c r="C951" s="4">
        <v>218</v>
      </c>
      <c r="D951" s="3" t="s">
        <v>104</v>
      </c>
      <c r="E951" s="3" t="s">
        <v>16</v>
      </c>
      <c r="F951" s="5">
        <v>735</v>
      </c>
      <c r="G951" s="5">
        <v>528</v>
      </c>
      <c r="H951" s="6">
        <v>33459.81</v>
      </c>
      <c r="I951" s="22">
        <v>32170.799999999999</v>
      </c>
      <c r="J951" s="24">
        <f t="shared" si="42"/>
        <v>2.2291539602264796E-4</v>
      </c>
      <c r="K951" s="25">
        <f t="shared" si="44"/>
        <v>0.6830118598017364</v>
      </c>
      <c r="L951" s="26" t="s">
        <v>7516</v>
      </c>
      <c r="M951" s="28">
        <v>1.3178226715811285E-2</v>
      </c>
      <c r="N951" s="28"/>
      <c r="O951" s="20">
        <v>10466.459999999999</v>
      </c>
      <c r="P951" s="27" t="str">
        <f t="shared" si="43"/>
        <v>amarelo</v>
      </c>
    </row>
    <row r="952" spans="1:16" ht="38.25">
      <c r="A952" s="3" t="s">
        <v>4</v>
      </c>
      <c r="B952" s="3" t="s">
        <v>479</v>
      </c>
      <c r="C952" s="4">
        <v>371</v>
      </c>
      <c r="D952" s="3" t="s">
        <v>82</v>
      </c>
      <c r="E952" s="3" t="s">
        <v>49</v>
      </c>
      <c r="F952" s="5">
        <v>0</v>
      </c>
      <c r="G952" s="5">
        <v>594</v>
      </c>
      <c r="H952" s="6">
        <v>0</v>
      </c>
      <c r="I952" s="22">
        <v>32082.078000000001</v>
      </c>
      <c r="J952" s="24">
        <f t="shared" si="42"/>
        <v>2.2230063046612089E-4</v>
      </c>
      <c r="K952" s="25">
        <f t="shared" si="44"/>
        <v>0.68323416043220253</v>
      </c>
      <c r="L952" s="26" t="s">
        <v>7516</v>
      </c>
      <c r="M952" s="28"/>
      <c r="N952" s="28"/>
      <c r="O952" s="20">
        <v>2156.16</v>
      </c>
      <c r="P952" s="27" t="str">
        <f t="shared" si="43"/>
        <v>amarelo</v>
      </c>
    </row>
    <row r="953" spans="1:16" ht="38.25">
      <c r="A953" s="3" t="s">
        <v>5959</v>
      </c>
      <c r="B953" s="3" t="s">
        <v>5960</v>
      </c>
      <c r="C953" s="4">
        <v>34</v>
      </c>
      <c r="D953" s="3" t="s">
        <v>54</v>
      </c>
      <c r="E953" s="3" t="s">
        <v>49</v>
      </c>
      <c r="F953" s="5">
        <v>975</v>
      </c>
      <c r="G953" s="5">
        <v>531</v>
      </c>
      <c r="H953" s="6">
        <v>56551.281000000003</v>
      </c>
      <c r="I953" s="22">
        <v>32052.69</v>
      </c>
      <c r="J953" s="24">
        <f t="shared" si="42"/>
        <v>2.2209699743062553E-4</v>
      </c>
      <c r="K953" s="25">
        <f t="shared" si="44"/>
        <v>0.68345625742963312</v>
      </c>
      <c r="L953" s="26" t="s">
        <v>7516</v>
      </c>
      <c r="M953" s="28"/>
      <c r="N953" s="28"/>
      <c r="O953" s="20">
        <v>17675.939999999999</v>
      </c>
      <c r="P953" s="27" t="str">
        <f t="shared" si="43"/>
        <v>laranja</v>
      </c>
    </row>
    <row r="954" spans="1:16" ht="25.5">
      <c r="A954" s="3" t="s">
        <v>4</v>
      </c>
      <c r="B954" s="3" t="s">
        <v>480</v>
      </c>
      <c r="C954" s="4">
        <v>315</v>
      </c>
      <c r="D954" s="3" t="s">
        <v>63</v>
      </c>
      <c r="E954" s="3" t="s">
        <v>7</v>
      </c>
      <c r="F954" s="5">
        <v>225</v>
      </c>
      <c r="G954" s="5">
        <v>549</v>
      </c>
      <c r="H954" s="6">
        <v>11775.75</v>
      </c>
      <c r="I954" s="22">
        <v>32045.057000000001</v>
      </c>
      <c r="J954" s="24">
        <f t="shared" si="42"/>
        <v>2.2204410744287761E-4</v>
      </c>
      <c r="K954" s="25">
        <f t="shared" si="44"/>
        <v>0.68367830153707598</v>
      </c>
      <c r="L954" s="26" t="s">
        <v>7516</v>
      </c>
      <c r="M954" s="28"/>
      <c r="N954" s="28"/>
      <c r="O954" s="20">
        <v>22030.29</v>
      </c>
      <c r="P954" s="27" t="str">
        <f t="shared" si="43"/>
        <v>laranja</v>
      </c>
    </row>
    <row r="955" spans="1:16" ht="25.5">
      <c r="A955" s="3" t="s">
        <v>4</v>
      </c>
      <c r="B955" s="3" t="s">
        <v>481</v>
      </c>
      <c r="C955" s="4">
        <v>297</v>
      </c>
      <c r="D955" s="3" t="s">
        <v>115</v>
      </c>
      <c r="E955" s="3" t="s">
        <v>41</v>
      </c>
      <c r="F955" s="5">
        <v>453</v>
      </c>
      <c r="G955" s="5">
        <v>462</v>
      </c>
      <c r="H955" s="6">
        <v>27204.846000000001</v>
      </c>
      <c r="I955" s="22">
        <v>32005.84</v>
      </c>
      <c r="J955" s="24">
        <f t="shared" si="42"/>
        <v>2.217723680678599E-4</v>
      </c>
      <c r="K955" s="25">
        <f t="shared" si="44"/>
        <v>0.68390007390514385</v>
      </c>
      <c r="L955" s="26" t="s">
        <v>7516</v>
      </c>
      <c r="M955" s="28">
        <v>3.1687497901830078E-2</v>
      </c>
      <c r="N955" s="28"/>
      <c r="O955" s="20" t="s">
        <v>7530</v>
      </c>
      <c r="P955" s="27" t="str">
        <f t="shared" si="43"/>
        <v>vermelho</v>
      </c>
    </row>
    <row r="956" spans="1:16" ht="25.5">
      <c r="A956" s="3" t="s">
        <v>4</v>
      </c>
      <c r="B956" s="3" t="s">
        <v>482</v>
      </c>
      <c r="C956" s="4">
        <v>320</v>
      </c>
      <c r="D956" s="3" t="s">
        <v>218</v>
      </c>
      <c r="E956" s="3" t="s">
        <v>49</v>
      </c>
      <c r="F956" s="5">
        <v>759</v>
      </c>
      <c r="G956" s="5">
        <v>495</v>
      </c>
      <c r="H956" s="6">
        <v>39701.19</v>
      </c>
      <c r="I956" s="22">
        <v>31982.16</v>
      </c>
      <c r="J956" s="24">
        <f t="shared" si="42"/>
        <v>2.2160828646038304E-4</v>
      </c>
      <c r="K956" s="25">
        <f t="shared" si="44"/>
        <v>0.68412168219160419</v>
      </c>
      <c r="L956" s="26" t="s">
        <v>7516</v>
      </c>
      <c r="M956" s="28"/>
      <c r="N956" s="28"/>
      <c r="O956" s="20" t="s">
        <v>7530</v>
      </c>
      <c r="P956" s="27" t="str">
        <f t="shared" si="43"/>
        <v>vermelho</v>
      </c>
    </row>
    <row r="957" spans="1:16" ht="25.5">
      <c r="A957" s="3" t="s">
        <v>4</v>
      </c>
      <c r="B957" s="3" t="s">
        <v>483</v>
      </c>
      <c r="C957" s="4">
        <v>31</v>
      </c>
      <c r="D957" s="3" t="s">
        <v>194</v>
      </c>
      <c r="E957" s="3" t="s">
        <v>16</v>
      </c>
      <c r="F957" s="5">
        <v>1026</v>
      </c>
      <c r="G957" s="5">
        <v>531</v>
      </c>
      <c r="H957" s="6">
        <v>56239.98</v>
      </c>
      <c r="I957" s="22">
        <v>31973.43</v>
      </c>
      <c r="J957" s="24">
        <f t="shared" si="42"/>
        <v>2.2154779522586983E-4</v>
      </c>
      <c r="K957" s="25">
        <f t="shared" si="44"/>
        <v>0.68434322998683006</v>
      </c>
      <c r="L957" s="26" t="s">
        <v>7516</v>
      </c>
      <c r="M957" s="28"/>
      <c r="N957" s="28"/>
      <c r="O957" s="20">
        <v>27865.53</v>
      </c>
      <c r="P957" s="27" t="str">
        <f t="shared" si="43"/>
        <v>laranja</v>
      </c>
    </row>
    <row r="958" spans="1:16" ht="25.5">
      <c r="A958" s="3" t="s">
        <v>4</v>
      </c>
      <c r="B958" s="3" t="s">
        <v>484</v>
      </c>
      <c r="C958" s="4">
        <v>178</v>
      </c>
      <c r="D958" s="3" t="s">
        <v>74</v>
      </c>
      <c r="E958" s="3" t="s">
        <v>7</v>
      </c>
      <c r="F958" s="5">
        <v>672</v>
      </c>
      <c r="G958" s="5">
        <v>582</v>
      </c>
      <c r="H958" s="6">
        <v>41368.32</v>
      </c>
      <c r="I958" s="22">
        <v>31963.200000000001</v>
      </c>
      <c r="J958" s="24">
        <f t="shared" si="42"/>
        <v>2.2147691030845057E-4</v>
      </c>
      <c r="K958" s="25">
        <f t="shared" si="44"/>
        <v>0.68456470689713855</v>
      </c>
      <c r="L958" s="26" t="s">
        <v>7516</v>
      </c>
      <c r="M958" s="28"/>
      <c r="N958" s="28"/>
      <c r="O958" s="20" t="s">
        <v>7530</v>
      </c>
      <c r="P958" s="27" t="str">
        <f t="shared" si="43"/>
        <v>vermelho</v>
      </c>
    </row>
    <row r="959" spans="1:16" ht="38.25">
      <c r="A959" s="3" t="s">
        <v>4</v>
      </c>
      <c r="B959" s="3" t="s">
        <v>485</v>
      </c>
      <c r="C959" s="4">
        <v>74</v>
      </c>
      <c r="D959" s="3" t="s">
        <v>6</v>
      </c>
      <c r="E959" s="3" t="s">
        <v>7</v>
      </c>
      <c r="F959" s="5">
        <v>369</v>
      </c>
      <c r="G959" s="5">
        <v>492</v>
      </c>
      <c r="H959" s="6">
        <v>22963.17</v>
      </c>
      <c r="I959" s="22">
        <v>31947.360000000001</v>
      </c>
      <c r="J959" s="24">
        <f t="shared" si="42"/>
        <v>2.2136715301696266E-4</v>
      </c>
      <c r="K959" s="25">
        <f t="shared" si="44"/>
        <v>0.68478607405015557</v>
      </c>
      <c r="L959" s="26" t="s">
        <v>7516</v>
      </c>
      <c r="M959" s="28"/>
      <c r="N959" s="28">
        <v>8.2637697018596329E-2</v>
      </c>
      <c r="O959" s="20">
        <v>18093.599999999999</v>
      </c>
      <c r="P959" s="27" t="str">
        <f t="shared" si="43"/>
        <v>laranja</v>
      </c>
    </row>
    <row r="960" spans="1:16" ht="25.5">
      <c r="A960" s="3" t="s">
        <v>5961</v>
      </c>
      <c r="B960" s="3" t="s">
        <v>5962</v>
      </c>
      <c r="C960" s="4">
        <v>299</v>
      </c>
      <c r="D960" s="3" t="s">
        <v>111</v>
      </c>
      <c r="E960" s="3" t="s">
        <v>49</v>
      </c>
      <c r="F960" s="5">
        <v>396</v>
      </c>
      <c r="G960" s="5">
        <v>597</v>
      </c>
      <c r="H960" s="6">
        <v>19923.84</v>
      </c>
      <c r="I960" s="22">
        <v>31922.79</v>
      </c>
      <c r="J960" s="24">
        <f t="shared" si="42"/>
        <v>2.2119690449096157E-4</v>
      </c>
      <c r="K960" s="25">
        <f t="shared" si="44"/>
        <v>0.68500727095464653</v>
      </c>
      <c r="L960" s="26" t="s">
        <v>7516</v>
      </c>
      <c r="M960" s="28"/>
      <c r="N960" s="28"/>
      <c r="O960" s="20">
        <v>9490.08</v>
      </c>
      <c r="P960" s="27" t="str">
        <f t="shared" si="43"/>
        <v>amarelo</v>
      </c>
    </row>
    <row r="961" spans="1:16" ht="38.25">
      <c r="A961" s="3" t="s">
        <v>4</v>
      </c>
      <c r="B961" s="3" t="s">
        <v>486</v>
      </c>
      <c r="C961" s="4">
        <v>11</v>
      </c>
      <c r="D961" s="3" t="s">
        <v>61</v>
      </c>
      <c r="E961" s="3" t="s">
        <v>10</v>
      </c>
      <c r="F961" s="5">
        <v>528</v>
      </c>
      <c r="G961" s="5">
        <v>522</v>
      </c>
      <c r="H961" s="6">
        <v>30592.04</v>
      </c>
      <c r="I961" s="22">
        <v>31875.81</v>
      </c>
      <c r="J961" s="24">
        <f t="shared" si="42"/>
        <v>2.2087137434234408E-4</v>
      </c>
      <c r="K961" s="25">
        <f t="shared" si="44"/>
        <v>0.68522814232898888</v>
      </c>
      <c r="L961" s="26" t="s">
        <v>7516</v>
      </c>
      <c r="M961" s="28"/>
      <c r="N961" s="28"/>
      <c r="O961" s="20" t="s">
        <v>7530</v>
      </c>
      <c r="P961" s="27" t="str">
        <f t="shared" si="43"/>
        <v>vermelho</v>
      </c>
    </row>
    <row r="962" spans="1:16" ht="38.25">
      <c r="A962" s="3" t="s">
        <v>4</v>
      </c>
      <c r="B962" s="3" t="s">
        <v>487</v>
      </c>
      <c r="C962" s="4">
        <v>371</v>
      </c>
      <c r="D962" s="3" t="s">
        <v>82</v>
      </c>
      <c r="E962" s="3" t="s">
        <v>49</v>
      </c>
      <c r="F962" s="5">
        <v>0</v>
      </c>
      <c r="G962" s="5">
        <v>519</v>
      </c>
      <c r="H962" s="6">
        <v>0</v>
      </c>
      <c r="I962" s="22">
        <v>31818.240000000002</v>
      </c>
      <c r="J962" s="24">
        <f t="shared" si="42"/>
        <v>2.2047246479240984E-4</v>
      </c>
      <c r="K962" s="25">
        <f t="shared" si="44"/>
        <v>0.68544861479378127</v>
      </c>
      <c r="L962" s="26" t="s">
        <v>7516</v>
      </c>
      <c r="M962" s="28"/>
      <c r="N962" s="28"/>
      <c r="O962" s="20" t="s">
        <v>7530</v>
      </c>
      <c r="P962" s="27" t="str">
        <f t="shared" si="43"/>
        <v>vermelho</v>
      </c>
    </row>
    <row r="963" spans="1:16" ht="25.5">
      <c r="A963" s="3" t="s">
        <v>4</v>
      </c>
      <c r="B963" s="3" t="s">
        <v>488</v>
      </c>
      <c r="C963" s="4">
        <v>261</v>
      </c>
      <c r="D963" s="3" t="s">
        <v>9</v>
      </c>
      <c r="E963" s="3" t="s">
        <v>10</v>
      </c>
      <c r="F963" s="5">
        <v>228</v>
      </c>
      <c r="G963" s="5">
        <v>495</v>
      </c>
      <c r="H963" s="6">
        <v>14387.64</v>
      </c>
      <c r="I963" s="22">
        <v>31815.15</v>
      </c>
      <c r="J963" s="24">
        <f t="shared" ref="J963:J1026" si="45">I963/$I$6364</f>
        <v>2.2045105380562338E-4</v>
      </c>
      <c r="K963" s="25">
        <f t="shared" si="44"/>
        <v>0.68566906584758691</v>
      </c>
      <c r="L963" s="26" t="s">
        <v>7516</v>
      </c>
      <c r="M963" s="28"/>
      <c r="N963" s="28"/>
      <c r="O963" s="20" t="s">
        <v>7530</v>
      </c>
      <c r="P963" s="27" t="str">
        <f t="shared" ref="P963:P1026" si="46">IF(O963&lt;=0,"vermelho",IFERROR(IF(O963/I963&lt;=0.5098,"amarelo",IF(O963/I963&lt;1,"laranja","verde")),"vermelho"))</f>
        <v>vermelho</v>
      </c>
    </row>
    <row r="964" spans="1:16" ht="25.5">
      <c r="A964" s="3" t="s">
        <v>4</v>
      </c>
      <c r="B964" s="3" t="s">
        <v>489</v>
      </c>
      <c r="C964" s="4">
        <v>337</v>
      </c>
      <c r="D964" s="3" t="s">
        <v>202</v>
      </c>
      <c r="E964" s="3" t="s">
        <v>16</v>
      </c>
      <c r="F964" s="5">
        <v>132</v>
      </c>
      <c r="G964" s="5">
        <v>480</v>
      </c>
      <c r="H964" s="6">
        <v>7465.08</v>
      </c>
      <c r="I964" s="22">
        <v>31786.86</v>
      </c>
      <c r="J964" s="24">
        <f t="shared" si="45"/>
        <v>2.2025502894601525E-4</v>
      </c>
      <c r="K964" s="25">
        <f t="shared" ref="K964:K1027" si="47">J964+K963</f>
        <v>0.68588932087653298</v>
      </c>
      <c r="L964" s="26" t="s">
        <v>7516</v>
      </c>
      <c r="M964" s="28"/>
      <c r="N964" s="28"/>
      <c r="O964" s="20" t="s">
        <v>7530</v>
      </c>
      <c r="P964" s="27" t="str">
        <f t="shared" si="46"/>
        <v>vermelho</v>
      </c>
    </row>
    <row r="965" spans="1:16" ht="25.5">
      <c r="A965" s="3" t="s">
        <v>5963</v>
      </c>
      <c r="B965" s="3" t="s">
        <v>5964</v>
      </c>
      <c r="C965" s="4">
        <v>187</v>
      </c>
      <c r="D965" s="3" t="s">
        <v>96</v>
      </c>
      <c r="E965" s="3" t="s">
        <v>7</v>
      </c>
      <c r="F965" s="5">
        <v>1098</v>
      </c>
      <c r="G965" s="5">
        <v>558</v>
      </c>
      <c r="H965" s="6">
        <v>67260.36</v>
      </c>
      <c r="I965" s="22">
        <v>31785.78</v>
      </c>
      <c r="J965" s="24">
        <f t="shared" si="45"/>
        <v>2.2024754549432288E-4</v>
      </c>
      <c r="K965" s="25">
        <f t="shared" si="47"/>
        <v>0.6861095684220273</v>
      </c>
      <c r="L965" s="26" t="s">
        <v>7516</v>
      </c>
      <c r="M965" s="28"/>
      <c r="N965" s="28"/>
      <c r="O965" s="20" t="s">
        <v>7530</v>
      </c>
      <c r="P965" s="27" t="str">
        <f t="shared" si="46"/>
        <v>vermelho</v>
      </c>
    </row>
    <row r="966" spans="1:16">
      <c r="A966" s="3" t="s">
        <v>5965</v>
      </c>
      <c r="B966" s="3" t="s">
        <v>5942</v>
      </c>
      <c r="C966" s="4">
        <v>167</v>
      </c>
      <c r="D966" s="3" t="s">
        <v>251</v>
      </c>
      <c r="E966" s="3" t="s">
        <v>49</v>
      </c>
      <c r="F966" s="5">
        <v>549</v>
      </c>
      <c r="G966" s="5">
        <v>549</v>
      </c>
      <c r="H966" s="6">
        <v>30691.08</v>
      </c>
      <c r="I966" s="22">
        <v>31775.82</v>
      </c>
      <c r="J966" s="24">
        <f t="shared" si="45"/>
        <v>2.2017853143982673E-4</v>
      </c>
      <c r="K966" s="25">
        <f t="shared" si="47"/>
        <v>0.68632974695346716</v>
      </c>
      <c r="L966" s="26" t="s">
        <v>7516</v>
      </c>
      <c r="M966" s="28"/>
      <c r="N966" s="28"/>
      <c r="O966" s="20">
        <v>14426.04</v>
      </c>
      <c r="P966" s="27" t="str">
        <f t="shared" si="46"/>
        <v>amarelo</v>
      </c>
    </row>
    <row r="967" spans="1:16" ht="25.5">
      <c r="A967" s="3" t="s">
        <v>5966</v>
      </c>
      <c r="B967" s="3" t="s">
        <v>5967</v>
      </c>
      <c r="C967" s="4">
        <v>337</v>
      </c>
      <c r="D967" s="3" t="s">
        <v>202</v>
      </c>
      <c r="E967" s="3" t="s">
        <v>16</v>
      </c>
      <c r="F967" s="5">
        <v>504</v>
      </c>
      <c r="G967" s="5">
        <v>648</v>
      </c>
      <c r="H967" s="6">
        <v>22840.32</v>
      </c>
      <c r="I967" s="22">
        <v>31678.799999999999</v>
      </c>
      <c r="J967" s="24">
        <f t="shared" si="45"/>
        <v>2.1950626802946338E-4</v>
      </c>
      <c r="K967" s="25">
        <f t="shared" si="47"/>
        <v>0.68654925322149662</v>
      </c>
      <c r="L967" s="26" t="s">
        <v>7516</v>
      </c>
      <c r="M967" s="28"/>
      <c r="N967" s="28"/>
      <c r="O967" s="20" t="s">
        <v>7530</v>
      </c>
      <c r="P967" s="27" t="str">
        <f t="shared" si="46"/>
        <v>vermelho</v>
      </c>
    </row>
    <row r="968" spans="1:16" ht="25.5">
      <c r="A968" s="3" t="s">
        <v>4</v>
      </c>
      <c r="B968" s="3" t="s">
        <v>490</v>
      </c>
      <c r="C968" s="4">
        <v>267</v>
      </c>
      <c r="D968" s="3" t="s">
        <v>125</v>
      </c>
      <c r="E968" s="3" t="s">
        <v>16</v>
      </c>
      <c r="F968" s="5">
        <v>618</v>
      </c>
      <c r="G968" s="5">
        <v>624</v>
      </c>
      <c r="H968" s="6">
        <v>24792.9</v>
      </c>
      <c r="I968" s="22">
        <v>31642.080000000002</v>
      </c>
      <c r="J968" s="24">
        <f t="shared" si="45"/>
        <v>2.1925183067192326E-4</v>
      </c>
      <c r="K968" s="25">
        <f t="shared" si="47"/>
        <v>0.68676850505216858</v>
      </c>
      <c r="L968" s="26" t="s">
        <v>7516</v>
      </c>
      <c r="M968" s="28"/>
      <c r="N968" s="28"/>
      <c r="O968" s="20">
        <v>5406.48</v>
      </c>
      <c r="P968" s="27" t="str">
        <f t="shared" si="46"/>
        <v>amarelo</v>
      </c>
    </row>
    <row r="969" spans="1:16" ht="25.5">
      <c r="A969" s="3" t="s">
        <v>5968</v>
      </c>
      <c r="B969" s="3" t="s">
        <v>5969</v>
      </c>
      <c r="C969" s="4">
        <v>53</v>
      </c>
      <c r="D969" s="3" t="s">
        <v>34</v>
      </c>
      <c r="E969" s="3" t="s">
        <v>16</v>
      </c>
      <c r="F969" s="5">
        <v>672</v>
      </c>
      <c r="G969" s="5">
        <v>540</v>
      </c>
      <c r="H969" s="6">
        <v>34739.519999999997</v>
      </c>
      <c r="I969" s="22">
        <v>31620.48</v>
      </c>
      <c r="J969" s="24">
        <f t="shared" si="45"/>
        <v>2.1910216163807612E-4</v>
      </c>
      <c r="K969" s="25">
        <f t="shared" si="47"/>
        <v>0.68698760721380669</v>
      </c>
      <c r="L969" s="26" t="s">
        <v>7516</v>
      </c>
      <c r="M969" s="28"/>
      <c r="N969" s="28"/>
      <c r="O969" s="20" t="s">
        <v>7530</v>
      </c>
      <c r="P969" s="27" t="str">
        <f t="shared" si="46"/>
        <v>vermelho</v>
      </c>
    </row>
    <row r="970" spans="1:16" ht="25.5">
      <c r="A970" s="3" t="s">
        <v>4</v>
      </c>
      <c r="B970" s="3" t="s">
        <v>491</v>
      </c>
      <c r="C970" s="4">
        <v>19</v>
      </c>
      <c r="D970" s="3" t="s">
        <v>72</v>
      </c>
      <c r="E970" s="3" t="s">
        <v>41</v>
      </c>
      <c r="F970" s="5">
        <v>216</v>
      </c>
      <c r="G970" s="5">
        <v>483</v>
      </c>
      <c r="H970" s="6">
        <v>12416.52</v>
      </c>
      <c r="I970" s="22">
        <v>31545.93</v>
      </c>
      <c r="J970" s="24">
        <f t="shared" si="45"/>
        <v>2.185855955976454E-4</v>
      </c>
      <c r="K970" s="25">
        <f t="shared" si="47"/>
        <v>0.68720619280940431</v>
      </c>
      <c r="L970" s="26" t="s">
        <v>7516</v>
      </c>
      <c r="M970" s="28"/>
      <c r="N970" s="28"/>
      <c r="O970" s="20">
        <v>14967.12</v>
      </c>
      <c r="P970" s="27" t="str">
        <f t="shared" si="46"/>
        <v>amarelo</v>
      </c>
    </row>
    <row r="971" spans="1:16" ht="38.25">
      <c r="A971" s="3" t="s">
        <v>4</v>
      </c>
      <c r="B971" s="3" t="s">
        <v>492</v>
      </c>
      <c r="C971" s="4">
        <v>34</v>
      </c>
      <c r="D971" s="3" t="s">
        <v>54</v>
      </c>
      <c r="E971" s="3" t="s">
        <v>49</v>
      </c>
      <c r="F971" s="5">
        <v>243</v>
      </c>
      <c r="G971" s="5">
        <v>447</v>
      </c>
      <c r="H971" s="6">
        <v>14902.44</v>
      </c>
      <c r="I971" s="22">
        <v>31520.55</v>
      </c>
      <c r="J971" s="24">
        <f t="shared" si="45"/>
        <v>2.1840973448287502E-4</v>
      </c>
      <c r="K971" s="25">
        <f t="shared" si="47"/>
        <v>0.68742460254388715</v>
      </c>
      <c r="L971" s="26" t="s">
        <v>7516</v>
      </c>
      <c r="M971" s="28"/>
      <c r="N971" s="28"/>
      <c r="O971" s="20" t="s">
        <v>7530</v>
      </c>
      <c r="P971" s="27" t="str">
        <f t="shared" si="46"/>
        <v>vermelho</v>
      </c>
    </row>
    <row r="972" spans="1:16" ht="38.25">
      <c r="A972" s="3" t="s">
        <v>4</v>
      </c>
      <c r="B972" s="3" t="s">
        <v>493</v>
      </c>
      <c r="C972" s="4">
        <v>34</v>
      </c>
      <c r="D972" s="3" t="s">
        <v>54</v>
      </c>
      <c r="E972" s="3" t="s">
        <v>49</v>
      </c>
      <c r="F972" s="5">
        <v>288</v>
      </c>
      <c r="G972" s="5">
        <v>468</v>
      </c>
      <c r="H972" s="6">
        <v>18225.938999999998</v>
      </c>
      <c r="I972" s="22">
        <v>31482.17</v>
      </c>
      <c r="J972" s="24">
        <f t="shared" si="45"/>
        <v>2.1814379478291888E-4</v>
      </c>
      <c r="K972" s="25">
        <f t="shared" si="47"/>
        <v>0.68764274633867006</v>
      </c>
      <c r="L972" s="26" t="s">
        <v>7516</v>
      </c>
      <c r="M972" s="28"/>
      <c r="N972" s="28"/>
      <c r="O972" s="20">
        <v>24257.43</v>
      </c>
      <c r="P972" s="27" t="str">
        <f t="shared" si="46"/>
        <v>laranja</v>
      </c>
    </row>
    <row r="973" spans="1:16" ht="38.25">
      <c r="A973" s="3" t="s">
        <v>5970</v>
      </c>
      <c r="B973" s="3" t="s">
        <v>5971</v>
      </c>
      <c r="C973" s="4">
        <v>301</v>
      </c>
      <c r="D973" s="3" t="s">
        <v>519</v>
      </c>
      <c r="E973" s="3" t="s">
        <v>16</v>
      </c>
      <c r="F973" s="5">
        <v>660</v>
      </c>
      <c r="G973" s="5">
        <v>840</v>
      </c>
      <c r="H973" s="6">
        <v>36096</v>
      </c>
      <c r="I973" s="22">
        <v>31470.12</v>
      </c>
      <c r="J973" s="24">
        <f t="shared" si="45"/>
        <v>2.180602988635736E-4</v>
      </c>
      <c r="K973" s="25">
        <f t="shared" si="47"/>
        <v>0.68786080663753368</v>
      </c>
      <c r="L973" s="26" t="s">
        <v>7516</v>
      </c>
      <c r="M973" s="28"/>
      <c r="N973" s="28"/>
      <c r="O973" s="20">
        <v>5741.52</v>
      </c>
      <c r="P973" s="27" t="str">
        <f t="shared" si="46"/>
        <v>amarelo</v>
      </c>
    </row>
    <row r="974" spans="1:16" ht="25.5">
      <c r="A974" s="3" t="s">
        <v>4</v>
      </c>
      <c r="B974" s="3" t="s">
        <v>494</v>
      </c>
      <c r="C974" s="4">
        <v>327</v>
      </c>
      <c r="D974" s="3" t="s">
        <v>100</v>
      </c>
      <c r="E974" s="3" t="s">
        <v>7</v>
      </c>
      <c r="F974" s="5">
        <v>318</v>
      </c>
      <c r="G974" s="5">
        <v>474</v>
      </c>
      <c r="H974" s="6">
        <v>18350.82</v>
      </c>
      <c r="I974" s="22">
        <v>31424.1</v>
      </c>
      <c r="J974" s="24">
        <f t="shared" si="45"/>
        <v>2.1774142067201597E-4</v>
      </c>
      <c r="K974" s="25">
        <f t="shared" si="47"/>
        <v>0.68807854805820567</v>
      </c>
      <c r="L974" s="26" t="s">
        <v>7516</v>
      </c>
      <c r="M974" s="28">
        <v>-0.10443120255551744</v>
      </c>
      <c r="N974" s="28"/>
      <c r="O974" s="20">
        <v>11246.49</v>
      </c>
      <c r="P974" s="27" t="str">
        <f t="shared" si="46"/>
        <v>amarelo</v>
      </c>
    </row>
    <row r="975" spans="1:16" ht="38.25">
      <c r="A975" s="3" t="s">
        <v>4</v>
      </c>
      <c r="B975" s="3" t="s">
        <v>495</v>
      </c>
      <c r="C975" s="4">
        <v>11</v>
      </c>
      <c r="D975" s="3" t="s">
        <v>61</v>
      </c>
      <c r="E975" s="3" t="s">
        <v>10</v>
      </c>
      <c r="F975" s="5">
        <v>738</v>
      </c>
      <c r="G975" s="5">
        <v>468</v>
      </c>
      <c r="H975" s="6">
        <v>45718.62</v>
      </c>
      <c r="I975" s="22">
        <v>31416.48</v>
      </c>
      <c r="J975" s="24">
        <f t="shared" si="45"/>
        <v>2.1768862076285324E-4</v>
      </c>
      <c r="K975" s="25">
        <f t="shared" si="47"/>
        <v>0.68829623667896855</v>
      </c>
      <c r="L975" s="26" t="s">
        <v>7516</v>
      </c>
      <c r="M975" s="28"/>
      <c r="N975" s="28"/>
      <c r="O975" s="20" t="s">
        <v>7530</v>
      </c>
      <c r="P975" s="27" t="str">
        <f t="shared" si="46"/>
        <v>vermelho</v>
      </c>
    </row>
    <row r="976" spans="1:16" ht="25.5">
      <c r="A976" s="3" t="s">
        <v>4</v>
      </c>
      <c r="B976" s="3" t="s">
        <v>496</v>
      </c>
      <c r="C976" s="4">
        <v>15</v>
      </c>
      <c r="D976" s="3" t="s">
        <v>18</v>
      </c>
      <c r="E976" s="3" t="s">
        <v>16</v>
      </c>
      <c r="F976" s="5">
        <v>1056</v>
      </c>
      <c r="G976" s="5">
        <v>528</v>
      </c>
      <c r="H976" s="6">
        <v>54913.32</v>
      </c>
      <c r="I976" s="22">
        <v>31408.68</v>
      </c>
      <c r="J976" s="24">
        <f t="shared" si="45"/>
        <v>2.1763457361174179E-4</v>
      </c>
      <c r="K976" s="25">
        <f t="shared" si="47"/>
        <v>0.68851387125258035</v>
      </c>
      <c r="L976" s="26" t="s">
        <v>7516</v>
      </c>
      <c r="M976" s="28"/>
      <c r="N976" s="28"/>
      <c r="O976" s="20">
        <v>14739.96</v>
      </c>
      <c r="P976" s="27" t="str">
        <f t="shared" si="46"/>
        <v>amarelo</v>
      </c>
    </row>
    <row r="977" spans="1:16" ht="25.5">
      <c r="A977" s="3" t="s">
        <v>5972</v>
      </c>
      <c r="B977" s="3" t="s">
        <v>5973</v>
      </c>
      <c r="C977" s="4">
        <v>53</v>
      </c>
      <c r="D977" s="3" t="s">
        <v>34</v>
      </c>
      <c r="E977" s="3" t="s">
        <v>16</v>
      </c>
      <c r="F977" s="5">
        <v>348</v>
      </c>
      <c r="G977" s="5">
        <v>588</v>
      </c>
      <c r="H977" s="6">
        <v>16474.2</v>
      </c>
      <c r="I977" s="22">
        <v>31360.65</v>
      </c>
      <c r="J977" s="24">
        <f t="shared" si="45"/>
        <v>2.1730176788509005E-4</v>
      </c>
      <c r="K977" s="25">
        <f t="shared" si="47"/>
        <v>0.68873117302046538</v>
      </c>
      <c r="L977" s="26" t="s">
        <v>7516</v>
      </c>
      <c r="M977" s="28"/>
      <c r="N977" s="28"/>
      <c r="O977" s="20">
        <v>10032.120000000001</v>
      </c>
      <c r="P977" s="27" t="str">
        <f t="shared" si="46"/>
        <v>amarelo</v>
      </c>
    </row>
    <row r="978" spans="1:16" ht="25.5">
      <c r="A978" s="3" t="s">
        <v>5974</v>
      </c>
      <c r="B978" s="3" t="s">
        <v>5975</v>
      </c>
      <c r="C978" s="4">
        <v>267</v>
      </c>
      <c r="D978" s="3" t="s">
        <v>125</v>
      </c>
      <c r="E978" s="3" t="s">
        <v>16</v>
      </c>
      <c r="F978" s="5">
        <v>228</v>
      </c>
      <c r="G978" s="5">
        <v>516</v>
      </c>
      <c r="H978" s="6">
        <v>10019.4</v>
      </c>
      <c r="I978" s="22">
        <v>31334.76</v>
      </c>
      <c r="J978" s="24">
        <f t="shared" si="45"/>
        <v>2.1712237291813161E-4</v>
      </c>
      <c r="K978" s="25">
        <f t="shared" si="47"/>
        <v>0.68894829539338354</v>
      </c>
      <c r="L978" s="26" t="s">
        <v>7516</v>
      </c>
      <c r="M978" s="28"/>
      <c r="N978" s="28"/>
      <c r="O978" s="20" t="s">
        <v>7530</v>
      </c>
      <c r="P978" s="27" t="str">
        <f t="shared" si="46"/>
        <v>vermelho</v>
      </c>
    </row>
    <row r="979" spans="1:16" ht="25.5">
      <c r="A979" s="3" t="s">
        <v>4</v>
      </c>
      <c r="B979" s="3" t="s">
        <v>497</v>
      </c>
      <c r="C979" s="4">
        <v>297</v>
      </c>
      <c r="D979" s="3" t="s">
        <v>115</v>
      </c>
      <c r="E979" s="3" t="s">
        <v>41</v>
      </c>
      <c r="F979" s="5">
        <v>0</v>
      </c>
      <c r="G979" s="5">
        <v>516</v>
      </c>
      <c r="H979" s="6">
        <v>0</v>
      </c>
      <c r="I979" s="22">
        <v>31331.42</v>
      </c>
      <c r="J979" s="24">
        <f t="shared" si="45"/>
        <v>2.170992296508608E-4</v>
      </c>
      <c r="K979" s="25">
        <f t="shared" si="47"/>
        <v>0.68916539462303439</v>
      </c>
      <c r="L979" s="26" t="s">
        <v>7516</v>
      </c>
      <c r="M979" s="28"/>
      <c r="N979" s="28"/>
      <c r="O979" s="20" t="s">
        <v>7530</v>
      </c>
      <c r="P979" s="27" t="str">
        <f t="shared" si="46"/>
        <v>vermelho</v>
      </c>
    </row>
    <row r="980" spans="1:16" ht="25.5">
      <c r="A980" s="3" t="s">
        <v>4</v>
      </c>
      <c r="B980" s="3" t="s">
        <v>498</v>
      </c>
      <c r="C980" s="4">
        <v>194</v>
      </c>
      <c r="D980" s="3" t="s">
        <v>145</v>
      </c>
      <c r="E980" s="3" t="s">
        <v>16</v>
      </c>
      <c r="F980" s="5">
        <v>534</v>
      </c>
      <c r="G980" s="5">
        <v>552</v>
      </c>
      <c r="H980" s="6">
        <v>28749.96</v>
      </c>
      <c r="I980" s="22">
        <v>31213.68</v>
      </c>
      <c r="J980" s="24">
        <f t="shared" si="45"/>
        <v>2.1628339483395522E-4</v>
      </c>
      <c r="K980" s="25">
        <f t="shared" si="47"/>
        <v>0.68938167801786832</v>
      </c>
      <c r="L980" s="26" t="s">
        <v>7516</v>
      </c>
      <c r="M980" s="28"/>
      <c r="N980" s="28"/>
      <c r="O980" s="20">
        <v>20130.240000000002</v>
      </c>
      <c r="P980" s="27" t="str">
        <f t="shared" si="46"/>
        <v>laranja</v>
      </c>
    </row>
    <row r="981" spans="1:16" ht="38.25">
      <c r="A981" s="3" t="s">
        <v>4</v>
      </c>
      <c r="B981" s="3" t="s">
        <v>499</v>
      </c>
      <c r="C981" s="4">
        <v>143</v>
      </c>
      <c r="D981" s="3" t="s">
        <v>44</v>
      </c>
      <c r="E981" s="3" t="s">
        <v>41</v>
      </c>
      <c r="F981" s="5">
        <v>357</v>
      </c>
      <c r="G981" s="5">
        <v>474</v>
      </c>
      <c r="H981" s="6">
        <v>19684.23</v>
      </c>
      <c r="I981" s="22">
        <v>31178.94</v>
      </c>
      <c r="J981" s="24">
        <f t="shared" si="45"/>
        <v>2.1604267713785106E-4</v>
      </c>
      <c r="K981" s="25">
        <f t="shared" si="47"/>
        <v>0.68959772069500613</v>
      </c>
      <c r="L981" s="26" t="s">
        <v>7516</v>
      </c>
      <c r="M981" s="28"/>
      <c r="N981" s="28"/>
      <c r="O981" s="20">
        <v>26272.44</v>
      </c>
      <c r="P981" s="27" t="str">
        <f t="shared" si="46"/>
        <v>laranja</v>
      </c>
    </row>
    <row r="982" spans="1:16">
      <c r="A982" s="3" t="s">
        <v>5976</v>
      </c>
      <c r="B982" s="3" t="s">
        <v>5977</v>
      </c>
      <c r="C982" s="4">
        <v>231</v>
      </c>
      <c r="D982" s="3" t="s">
        <v>52</v>
      </c>
      <c r="E982" s="3" t="s">
        <v>7</v>
      </c>
      <c r="F982" s="5">
        <v>393</v>
      </c>
      <c r="G982" s="5">
        <v>501</v>
      </c>
      <c r="H982" s="6">
        <v>22813.71</v>
      </c>
      <c r="I982" s="22">
        <v>31174.26</v>
      </c>
      <c r="J982" s="24">
        <f t="shared" si="45"/>
        <v>2.1601024884718419E-4</v>
      </c>
      <c r="K982" s="25">
        <f t="shared" si="47"/>
        <v>0.68981373094385334</v>
      </c>
      <c r="L982" s="26" t="s">
        <v>7516</v>
      </c>
      <c r="M982" s="28"/>
      <c r="N982" s="28"/>
      <c r="O982" s="20">
        <v>5839.8</v>
      </c>
      <c r="P982" s="27" t="str">
        <f t="shared" si="46"/>
        <v>amarelo</v>
      </c>
    </row>
    <row r="983" spans="1:16" ht="25.5">
      <c r="A983" s="3" t="s">
        <v>4</v>
      </c>
      <c r="B983" s="3" t="s">
        <v>500</v>
      </c>
      <c r="C983" s="4">
        <v>41</v>
      </c>
      <c r="D983" s="3" t="s">
        <v>178</v>
      </c>
      <c r="E983" s="3" t="s">
        <v>41</v>
      </c>
      <c r="F983" s="5">
        <v>516</v>
      </c>
      <c r="G983" s="5">
        <v>492</v>
      </c>
      <c r="H983" s="6">
        <v>30146.16</v>
      </c>
      <c r="I983" s="22">
        <v>31167.599999999999</v>
      </c>
      <c r="J983" s="24">
        <f t="shared" si="45"/>
        <v>2.1596410089508132E-4</v>
      </c>
      <c r="K983" s="25">
        <f t="shared" si="47"/>
        <v>0.69002969504474843</v>
      </c>
      <c r="L983" s="26" t="s">
        <v>7516</v>
      </c>
      <c r="M983" s="28"/>
      <c r="N983" s="28"/>
      <c r="O983" s="20">
        <v>17682.72</v>
      </c>
      <c r="P983" s="27" t="str">
        <f t="shared" si="46"/>
        <v>laranja</v>
      </c>
    </row>
    <row r="984" spans="1:16">
      <c r="A984" s="3" t="s">
        <v>4</v>
      </c>
      <c r="B984" s="3" t="s">
        <v>501</v>
      </c>
      <c r="C984" s="4">
        <v>240</v>
      </c>
      <c r="D984" s="3" t="s">
        <v>69</v>
      </c>
      <c r="E984" s="3" t="s">
        <v>16</v>
      </c>
      <c r="F984" s="5">
        <v>327</v>
      </c>
      <c r="G984" s="5">
        <v>522</v>
      </c>
      <c r="H984" s="6">
        <v>16902.060000000001</v>
      </c>
      <c r="I984" s="22">
        <v>31131.27</v>
      </c>
      <c r="J984" s="24">
        <f t="shared" si="45"/>
        <v>2.1571236589509678E-4</v>
      </c>
      <c r="K984" s="25">
        <f t="shared" si="47"/>
        <v>0.69024540741064355</v>
      </c>
      <c r="L984" s="26" t="s">
        <v>7516</v>
      </c>
      <c r="M984" s="28"/>
      <c r="N984" s="28"/>
      <c r="O984" s="20">
        <v>9133.7999999999993</v>
      </c>
      <c r="P984" s="27" t="str">
        <f t="shared" si="46"/>
        <v>amarelo</v>
      </c>
    </row>
    <row r="985" spans="1:16" ht="25.5">
      <c r="A985" s="3" t="s">
        <v>5978</v>
      </c>
      <c r="B985" s="3" t="s">
        <v>5979</v>
      </c>
      <c r="C985" s="4">
        <v>329</v>
      </c>
      <c r="D985" s="3" t="s">
        <v>729</v>
      </c>
      <c r="E985" s="3" t="s">
        <v>13</v>
      </c>
      <c r="F985" s="5">
        <v>0</v>
      </c>
      <c r="G985" s="5">
        <v>768</v>
      </c>
      <c r="H985" s="6">
        <v>0</v>
      </c>
      <c r="I985" s="22">
        <v>31131.27</v>
      </c>
      <c r="J985" s="24">
        <f t="shared" si="45"/>
        <v>2.1571236589509678E-4</v>
      </c>
      <c r="K985" s="25">
        <f t="shared" si="47"/>
        <v>0.69046111977653868</v>
      </c>
      <c r="L985" s="26" t="s">
        <v>7516</v>
      </c>
      <c r="M985" s="28"/>
      <c r="N985" s="28"/>
      <c r="O985" s="20" t="s">
        <v>7530</v>
      </c>
      <c r="P985" s="27" t="str">
        <f t="shared" si="46"/>
        <v>vermelho</v>
      </c>
    </row>
    <row r="986" spans="1:16" ht="25.5">
      <c r="A986" s="3" t="s">
        <v>4</v>
      </c>
      <c r="B986" s="3" t="s">
        <v>502</v>
      </c>
      <c r="C986" s="4">
        <v>61</v>
      </c>
      <c r="D986" s="3" t="s">
        <v>48</v>
      </c>
      <c r="E986" s="3" t="s">
        <v>49</v>
      </c>
      <c r="F986" s="5">
        <v>408</v>
      </c>
      <c r="G986" s="5">
        <v>480</v>
      </c>
      <c r="H986" s="6">
        <v>21429.24</v>
      </c>
      <c r="I986" s="22">
        <v>31077.72</v>
      </c>
      <c r="J986" s="24">
        <f t="shared" si="45"/>
        <v>2.1534131141535081E-4</v>
      </c>
      <c r="K986" s="25">
        <f t="shared" si="47"/>
        <v>0.690676461087954</v>
      </c>
      <c r="L986" s="26" t="s">
        <v>7516</v>
      </c>
      <c r="M986" s="28"/>
      <c r="N986" s="28"/>
      <c r="O986" s="20" t="s">
        <v>7530</v>
      </c>
      <c r="P986" s="27" t="str">
        <f t="shared" si="46"/>
        <v>vermelho</v>
      </c>
    </row>
    <row r="987" spans="1:16" ht="25.5">
      <c r="A987" s="3" t="s">
        <v>5980</v>
      </c>
      <c r="B987" s="3" t="s">
        <v>5981</v>
      </c>
      <c r="C987" s="4">
        <v>23</v>
      </c>
      <c r="D987" s="3" t="s">
        <v>87</v>
      </c>
      <c r="E987" s="3" t="s">
        <v>7</v>
      </c>
      <c r="F987" s="5">
        <v>150</v>
      </c>
      <c r="G987" s="5">
        <v>515</v>
      </c>
      <c r="H987" s="6">
        <v>8163.63</v>
      </c>
      <c r="I987" s="22">
        <v>31064.9</v>
      </c>
      <c r="J987" s="24">
        <f t="shared" si="45"/>
        <v>2.1525248007211374E-4</v>
      </c>
      <c r="K987" s="25">
        <f t="shared" si="47"/>
        <v>0.69089171356802614</v>
      </c>
      <c r="L987" s="26" t="s">
        <v>7516</v>
      </c>
      <c r="M987" s="28"/>
      <c r="N987" s="28"/>
      <c r="O987" s="20" t="s">
        <v>7530</v>
      </c>
      <c r="P987" s="27" t="str">
        <f t="shared" si="46"/>
        <v>vermelho</v>
      </c>
    </row>
    <row r="988" spans="1:16">
      <c r="A988" s="3" t="s">
        <v>4</v>
      </c>
      <c r="B988" s="3" t="s">
        <v>503</v>
      </c>
      <c r="C988" s="4">
        <v>167</v>
      </c>
      <c r="D988" s="3" t="s">
        <v>251</v>
      </c>
      <c r="E988" s="3" t="s">
        <v>49</v>
      </c>
      <c r="F988" s="5">
        <v>345</v>
      </c>
      <c r="G988" s="5">
        <v>573</v>
      </c>
      <c r="H988" s="6">
        <v>17043.55</v>
      </c>
      <c r="I988" s="22">
        <v>31060.35</v>
      </c>
      <c r="J988" s="24">
        <f t="shared" si="45"/>
        <v>2.1522095256729871E-4</v>
      </c>
      <c r="K988" s="25">
        <f t="shared" si="47"/>
        <v>0.69110693452059346</v>
      </c>
      <c r="L988" s="26" t="s">
        <v>7516</v>
      </c>
      <c r="M988" s="28"/>
      <c r="N988" s="28"/>
      <c r="O988" s="20">
        <v>9362.98</v>
      </c>
      <c r="P988" s="27" t="str">
        <f t="shared" si="46"/>
        <v>amarelo</v>
      </c>
    </row>
    <row r="989" spans="1:16" ht="25.5">
      <c r="A989" s="3" t="s">
        <v>5982</v>
      </c>
      <c r="B989" s="3" t="s">
        <v>5983</v>
      </c>
      <c r="C989" s="4">
        <v>197</v>
      </c>
      <c r="D989" s="3" t="s">
        <v>66</v>
      </c>
      <c r="E989" s="3" t="s">
        <v>41</v>
      </c>
      <c r="F989" s="5">
        <v>180</v>
      </c>
      <c r="G989" s="5">
        <v>492</v>
      </c>
      <c r="H989" s="6">
        <v>10006.200000000001</v>
      </c>
      <c r="I989" s="22">
        <v>31009.11</v>
      </c>
      <c r="J989" s="24">
        <f t="shared" si="45"/>
        <v>2.1486590435922803E-4</v>
      </c>
      <c r="K989" s="25">
        <f t="shared" si="47"/>
        <v>0.69132180042495273</v>
      </c>
      <c r="L989" s="26" t="s">
        <v>7516</v>
      </c>
      <c r="M989" s="28"/>
      <c r="N989" s="28"/>
      <c r="O989" s="20" t="s">
        <v>7530</v>
      </c>
      <c r="P989" s="27" t="str">
        <f t="shared" si="46"/>
        <v>vermelho</v>
      </c>
    </row>
    <row r="990" spans="1:16" ht="25.5">
      <c r="A990" s="3" t="s">
        <v>4</v>
      </c>
      <c r="B990" s="3" t="s">
        <v>504</v>
      </c>
      <c r="C990" s="4">
        <v>261</v>
      </c>
      <c r="D990" s="3" t="s">
        <v>9</v>
      </c>
      <c r="E990" s="3" t="s">
        <v>10</v>
      </c>
      <c r="F990" s="5">
        <v>228</v>
      </c>
      <c r="G990" s="5">
        <v>582</v>
      </c>
      <c r="H990" s="6">
        <v>11809.56</v>
      </c>
      <c r="I990" s="22">
        <v>30983.061000000002</v>
      </c>
      <c r="J990" s="24">
        <f t="shared" si="45"/>
        <v>2.1468540766188157E-4</v>
      </c>
      <c r="K990" s="25">
        <f t="shared" si="47"/>
        <v>0.69153648583261462</v>
      </c>
      <c r="L990" s="26" t="s">
        <v>7516</v>
      </c>
      <c r="M990" s="28"/>
      <c r="N990" s="28"/>
      <c r="O990" s="20">
        <v>9023.5499999999993</v>
      </c>
      <c r="P990" s="27" t="str">
        <f t="shared" si="46"/>
        <v>amarelo</v>
      </c>
    </row>
    <row r="991" spans="1:16" ht="25.5">
      <c r="A991" s="3" t="s">
        <v>5984</v>
      </c>
      <c r="B991" s="3" t="s">
        <v>5985</v>
      </c>
      <c r="C991" s="4">
        <v>197</v>
      </c>
      <c r="D991" s="3" t="s">
        <v>66</v>
      </c>
      <c r="E991" s="3" t="s">
        <v>41</v>
      </c>
      <c r="F991" s="5">
        <v>0</v>
      </c>
      <c r="G991" s="5">
        <v>534</v>
      </c>
      <c r="H991" s="6">
        <v>0</v>
      </c>
      <c r="I991" s="22">
        <v>30946.109</v>
      </c>
      <c r="J991" s="24">
        <f t="shared" si="45"/>
        <v>2.1442936274805198E-4</v>
      </c>
      <c r="K991" s="25">
        <f t="shared" si="47"/>
        <v>0.69175091519536269</v>
      </c>
      <c r="L991" s="26" t="s">
        <v>7516</v>
      </c>
      <c r="M991" s="28"/>
      <c r="N991" s="28"/>
      <c r="O991" s="20" t="s">
        <v>7530</v>
      </c>
      <c r="P991" s="27" t="str">
        <f t="shared" si="46"/>
        <v>vermelho</v>
      </c>
    </row>
    <row r="992" spans="1:16" ht="25.5">
      <c r="A992" s="3" t="s">
        <v>4</v>
      </c>
      <c r="B992" s="3" t="s">
        <v>505</v>
      </c>
      <c r="C992" s="4">
        <v>261</v>
      </c>
      <c r="D992" s="3" t="s">
        <v>9</v>
      </c>
      <c r="E992" s="3" t="s">
        <v>10</v>
      </c>
      <c r="F992" s="5">
        <v>189</v>
      </c>
      <c r="G992" s="5">
        <v>516</v>
      </c>
      <c r="H992" s="6">
        <v>10727.49</v>
      </c>
      <c r="I992" s="22">
        <v>30942.15</v>
      </c>
      <c r="J992" s="24">
        <f t="shared" si="45"/>
        <v>2.1440193035430195E-4</v>
      </c>
      <c r="K992" s="25">
        <f t="shared" si="47"/>
        <v>0.69196531712571696</v>
      </c>
      <c r="L992" s="26" t="s">
        <v>7516</v>
      </c>
      <c r="M992" s="28"/>
      <c r="N992" s="28"/>
      <c r="O992" s="20">
        <v>12342.99</v>
      </c>
      <c r="P992" s="27" t="str">
        <f t="shared" si="46"/>
        <v>amarelo</v>
      </c>
    </row>
    <row r="993" spans="1:16" ht="25.5">
      <c r="A993" s="3" t="s">
        <v>5986</v>
      </c>
      <c r="B993" s="3" t="s">
        <v>5987</v>
      </c>
      <c r="C993" s="4">
        <v>19</v>
      </c>
      <c r="D993" s="3" t="s">
        <v>72</v>
      </c>
      <c r="E993" s="3" t="s">
        <v>41</v>
      </c>
      <c r="F993" s="5">
        <v>864</v>
      </c>
      <c r="G993" s="5">
        <v>444</v>
      </c>
      <c r="H993" s="6">
        <v>48318.557999999997</v>
      </c>
      <c r="I993" s="22">
        <v>30907.56</v>
      </c>
      <c r="J993" s="24">
        <f t="shared" si="45"/>
        <v>2.1416225202648841E-4</v>
      </c>
      <c r="K993" s="25">
        <f t="shared" si="47"/>
        <v>0.69217947937774349</v>
      </c>
      <c r="L993" s="26" t="s">
        <v>7516</v>
      </c>
      <c r="M993" s="28"/>
      <c r="N993" s="28"/>
      <c r="O993" s="20">
        <v>35827.26</v>
      </c>
      <c r="P993" s="27" t="str">
        <f t="shared" si="46"/>
        <v>verde</v>
      </c>
    </row>
    <row r="994" spans="1:16" ht="25.5">
      <c r="A994" s="3" t="s">
        <v>4</v>
      </c>
      <c r="B994" s="3" t="s">
        <v>506</v>
      </c>
      <c r="C994" s="4">
        <v>327</v>
      </c>
      <c r="D994" s="3" t="s">
        <v>100</v>
      </c>
      <c r="E994" s="3" t="s">
        <v>7</v>
      </c>
      <c r="F994" s="5">
        <v>717</v>
      </c>
      <c r="G994" s="5">
        <v>465</v>
      </c>
      <c r="H994" s="6">
        <v>42853.47</v>
      </c>
      <c r="I994" s="22">
        <v>30889.316999999999</v>
      </c>
      <c r="J994" s="24">
        <f t="shared" si="45"/>
        <v>2.1403584405498501E-4</v>
      </c>
      <c r="K994" s="25">
        <f t="shared" si="47"/>
        <v>0.69239351522179848</v>
      </c>
      <c r="L994" s="26" t="s">
        <v>7516</v>
      </c>
      <c r="M994" s="28"/>
      <c r="N994" s="28"/>
      <c r="O994" s="20">
        <v>14710.59</v>
      </c>
      <c r="P994" s="27" t="str">
        <f t="shared" si="46"/>
        <v>amarelo</v>
      </c>
    </row>
    <row r="995" spans="1:16" ht="38.25">
      <c r="A995" s="3" t="s">
        <v>4</v>
      </c>
      <c r="B995" s="3" t="s">
        <v>507</v>
      </c>
      <c r="C995" s="4">
        <v>45</v>
      </c>
      <c r="D995" s="3" t="s">
        <v>23</v>
      </c>
      <c r="E995" s="3" t="s">
        <v>7</v>
      </c>
      <c r="F995" s="5">
        <v>450</v>
      </c>
      <c r="G995" s="5">
        <v>510</v>
      </c>
      <c r="H995" s="6">
        <v>20667.581999999999</v>
      </c>
      <c r="I995" s="22">
        <v>30876.63</v>
      </c>
      <c r="J995" s="24">
        <f t="shared" si="45"/>
        <v>2.1394793428496564E-4</v>
      </c>
      <c r="K995" s="25">
        <f t="shared" si="47"/>
        <v>0.69260746315608346</v>
      </c>
      <c r="L995" s="26" t="s">
        <v>7516</v>
      </c>
      <c r="M995" s="28"/>
      <c r="N995" s="28"/>
      <c r="O995" s="20" t="s">
        <v>7530</v>
      </c>
      <c r="P995" s="27" t="str">
        <f t="shared" si="46"/>
        <v>vermelho</v>
      </c>
    </row>
    <row r="996" spans="1:16" ht="38.25">
      <c r="A996" s="3" t="s">
        <v>5988</v>
      </c>
      <c r="B996" s="3" t="s">
        <v>5989</v>
      </c>
      <c r="C996" s="4">
        <v>45</v>
      </c>
      <c r="D996" s="3" t="s">
        <v>23</v>
      </c>
      <c r="E996" s="3" t="s">
        <v>7</v>
      </c>
      <c r="F996" s="5">
        <v>411</v>
      </c>
      <c r="G996" s="5">
        <v>498</v>
      </c>
      <c r="H996" s="6">
        <v>22156.89</v>
      </c>
      <c r="I996" s="22">
        <v>30864.69</v>
      </c>
      <c r="J996" s="24">
        <f t="shared" si="45"/>
        <v>2.1386520056903348E-4</v>
      </c>
      <c r="K996" s="25">
        <f t="shared" si="47"/>
        <v>0.69282132835665244</v>
      </c>
      <c r="L996" s="26" t="s">
        <v>7516</v>
      </c>
      <c r="M996" s="28"/>
      <c r="N996" s="28"/>
      <c r="O996" s="20">
        <v>20451.810000000001</v>
      </c>
      <c r="P996" s="27" t="str">
        <f t="shared" si="46"/>
        <v>laranja</v>
      </c>
    </row>
    <row r="997" spans="1:16" ht="25.5">
      <c r="A997" s="3" t="s">
        <v>5990</v>
      </c>
      <c r="B997" s="3" t="s">
        <v>5991</v>
      </c>
      <c r="C997" s="4">
        <v>61</v>
      </c>
      <c r="D997" s="3" t="s">
        <v>48</v>
      </c>
      <c r="E997" s="3" t="s">
        <v>49</v>
      </c>
      <c r="F997" s="5">
        <v>105</v>
      </c>
      <c r="G997" s="5">
        <v>498</v>
      </c>
      <c r="H997" s="6">
        <v>6469.95</v>
      </c>
      <c r="I997" s="22">
        <v>30709.38</v>
      </c>
      <c r="J997" s="24">
        <f t="shared" si="45"/>
        <v>2.1278903864094102E-4</v>
      </c>
      <c r="K997" s="25">
        <f t="shared" si="47"/>
        <v>0.69303411739529341</v>
      </c>
      <c r="L997" s="26" t="s">
        <v>7516</v>
      </c>
      <c r="M997" s="28"/>
      <c r="N997" s="28"/>
      <c r="O997" s="20">
        <v>12603.87</v>
      </c>
      <c r="P997" s="27" t="str">
        <f t="shared" si="46"/>
        <v>amarelo</v>
      </c>
    </row>
    <row r="998" spans="1:16" ht="25.5">
      <c r="A998" s="3" t="s">
        <v>5876</v>
      </c>
      <c r="B998" s="3" t="s">
        <v>5877</v>
      </c>
      <c r="C998" s="4">
        <v>327</v>
      </c>
      <c r="D998" s="3" t="s">
        <v>100</v>
      </c>
      <c r="E998" s="3" t="s">
        <v>7</v>
      </c>
      <c r="F998" s="5">
        <v>192</v>
      </c>
      <c r="G998" s="5">
        <v>504</v>
      </c>
      <c r="H998" s="6">
        <v>10408.08</v>
      </c>
      <c r="I998" s="22">
        <v>30695.759999999998</v>
      </c>
      <c r="J998" s="24">
        <f t="shared" si="45"/>
        <v>2.1269466400015405E-4</v>
      </c>
      <c r="K998" s="25">
        <f t="shared" si="47"/>
        <v>0.69324681205929362</v>
      </c>
      <c r="L998" s="26" t="s">
        <v>7516</v>
      </c>
      <c r="M998" s="28"/>
      <c r="N998" s="28"/>
      <c r="O998" s="20">
        <v>27419.64</v>
      </c>
      <c r="P998" s="27" t="str">
        <f t="shared" si="46"/>
        <v>laranja</v>
      </c>
    </row>
    <row r="999" spans="1:16" ht="38.25">
      <c r="A999" s="3" t="s">
        <v>4</v>
      </c>
      <c r="B999" s="3" t="s">
        <v>508</v>
      </c>
      <c r="C999" s="4">
        <v>45</v>
      </c>
      <c r="D999" s="3" t="s">
        <v>23</v>
      </c>
      <c r="E999" s="3" t="s">
        <v>7</v>
      </c>
      <c r="F999" s="5">
        <v>288</v>
      </c>
      <c r="G999" s="5">
        <v>474</v>
      </c>
      <c r="H999" s="6">
        <v>17349.12</v>
      </c>
      <c r="I999" s="22">
        <v>30657.87</v>
      </c>
      <c r="J999" s="24">
        <f t="shared" si="45"/>
        <v>2.1243211956994723E-4</v>
      </c>
      <c r="K999" s="25">
        <f t="shared" si="47"/>
        <v>0.69345924417886351</v>
      </c>
      <c r="L999" s="26" t="s">
        <v>7516</v>
      </c>
      <c r="M999" s="28"/>
      <c r="N999" s="28"/>
      <c r="O999" s="20">
        <v>14350.5</v>
      </c>
      <c r="P999" s="27" t="str">
        <f t="shared" si="46"/>
        <v>amarelo</v>
      </c>
    </row>
    <row r="1000" spans="1:16" ht="25.5">
      <c r="A1000" s="3" t="s">
        <v>4</v>
      </c>
      <c r="B1000" s="3" t="s">
        <v>509</v>
      </c>
      <c r="C1000" s="4">
        <v>261</v>
      </c>
      <c r="D1000" s="3" t="s">
        <v>9</v>
      </c>
      <c r="E1000" s="3" t="s">
        <v>10</v>
      </c>
      <c r="F1000" s="5">
        <v>762</v>
      </c>
      <c r="G1000" s="5">
        <v>501</v>
      </c>
      <c r="H1000" s="6">
        <v>43666.14</v>
      </c>
      <c r="I1000" s="22">
        <v>30647.31</v>
      </c>
      <c r="J1000" s="24">
        <f t="shared" si="45"/>
        <v>2.1235894804228864E-4</v>
      </c>
      <c r="K1000" s="25">
        <f t="shared" si="47"/>
        <v>0.69367160312690579</v>
      </c>
      <c r="L1000" s="26" t="s">
        <v>7516</v>
      </c>
      <c r="M1000" s="28"/>
      <c r="N1000" s="28"/>
      <c r="O1000" s="20">
        <v>17439.78</v>
      </c>
      <c r="P1000" s="27" t="str">
        <f t="shared" si="46"/>
        <v>laranja</v>
      </c>
    </row>
    <row r="1001" spans="1:16">
      <c r="A1001" s="3" t="s">
        <v>4</v>
      </c>
      <c r="B1001" s="3" t="s">
        <v>510</v>
      </c>
      <c r="C1001" s="4">
        <v>240</v>
      </c>
      <c r="D1001" s="3" t="s">
        <v>69</v>
      </c>
      <c r="E1001" s="3" t="s">
        <v>16</v>
      </c>
      <c r="F1001" s="5">
        <v>720</v>
      </c>
      <c r="G1001" s="5">
        <v>540</v>
      </c>
      <c r="H1001" s="6">
        <v>38765.760000000002</v>
      </c>
      <c r="I1001" s="22">
        <v>30643.02</v>
      </c>
      <c r="J1001" s="24">
        <f t="shared" si="45"/>
        <v>2.1232922210917733E-4</v>
      </c>
      <c r="K1001" s="25">
        <f t="shared" si="47"/>
        <v>0.69388393234901502</v>
      </c>
      <c r="L1001" s="26" t="s">
        <v>7516</v>
      </c>
      <c r="M1001" s="28"/>
      <c r="N1001" s="28"/>
      <c r="O1001" s="20" t="s">
        <v>7530</v>
      </c>
      <c r="P1001" s="27" t="str">
        <f t="shared" si="46"/>
        <v>vermelho</v>
      </c>
    </row>
    <row r="1002" spans="1:16" ht="25.5">
      <c r="A1002" s="3" t="s">
        <v>4</v>
      </c>
      <c r="B1002" s="3" t="s">
        <v>511</v>
      </c>
      <c r="C1002" s="4">
        <v>297</v>
      </c>
      <c r="D1002" s="3" t="s">
        <v>115</v>
      </c>
      <c r="E1002" s="3" t="s">
        <v>41</v>
      </c>
      <c r="F1002" s="5">
        <v>711</v>
      </c>
      <c r="G1002" s="5">
        <v>540</v>
      </c>
      <c r="H1002" s="6">
        <v>37910.072999999997</v>
      </c>
      <c r="I1002" s="22">
        <v>30630.882000000001</v>
      </c>
      <c r="J1002" s="24">
        <f t="shared" si="45"/>
        <v>2.1224511642710159E-4</v>
      </c>
      <c r="K1002" s="25">
        <f t="shared" si="47"/>
        <v>0.69409617746544217</v>
      </c>
      <c r="L1002" s="26" t="s">
        <v>7516</v>
      </c>
      <c r="M1002" s="28"/>
      <c r="N1002" s="28"/>
      <c r="O1002" s="20">
        <v>3893.78</v>
      </c>
      <c r="P1002" s="27" t="str">
        <f t="shared" si="46"/>
        <v>amarelo</v>
      </c>
    </row>
    <row r="1003" spans="1:16">
      <c r="A1003" s="3" t="s">
        <v>4</v>
      </c>
      <c r="B1003" s="3" t="s">
        <v>512</v>
      </c>
      <c r="C1003" s="4">
        <v>232</v>
      </c>
      <c r="D1003" s="3" t="s">
        <v>174</v>
      </c>
      <c r="E1003" s="3" t="s">
        <v>16</v>
      </c>
      <c r="F1003" s="5">
        <v>216</v>
      </c>
      <c r="G1003" s="5">
        <v>537</v>
      </c>
      <c r="H1003" s="6">
        <v>12176.64</v>
      </c>
      <c r="I1003" s="22">
        <v>30594.03</v>
      </c>
      <c r="J1003" s="24">
        <f t="shared" si="45"/>
        <v>2.1198976442546571E-4</v>
      </c>
      <c r="K1003" s="25">
        <f t="shared" si="47"/>
        <v>0.69430816722986766</v>
      </c>
      <c r="L1003" s="26" t="s">
        <v>7516</v>
      </c>
      <c r="M1003" s="28"/>
      <c r="N1003" s="28"/>
      <c r="O1003" s="20">
        <v>10622.64</v>
      </c>
      <c r="P1003" s="27" t="str">
        <f t="shared" si="46"/>
        <v>amarelo</v>
      </c>
    </row>
    <row r="1004" spans="1:16" ht="25.5">
      <c r="A1004" s="3" t="s">
        <v>4</v>
      </c>
      <c r="B1004" s="3" t="s">
        <v>513</v>
      </c>
      <c r="C1004" s="4">
        <v>218</v>
      </c>
      <c r="D1004" s="3" t="s">
        <v>104</v>
      </c>
      <c r="E1004" s="3" t="s">
        <v>16</v>
      </c>
      <c r="F1004" s="5">
        <v>996</v>
      </c>
      <c r="G1004" s="5">
        <v>600</v>
      </c>
      <c r="H1004" s="6">
        <v>46572.72</v>
      </c>
      <c r="I1004" s="22">
        <v>30582.48</v>
      </c>
      <c r="J1004" s="24">
        <f t="shared" si="45"/>
        <v>2.1190973306708913E-4</v>
      </c>
      <c r="K1004" s="25">
        <f t="shared" si="47"/>
        <v>0.69452007696293472</v>
      </c>
      <c r="L1004" s="26" t="s">
        <v>7516</v>
      </c>
      <c r="M1004" s="28"/>
      <c r="N1004" s="28"/>
      <c r="O1004" s="20">
        <v>4473.84</v>
      </c>
      <c r="P1004" s="27" t="str">
        <f t="shared" si="46"/>
        <v>amarelo</v>
      </c>
    </row>
    <row r="1005" spans="1:16" ht="25.5">
      <c r="A1005" s="3" t="s">
        <v>4</v>
      </c>
      <c r="B1005" s="3" t="s">
        <v>514</v>
      </c>
      <c r="C1005" s="4">
        <v>93</v>
      </c>
      <c r="D1005" s="3" t="s">
        <v>20</v>
      </c>
      <c r="E1005" s="3" t="s">
        <v>7</v>
      </c>
      <c r="F1005" s="5">
        <v>0</v>
      </c>
      <c r="G1005" s="5">
        <v>510</v>
      </c>
      <c r="H1005" s="6">
        <v>0</v>
      </c>
      <c r="I1005" s="22">
        <v>30574.41</v>
      </c>
      <c r="J1005" s="24">
        <f t="shared" si="45"/>
        <v>2.1185381505305458E-4</v>
      </c>
      <c r="K1005" s="25">
        <f t="shared" si="47"/>
        <v>0.69473193077798778</v>
      </c>
      <c r="L1005" s="26" t="s">
        <v>7516</v>
      </c>
      <c r="M1005" s="28"/>
      <c r="N1005" s="28"/>
      <c r="O1005" s="20" t="s">
        <v>7530</v>
      </c>
      <c r="P1005" s="27" t="str">
        <f t="shared" si="46"/>
        <v>vermelho</v>
      </c>
    </row>
    <row r="1006" spans="1:16" ht="25.5">
      <c r="A1006" s="3" t="s">
        <v>4</v>
      </c>
      <c r="B1006" s="3" t="s">
        <v>515</v>
      </c>
      <c r="C1006" s="4">
        <v>15</v>
      </c>
      <c r="D1006" s="3" t="s">
        <v>18</v>
      </c>
      <c r="E1006" s="3" t="s">
        <v>16</v>
      </c>
      <c r="F1006" s="5">
        <v>2658</v>
      </c>
      <c r="G1006" s="5">
        <v>434</v>
      </c>
      <c r="H1006" s="6">
        <v>153010.38</v>
      </c>
      <c r="I1006" s="22">
        <v>30573.75</v>
      </c>
      <c r="J1006" s="24">
        <f t="shared" si="45"/>
        <v>2.1184924183257592E-4</v>
      </c>
      <c r="K1006" s="25">
        <f t="shared" si="47"/>
        <v>0.69494378001982038</v>
      </c>
      <c r="L1006" s="26" t="s">
        <v>7516</v>
      </c>
      <c r="M1006" s="28"/>
      <c r="N1006" s="28"/>
      <c r="O1006" s="20">
        <v>72946.44</v>
      </c>
      <c r="P1006" s="27" t="str">
        <f t="shared" si="46"/>
        <v>verde</v>
      </c>
    </row>
    <row r="1007" spans="1:16" ht="25.5">
      <c r="A1007" s="3" t="s">
        <v>4</v>
      </c>
      <c r="B1007" s="3" t="s">
        <v>516</v>
      </c>
      <c r="C1007" s="4">
        <v>93</v>
      </c>
      <c r="D1007" s="3" t="s">
        <v>20</v>
      </c>
      <c r="E1007" s="3" t="s">
        <v>7</v>
      </c>
      <c r="F1007" s="5">
        <v>0</v>
      </c>
      <c r="G1007" s="5">
        <v>570</v>
      </c>
      <c r="H1007" s="6">
        <v>0</v>
      </c>
      <c r="I1007" s="22">
        <v>30564.54</v>
      </c>
      <c r="J1007" s="24">
        <f t="shared" si="45"/>
        <v>2.1178542461953276E-4</v>
      </c>
      <c r="K1007" s="25">
        <f t="shared" si="47"/>
        <v>0.6951555654444399</v>
      </c>
      <c r="L1007" s="26" t="s">
        <v>7516</v>
      </c>
      <c r="M1007" s="28"/>
      <c r="N1007" s="28"/>
      <c r="O1007" s="20">
        <v>6619.8</v>
      </c>
      <c r="P1007" s="27" t="str">
        <f t="shared" si="46"/>
        <v>amarelo</v>
      </c>
    </row>
    <row r="1008" spans="1:16" ht="25.5">
      <c r="A1008" s="3" t="s">
        <v>5992</v>
      </c>
      <c r="B1008" s="3" t="s">
        <v>5993</v>
      </c>
      <c r="C1008" s="4">
        <v>61</v>
      </c>
      <c r="D1008" s="3" t="s">
        <v>48</v>
      </c>
      <c r="E1008" s="3" t="s">
        <v>49</v>
      </c>
      <c r="F1008" s="5">
        <v>660</v>
      </c>
      <c r="G1008" s="5">
        <v>516</v>
      </c>
      <c r="H1008" s="6">
        <v>35556.408000000003</v>
      </c>
      <c r="I1008" s="22">
        <v>30553.56</v>
      </c>
      <c r="J1008" s="24">
        <f t="shared" si="45"/>
        <v>2.1170934286066049E-4</v>
      </c>
      <c r="K1008" s="25">
        <f t="shared" si="47"/>
        <v>0.69536727478730054</v>
      </c>
      <c r="L1008" s="26" t="s">
        <v>7516</v>
      </c>
      <c r="M1008" s="28"/>
      <c r="N1008" s="28"/>
      <c r="O1008" s="20" t="s">
        <v>7530</v>
      </c>
      <c r="P1008" s="27" t="str">
        <f t="shared" si="46"/>
        <v>vermelho</v>
      </c>
    </row>
    <row r="1009" spans="1:16" ht="25.5">
      <c r="A1009" s="3" t="s">
        <v>5994</v>
      </c>
      <c r="B1009" s="3" t="s">
        <v>5995</v>
      </c>
      <c r="C1009" s="4">
        <v>74</v>
      </c>
      <c r="D1009" s="3" t="s">
        <v>6</v>
      </c>
      <c r="E1009" s="3" t="s">
        <v>7</v>
      </c>
      <c r="F1009" s="5">
        <v>315</v>
      </c>
      <c r="G1009" s="5">
        <v>462</v>
      </c>
      <c r="H1009" s="6">
        <v>19386.27</v>
      </c>
      <c r="I1009" s="22">
        <v>30552.66</v>
      </c>
      <c r="J1009" s="24">
        <f t="shared" si="45"/>
        <v>2.1170310665091685E-4</v>
      </c>
      <c r="K1009" s="25">
        <f t="shared" si="47"/>
        <v>0.6955789778939514</v>
      </c>
      <c r="L1009" s="26" t="s">
        <v>7516</v>
      </c>
      <c r="M1009" s="28"/>
      <c r="N1009" s="28"/>
      <c r="O1009" s="20">
        <v>4121.5200000000004</v>
      </c>
      <c r="P1009" s="27" t="str">
        <f t="shared" si="46"/>
        <v>amarelo</v>
      </c>
    </row>
    <row r="1010" spans="1:16" ht="25.5">
      <c r="A1010" s="3" t="s">
        <v>4</v>
      </c>
      <c r="B1010" s="3" t="s">
        <v>517</v>
      </c>
      <c r="C1010" s="4">
        <v>208</v>
      </c>
      <c r="D1010" s="3" t="s">
        <v>15</v>
      </c>
      <c r="E1010" s="3" t="s">
        <v>16</v>
      </c>
      <c r="F1010" s="5">
        <v>480</v>
      </c>
      <c r="G1010" s="5">
        <v>468</v>
      </c>
      <c r="H1010" s="6">
        <v>26879.040000000001</v>
      </c>
      <c r="I1010" s="22">
        <v>30531.360000000001</v>
      </c>
      <c r="J1010" s="24">
        <f t="shared" si="45"/>
        <v>2.1155551635365093E-4</v>
      </c>
      <c r="K1010" s="25">
        <f t="shared" si="47"/>
        <v>0.69579053341030506</v>
      </c>
      <c r="L1010" s="26" t="s">
        <v>7516</v>
      </c>
      <c r="M1010" s="28"/>
      <c r="N1010" s="28"/>
      <c r="O1010" s="20" t="s">
        <v>7530</v>
      </c>
      <c r="P1010" s="27" t="str">
        <f t="shared" si="46"/>
        <v>vermelho</v>
      </c>
    </row>
    <row r="1011" spans="1:16" ht="38.25">
      <c r="A1011" s="3" t="s">
        <v>4</v>
      </c>
      <c r="B1011" s="3" t="s">
        <v>518</v>
      </c>
      <c r="C1011" s="4">
        <v>301</v>
      </c>
      <c r="D1011" s="3" t="s">
        <v>519</v>
      </c>
      <c r="E1011" s="3" t="s">
        <v>16</v>
      </c>
      <c r="F1011" s="5">
        <v>0</v>
      </c>
      <c r="G1011" s="5">
        <v>540</v>
      </c>
      <c r="H1011" s="6">
        <v>0</v>
      </c>
      <c r="I1011" s="22">
        <v>30504.12</v>
      </c>
      <c r="J1011" s="24">
        <f t="shared" si="45"/>
        <v>2.1136676707207705E-4</v>
      </c>
      <c r="K1011" s="25">
        <f t="shared" si="47"/>
        <v>0.69600190017737718</v>
      </c>
      <c r="L1011" s="26" t="s">
        <v>7516</v>
      </c>
      <c r="M1011" s="28"/>
      <c r="N1011" s="28"/>
      <c r="O1011" s="20" t="s">
        <v>7530</v>
      </c>
      <c r="P1011" s="27" t="str">
        <f t="shared" si="46"/>
        <v>vermelho</v>
      </c>
    </row>
    <row r="1012" spans="1:16" ht="25.5">
      <c r="A1012" s="3" t="s">
        <v>4</v>
      </c>
      <c r="B1012" s="3" t="s">
        <v>520</v>
      </c>
      <c r="C1012" s="4">
        <v>317</v>
      </c>
      <c r="D1012" s="3" t="s">
        <v>78</v>
      </c>
      <c r="E1012" s="3" t="s">
        <v>10</v>
      </c>
      <c r="F1012" s="5">
        <v>735</v>
      </c>
      <c r="G1012" s="5">
        <v>471</v>
      </c>
      <c r="H1012" s="6">
        <v>45924.09</v>
      </c>
      <c r="I1012" s="22">
        <v>30490.23</v>
      </c>
      <c r="J1012" s="24">
        <f t="shared" si="45"/>
        <v>2.11270521568367E-4</v>
      </c>
      <c r="K1012" s="25">
        <f t="shared" si="47"/>
        <v>0.6962131706989455</v>
      </c>
      <c r="L1012" s="26" t="s">
        <v>7516</v>
      </c>
      <c r="M1012" s="28"/>
      <c r="N1012" s="28"/>
      <c r="O1012" s="20" t="s">
        <v>7530</v>
      </c>
      <c r="P1012" s="27" t="str">
        <f t="shared" si="46"/>
        <v>vermelho</v>
      </c>
    </row>
    <row r="1013" spans="1:16" ht="38.25">
      <c r="A1013" s="3" t="s">
        <v>4</v>
      </c>
      <c r="B1013" s="3" t="s">
        <v>521</v>
      </c>
      <c r="C1013" s="4">
        <v>143</v>
      </c>
      <c r="D1013" s="3" t="s">
        <v>44</v>
      </c>
      <c r="E1013" s="3" t="s">
        <v>41</v>
      </c>
      <c r="F1013" s="5">
        <v>0</v>
      </c>
      <c r="G1013" s="5">
        <v>504</v>
      </c>
      <c r="H1013" s="6">
        <v>0</v>
      </c>
      <c r="I1013" s="22">
        <v>30467.16</v>
      </c>
      <c r="J1013" s="24">
        <f t="shared" si="45"/>
        <v>2.1111066672527195E-4</v>
      </c>
      <c r="K1013" s="25">
        <f t="shared" si="47"/>
        <v>0.69642428136567081</v>
      </c>
      <c r="L1013" s="26" t="s">
        <v>7516</v>
      </c>
      <c r="M1013" s="28"/>
      <c r="N1013" s="28"/>
      <c r="O1013" s="20" t="s">
        <v>7530</v>
      </c>
      <c r="P1013" s="27" t="str">
        <f t="shared" si="46"/>
        <v>vermelho</v>
      </c>
    </row>
    <row r="1014" spans="1:16" ht="25.5">
      <c r="A1014" s="3" t="s">
        <v>4</v>
      </c>
      <c r="B1014" s="3" t="s">
        <v>522</v>
      </c>
      <c r="C1014" s="4">
        <v>217</v>
      </c>
      <c r="D1014" s="3" t="s">
        <v>91</v>
      </c>
      <c r="E1014" s="3" t="s">
        <v>16</v>
      </c>
      <c r="F1014" s="5">
        <v>387</v>
      </c>
      <c r="G1014" s="5">
        <v>696</v>
      </c>
      <c r="H1014" s="6">
        <v>19932.240000000002</v>
      </c>
      <c r="I1014" s="22">
        <v>30385.439999999999</v>
      </c>
      <c r="J1014" s="24">
        <f t="shared" si="45"/>
        <v>2.1054441888055032E-4</v>
      </c>
      <c r="K1014" s="25">
        <f t="shared" si="47"/>
        <v>0.69663482578455138</v>
      </c>
      <c r="L1014" s="26" t="s">
        <v>7516</v>
      </c>
      <c r="M1014" s="28"/>
      <c r="N1014" s="28"/>
      <c r="O1014" s="20" t="s">
        <v>7530</v>
      </c>
      <c r="P1014" s="27" t="str">
        <f t="shared" si="46"/>
        <v>vermelho</v>
      </c>
    </row>
    <row r="1015" spans="1:16" ht="38.25">
      <c r="A1015" s="3" t="s">
        <v>4</v>
      </c>
      <c r="B1015" s="3" t="s">
        <v>523</v>
      </c>
      <c r="C1015" s="4">
        <v>38</v>
      </c>
      <c r="D1015" s="3" t="s">
        <v>184</v>
      </c>
      <c r="E1015" s="3" t="s">
        <v>49</v>
      </c>
      <c r="F1015" s="5">
        <v>396</v>
      </c>
      <c r="G1015" s="5">
        <v>516</v>
      </c>
      <c r="H1015" s="6">
        <v>23165.759999999998</v>
      </c>
      <c r="I1015" s="22">
        <v>30375.24</v>
      </c>
      <c r="J1015" s="24">
        <f t="shared" si="45"/>
        <v>2.1047374183678918E-4</v>
      </c>
      <c r="K1015" s="25">
        <f t="shared" si="47"/>
        <v>0.69684529952638818</v>
      </c>
      <c r="L1015" s="26" t="s">
        <v>7516</v>
      </c>
      <c r="M1015" s="28"/>
      <c r="N1015" s="28"/>
      <c r="O1015" s="20" t="s">
        <v>7530</v>
      </c>
      <c r="P1015" s="27" t="str">
        <f t="shared" si="46"/>
        <v>vermelho</v>
      </c>
    </row>
    <row r="1016" spans="1:16" ht="25.5">
      <c r="A1016" s="3" t="s">
        <v>5996</v>
      </c>
      <c r="B1016" s="3" t="s">
        <v>5997</v>
      </c>
      <c r="C1016" s="4">
        <v>320</v>
      </c>
      <c r="D1016" s="3" t="s">
        <v>218</v>
      </c>
      <c r="E1016" s="3" t="s">
        <v>49</v>
      </c>
      <c r="F1016" s="5">
        <v>0</v>
      </c>
      <c r="G1016" s="5">
        <v>516</v>
      </c>
      <c r="H1016" s="6">
        <v>0</v>
      </c>
      <c r="I1016" s="22">
        <v>30370.32</v>
      </c>
      <c r="J1016" s="24">
        <f t="shared" si="45"/>
        <v>2.1043965055685734E-4</v>
      </c>
      <c r="K1016" s="25">
        <f t="shared" si="47"/>
        <v>0.69705573917694508</v>
      </c>
      <c r="L1016" s="26" t="s">
        <v>7516</v>
      </c>
      <c r="M1016" s="28"/>
      <c r="N1016" s="28"/>
      <c r="O1016" s="20" t="s">
        <v>7530</v>
      </c>
      <c r="P1016" s="27" t="str">
        <f t="shared" si="46"/>
        <v>vermelho</v>
      </c>
    </row>
    <row r="1017" spans="1:16" ht="38.25">
      <c r="A1017" s="3" t="s">
        <v>4</v>
      </c>
      <c r="B1017" s="3" t="s">
        <v>524</v>
      </c>
      <c r="C1017" s="4">
        <v>11</v>
      </c>
      <c r="D1017" s="3" t="s">
        <v>61</v>
      </c>
      <c r="E1017" s="3" t="s">
        <v>10</v>
      </c>
      <c r="F1017" s="5">
        <v>348</v>
      </c>
      <c r="G1017" s="5">
        <v>492</v>
      </c>
      <c r="H1017" s="6">
        <v>18848.52</v>
      </c>
      <c r="I1017" s="22">
        <v>30370.080000000002</v>
      </c>
      <c r="J1017" s="24">
        <f t="shared" si="45"/>
        <v>2.1043798756759238E-4</v>
      </c>
      <c r="K1017" s="25">
        <f t="shared" si="47"/>
        <v>0.69726617716451267</v>
      </c>
      <c r="L1017" s="26" t="s">
        <v>7516</v>
      </c>
      <c r="M1017" s="28"/>
      <c r="N1017" s="28"/>
      <c r="O1017" s="20" t="s">
        <v>7530</v>
      </c>
      <c r="P1017" s="27" t="str">
        <f t="shared" si="46"/>
        <v>vermelho</v>
      </c>
    </row>
    <row r="1018" spans="1:16" ht="38.25">
      <c r="A1018" s="3" t="s">
        <v>4</v>
      </c>
      <c r="B1018" s="3" t="s">
        <v>525</v>
      </c>
      <c r="C1018" s="4">
        <v>143</v>
      </c>
      <c r="D1018" s="3" t="s">
        <v>44</v>
      </c>
      <c r="E1018" s="3" t="s">
        <v>41</v>
      </c>
      <c r="F1018" s="5">
        <v>441</v>
      </c>
      <c r="G1018" s="5">
        <v>486</v>
      </c>
      <c r="H1018" s="6">
        <v>26857.29</v>
      </c>
      <c r="I1018" s="22">
        <v>30366.48</v>
      </c>
      <c r="J1018" s="24">
        <f t="shared" si="45"/>
        <v>2.1041304272861785E-4</v>
      </c>
      <c r="K1018" s="25">
        <f t="shared" si="47"/>
        <v>0.69747659020724129</v>
      </c>
      <c r="L1018" s="26" t="s">
        <v>7516</v>
      </c>
      <c r="M1018" s="28"/>
      <c r="N1018" s="28"/>
      <c r="O1018" s="20">
        <v>11571.3</v>
      </c>
      <c r="P1018" s="27" t="str">
        <f t="shared" si="46"/>
        <v>amarelo</v>
      </c>
    </row>
    <row r="1019" spans="1:16" ht="25.5">
      <c r="A1019" s="3" t="s">
        <v>4</v>
      </c>
      <c r="B1019" s="3" t="s">
        <v>526</v>
      </c>
      <c r="C1019" s="4">
        <v>39</v>
      </c>
      <c r="D1019" s="3" t="s">
        <v>26</v>
      </c>
      <c r="E1019" s="3" t="s">
        <v>13</v>
      </c>
      <c r="F1019" s="5">
        <v>312</v>
      </c>
      <c r="G1019" s="5">
        <v>531</v>
      </c>
      <c r="H1019" s="6">
        <v>15490.947</v>
      </c>
      <c r="I1019" s="22">
        <v>30360.157999999999</v>
      </c>
      <c r="J1019" s="24">
        <f t="shared" si="45"/>
        <v>2.1036923681972981E-4</v>
      </c>
      <c r="K1019" s="25">
        <f t="shared" si="47"/>
        <v>0.69768695944406101</v>
      </c>
      <c r="L1019" s="26" t="s">
        <v>7516</v>
      </c>
      <c r="M1019" s="28"/>
      <c r="N1019" s="28"/>
      <c r="O1019" s="20">
        <v>12155.77</v>
      </c>
      <c r="P1019" s="27" t="str">
        <f t="shared" si="46"/>
        <v>amarelo</v>
      </c>
    </row>
    <row r="1020" spans="1:16" ht="25.5">
      <c r="A1020" s="3" t="s">
        <v>5998</v>
      </c>
      <c r="B1020" s="3" t="s">
        <v>5999</v>
      </c>
      <c r="C1020" s="4">
        <v>61</v>
      </c>
      <c r="D1020" s="3" t="s">
        <v>48</v>
      </c>
      <c r="E1020" s="3" t="s">
        <v>49</v>
      </c>
      <c r="F1020" s="5">
        <v>204</v>
      </c>
      <c r="G1020" s="5">
        <v>468</v>
      </c>
      <c r="H1020" s="6">
        <v>11268.96</v>
      </c>
      <c r="I1020" s="22">
        <v>30343.919999999998</v>
      </c>
      <c r="J1020" s="24">
        <f t="shared" si="45"/>
        <v>2.1025672173771083E-4</v>
      </c>
      <c r="K1020" s="25">
        <f t="shared" si="47"/>
        <v>0.6978972161657987</v>
      </c>
      <c r="L1020" s="26" t="s">
        <v>7516</v>
      </c>
      <c r="M1020" s="28"/>
      <c r="N1020" s="28"/>
      <c r="O1020" s="20" t="s">
        <v>7530</v>
      </c>
      <c r="P1020" s="27" t="str">
        <f t="shared" si="46"/>
        <v>vermelho</v>
      </c>
    </row>
    <row r="1021" spans="1:16" ht="25.5">
      <c r="A1021" s="3" t="s">
        <v>4</v>
      </c>
      <c r="B1021" s="3" t="s">
        <v>527</v>
      </c>
      <c r="C1021" s="4">
        <v>53</v>
      </c>
      <c r="D1021" s="3" t="s">
        <v>34</v>
      </c>
      <c r="E1021" s="3" t="s">
        <v>16</v>
      </c>
      <c r="F1021" s="5">
        <v>0</v>
      </c>
      <c r="G1021" s="5">
        <v>504</v>
      </c>
      <c r="H1021" s="6">
        <v>0</v>
      </c>
      <c r="I1021" s="22">
        <v>30316.61</v>
      </c>
      <c r="J1021" s="24">
        <f t="shared" si="45"/>
        <v>2.1006748741760135E-4</v>
      </c>
      <c r="K1021" s="25">
        <f t="shared" si="47"/>
        <v>0.69810728365321628</v>
      </c>
      <c r="L1021" s="26" t="s">
        <v>7516</v>
      </c>
      <c r="M1021" s="28"/>
      <c r="N1021" s="28"/>
      <c r="O1021" s="20" t="s">
        <v>7530</v>
      </c>
      <c r="P1021" s="27" t="str">
        <f t="shared" si="46"/>
        <v>vermelho</v>
      </c>
    </row>
    <row r="1022" spans="1:16" ht="25.5">
      <c r="A1022" s="3" t="s">
        <v>4</v>
      </c>
      <c r="B1022" s="3" t="s">
        <v>528</v>
      </c>
      <c r="C1022" s="4">
        <v>93</v>
      </c>
      <c r="D1022" s="3" t="s">
        <v>20</v>
      </c>
      <c r="E1022" s="3" t="s">
        <v>7</v>
      </c>
      <c r="F1022" s="5">
        <v>387</v>
      </c>
      <c r="G1022" s="5">
        <v>492</v>
      </c>
      <c r="H1022" s="6">
        <v>22110.366000000002</v>
      </c>
      <c r="I1022" s="22">
        <v>30308.52</v>
      </c>
      <c r="J1022" s="24">
        <f t="shared" si="45"/>
        <v>2.1001143082112806E-4</v>
      </c>
      <c r="K1022" s="25">
        <f t="shared" si="47"/>
        <v>0.69831729508403739</v>
      </c>
      <c r="L1022" s="26" t="s">
        <v>7516</v>
      </c>
      <c r="M1022" s="28"/>
      <c r="N1022" s="28"/>
      <c r="O1022" s="20">
        <v>11885.91</v>
      </c>
      <c r="P1022" s="27" t="str">
        <f t="shared" si="46"/>
        <v>amarelo</v>
      </c>
    </row>
    <row r="1023" spans="1:16" ht="38.25">
      <c r="A1023" s="3" t="s">
        <v>4</v>
      </c>
      <c r="B1023" s="3" t="s">
        <v>529</v>
      </c>
      <c r="C1023" s="4">
        <v>371</v>
      </c>
      <c r="D1023" s="3" t="s">
        <v>82</v>
      </c>
      <c r="E1023" s="3" t="s">
        <v>49</v>
      </c>
      <c r="F1023" s="5">
        <v>960</v>
      </c>
      <c r="G1023" s="5">
        <v>588</v>
      </c>
      <c r="H1023" s="6">
        <v>50108.862000000001</v>
      </c>
      <c r="I1023" s="22">
        <v>30234.263999999999</v>
      </c>
      <c r="J1023" s="24">
        <f t="shared" si="45"/>
        <v>2.0949690194254692E-4</v>
      </c>
      <c r="K1023" s="25">
        <f t="shared" si="47"/>
        <v>0.69852679198597989</v>
      </c>
      <c r="L1023" s="26" t="s">
        <v>7516</v>
      </c>
      <c r="M1023" s="28"/>
      <c r="N1023" s="28"/>
      <c r="O1023" s="20">
        <v>22265.397000000001</v>
      </c>
      <c r="P1023" s="27" t="str">
        <f t="shared" si="46"/>
        <v>laranja</v>
      </c>
    </row>
    <row r="1024" spans="1:16" ht="25.5">
      <c r="A1024" s="3" t="s">
        <v>4</v>
      </c>
      <c r="B1024" s="3" t="s">
        <v>530</v>
      </c>
      <c r="C1024" s="4">
        <v>334</v>
      </c>
      <c r="D1024" s="3" t="s">
        <v>531</v>
      </c>
      <c r="E1024" s="3" t="s">
        <v>7</v>
      </c>
      <c r="F1024" s="5">
        <v>681</v>
      </c>
      <c r="G1024" s="5">
        <v>510</v>
      </c>
      <c r="H1024" s="6">
        <v>39518.19</v>
      </c>
      <c r="I1024" s="22">
        <v>30211.222000000002</v>
      </c>
      <c r="J1024" s="24">
        <f t="shared" si="45"/>
        <v>2.0933724111486612E-4</v>
      </c>
      <c r="K1024" s="25">
        <f t="shared" si="47"/>
        <v>0.69873612922709472</v>
      </c>
      <c r="L1024" s="26" t="s">
        <v>7516</v>
      </c>
      <c r="M1024" s="28"/>
      <c r="N1024" s="28">
        <v>7.332065447089002E-2</v>
      </c>
      <c r="O1024" s="20">
        <v>3272.64</v>
      </c>
      <c r="P1024" s="27" t="str">
        <f t="shared" si="46"/>
        <v>amarelo</v>
      </c>
    </row>
    <row r="1025" spans="1:16" ht="25.5">
      <c r="A1025" s="3" t="s">
        <v>4</v>
      </c>
      <c r="B1025" s="3" t="s">
        <v>532</v>
      </c>
      <c r="C1025" s="4">
        <v>197</v>
      </c>
      <c r="D1025" s="3" t="s">
        <v>66</v>
      </c>
      <c r="E1025" s="3" t="s">
        <v>41</v>
      </c>
      <c r="F1025" s="5">
        <v>555</v>
      </c>
      <c r="G1025" s="5">
        <v>540</v>
      </c>
      <c r="H1025" s="6">
        <v>30059.510999999999</v>
      </c>
      <c r="I1025" s="22">
        <v>30203.79</v>
      </c>
      <c r="J1025" s="24">
        <f t="shared" si="45"/>
        <v>2.0928574388062761E-4</v>
      </c>
      <c r="K1025" s="25">
        <f t="shared" si="47"/>
        <v>0.6989454149709754</v>
      </c>
      <c r="L1025" s="26" t="s">
        <v>7516</v>
      </c>
      <c r="M1025" s="28"/>
      <c r="N1025" s="28"/>
      <c r="O1025" s="20" t="s">
        <v>7530</v>
      </c>
      <c r="P1025" s="27" t="str">
        <f t="shared" si="46"/>
        <v>vermelho</v>
      </c>
    </row>
    <row r="1026" spans="1:16" ht="25.5">
      <c r="A1026" s="3" t="s">
        <v>4</v>
      </c>
      <c r="B1026" s="3" t="s">
        <v>533</v>
      </c>
      <c r="C1026" s="4">
        <v>23</v>
      </c>
      <c r="D1026" s="3" t="s">
        <v>87</v>
      </c>
      <c r="E1026" s="3" t="s">
        <v>7</v>
      </c>
      <c r="F1026" s="5">
        <v>573</v>
      </c>
      <c r="G1026" s="5">
        <v>489</v>
      </c>
      <c r="H1026" s="6">
        <v>31624.644</v>
      </c>
      <c r="I1026" s="22">
        <v>30168.06</v>
      </c>
      <c r="J1026" s="24">
        <f t="shared" si="45"/>
        <v>2.0903816635380547E-4</v>
      </c>
      <c r="K1026" s="25">
        <f t="shared" si="47"/>
        <v>0.69915445313732916</v>
      </c>
      <c r="L1026" s="26" t="s">
        <v>7516</v>
      </c>
      <c r="M1026" s="28"/>
      <c r="N1026" s="28"/>
      <c r="O1026" s="20">
        <v>19969.77</v>
      </c>
      <c r="P1026" s="27" t="str">
        <f t="shared" si="46"/>
        <v>laranja</v>
      </c>
    </row>
    <row r="1027" spans="1:16">
      <c r="A1027" s="3" t="s">
        <v>6000</v>
      </c>
      <c r="B1027" s="3" t="s">
        <v>6001</v>
      </c>
      <c r="C1027" s="4">
        <v>15</v>
      </c>
      <c r="D1027" s="3" t="s">
        <v>18</v>
      </c>
      <c r="E1027" s="3" t="s">
        <v>16</v>
      </c>
      <c r="F1027" s="5">
        <v>444</v>
      </c>
      <c r="G1027" s="5">
        <v>516</v>
      </c>
      <c r="H1027" s="6">
        <v>28807.56</v>
      </c>
      <c r="I1027" s="22">
        <v>30164.82</v>
      </c>
      <c r="J1027" s="24">
        <f t="shared" ref="J1027:J1090" si="48">I1027/$I$6364</f>
        <v>2.0901571599872841E-4</v>
      </c>
      <c r="K1027" s="25">
        <f t="shared" si="47"/>
        <v>0.6993634688533279</v>
      </c>
      <c r="L1027" s="26" t="s">
        <v>7516</v>
      </c>
      <c r="M1027" s="28"/>
      <c r="N1027" s="28"/>
      <c r="O1027" s="20" t="s">
        <v>7530</v>
      </c>
      <c r="P1027" s="27" t="str">
        <f t="shared" ref="P1027:P1090" si="49">IF(O1027&lt;=0,"vermelho",IFERROR(IF(O1027/I1027&lt;=0.5098,"amarelo",IF(O1027/I1027&lt;1,"laranja","verde")),"vermelho"))</f>
        <v>vermelho</v>
      </c>
    </row>
    <row r="1028" spans="1:16" ht="25.5">
      <c r="A1028" s="3" t="s">
        <v>4</v>
      </c>
      <c r="B1028" s="3" t="s">
        <v>534</v>
      </c>
      <c r="C1028" s="4">
        <v>261</v>
      </c>
      <c r="D1028" s="3" t="s">
        <v>9</v>
      </c>
      <c r="E1028" s="3" t="s">
        <v>10</v>
      </c>
      <c r="F1028" s="5">
        <v>840</v>
      </c>
      <c r="G1028" s="5">
        <v>516</v>
      </c>
      <c r="H1028" s="6">
        <v>42300</v>
      </c>
      <c r="I1028" s="22">
        <v>30162.185000000001</v>
      </c>
      <c r="J1028" s="24">
        <f t="shared" si="48"/>
        <v>2.0899745776242344E-4</v>
      </c>
      <c r="K1028" s="25">
        <f t="shared" ref="K1028:K1091" si="50">J1028+K1027</f>
        <v>0.69957246631109027</v>
      </c>
      <c r="L1028" s="26" t="s">
        <v>7516</v>
      </c>
      <c r="M1028" s="28"/>
      <c r="N1028" s="28"/>
      <c r="O1028" s="20">
        <v>27686.083999999999</v>
      </c>
      <c r="P1028" s="27" t="str">
        <f t="shared" si="49"/>
        <v>laranja</v>
      </c>
    </row>
    <row r="1029" spans="1:16">
      <c r="A1029" s="3" t="s">
        <v>6002</v>
      </c>
      <c r="B1029" s="3" t="s">
        <v>6003</v>
      </c>
      <c r="C1029" s="4">
        <v>240</v>
      </c>
      <c r="D1029" s="3" t="s">
        <v>69</v>
      </c>
      <c r="E1029" s="3" t="s">
        <v>16</v>
      </c>
      <c r="F1029" s="5">
        <v>867</v>
      </c>
      <c r="G1029" s="5">
        <v>516</v>
      </c>
      <c r="H1029" s="6">
        <v>50741.16</v>
      </c>
      <c r="I1029" s="22">
        <v>30153.72</v>
      </c>
      <c r="J1029" s="24">
        <f t="shared" si="48"/>
        <v>2.0893880274522363E-4</v>
      </c>
      <c r="K1029" s="25">
        <f t="shared" si="50"/>
        <v>0.69978140511383546</v>
      </c>
      <c r="L1029" s="26" t="s">
        <v>7516</v>
      </c>
      <c r="M1029" s="28"/>
      <c r="N1029" s="28"/>
      <c r="O1029" s="20" t="s">
        <v>7530</v>
      </c>
      <c r="P1029" s="27" t="str">
        <f t="shared" si="49"/>
        <v>vermelho</v>
      </c>
    </row>
    <row r="1030" spans="1:16">
      <c r="A1030" s="3" t="s">
        <v>6004</v>
      </c>
      <c r="B1030" s="3" t="s">
        <v>6005</v>
      </c>
      <c r="C1030" s="4">
        <v>167</v>
      </c>
      <c r="D1030" s="3" t="s">
        <v>251</v>
      </c>
      <c r="E1030" s="3" t="s">
        <v>49</v>
      </c>
      <c r="F1030" s="5">
        <v>288</v>
      </c>
      <c r="G1030" s="5">
        <v>513</v>
      </c>
      <c r="H1030" s="6">
        <v>20749.2</v>
      </c>
      <c r="I1030" s="22">
        <v>30136.86</v>
      </c>
      <c r="J1030" s="24">
        <f t="shared" si="48"/>
        <v>2.0882197774935962E-4</v>
      </c>
      <c r="K1030" s="25">
        <f t="shared" si="50"/>
        <v>0.69999022709158487</v>
      </c>
      <c r="L1030" s="26" t="s">
        <v>7516</v>
      </c>
      <c r="M1030" s="28"/>
      <c r="N1030" s="28"/>
      <c r="O1030" s="20">
        <v>57883.680999999997</v>
      </c>
      <c r="P1030" s="27" t="str">
        <f t="shared" si="49"/>
        <v>verde</v>
      </c>
    </row>
    <row r="1031" spans="1:16">
      <c r="A1031" s="3" t="s">
        <v>4</v>
      </c>
      <c r="B1031" s="3" t="s">
        <v>535</v>
      </c>
      <c r="C1031" s="4">
        <v>232</v>
      </c>
      <c r="D1031" s="3" t="s">
        <v>174</v>
      </c>
      <c r="E1031" s="3" t="s">
        <v>16</v>
      </c>
      <c r="F1031" s="5">
        <v>204</v>
      </c>
      <c r="G1031" s="5">
        <v>543</v>
      </c>
      <c r="H1031" s="6">
        <v>11007.72</v>
      </c>
      <c r="I1031" s="22">
        <v>30122.61</v>
      </c>
      <c r="J1031" s="24">
        <f t="shared" si="48"/>
        <v>2.0872323776175214E-4</v>
      </c>
      <c r="K1031" s="25">
        <f t="shared" si="50"/>
        <v>0.70019895032934665</v>
      </c>
      <c r="L1031" s="26" t="s">
        <v>7516</v>
      </c>
      <c r="M1031" s="28"/>
      <c r="N1031" s="28"/>
      <c r="O1031" s="20">
        <v>10000.56</v>
      </c>
      <c r="P1031" s="27" t="str">
        <f t="shared" si="49"/>
        <v>amarelo</v>
      </c>
    </row>
    <row r="1032" spans="1:16" ht="25.5">
      <c r="A1032" s="3" t="s">
        <v>4</v>
      </c>
      <c r="B1032" s="3" t="s">
        <v>536</v>
      </c>
      <c r="C1032" s="4">
        <v>240</v>
      </c>
      <c r="D1032" s="3" t="s">
        <v>69</v>
      </c>
      <c r="E1032" s="3" t="s">
        <v>16</v>
      </c>
      <c r="F1032" s="5">
        <v>180</v>
      </c>
      <c r="G1032" s="5">
        <v>453</v>
      </c>
      <c r="H1032" s="6">
        <v>8980.44</v>
      </c>
      <c r="I1032" s="22">
        <v>30119.67</v>
      </c>
      <c r="J1032" s="24">
        <f t="shared" si="48"/>
        <v>2.0870286614325627E-4</v>
      </c>
      <c r="K1032" s="25">
        <f t="shared" si="50"/>
        <v>0.70040765319548992</v>
      </c>
      <c r="L1032" s="26" t="s">
        <v>7516</v>
      </c>
      <c r="M1032" s="28"/>
      <c r="N1032" s="28"/>
      <c r="O1032" s="20">
        <v>9127.92</v>
      </c>
      <c r="P1032" s="27" t="str">
        <f t="shared" si="49"/>
        <v>amarelo</v>
      </c>
    </row>
    <row r="1033" spans="1:16" ht="25.5">
      <c r="A1033" s="3" t="s">
        <v>4</v>
      </c>
      <c r="B1033" s="3" t="s">
        <v>537</v>
      </c>
      <c r="C1033" s="4">
        <v>297</v>
      </c>
      <c r="D1033" s="3" t="s">
        <v>115</v>
      </c>
      <c r="E1033" s="3" t="s">
        <v>41</v>
      </c>
      <c r="F1033" s="5">
        <v>315</v>
      </c>
      <c r="G1033" s="5">
        <v>519</v>
      </c>
      <c r="H1033" s="6">
        <v>15184.686</v>
      </c>
      <c r="I1033" s="22">
        <v>30110.545999999998</v>
      </c>
      <c r="J1033" s="24">
        <f t="shared" si="48"/>
        <v>2.0863964483469974E-4</v>
      </c>
      <c r="K1033" s="25">
        <f t="shared" si="50"/>
        <v>0.70061629284032467</v>
      </c>
      <c r="L1033" s="26" t="s">
        <v>7516</v>
      </c>
      <c r="M1033" s="28"/>
      <c r="N1033" s="28"/>
      <c r="O1033" s="20">
        <v>18682.894</v>
      </c>
      <c r="P1033" s="27" t="str">
        <f t="shared" si="49"/>
        <v>laranja</v>
      </c>
    </row>
    <row r="1034" spans="1:16" ht="38.25">
      <c r="A1034" s="3" t="s">
        <v>4</v>
      </c>
      <c r="B1034" s="3" t="s">
        <v>538</v>
      </c>
      <c r="C1034" s="4">
        <v>11</v>
      </c>
      <c r="D1034" s="3" t="s">
        <v>61</v>
      </c>
      <c r="E1034" s="3" t="s">
        <v>10</v>
      </c>
      <c r="F1034" s="5">
        <v>204</v>
      </c>
      <c r="G1034" s="5">
        <v>480</v>
      </c>
      <c r="H1034" s="6">
        <v>11161.2</v>
      </c>
      <c r="I1034" s="22">
        <v>30082.92</v>
      </c>
      <c r="J1034" s="24">
        <f t="shared" si="48"/>
        <v>2.0844822091205804E-4</v>
      </c>
      <c r="K1034" s="25">
        <f t="shared" si="50"/>
        <v>0.70082474106123671</v>
      </c>
      <c r="L1034" s="26" t="s">
        <v>7516</v>
      </c>
      <c r="M1034" s="28"/>
      <c r="N1034" s="28"/>
      <c r="O1034" s="20" t="s">
        <v>7530</v>
      </c>
      <c r="P1034" s="27" t="str">
        <f t="shared" si="49"/>
        <v>vermelho</v>
      </c>
    </row>
    <row r="1035" spans="1:16">
      <c r="A1035" s="3" t="s">
        <v>4</v>
      </c>
      <c r="B1035" s="3" t="s">
        <v>539</v>
      </c>
      <c r="C1035" s="4">
        <v>231</v>
      </c>
      <c r="D1035" s="3" t="s">
        <v>52</v>
      </c>
      <c r="E1035" s="3" t="s">
        <v>7</v>
      </c>
      <c r="F1035" s="5">
        <v>330</v>
      </c>
      <c r="G1035" s="5">
        <v>522</v>
      </c>
      <c r="H1035" s="6">
        <v>17331.72</v>
      </c>
      <c r="I1035" s="22">
        <v>30064.89</v>
      </c>
      <c r="J1035" s="24">
        <f t="shared" si="48"/>
        <v>2.0832328884352731E-4</v>
      </c>
      <c r="K1035" s="25">
        <f t="shared" si="50"/>
        <v>0.70103306435008028</v>
      </c>
      <c r="L1035" s="26" t="s">
        <v>7516</v>
      </c>
      <c r="M1035" s="28"/>
      <c r="N1035" s="28"/>
      <c r="O1035" s="20" t="s">
        <v>7530</v>
      </c>
      <c r="P1035" s="27" t="str">
        <f t="shared" si="49"/>
        <v>vermelho</v>
      </c>
    </row>
    <row r="1036" spans="1:16" ht="25.5">
      <c r="A1036" s="3" t="s">
        <v>6006</v>
      </c>
      <c r="B1036" s="3" t="s">
        <v>6007</v>
      </c>
      <c r="C1036" s="4">
        <v>297</v>
      </c>
      <c r="D1036" s="3" t="s">
        <v>115</v>
      </c>
      <c r="E1036" s="3" t="s">
        <v>41</v>
      </c>
      <c r="F1036" s="5">
        <v>609</v>
      </c>
      <c r="G1036" s="5">
        <v>468</v>
      </c>
      <c r="H1036" s="6">
        <v>34665.519</v>
      </c>
      <c r="I1036" s="22">
        <v>30063.968000000001</v>
      </c>
      <c r="J1036" s="24">
        <f t="shared" si="48"/>
        <v>2.0831690019310105E-4</v>
      </c>
      <c r="K1036" s="25">
        <f t="shared" si="50"/>
        <v>0.70124138125027335</v>
      </c>
      <c r="L1036" s="26" t="s">
        <v>7516</v>
      </c>
      <c r="M1036" s="28"/>
      <c r="N1036" s="28"/>
      <c r="O1036" s="20">
        <v>16272.29</v>
      </c>
      <c r="P1036" s="27" t="str">
        <f t="shared" si="49"/>
        <v>laranja</v>
      </c>
    </row>
    <row r="1037" spans="1:16" ht="25.5">
      <c r="A1037" s="3" t="s">
        <v>4</v>
      </c>
      <c r="B1037" s="3" t="s">
        <v>540</v>
      </c>
      <c r="C1037" s="4">
        <v>302</v>
      </c>
      <c r="D1037" s="3" t="s">
        <v>293</v>
      </c>
      <c r="E1037" s="3" t="s">
        <v>49</v>
      </c>
      <c r="F1037" s="5">
        <v>0</v>
      </c>
      <c r="G1037" s="5">
        <v>573</v>
      </c>
      <c r="H1037" s="6">
        <v>0</v>
      </c>
      <c r="I1037" s="22">
        <v>30049.95</v>
      </c>
      <c r="J1037" s="24">
        <f t="shared" si="48"/>
        <v>2.0821976776178304E-4</v>
      </c>
      <c r="K1037" s="25">
        <f t="shared" si="50"/>
        <v>0.70144960101803511</v>
      </c>
      <c r="L1037" s="26" t="s">
        <v>7516</v>
      </c>
      <c r="M1037" s="28"/>
      <c r="N1037" s="28"/>
      <c r="O1037" s="20" t="s">
        <v>7530</v>
      </c>
      <c r="P1037" s="27" t="str">
        <f t="shared" si="49"/>
        <v>vermelho</v>
      </c>
    </row>
    <row r="1038" spans="1:16" ht="38.25">
      <c r="A1038" s="3" t="s">
        <v>4</v>
      </c>
      <c r="B1038" s="3" t="s">
        <v>541</v>
      </c>
      <c r="C1038" s="4">
        <v>143</v>
      </c>
      <c r="D1038" s="3" t="s">
        <v>44</v>
      </c>
      <c r="E1038" s="3" t="s">
        <v>41</v>
      </c>
      <c r="F1038" s="5">
        <v>681</v>
      </c>
      <c r="G1038" s="5">
        <v>507</v>
      </c>
      <c r="H1038" s="6">
        <v>37013.063999999998</v>
      </c>
      <c r="I1038" s="22">
        <v>30042.075000000001</v>
      </c>
      <c r="J1038" s="24">
        <f t="shared" si="48"/>
        <v>2.081652009265263E-4</v>
      </c>
      <c r="K1038" s="25">
        <f t="shared" si="50"/>
        <v>0.70165776621896159</v>
      </c>
      <c r="L1038" s="26" t="s">
        <v>7516</v>
      </c>
      <c r="M1038" s="28"/>
      <c r="N1038" s="28"/>
      <c r="O1038" s="20">
        <v>27720.81</v>
      </c>
      <c r="P1038" s="27" t="str">
        <f t="shared" si="49"/>
        <v>laranja</v>
      </c>
    </row>
    <row r="1039" spans="1:16" ht="25.5">
      <c r="A1039" s="3" t="s">
        <v>4</v>
      </c>
      <c r="B1039" s="3" t="s">
        <v>542</v>
      </c>
      <c r="C1039" s="4">
        <v>31</v>
      </c>
      <c r="D1039" s="3" t="s">
        <v>194</v>
      </c>
      <c r="E1039" s="3" t="s">
        <v>16</v>
      </c>
      <c r="F1039" s="5">
        <v>732</v>
      </c>
      <c r="G1039" s="5">
        <v>543</v>
      </c>
      <c r="H1039" s="6">
        <v>38149.08</v>
      </c>
      <c r="I1039" s="22">
        <v>29994.9</v>
      </c>
      <c r="J1039" s="24">
        <f t="shared" si="48"/>
        <v>2.07838319599131E-4</v>
      </c>
      <c r="K1039" s="25">
        <f t="shared" si="50"/>
        <v>0.70186560453856073</v>
      </c>
      <c r="L1039" s="26" t="s">
        <v>7516</v>
      </c>
      <c r="M1039" s="28"/>
      <c r="N1039" s="28"/>
      <c r="O1039" s="20">
        <v>27639</v>
      </c>
      <c r="P1039" s="27" t="str">
        <f t="shared" si="49"/>
        <v>laranja</v>
      </c>
    </row>
    <row r="1040" spans="1:16" ht="25.5">
      <c r="A1040" s="3" t="s">
        <v>4</v>
      </c>
      <c r="B1040" s="3" t="s">
        <v>543</v>
      </c>
      <c r="C1040" s="4">
        <v>53</v>
      </c>
      <c r="D1040" s="3" t="s">
        <v>34</v>
      </c>
      <c r="E1040" s="3" t="s">
        <v>16</v>
      </c>
      <c r="F1040" s="5">
        <v>0</v>
      </c>
      <c r="G1040" s="5">
        <v>546</v>
      </c>
      <c r="H1040" s="6">
        <v>0</v>
      </c>
      <c r="I1040" s="22">
        <v>29955</v>
      </c>
      <c r="J1040" s="24">
        <f t="shared" si="48"/>
        <v>2.0756184763383006E-4</v>
      </c>
      <c r="K1040" s="25">
        <f t="shared" si="50"/>
        <v>0.70207316638619455</v>
      </c>
      <c r="L1040" s="26" t="s">
        <v>7516</v>
      </c>
      <c r="M1040" s="28"/>
      <c r="N1040" s="28"/>
      <c r="O1040" s="20" t="s">
        <v>7530</v>
      </c>
      <c r="P1040" s="27" t="str">
        <f t="shared" si="49"/>
        <v>vermelho</v>
      </c>
    </row>
    <row r="1041" spans="1:16" ht="25.5">
      <c r="A1041" s="3" t="s">
        <v>5364</v>
      </c>
      <c r="B1041" s="3" t="s">
        <v>5365</v>
      </c>
      <c r="C1041" s="4">
        <v>320</v>
      </c>
      <c r="D1041" s="3" t="s">
        <v>218</v>
      </c>
      <c r="E1041" s="3" t="s">
        <v>49</v>
      </c>
      <c r="F1041" s="5">
        <v>0</v>
      </c>
      <c r="G1041" s="5">
        <v>528</v>
      </c>
      <c r="H1041" s="6">
        <v>0</v>
      </c>
      <c r="I1041" s="22">
        <v>29927.64</v>
      </c>
      <c r="J1041" s="24">
        <f t="shared" si="48"/>
        <v>2.0737226685762369E-4</v>
      </c>
      <c r="K1041" s="25">
        <f t="shared" si="50"/>
        <v>0.70228053865305218</v>
      </c>
      <c r="L1041" s="26" t="s">
        <v>7516</v>
      </c>
      <c r="M1041" s="28"/>
      <c r="N1041" s="28"/>
      <c r="O1041" s="20">
        <v>16662.394</v>
      </c>
      <c r="P1041" s="27" t="str">
        <f t="shared" si="49"/>
        <v>laranja</v>
      </c>
    </row>
    <row r="1042" spans="1:16" ht="25.5">
      <c r="A1042" s="3" t="s">
        <v>4</v>
      </c>
      <c r="B1042" s="3" t="s">
        <v>544</v>
      </c>
      <c r="C1042" s="4">
        <v>208</v>
      </c>
      <c r="D1042" s="3" t="s">
        <v>15</v>
      </c>
      <c r="E1042" s="3" t="s">
        <v>16</v>
      </c>
      <c r="F1042" s="5">
        <v>504</v>
      </c>
      <c r="G1042" s="5">
        <v>516</v>
      </c>
      <c r="H1042" s="6">
        <v>27372</v>
      </c>
      <c r="I1042" s="22">
        <v>29881.08</v>
      </c>
      <c r="J1042" s="24">
        <f t="shared" si="48"/>
        <v>2.0704964694021988E-4</v>
      </c>
      <c r="K1042" s="25">
        <f t="shared" si="50"/>
        <v>0.70248758829999236</v>
      </c>
      <c r="L1042" s="26" t="s">
        <v>7516</v>
      </c>
      <c r="M1042" s="28"/>
      <c r="N1042" s="28"/>
      <c r="O1042" s="20" t="s">
        <v>7530</v>
      </c>
      <c r="P1042" s="27" t="str">
        <f t="shared" si="49"/>
        <v>vermelho</v>
      </c>
    </row>
    <row r="1043" spans="1:16" ht="38.25">
      <c r="A1043" s="3" t="s">
        <v>6008</v>
      </c>
      <c r="B1043" s="3" t="s">
        <v>6009</v>
      </c>
      <c r="C1043" s="4">
        <v>11</v>
      </c>
      <c r="D1043" s="3" t="s">
        <v>61</v>
      </c>
      <c r="E1043" s="3" t="s">
        <v>10</v>
      </c>
      <c r="F1043" s="5">
        <v>0</v>
      </c>
      <c r="G1043" s="5">
        <v>540</v>
      </c>
      <c r="H1043" s="6">
        <v>0</v>
      </c>
      <c r="I1043" s="22">
        <v>29835.72</v>
      </c>
      <c r="J1043" s="24">
        <f t="shared" si="48"/>
        <v>2.067353419691409E-4</v>
      </c>
      <c r="K1043" s="25">
        <f t="shared" si="50"/>
        <v>0.70269432364196149</v>
      </c>
      <c r="L1043" s="26" t="s">
        <v>7516</v>
      </c>
      <c r="M1043" s="28"/>
      <c r="N1043" s="28"/>
      <c r="O1043" s="20" t="s">
        <v>7530</v>
      </c>
      <c r="P1043" s="27" t="str">
        <f t="shared" si="49"/>
        <v>vermelho</v>
      </c>
    </row>
    <row r="1044" spans="1:16" ht="25.5">
      <c r="A1044" s="3" t="s">
        <v>6010</v>
      </c>
      <c r="B1044" s="3" t="s">
        <v>6011</v>
      </c>
      <c r="C1044" s="4">
        <v>41</v>
      </c>
      <c r="D1044" s="3" t="s">
        <v>178</v>
      </c>
      <c r="E1044" s="3" t="s">
        <v>41</v>
      </c>
      <c r="F1044" s="5">
        <v>492</v>
      </c>
      <c r="G1044" s="5">
        <v>480</v>
      </c>
      <c r="H1044" s="6">
        <v>32539.919999999998</v>
      </c>
      <c r="I1044" s="22">
        <v>29827.439999999999</v>
      </c>
      <c r="J1044" s="24">
        <f t="shared" si="48"/>
        <v>2.0667796883949949E-4</v>
      </c>
      <c r="K1044" s="25">
        <f t="shared" si="50"/>
        <v>0.70290100161080105</v>
      </c>
      <c r="L1044" s="26" t="s">
        <v>7516</v>
      </c>
      <c r="M1044" s="28"/>
      <c r="N1044" s="28"/>
      <c r="O1044" s="20" t="s">
        <v>7530</v>
      </c>
      <c r="P1044" s="27" t="str">
        <f t="shared" si="49"/>
        <v>vermelho</v>
      </c>
    </row>
    <row r="1045" spans="1:16" ht="38.25">
      <c r="A1045" s="3" t="s">
        <v>4</v>
      </c>
      <c r="B1045" s="3" t="s">
        <v>545</v>
      </c>
      <c r="C1045" s="4">
        <v>11</v>
      </c>
      <c r="D1045" s="3" t="s">
        <v>61</v>
      </c>
      <c r="E1045" s="3" t="s">
        <v>10</v>
      </c>
      <c r="F1045" s="5">
        <v>168</v>
      </c>
      <c r="G1045" s="5">
        <v>540</v>
      </c>
      <c r="H1045" s="6">
        <v>8989.2000000000007</v>
      </c>
      <c r="I1045" s="22">
        <v>29824.262999999999</v>
      </c>
      <c r="J1045" s="24">
        <f t="shared" si="48"/>
        <v>2.0665595501910449E-4</v>
      </c>
      <c r="K1045" s="25">
        <f t="shared" si="50"/>
        <v>0.70310765756582017</v>
      </c>
      <c r="L1045" s="26" t="s">
        <v>7516</v>
      </c>
      <c r="M1045" s="28"/>
      <c r="N1045" s="28"/>
      <c r="O1045" s="20" t="s">
        <v>7530</v>
      </c>
      <c r="P1045" s="27" t="str">
        <f t="shared" si="49"/>
        <v>vermelho</v>
      </c>
    </row>
    <row r="1046" spans="1:16">
      <c r="A1046" s="3" t="s">
        <v>6012</v>
      </c>
      <c r="B1046" s="3" t="s">
        <v>6013</v>
      </c>
      <c r="C1046" s="4">
        <v>217</v>
      </c>
      <c r="D1046" s="3" t="s">
        <v>91</v>
      </c>
      <c r="E1046" s="3" t="s">
        <v>16</v>
      </c>
      <c r="F1046" s="5">
        <v>0</v>
      </c>
      <c r="G1046" s="5">
        <v>654</v>
      </c>
      <c r="H1046" s="6">
        <v>0</v>
      </c>
      <c r="I1046" s="22">
        <v>29772.66</v>
      </c>
      <c r="J1046" s="24">
        <f t="shared" si="48"/>
        <v>2.0629839153977054E-4</v>
      </c>
      <c r="K1046" s="25">
        <f t="shared" si="50"/>
        <v>0.7033139559573599</v>
      </c>
      <c r="L1046" s="26" t="s">
        <v>7516</v>
      </c>
      <c r="M1046" s="28"/>
      <c r="N1046" s="28"/>
      <c r="O1046" s="20">
        <v>19491.84</v>
      </c>
      <c r="P1046" s="27" t="str">
        <f t="shared" si="49"/>
        <v>laranja</v>
      </c>
    </row>
    <row r="1047" spans="1:16" ht="38.25">
      <c r="A1047" s="3" t="s">
        <v>6014</v>
      </c>
      <c r="B1047" s="3" t="s">
        <v>6015</v>
      </c>
      <c r="C1047" s="4">
        <v>371</v>
      </c>
      <c r="D1047" s="3" t="s">
        <v>82</v>
      </c>
      <c r="E1047" s="3" t="s">
        <v>49</v>
      </c>
      <c r="F1047" s="5">
        <v>648</v>
      </c>
      <c r="G1047" s="5">
        <v>540</v>
      </c>
      <c r="H1047" s="6">
        <v>33636.269999999997</v>
      </c>
      <c r="I1047" s="22">
        <v>29768.315999999999</v>
      </c>
      <c r="J1047" s="24">
        <f t="shared" si="48"/>
        <v>2.0626829143407461E-4</v>
      </c>
      <c r="K1047" s="25">
        <f t="shared" si="50"/>
        <v>0.70352022424879401</v>
      </c>
      <c r="L1047" s="26" t="s">
        <v>7516</v>
      </c>
      <c r="M1047" s="28"/>
      <c r="N1047" s="28"/>
      <c r="O1047" s="20" t="s">
        <v>7530</v>
      </c>
      <c r="P1047" s="27" t="str">
        <f t="shared" si="49"/>
        <v>vermelho</v>
      </c>
    </row>
    <row r="1048" spans="1:16">
      <c r="A1048" s="3" t="s">
        <v>4</v>
      </c>
      <c r="B1048" s="3" t="s">
        <v>546</v>
      </c>
      <c r="C1048" s="4">
        <v>232</v>
      </c>
      <c r="D1048" s="3" t="s">
        <v>174</v>
      </c>
      <c r="E1048" s="3" t="s">
        <v>16</v>
      </c>
      <c r="F1048" s="5">
        <v>0</v>
      </c>
      <c r="G1048" s="5">
        <v>498</v>
      </c>
      <c r="H1048" s="6">
        <v>0</v>
      </c>
      <c r="I1048" s="22">
        <v>29752.5</v>
      </c>
      <c r="J1048" s="24">
        <f t="shared" si="48"/>
        <v>2.0615870044151321E-4</v>
      </c>
      <c r="K1048" s="25">
        <f t="shared" si="50"/>
        <v>0.70372638294923551</v>
      </c>
      <c r="L1048" s="26" t="s">
        <v>7516</v>
      </c>
      <c r="M1048" s="28"/>
      <c r="N1048" s="28"/>
      <c r="O1048" s="20" t="s">
        <v>7530</v>
      </c>
      <c r="P1048" s="27" t="str">
        <f t="shared" si="49"/>
        <v>vermelho</v>
      </c>
    </row>
    <row r="1049" spans="1:16" ht="38.25">
      <c r="A1049" s="3" t="s">
        <v>4</v>
      </c>
      <c r="B1049" s="3" t="s">
        <v>547</v>
      </c>
      <c r="C1049" s="4">
        <v>93</v>
      </c>
      <c r="D1049" s="3" t="s">
        <v>20</v>
      </c>
      <c r="E1049" s="3" t="s">
        <v>7</v>
      </c>
      <c r="F1049" s="5">
        <v>0</v>
      </c>
      <c r="G1049" s="5">
        <v>528</v>
      </c>
      <c r="H1049" s="6">
        <v>0</v>
      </c>
      <c r="I1049" s="22">
        <v>29740.74</v>
      </c>
      <c r="J1049" s="24">
        <f t="shared" si="48"/>
        <v>2.060772139675298E-4</v>
      </c>
      <c r="K1049" s="25">
        <f t="shared" si="50"/>
        <v>0.70393246016320299</v>
      </c>
      <c r="L1049" s="26" t="s">
        <v>7516</v>
      </c>
      <c r="M1049" s="28"/>
      <c r="N1049" s="28"/>
      <c r="O1049" s="20" t="s">
        <v>7530</v>
      </c>
      <c r="P1049" s="27" t="str">
        <f t="shared" si="49"/>
        <v>vermelho</v>
      </c>
    </row>
    <row r="1050" spans="1:16">
      <c r="A1050" s="3" t="s">
        <v>6016</v>
      </c>
      <c r="B1050" s="3" t="s">
        <v>6017</v>
      </c>
      <c r="C1050" s="4">
        <v>240</v>
      </c>
      <c r="D1050" s="3" t="s">
        <v>69</v>
      </c>
      <c r="E1050" s="3" t="s">
        <v>16</v>
      </c>
      <c r="F1050" s="5">
        <v>738</v>
      </c>
      <c r="G1050" s="5">
        <v>510</v>
      </c>
      <c r="H1050" s="6">
        <v>40399.230000000003</v>
      </c>
      <c r="I1050" s="22">
        <v>29732.97</v>
      </c>
      <c r="J1050" s="24">
        <f t="shared" si="48"/>
        <v>2.0602337469007644E-4</v>
      </c>
      <c r="K1050" s="25">
        <f t="shared" si="50"/>
        <v>0.7041384835378931</v>
      </c>
      <c r="L1050" s="26" t="s">
        <v>7516</v>
      </c>
      <c r="M1050" s="28"/>
      <c r="N1050" s="28"/>
      <c r="O1050" s="20">
        <v>6710.1</v>
      </c>
      <c r="P1050" s="27" t="str">
        <f t="shared" si="49"/>
        <v>amarelo</v>
      </c>
    </row>
    <row r="1051" spans="1:16" ht="25.5">
      <c r="A1051" s="3" t="s">
        <v>6018</v>
      </c>
      <c r="B1051" s="3" t="s">
        <v>6019</v>
      </c>
      <c r="C1051" s="4">
        <v>53</v>
      </c>
      <c r="D1051" s="3" t="s">
        <v>34</v>
      </c>
      <c r="E1051" s="3" t="s">
        <v>16</v>
      </c>
      <c r="F1051" s="5">
        <v>0</v>
      </c>
      <c r="G1051" s="5">
        <v>444</v>
      </c>
      <c r="H1051" s="6">
        <v>0</v>
      </c>
      <c r="I1051" s="22">
        <v>29718</v>
      </c>
      <c r="J1051" s="24">
        <f t="shared" si="48"/>
        <v>2.0591964573467406E-4</v>
      </c>
      <c r="K1051" s="25">
        <f t="shared" si="50"/>
        <v>0.70434440318362779</v>
      </c>
      <c r="L1051" s="26" t="s">
        <v>7516</v>
      </c>
      <c r="M1051" s="28"/>
      <c r="N1051" s="28"/>
      <c r="O1051" s="20" t="s">
        <v>7530</v>
      </c>
      <c r="P1051" s="27" t="str">
        <f t="shared" si="49"/>
        <v>vermelho</v>
      </c>
    </row>
    <row r="1052" spans="1:16" ht="25.5">
      <c r="A1052" s="3" t="s">
        <v>6020</v>
      </c>
      <c r="B1052" s="3" t="s">
        <v>6021</v>
      </c>
      <c r="C1052" s="4">
        <v>335</v>
      </c>
      <c r="D1052" s="3" t="s">
        <v>36</v>
      </c>
      <c r="E1052" s="3" t="s">
        <v>7</v>
      </c>
      <c r="F1052" s="5">
        <v>99</v>
      </c>
      <c r="G1052" s="5">
        <v>471</v>
      </c>
      <c r="H1052" s="6">
        <v>5463.99</v>
      </c>
      <c r="I1052" s="22">
        <v>29709.42</v>
      </c>
      <c r="J1052" s="24">
        <f t="shared" si="48"/>
        <v>2.0586019386845144E-4</v>
      </c>
      <c r="K1052" s="25">
        <f t="shared" si="50"/>
        <v>0.70455026337749627</v>
      </c>
      <c r="L1052" s="26" t="s">
        <v>7516</v>
      </c>
      <c r="M1052" s="28"/>
      <c r="N1052" s="28"/>
      <c r="O1052" s="20">
        <v>12380.94</v>
      </c>
      <c r="P1052" s="27" t="str">
        <f t="shared" si="49"/>
        <v>amarelo</v>
      </c>
    </row>
    <row r="1053" spans="1:16" ht="25.5">
      <c r="A1053" s="3" t="s">
        <v>4</v>
      </c>
      <c r="B1053" s="3" t="s">
        <v>548</v>
      </c>
      <c r="C1053" s="4">
        <v>74</v>
      </c>
      <c r="D1053" s="3" t="s">
        <v>6</v>
      </c>
      <c r="E1053" s="3" t="s">
        <v>7</v>
      </c>
      <c r="F1053" s="5">
        <v>336</v>
      </c>
      <c r="G1053" s="5">
        <v>462</v>
      </c>
      <c r="H1053" s="6">
        <v>19229.04</v>
      </c>
      <c r="I1053" s="22">
        <v>29679.54</v>
      </c>
      <c r="J1053" s="24">
        <f t="shared" si="48"/>
        <v>2.0565315170496291E-4</v>
      </c>
      <c r="K1053" s="25">
        <f t="shared" si="50"/>
        <v>0.70475591652920122</v>
      </c>
      <c r="L1053" s="26" t="s">
        <v>7516</v>
      </c>
      <c r="M1053" s="28"/>
      <c r="N1053" s="28"/>
      <c r="O1053" s="20">
        <v>17353.919999999998</v>
      </c>
      <c r="P1053" s="27" t="str">
        <f t="shared" si="49"/>
        <v>laranja</v>
      </c>
    </row>
    <row r="1054" spans="1:16" ht="25.5">
      <c r="A1054" s="3" t="s">
        <v>4</v>
      </c>
      <c r="B1054" s="3" t="s">
        <v>549</v>
      </c>
      <c r="C1054" s="4">
        <v>187</v>
      </c>
      <c r="D1054" s="3" t="s">
        <v>96</v>
      </c>
      <c r="E1054" s="3" t="s">
        <v>7</v>
      </c>
      <c r="F1054" s="5">
        <v>471</v>
      </c>
      <c r="G1054" s="5">
        <v>447</v>
      </c>
      <c r="H1054" s="6">
        <v>28701.45</v>
      </c>
      <c r="I1054" s="22">
        <v>29677.08</v>
      </c>
      <c r="J1054" s="24">
        <f t="shared" si="48"/>
        <v>2.0563610606499702E-4</v>
      </c>
      <c r="K1054" s="25">
        <f t="shared" si="50"/>
        <v>0.70496155263526616</v>
      </c>
      <c r="L1054" s="26" t="s">
        <v>7516</v>
      </c>
      <c r="M1054" s="28"/>
      <c r="N1054" s="28"/>
      <c r="O1054" s="20" t="s">
        <v>7530</v>
      </c>
      <c r="P1054" s="27" t="str">
        <f t="shared" si="49"/>
        <v>vermelho</v>
      </c>
    </row>
    <row r="1055" spans="1:16" ht="25.5">
      <c r="A1055" s="3" t="s">
        <v>4</v>
      </c>
      <c r="B1055" s="3" t="s">
        <v>550</v>
      </c>
      <c r="C1055" s="4">
        <v>208</v>
      </c>
      <c r="D1055" s="3" t="s">
        <v>15</v>
      </c>
      <c r="E1055" s="3" t="s">
        <v>16</v>
      </c>
      <c r="F1055" s="5">
        <v>912</v>
      </c>
      <c r="G1055" s="5">
        <v>459</v>
      </c>
      <c r="H1055" s="6">
        <v>52805.64</v>
      </c>
      <c r="I1055" s="22">
        <v>29656.41</v>
      </c>
      <c r="J1055" s="24">
        <f t="shared" si="48"/>
        <v>2.0549288111455162E-4</v>
      </c>
      <c r="K1055" s="25">
        <f t="shared" si="50"/>
        <v>0.70516704551638076</v>
      </c>
      <c r="L1055" s="26" t="s">
        <v>7516</v>
      </c>
      <c r="M1055" s="28"/>
      <c r="N1055" s="28"/>
      <c r="O1055" s="20">
        <v>30993.780999999999</v>
      </c>
      <c r="P1055" s="27" t="str">
        <f t="shared" si="49"/>
        <v>verde</v>
      </c>
    </row>
    <row r="1056" spans="1:16" ht="25.5">
      <c r="A1056" s="3" t="s">
        <v>4</v>
      </c>
      <c r="B1056" s="3" t="s">
        <v>551</v>
      </c>
      <c r="C1056" s="4">
        <v>261</v>
      </c>
      <c r="D1056" s="3" t="s">
        <v>9</v>
      </c>
      <c r="E1056" s="3" t="s">
        <v>10</v>
      </c>
      <c r="F1056" s="5">
        <v>996</v>
      </c>
      <c r="G1056" s="5">
        <v>486</v>
      </c>
      <c r="H1056" s="6">
        <v>58330.080000000002</v>
      </c>
      <c r="I1056" s="22">
        <v>29649.78</v>
      </c>
      <c r="J1056" s="24">
        <f t="shared" si="48"/>
        <v>2.0544694103610687E-4</v>
      </c>
      <c r="K1056" s="25">
        <f t="shared" si="50"/>
        <v>0.70537249245741684</v>
      </c>
      <c r="L1056" s="26" t="s">
        <v>7516</v>
      </c>
      <c r="M1056" s="28"/>
      <c r="N1056" s="28"/>
      <c r="O1056" s="20">
        <v>18155.580000000002</v>
      </c>
      <c r="P1056" s="27" t="str">
        <f t="shared" si="49"/>
        <v>laranja</v>
      </c>
    </row>
    <row r="1057" spans="1:16" ht="38.25">
      <c r="A1057" s="3" t="s">
        <v>6022</v>
      </c>
      <c r="B1057" s="3" t="s">
        <v>6023</v>
      </c>
      <c r="C1057" s="4">
        <v>34</v>
      </c>
      <c r="D1057" s="3" t="s">
        <v>54</v>
      </c>
      <c r="E1057" s="3" t="s">
        <v>49</v>
      </c>
      <c r="F1057" s="5">
        <v>1548</v>
      </c>
      <c r="G1057" s="5">
        <v>534</v>
      </c>
      <c r="H1057" s="6">
        <v>87191.555999999997</v>
      </c>
      <c r="I1057" s="22">
        <v>29636.61</v>
      </c>
      <c r="J1057" s="24">
        <f t="shared" si="48"/>
        <v>2.0535568450019175E-4</v>
      </c>
      <c r="K1057" s="25">
        <f t="shared" si="50"/>
        <v>0.70557784814191704</v>
      </c>
      <c r="L1057" s="26" t="s">
        <v>7516</v>
      </c>
      <c r="M1057" s="28"/>
      <c r="N1057" s="28"/>
      <c r="O1057" s="20" t="s">
        <v>7530</v>
      </c>
      <c r="P1057" s="27" t="str">
        <f t="shared" si="49"/>
        <v>vermelho</v>
      </c>
    </row>
    <row r="1058" spans="1:16" ht="38.25">
      <c r="A1058" s="3" t="s">
        <v>6024</v>
      </c>
      <c r="B1058" s="3" t="s">
        <v>6025</v>
      </c>
      <c r="C1058" s="4">
        <v>45</v>
      </c>
      <c r="D1058" s="3" t="s">
        <v>23</v>
      </c>
      <c r="E1058" s="3" t="s">
        <v>7</v>
      </c>
      <c r="F1058" s="5">
        <v>492</v>
      </c>
      <c r="G1058" s="5">
        <v>624</v>
      </c>
      <c r="H1058" s="6">
        <v>25958.202000000001</v>
      </c>
      <c r="I1058" s="22">
        <v>29589.96</v>
      </c>
      <c r="J1058" s="24">
        <f t="shared" si="48"/>
        <v>2.0503244096181357E-4</v>
      </c>
      <c r="K1058" s="25">
        <f t="shared" si="50"/>
        <v>0.70578288058287886</v>
      </c>
      <c r="L1058" s="26" t="s">
        <v>7516</v>
      </c>
      <c r="M1058" s="28"/>
      <c r="N1058" s="28"/>
      <c r="O1058" s="20">
        <v>6348</v>
      </c>
      <c r="P1058" s="27" t="str">
        <f t="shared" si="49"/>
        <v>amarelo</v>
      </c>
    </row>
    <row r="1059" spans="1:16" ht="25.5">
      <c r="A1059" s="3" t="s">
        <v>4</v>
      </c>
      <c r="B1059" s="3" t="s">
        <v>552</v>
      </c>
      <c r="C1059" s="4">
        <v>31</v>
      </c>
      <c r="D1059" s="3" t="s">
        <v>194</v>
      </c>
      <c r="E1059" s="3" t="s">
        <v>16</v>
      </c>
      <c r="F1059" s="5">
        <v>1197</v>
      </c>
      <c r="G1059" s="5">
        <v>525</v>
      </c>
      <c r="H1059" s="6">
        <v>65676.33</v>
      </c>
      <c r="I1059" s="22">
        <v>29583.75</v>
      </c>
      <c r="J1059" s="24">
        <f t="shared" si="48"/>
        <v>2.0498941111458252E-4</v>
      </c>
      <c r="K1059" s="25">
        <f t="shared" si="50"/>
        <v>0.70598786999399343</v>
      </c>
      <c r="L1059" s="26" t="s">
        <v>7516</v>
      </c>
      <c r="M1059" s="28"/>
      <c r="N1059" s="28"/>
      <c r="O1059" s="20" t="s">
        <v>7530</v>
      </c>
      <c r="P1059" s="27" t="str">
        <f t="shared" si="49"/>
        <v>vermelho</v>
      </c>
    </row>
    <row r="1060" spans="1:16" ht="25.5">
      <c r="A1060" s="3" t="s">
        <v>4</v>
      </c>
      <c r="B1060" s="3" t="s">
        <v>553</v>
      </c>
      <c r="C1060" s="4">
        <v>19</v>
      </c>
      <c r="D1060" s="3" t="s">
        <v>72</v>
      </c>
      <c r="E1060" s="3" t="s">
        <v>41</v>
      </c>
      <c r="F1060" s="5">
        <v>429</v>
      </c>
      <c r="G1060" s="5">
        <v>453</v>
      </c>
      <c r="H1060" s="6">
        <v>25622.346000000001</v>
      </c>
      <c r="I1060" s="22">
        <v>29563.89</v>
      </c>
      <c r="J1060" s="24">
        <f t="shared" si="48"/>
        <v>2.0485179875290641E-4</v>
      </c>
      <c r="K1060" s="25">
        <f t="shared" si="50"/>
        <v>0.70619272179274639</v>
      </c>
      <c r="L1060" s="26" t="s">
        <v>7516</v>
      </c>
      <c r="M1060" s="28">
        <v>-4.5222991251934769E-2</v>
      </c>
      <c r="N1060" s="28"/>
      <c r="O1060" s="20">
        <v>17173.919999999998</v>
      </c>
      <c r="P1060" s="27" t="str">
        <f t="shared" si="49"/>
        <v>laranja</v>
      </c>
    </row>
    <row r="1061" spans="1:16" ht="38.25">
      <c r="A1061" s="3" t="s">
        <v>4</v>
      </c>
      <c r="B1061" s="3" t="s">
        <v>554</v>
      </c>
      <c r="C1061" s="4">
        <v>371</v>
      </c>
      <c r="D1061" s="3" t="s">
        <v>82</v>
      </c>
      <c r="E1061" s="3" t="s">
        <v>49</v>
      </c>
      <c r="F1061" s="5">
        <v>0</v>
      </c>
      <c r="G1061" s="5">
        <v>646</v>
      </c>
      <c r="H1061" s="6">
        <v>0</v>
      </c>
      <c r="I1061" s="22">
        <v>29543.633999999998</v>
      </c>
      <c r="J1061" s="24">
        <f t="shared" si="48"/>
        <v>2.047114424589431E-4</v>
      </c>
      <c r="K1061" s="25">
        <f t="shared" si="50"/>
        <v>0.70639743323520532</v>
      </c>
      <c r="L1061" s="26" t="s">
        <v>7516</v>
      </c>
      <c r="M1061" s="28"/>
      <c r="N1061" s="28"/>
      <c r="O1061" s="20" t="s">
        <v>7530</v>
      </c>
      <c r="P1061" s="27" t="str">
        <f t="shared" si="49"/>
        <v>vermelho</v>
      </c>
    </row>
    <row r="1062" spans="1:16">
      <c r="A1062" s="3" t="s">
        <v>4</v>
      </c>
      <c r="B1062" s="3" t="s">
        <v>555</v>
      </c>
      <c r="C1062" s="4">
        <v>15</v>
      </c>
      <c r="D1062" s="3" t="s">
        <v>18</v>
      </c>
      <c r="E1062" s="3" t="s">
        <v>16</v>
      </c>
      <c r="F1062" s="5">
        <v>273</v>
      </c>
      <c r="G1062" s="5">
        <v>513</v>
      </c>
      <c r="H1062" s="6">
        <v>14258.22</v>
      </c>
      <c r="I1062" s="22">
        <v>29462.67</v>
      </c>
      <c r="J1062" s="24">
        <f t="shared" si="48"/>
        <v>2.041504330304061E-4</v>
      </c>
      <c r="K1062" s="25">
        <f t="shared" si="50"/>
        <v>0.70660158366823578</v>
      </c>
      <c r="L1062" s="26" t="s">
        <v>7516</v>
      </c>
      <c r="M1062" s="28"/>
      <c r="N1062" s="28"/>
      <c r="O1062" s="20" t="s">
        <v>7530</v>
      </c>
      <c r="P1062" s="27" t="str">
        <f t="shared" si="49"/>
        <v>vermelho</v>
      </c>
    </row>
    <row r="1063" spans="1:16" ht="38.25">
      <c r="A1063" s="3" t="s">
        <v>6026</v>
      </c>
      <c r="B1063" s="3" t="s">
        <v>6027</v>
      </c>
      <c r="C1063" s="4">
        <v>301</v>
      </c>
      <c r="D1063" s="3" t="s">
        <v>519</v>
      </c>
      <c r="E1063" s="3" t="s">
        <v>16</v>
      </c>
      <c r="F1063" s="5">
        <v>168</v>
      </c>
      <c r="G1063" s="5">
        <v>672</v>
      </c>
      <c r="H1063" s="6">
        <v>7758.96</v>
      </c>
      <c r="I1063" s="22">
        <v>29401.8</v>
      </c>
      <c r="J1063" s="24">
        <f t="shared" si="48"/>
        <v>2.0372865737807859E-4</v>
      </c>
      <c r="K1063" s="25">
        <f t="shared" si="50"/>
        <v>0.70680531232561383</v>
      </c>
      <c r="L1063" s="26" t="s">
        <v>7516</v>
      </c>
      <c r="M1063" s="28"/>
      <c r="N1063" s="28"/>
      <c r="O1063" s="20" t="s">
        <v>7530</v>
      </c>
      <c r="P1063" s="27" t="str">
        <f t="shared" si="49"/>
        <v>vermelho</v>
      </c>
    </row>
    <row r="1064" spans="1:16">
      <c r="A1064" s="3" t="s">
        <v>6028</v>
      </c>
      <c r="B1064" s="3" t="s">
        <v>6029</v>
      </c>
      <c r="C1064" s="4">
        <v>15</v>
      </c>
      <c r="D1064" s="3" t="s">
        <v>18</v>
      </c>
      <c r="E1064" s="3" t="s">
        <v>16</v>
      </c>
      <c r="F1064" s="5">
        <v>935</v>
      </c>
      <c r="G1064" s="5">
        <v>528</v>
      </c>
      <c r="H1064" s="6">
        <v>43459.360000000001</v>
      </c>
      <c r="I1064" s="22">
        <v>29390.04</v>
      </c>
      <c r="J1064" s="24">
        <f t="shared" si="48"/>
        <v>2.0364717090409515E-4</v>
      </c>
      <c r="K1064" s="25">
        <f t="shared" si="50"/>
        <v>0.70700895949651787</v>
      </c>
      <c r="L1064" s="26" t="s">
        <v>7516</v>
      </c>
      <c r="M1064" s="28"/>
      <c r="N1064" s="28"/>
      <c r="O1064" s="20">
        <v>9440.58</v>
      </c>
      <c r="P1064" s="27" t="str">
        <f t="shared" si="49"/>
        <v>amarelo</v>
      </c>
    </row>
    <row r="1065" spans="1:16" ht="38.25">
      <c r="A1065" s="3" t="s">
        <v>4</v>
      </c>
      <c r="B1065" s="3" t="s">
        <v>556</v>
      </c>
      <c r="C1065" s="4">
        <v>292</v>
      </c>
      <c r="D1065" s="3" t="s">
        <v>57</v>
      </c>
      <c r="E1065" s="3" t="s">
        <v>49</v>
      </c>
      <c r="F1065" s="5">
        <v>324</v>
      </c>
      <c r="G1065" s="5">
        <v>528</v>
      </c>
      <c r="H1065" s="6">
        <v>15314.004000000001</v>
      </c>
      <c r="I1065" s="22">
        <v>29379.758999999998</v>
      </c>
      <c r="J1065" s="24">
        <f t="shared" si="48"/>
        <v>2.0357593260145708E-4</v>
      </c>
      <c r="K1065" s="25">
        <f t="shared" si="50"/>
        <v>0.70721253542911933</v>
      </c>
      <c r="L1065" s="26" t="s">
        <v>7516</v>
      </c>
      <c r="M1065" s="28"/>
      <c r="N1065" s="28"/>
      <c r="O1065" s="20">
        <v>15794.64</v>
      </c>
      <c r="P1065" s="27" t="str">
        <f t="shared" si="49"/>
        <v>laranja</v>
      </c>
    </row>
    <row r="1066" spans="1:16" ht="38.25">
      <c r="A1066" s="3" t="s">
        <v>4</v>
      </c>
      <c r="B1066" s="3" t="s">
        <v>557</v>
      </c>
      <c r="C1066" s="4">
        <v>38</v>
      </c>
      <c r="D1066" s="3" t="s">
        <v>184</v>
      </c>
      <c r="E1066" s="3" t="s">
        <v>49</v>
      </c>
      <c r="F1066" s="5">
        <v>120</v>
      </c>
      <c r="G1066" s="5">
        <v>450</v>
      </c>
      <c r="H1066" s="6">
        <v>8081.76</v>
      </c>
      <c r="I1066" s="22">
        <v>29377.98</v>
      </c>
      <c r="J1066" s="24">
        <f t="shared" si="48"/>
        <v>2.0356360569353052E-4</v>
      </c>
      <c r="K1066" s="25">
        <f t="shared" si="50"/>
        <v>0.70741609903481284</v>
      </c>
      <c r="L1066" s="26" t="s">
        <v>7516</v>
      </c>
      <c r="M1066" s="28"/>
      <c r="N1066" s="28"/>
      <c r="O1066" s="20" t="s">
        <v>7530</v>
      </c>
      <c r="P1066" s="27" t="str">
        <f t="shared" si="49"/>
        <v>vermelho</v>
      </c>
    </row>
    <row r="1067" spans="1:16" ht="25.5">
      <c r="A1067" s="3" t="s">
        <v>4</v>
      </c>
      <c r="B1067" s="3" t="s">
        <v>558</v>
      </c>
      <c r="C1067" s="4">
        <v>297</v>
      </c>
      <c r="D1067" s="3" t="s">
        <v>115</v>
      </c>
      <c r="E1067" s="3" t="s">
        <v>41</v>
      </c>
      <c r="F1067" s="5">
        <v>213</v>
      </c>
      <c r="G1067" s="5">
        <v>474</v>
      </c>
      <c r="H1067" s="6">
        <v>11448.674999999999</v>
      </c>
      <c r="I1067" s="22">
        <v>29360.6</v>
      </c>
      <c r="J1067" s="24">
        <f t="shared" si="48"/>
        <v>2.0344317755425907E-4</v>
      </c>
      <c r="K1067" s="25">
        <f t="shared" si="50"/>
        <v>0.70761954221236711</v>
      </c>
      <c r="L1067" s="26" t="s">
        <v>7516</v>
      </c>
      <c r="M1067" s="28"/>
      <c r="N1067" s="28"/>
      <c r="O1067" s="20" t="s">
        <v>7530</v>
      </c>
      <c r="P1067" s="27" t="str">
        <f t="shared" si="49"/>
        <v>vermelho</v>
      </c>
    </row>
    <row r="1068" spans="1:16" ht="38.25">
      <c r="A1068" s="3" t="s">
        <v>4</v>
      </c>
      <c r="B1068" s="3" t="s">
        <v>559</v>
      </c>
      <c r="C1068" s="4">
        <v>143</v>
      </c>
      <c r="D1068" s="3" t="s">
        <v>44</v>
      </c>
      <c r="E1068" s="3" t="s">
        <v>41</v>
      </c>
      <c r="F1068" s="5">
        <v>132</v>
      </c>
      <c r="G1068" s="5">
        <v>492</v>
      </c>
      <c r="H1068" s="6">
        <v>8604.7199999999993</v>
      </c>
      <c r="I1068" s="22">
        <v>29348.639999999999</v>
      </c>
      <c r="J1068" s="24">
        <f t="shared" si="48"/>
        <v>2.0336030525588817E-4</v>
      </c>
      <c r="K1068" s="25">
        <f t="shared" si="50"/>
        <v>0.70782290251762303</v>
      </c>
      <c r="L1068" s="26" t="s">
        <v>7516</v>
      </c>
      <c r="M1068" s="28">
        <v>-4.7880347753315004E-2</v>
      </c>
      <c r="N1068" s="28"/>
      <c r="O1068" s="20">
        <v>5965.44</v>
      </c>
      <c r="P1068" s="27" t="str">
        <f t="shared" si="49"/>
        <v>amarelo</v>
      </c>
    </row>
    <row r="1069" spans="1:16" ht="25.5">
      <c r="A1069" s="3" t="s">
        <v>4</v>
      </c>
      <c r="B1069" s="3" t="s">
        <v>560</v>
      </c>
      <c r="C1069" s="4">
        <v>93</v>
      </c>
      <c r="D1069" s="3" t="s">
        <v>20</v>
      </c>
      <c r="E1069" s="3" t="s">
        <v>7</v>
      </c>
      <c r="F1069" s="5">
        <v>375</v>
      </c>
      <c r="G1069" s="5">
        <v>468</v>
      </c>
      <c r="H1069" s="6">
        <v>22643.97</v>
      </c>
      <c r="I1069" s="22">
        <v>29315.040000000001</v>
      </c>
      <c r="J1069" s="24">
        <f t="shared" si="48"/>
        <v>2.0312748675879264E-4</v>
      </c>
      <c r="K1069" s="25">
        <f t="shared" si="50"/>
        <v>0.7080260300043818</v>
      </c>
      <c r="L1069" s="26" t="s">
        <v>7516</v>
      </c>
      <c r="M1069" s="28"/>
      <c r="N1069" s="28">
        <v>2.2540668658977577E-2</v>
      </c>
      <c r="O1069" s="20">
        <v>9400.44</v>
      </c>
      <c r="P1069" s="27" t="str">
        <f t="shared" si="49"/>
        <v>amarelo</v>
      </c>
    </row>
    <row r="1070" spans="1:16" ht="25.5">
      <c r="A1070" s="3" t="s">
        <v>4</v>
      </c>
      <c r="B1070" s="3" t="s">
        <v>561</v>
      </c>
      <c r="C1070" s="4">
        <v>217</v>
      </c>
      <c r="D1070" s="3" t="s">
        <v>91</v>
      </c>
      <c r="E1070" s="3" t="s">
        <v>16</v>
      </c>
      <c r="F1070" s="5">
        <v>273</v>
      </c>
      <c r="G1070" s="5">
        <v>495</v>
      </c>
      <c r="H1070" s="6">
        <v>14477.37</v>
      </c>
      <c r="I1070" s="22">
        <v>29263.68</v>
      </c>
      <c r="J1070" s="24">
        <f t="shared" si="48"/>
        <v>2.0277160705608945E-4</v>
      </c>
      <c r="K1070" s="25">
        <f t="shared" si="50"/>
        <v>0.70822880161143786</v>
      </c>
      <c r="L1070" s="26" t="s">
        <v>7516</v>
      </c>
      <c r="M1070" s="28"/>
      <c r="N1070" s="28"/>
      <c r="O1070" s="20" t="s">
        <v>7530</v>
      </c>
      <c r="P1070" s="27" t="str">
        <f t="shared" si="49"/>
        <v>vermelho</v>
      </c>
    </row>
    <row r="1071" spans="1:16" ht="25.5">
      <c r="A1071" s="3" t="s">
        <v>6030</v>
      </c>
      <c r="B1071" s="3" t="s">
        <v>6031</v>
      </c>
      <c r="C1071" s="4">
        <v>337</v>
      </c>
      <c r="D1071" s="3" t="s">
        <v>202</v>
      </c>
      <c r="E1071" s="3" t="s">
        <v>16</v>
      </c>
      <c r="F1071" s="5">
        <v>864</v>
      </c>
      <c r="G1071" s="5">
        <v>582</v>
      </c>
      <c r="H1071" s="6">
        <v>37883.58</v>
      </c>
      <c r="I1071" s="22">
        <v>29208.66</v>
      </c>
      <c r="J1071" s="24">
        <f t="shared" si="48"/>
        <v>2.0239036676709553E-4</v>
      </c>
      <c r="K1071" s="25">
        <f t="shared" si="50"/>
        <v>0.70843119197820492</v>
      </c>
      <c r="L1071" s="26" t="s">
        <v>7516</v>
      </c>
      <c r="M1071" s="28"/>
      <c r="N1071" s="28"/>
      <c r="O1071" s="20" t="s">
        <v>7530</v>
      </c>
      <c r="P1071" s="27" t="str">
        <f t="shared" si="49"/>
        <v>vermelho</v>
      </c>
    </row>
    <row r="1072" spans="1:16" ht="38.25">
      <c r="A1072" s="3" t="s">
        <v>6032</v>
      </c>
      <c r="B1072" s="3" t="s">
        <v>6033</v>
      </c>
      <c r="C1072" s="4">
        <v>11</v>
      </c>
      <c r="D1072" s="3" t="s">
        <v>61</v>
      </c>
      <c r="E1072" s="3" t="s">
        <v>10</v>
      </c>
      <c r="F1072" s="5">
        <v>660</v>
      </c>
      <c r="G1072" s="5">
        <v>420</v>
      </c>
      <c r="H1072" s="6">
        <v>37571.879999999997</v>
      </c>
      <c r="I1072" s="22">
        <v>29202.227999999999</v>
      </c>
      <c r="J1072" s="24">
        <f t="shared" si="48"/>
        <v>2.0234579865479436E-4</v>
      </c>
      <c r="K1072" s="25">
        <f t="shared" si="50"/>
        <v>0.70863353777685967</v>
      </c>
      <c r="L1072" s="26" t="s">
        <v>7516</v>
      </c>
      <c r="M1072" s="28"/>
      <c r="N1072" s="28"/>
      <c r="O1072" s="20">
        <v>43012.351999999999</v>
      </c>
      <c r="P1072" s="27" t="str">
        <f t="shared" si="49"/>
        <v>verde</v>
      </c>
    </row>
    <row r="1073" spans="1:16" ht="25.5">
      <c r="A1073" s="3" t="s">
        <v>4</v>
      </c>
      <c r="B1073" s="3" t="s">
        <v>562</v>
      </c>
      <c r="C1073" s="4">
        <v>217</v>
      </c>
      <c r="D1073" s="3" t="s">
        <v>91</v>
      </c>
      <c r="E1073" s="3" t="s">
        <v>16</v>
      </c>
      <c r="F1073" s="5">
        <v>876</v>
      </c>
      <c r="G1073" s="5">
        <v>528</v>
      </c>
      <c r="H1073" s="6">
        <v>48302.400000000001</v>
      </c>
      <c r="I1073" s="22">
        <v>29186.07</v>
      </c>
      <c r="J1073" s="24">
        <f t="shared" si="48"/>
        <v>2.0223383790253039E-4</v>
      </c>
      <c r="K1073" s="25">
        <f t="shared" si="50"/>
        <v>0.70883577161476219</v>
      </c>
      <c r="L1073" s="26" t="s">
        <v>7516</v>
      </c>
      <c r="M1073" s="28"/>
      <c r="N1073" s="28"/>
      <c r="O1073" s="20" t="s">
        <v>7530</v>
      </c>
      <c r="P1073" s="27" t="str">
        <f t="shared" si="49"/>
        <v>vermelho</v>
      </c>
    </row>
    <row r="1074" spans="1:16" ht="38.25">
      <c r="A1074" s="3" t="s">
        <v>4</v>
      </c>
      <c r="B1074" s="3" t="s">
        <v>563</v>
      </c>
      <c r="C1074" s="4">
        <v>34</v>
      </c>
      <c r="D1074" s="3" t="s">
        <v>54</v>
      </c>
      <c r="E1074" s="3" t="s">
        <v>49</v>
      </c>
      <c r="F1074" s="5">
        <v>366</v>
      </c>
      <c r="G1074" s="5">
        <v>426</v>
      </c>
      <c r="H1074" s="6">
        <v>20568.060000000001</v>
      </c>
      <c r="I1074" s="22">
        <v>29178.36</v>
      </c>
      <c r="J1074" s="24">
        <f t="shared" si="48"/>
        <v>2.021804143723933E-4</v>
      </c>
      <c r="K1074" s="25">
        <f t="shared" si="50"/>
        <v>0.70903795202913455</v>
      </c>
      <c r="L1074" s="26" t="s">
        <v>7516</v>
      </c>
      <c r="M1074" s="28"/>
      <c r="N1074" s="28"/>
      <c r="O1074" s="20" t="s">
        <v>7530</v>
      </c>
      <c r="P1074" s="27" t="str">
        <f t="shared" si="49"/>
        <v>vermelho</v>
      </c>
    </row>
    <row r="1075" spans="1:16" ht="38.25">
      <c r="A1075" s="3" t="s">
        <v>4</v>
      </c>
      <c r="B1075" s="3" t="s">
        <v>564</v>
      </c>
      <c r="C1075" s="4">
        <v>34</v>
      </c>
      <c r="D1075" s="3" t="s">
        <v>54</v>
      </c>
      <c r="E1075" s="3" t="s">
        <v>49</v>
      </c>
      <c r="F1075" s="5">
        <v>966</v>
      </c>
      <c r="G1075" s="5">
        <v>492</v>
      </c>
      <c r="H1075" s="6">
        <v>56398.559999999998</v>
      </c>
      <c r="I1075" s="22">
        <v>29177.040000000001</v>
      </c>
      <c r="J1075" s="24">
        <f t="shared" si="48"/>
        <v>2.0217126793143598E-4</v>
      </c>
      <c r="K1075" s="25">
        <f t="shared" si="50"/>
        <v>0.70924012329706598</v>
      </c>
      <c r="L1075" s="26" t="s">
        <v>7516</v>
      </c>
      <c r="M1075" s="28"/>
      <c r="N1075" s="28"/>
      <c r="O1075" s="20">
        <v>10745.04</v>
      </c>
      <c r="P1075" s="27" t="str">
        <f t="shared" si="49"/>
        <v>amarelo</v>
      </c>
    </row>
    <row r="1076" spans="1:16" ht="25.5">
      <c r="A1076" s="3" t="s">
        <v>4</v>
      </c>
      <c r="B1076" s="3" t="s">
        <v>565</v>
      </c>
      <c r="C1076" s="4">
        <v>317</v>
      </c>
      <c r="D1076" s="3" t="s">
        <v>78</v>
      </c>
      <c r="E1076" s="3" t="s">
        <v>10</v>
      </c>
      <c r="F1076" s="5">
        <v>120</v>
      </c>
      <c r="G1076" s="5">
        <v>414</v>
      </c>
      <c r="H1076" s="6">
        <v>6216.72</v>
      </c>
      <c r="I1076" s="22">
        <v>29162.01</v>
      </c>
      <c r="J1076" s="24">
        <f t="shared" si="48"/>
        <v>2.0206712322871733E-4</v>
      </c>
      <c r="K1076" s="25">
        <f t="shared" si="50"/>
        <v>0.70944219042029466</v>
      </c>
      <c r="L1076" s="26" t="s">
        <v>7516</v>
      </c>
      <c r="M1076" s="28"/>
      <c r="N1076" s="28"/>
      <c r="O1076" s="20">
        <v>10309.290000000001</v>
      </c>
      <c r="P1076" s="27" t="str">
        <f t="shared" si="49"/>
        <v>amarelo</v>
      </c>
    </row>
    <row r="1077" spans="1:16" ht="25.5">
      <c r="A1077" s="3" t="s">
        <v>4</v>
      </c>
      <c r="B1077" s="3" t="s">
        <v>566</v>
      </c>
      <c r="C1077" s="4">
        <v>208</v>
      </c>
      <c r="D1077" s="3" t="s">
        <v>15</v>
      </c>
      <c r="E1077" s="3" t="s">
        <v>16</v>
      </c>
      <c r="F1077" s="5">
        <v>900</v>
      </c>
      <c r="G1077" s="5">
        <v>504</v>
      </c>
      <c r="H1077" s="6">
        <v>44609.52</v>
      </c>
      <c r="I1077" s="22">
        <v>29160.731</v>
      </c>
      <c r="J1077" s="24">
        <f t="shared" si="48"/>
        <v>2.0205826088175944E-4</v>
      </c>
      <c r="K1077" s="25">
        <f t="shared" si="50"/>
        <v>0.70964424868117637</v>
      </c>
      <c r="L1077" s="26" t="s">
        <v>7516</v>
      </c>
      <c r="M1077" s="28"/>
      <c r="N1077" s="28"/>
      <c r="O1077" s="20">
        <v>34306.237000000001</v>
      </c>
      <c r="P1077" s="27" t="str">
        <f t="shared" si="49"/>
        <v>verde</v>
      </c>
    </row>
    <row r="1078" spans="1:16">
      <c r="A1078" s="3" t="s">
        <v>6034</v>
      </c>
      <c r="B1078" s="3" t="s">
        <v>6035</v>
      </c>
      <c r="C1078" s="4">
        <v>217</v>
      </c>
      <c r="D1078" s="3" t="s">
        <v>91</v>
      </c>
      <c r="E1078" s="3" t="s">
        <v>16</v>
      </c>
      <c r="F1078" s="5">
        <v>912</v>
      </c>
      <c r="G1078" s="5">
        <v>507</v>
      </c>
      <c r="H1078" s="6">
        <v>47354.52</v>
      </c>
      <c r="I1078" s="22">
        <v>29135.91</v>
      </c>
      <c r="J1078" s="24">
        <f t="shared" si="48"/>
        <v>2.0188627314615207E-4</v>
      </c>
      <c r="K1078" s="25">
        <f t="shared" si="50"/>
        <v>0.70984613495432247</v>
      </c>
      <c r="L1078" s="26" t="s">
        <v>7516</v>
      </c>
      <c r="M1078" s="28"/>
      <c r="N1078" s="28"/>
      <c r="O1078" s="20" t="s">
        <v>7530</v>
      </c>
      <c r="P1078" s="27" t="str">
        <f t="shared" si="49"/>
        <v>vermelho</v>
      </c>
    </row>
    <row r="1079" spans="1:16" ht="25.5">
      <c r="A1079" s="3" t="s">
        <v>6036</v>
      </c>
      <c r="B1079" s="3" t="s">
        <v>6037</v>
      </c>
      <c r="C1079" s="4">
        <v>218</v>
      </c>
      <c r="D1079" s="3" t="s">
        <v>104</v>
      </c>
      <c r="E1079" s="3" t="s">
        <v>16</v>
      </c>
      <c r="F1079" s="5">
        <v>0</v>
      </c>
      <c r="G1079" s="5">
        <v>648</v>
      </c>
      <c r="H1079" s="6">
        <v>0</v>
      </c>
      <c r="I1079" s="22">
        <v>29108.16</v>
      </c>
      <c r="J1079" s="24">
        <f t="shared" si="48"/>
        <v>2.0169399001239012E-4</v>
      </c>
      <c r="K1079" s="25">
        <f t="shared" si="50"/>
        <v>0.71004782894433482</v>
      </c>
      <c r="L1079" s="26" t="s">
        <v>7516</v>
      </c>
      <c r="M1079" s="28"/>
      <c r="N1079" s="28"/>
      <c r="O1079" s="20" t="s">
        <v>7530</v>
      </c>
      <c r="P1079" s="27" t="str">
        <f t="shared" si="49"/>
        <v>vermelho</v>
      </c>
    </row>
    <row r="1080" spans="1:16" ht="25.5">
      <c r="A1080" s="3" t="s">
        <v>4</v>
      </c>
      <c r="B1080" s="3" t="s">
        <v>567</v>
      </c>
      <c r="C1080" s="4">
        <v>208</v>
      </c>
      <c r="D1080" s="3" t="s">
        <v>15</v>
      </c>
      <c r="E1080" s="3" t="s">
        <v>16</v>
      </c>
      <c r="F1080" s="5">
        <v>396</v>
      </c>
      <c r="G1080" s="5">
        <v>486</v>
      </c>
      <c r="H1080" s="6">
        <v>22792.92</v>
      </c>
      <c r="I1080" s="22">
        <v>29106.3</v>
      </c>
      <c r="J1080" s="24">
        <f t="shared" si="48"/>
        <v>2.0168110184558662E-4</v>
      </c>
      <c r="K1080" s="25">
        <f t="shared" si="50"/>
        <v>0.71024951004618042</v>
      </c>
      <c r="L1080" s="26" t="s">
        <v>7516</v>
      </c>
      <c r="M1080" s="28"/>
      <c r="N1080" s="28"/>
      <c r="O1080" s="20">
        <v>4308.84</v>
      </c>
      <c r="P1080" s="27" t="str">
        <f t="shared" si="49"/>
        <v>amarelo</v>
      </c>
    </row>
    <row r="1081" spans="1:16">
      <c r="A1081" s="3" t="s">
        <v>4</v>
      </c>
      <c r="B1081" s="3" t="s">
        <v>568</v>
      </c>
      <c r="C1081" s="4">
        <v>231</v>
      </c>
      <c r="D1081" s="3" t="s">
        <v>52</v>
      </c>
      <c r="E1081" s="3" t="s">
        <v>7</v>
      </c>
      <c r="F1081" s="5">
        <v>228</v>
      </c>
      <c r="G1081" s="5">
        <v>456</v>
      </c>
      <c r="H1081" s="6">
        <v>11793.72</v>
      </c>
      <c r="I1081" s="22">
        <v>29100.84</v>
      </c>
      <c r="J1081" s="24">
        <f t="shared" si="48"/>
        <v>2.0164326883980862E-4</v>
      </c>
      <c r="K1081" s="25">
        <f t="shared" si="50"/>
        <v>0.71045115331502018</v>
      </c>
      <c r="L1081" s="26" t="s">
        <v>7516</v>
      </c>
      <c r="M1081" s="28"/>
      <c r="N1081" s="28"/>
      <c r="O1081" s="20">
        <v>18462.36</v>
      </c>
      <c r="P1081" s="27" t="str">
        <f t="shared" si="49"/>
        <v>laranja</v>
      </c>
    </row>
    <row r="1082" spans="1:16" ht="38.25">
      <c r="A1082" s="3" t="s">
        <v>4</v>
      </c>
      <c r="B1082" s="3" t="s">
        <v>569</v>
      </c>
      <c r="C1082" s="4">
        <v>143</v>
      </c>
      <c r="D1082" s="3" t="s">
        <v>44</v>
      </c>
      <c r="E1082" s="3" t="s">
        <v>41</v>
      </c>
      <c r="F1082" s="5">
        <v>384</v>
      </c>
      <c r="G1082" s="5">
        <v>450</v>
      </c>
      <c r="H1082" s="6">
        <v>21753.72</v>
      </c>
      <c r="I1082" s="22">
        <v>29092.92</v>
      </c>
      <c r="J1082" s="24">
        <f t="shared" si="48"/>
        <v>2.0158839019406464E-4</v>
      </c>
      <c r="K1082" s="25">
        <f t="shared" si="50"/>
        <v>0.7106527417052142</v>
      </c>
      <c r="L1082" s="26" t="s">
        <v>7516</v>
      </c>
      <c r="M1082" s="28"/>
      <c r="N1082" s="28"/>
      <c r="O1082" s="20">
        <v>9094.35</v>
      </c>
      <c r="P1082" s="27" t="str">
        <f t="shared" si="49"/>
        <v>amarelo</v>
      </c>
    </row>
    <row r="1083" spans="1:16" ht="25.5">
      <c r="A1083" s="3" t="s">
        <v>6038</v>
      </c>
      <c r="B1083" s="3" t="s">
        <v>6039</v>
      </c>
      <c r="C1083" s="4">
        <v>297</v>
      </c>
      <c r="D1083" s="3" t="s">
        <v>115</v>
      </c>
      <c r="E1083" s="3" t="s">
        <v>41</v>
      </c>
      <c r="F1083" s="5">
        <v>606</v>
      </c>
      <c r="G1083" s="5">
        <v>513</v>
      </c>
      <c r="H1083" s="6">
        <v>33436.313999999998</v>
      </c>
      <c r="I1083" s="22">
        <v>29061.485000000001</v>
      </c>
      <c r="J1083" s="24">
        <f t="shared" si="48"/>
        <v>2.0137057324596353E-4</v>
      </c>
      <c r="K1083" s="25">
        <f t="shared" si="50"/>
        <v>0.71085411227846018</v>
      </c>
      <c r="L1083" s="26" t="s">
        <v>7516</v>
      </c>
      <c r="M1083" s="28"/>
      <c r="N1083" s="28"/>
      <c r="O1083" s="20">
        <v>3541.06</v>
      </c>
      <c r="P1083" s="27" t="str">
        <f t="shared" si="49"/>
        <v>amarelo</v>
      </c>
    </row>
    <row r="1084" spans="1:16" ht="25.5">
      <c r="A1084" s="3" t="s">
        <v>4</v>
      </c>
      <c r="B1084" s="3" t="s">
        <v>570</v>
      </c>
      <c r="C1084" s="4">
        <v>194</v>
      </c>
      <c r="D1084" s="3" t="s">
        <v>145</v>
      </c>
      <c r="E1084" s="3" t="s">
        <v>16</v>
      </c>
      <c r="F1084" s="5">
        <v>0</v>
      </c>
      <c r="G1084" s="5">
        <v>474</v>
      </c>
      <c r="H1084" s="6">
        <v>0</v>
      </c>
      <c r="I1084" s="22">
        <v>29040.78</v>
      </c>
      <c r="J1084" s="24">
        <f t="shared" si="48"/>
        <v>2.0122710577625034E-4</v>
      </c>
      <c r="K1084" s="25">
        <f t="shared" si="50"/>
        <v>0.71105533938423648</v>
      </c>
      <c r="L1084" s="26" t="s">
        <v>7516</v>
      </c>
      <c r="M1084" s="28"/>
      <c r="N1084" s="28"/>
      <c r="O1084" s="20" t="s">
        <v>7530</v>
      </c>
      <c r="P1084" s="27" t="str">
        <f t="shared" si="49"/>
        <v>vermelho</v>
      </c>
    </row>
    <row r="1085" spans="1:16" ht="25.5">
      <c r="A1085" s="3" t="s">
        <v>6040</v>
      </c>
      <c r="B1085" s="3" t="s">
        <v>6041</v>
      </c>
      <c r="C1085" s="4">
        <v>218</v>
      </c>
      <c r="D1085" s="3" t="s">
        <v>104</v>
      </c>
      <c r="E1085" s="3" t="s">
        <v>16</v>
      </c>
      <c r="F1085" s="5">
        <v>756</v>
      </c>
      <c r="G1085" s="5">
        <v>660</v>
      </c>
      <c r="H1085" s="6">
        <v>22393.439999999999</v>
      </c>
      <c r="I1085" s="22">
        <v>29019</v>
      </c>
      <c r="J1085" s="24">
        <f t="shared" si="48"/>
        <v>2.0107618950045448E-4</v>
      </c>
      <c r="K1085" s="25">
        <f t="shared" si="50"/>
        <v>0.71125641557373698</v>
      </c>
      <c r="L1085" s="26" t="s">
        <v>7516</v>
      </c>
      <c r="M1085" s="28"/>
      <c r="N1085" s="28"/>
      <c r="O1085" s="20">
        <v>4601.28</v>
      </c>
      <c r="P1085" s="27" t="str">
        <f t="shared" si="49"/>
        <v>amarelo</v>
      </c>
    </row>
    <row r="1086" spans="1:16" ht="25.5">
      <c r="A1086" s="3" t="s">
        <v>4</v>
      </c>
      <c r="B1086" s="3" t="s">
        <v>571</v>
      </c>
      <c r="C1086" s="4">
        <v>297</v>
      </c>
      <c r="D1086" s="3" t="s">
        <v>115</v>
      </c>
      <c r="E1086" s="3" t="s">
        <v>41</v>
      </c>
      <c r="F1086" s="5">
        <v>192</v>
      </c>
      <c r="G1086" s="5">
        <v>420</v>
      </c>
      <c r="H1086" s="6">
        <v>11227.175999999999</v>
      </c>
      <c r="I1086" s="22">
        <v>28947.594000000001</v>
      </c>
      <c r="J1086" s="24">
        <f t="shared" si="48"/>
        <v>2.0058140861939485E-4</v>
      </c>
      <c r="K1086" s="25">
        <f t="shared" si="50"/>
        <v>0.71145699698235643</v>
      </c>
      <c r="L1086" s="26" t="s">
        <v>7516</v>
      </c>
      <c r="M1086" s="28"/>
      <c r="N1086" s="28"/>
      <c r="O1086" s="20">
        <v>13051.754000000001</v>
      </c>
      <c r="P1086" s="27" t="str">
        <f t="shared" si="49"/>
        <v>amarelo</v>
      </c>
    </row>
    <row r="1087" spans="1:16" ht="25.5">
      <c r="A1087" s="3" t="s">
        <v>4</v>
      </c>
      <c r="B1087" s="3" t="s">
        <v>572</v>
      </c>
      <c r="C1087" s="4">
        <v>335</v>
      </c>
      <c r="D1087" s="3" t="s">
        <v>36</v>
      </c>
      <c r="E1087" s="3" t="s">
        <v>7</v>
      </c>
      <c r="F1087" s="5">
        <v>465</v>
      </c>
      <c r="G1087" s="5">
        <v>450</v>
      </c>
      <c r="H1087" s="6">
        <v>27434.612000000001</v>
      </c>
      <c r="I1087" s="22">
        <v>28917.3</v>
      </c>
      <c r="J1087" s="24">
        <f t="shared" si="48"/>
        <v>2.0037149779942426E-4</v>
      </c>
      <c r="K1087" s="25">
        <f t="shared" si="50"/>
        <v>0.71165736848015582</v>
      </c>
      <c r="L1087" s="26" t="s">
        <v>7516</v>
      </c>
      <c r="M1087" s="28">
        <v>-2.4819436507239161E-2</v>
      </c>
      <c r="N1087" s="28"/>
      <c r="O1087" s="20">
        <v>4481.28</v>
      </c>
      <c r="P1087" s="27" t="str">
        <f t="shared" si="49"/>
        <v>amarelo</v>
      </c>
    </row>
    <row r="1088" spans="1:16" ht="25.5">
      <c r="A1088" s="3" t="s">
        <v>6042</v>
      </c>
      <c r="B1088" s="3" t="s">
        <v>6043</v>
      </c>
      <c r="C1088" s="4">
        <v>93</v>
      </c>
      <c r="D1088" s="3" t="s">
        <v>20</v>
      </c>
      <c r="E1088" s="3" t="s">
        <v>7</v>
      </c>
      <c r="F1088" s="5">
        <v>144</v>
      </c>
      <c r="G1088" s="5">
        <v>501</v>
      </c>
      <c r="H1088" s="6">
        <v>7329.24</v>
      </c>
      <c r="I1088" s="22">
        <v>28914.720000000001</v>
      </c>
      <c r="J1088" s="24">
        <f t="shared" si="48"/>
        <v>2.0035362066482586E-4</v>
      </c>
      <c r="K1088" s="25">
        <f t="shared" si="50"/>
        <v>0.71185772210082066</v>
      </c>
      <c r="L1088" s="26" t="s">
        <v>7516</v>
      </c>
      <c r="M1088" s="28"/>
      <c r="N1088" s="28"/>
      <c r="O1088" s="20">
        <v>18831.36</v>
      </c>
      <c r="P1088" s="27" t="str">
        <f t="shared" si="49"/>
        <v>laranja</v>
      </c>
    </row>
    <row r="1089" spans="1:16" ht="25.5">
      <c r="A1089" s="3" t="s">
        <v>4</v>
      </c>
      <c r="B1089" s="3" t="s">
        <v>573</v>
      </c>
      <c r="C1089" s="4">
        <v>261</v>
      </c>
      <c r="D1089" s="3" t="s">
        <v>9</v>
      </c>
      <c r="E1089" s="3" t="s">
        <v>10</v>
      </c>
      <c r="F1089" s="5">
        <v>483</v>
      </c>
      <c r="G1089" s="5">
        <v>471</v>
      </c>
      <c r="H1089" s="6">
        <v>26038.38</v>
      </c>
      <c r="I1089" s="22">
        <v>28913.97</v>
      </c>
      <c r="J1089" s="24">
        <f t="shared" si="48"/>
        <v>2.0034842382337284E-4</v>
      </c>
      <c r="K1089" s="25">
        <f t="shared" si="50"/>
        <v>0.71205807052464398</v>
      </c>
      <c r="L1089" s="26" t="s">
        <v>7516</v>
      </c>
      <c r="M1089" s="28"/>
      <c r="N1089" s="28">
        <v>1.5726549039669857E-2</v>
      </c>
      <c r="O1089" s="20">
        <v>13817.37</v>
      </c>
      <c r="P1089" s="27" t="str">
        <f t="shared" si="49"/>
        <v>amarelo</v>
      </c>
    </row>
    <row r="1090" spans="1:16" ht="25.5">
      <c r="A1090" s="3" t="s">
        <v>4</v>
      </c>
      <c r="B1090" s="3" t="s">
        <v>574</v>
      </c>
      <c r="C1090" s="4">
        <v>23</v>
      </c>
      <c r="D1090" s="3" t="s">
        <v>87</v>
      </c>
      <c r="E1090" s="3" t="s">
        <v>7</v>
      </c>
      <c r="F1090" s="5">
        <v>327</v>
      </c>
      <c r="G1090" s="5">
        <v>489</v>
      </c>
      <c r="H1090" s="6">
        <v>18937.080000000002</v>
      </c>
      <c r="I1090" s="22">
        <v>28891.71</v>
      </c>
      <c r="J1090" s="24">
        <f t="shared" si="48"/>
        <v>2.0019418156904702E-4</v>
      </c>
      <c r="K1090" s="25">
        <f t="shared" si="50"/>
        <v>0.71225826470621301</v>
      </c>
      <c r="L1090" s="26" t="s">
        <v>7516</v>
      </c>
      <c r="M1090" s="28"/>
      <c r="N1090" s="28"/>
      <c r="O1090" s="20">
        <v>13150.68</v>
      </c>
      <c r="P1090" s="27" t="str">
        <f t="shared" si="49"/>
        <v>amarelo</v>
      </c>
    </row>
    <row r="1091" spans="1:16" ht="25.5">
      <c r="A1091" s="3" t="s">
        <v>4</v>
      </c>
      <c r="B1091" s="3" t="s">
        <v>575</v>
      </c>
      <c r="C1091" s="4">
        <v>23</v>
      </c>
      <c r="D1091" s="3" t="s">
        <v>87</v>
      </c>
      <c r="E1091" s="3" t="s">
        <v>7</v>
      </c>
      <c r="F1091" s="5">
        <v>336</v>
      </c>
      <c r="G1091" s="5">
        <v>426</v>
      </c>
      <c r="H1091" s="6">
        <v>21098.508000000002</v>
      </c>
      <c r="I1091" s="22">
        <v>28854.6</v>
      </c>
      <c r="J1091" s="24">
        <f t="shared" ref="J1091:J1154" si="51">I1091/$I$6364</f>
        <v>1.9993704185395134E-4</v>
      </c>
      <c r="K1091" s="25">
        <f t="shared" si="50"/>
        <v>0.71245820174806695</v>
      </c>
      <c r="L1091" s="26" t="s">
        <v>7516</v>
      </c>
      <c r="M1091" s="28"/>
      <c r="N1091" s="28"/>
      <c r="O1091" s="20">
        <v>10870.08</v>
      </c>
      <c r="P1091" s="27" t="str">
        <f t="shared" ref="P1091:P1154" si="52">IF(O1091&lt;=0,"vermelho",IFERROR(IF(O1091/I1091&lt;=0.5098,"amarelo",IF(O1091/I1091&lt;1,"laranja","verde")),"vermelho"))</f>
        <v>amarelo</v>
      </c>
    </row>
    <row r="1092" spans="1:16">
      <c r="A1092" s="3" t="s">
        <v>4</v>
      </c>
      <c r="B1092" s="3" t="s">
        <v>576</v>
      </c>
      <c r="C1092" s="4">
        <v>231</v>
      </c>
      <c r="D1092" s="3" t="s">
        <v>52</v>
      </c>
      <c r="E1092" s="3" t="s">
        <v>7</v>
      </c>
      <c r="F1092" s="5">
        <v>432</v>
      </c>
      <c r="G1092" s="5">
        <v>444</v>
      </c>
      <c r="H1092" s="6">
        <v>23117.52</v>
      </c>
      <c r="I1092" s="22">
        <v>28848.240000000002</v>
      </c>
      <c r="J1092" s="24">
        <f t="shared" si="51"/>
        <v>1.9989297263842969E-4</v>
      </c>
      <c r="K1092" s="25">
        <f t="shared" ref="K1092:K1155" si="53">J1092+K1091</f>
        <v>0.7126580947207054</v>
      </c>
      <c r="L1092" s="26" t="s">
        <v>7516</v>
      </c>
      <c r="M1092" s="28"/>
      <c r="N1092" s="28"/>
      <c r="O1092" s="20">
        <v>10812.72</v>
      </c>
      <c r="P1092" s="27" t="str">
        <f t="shared" si="52"/>
        <v>amarelo</v>
      </c>
    </row>
    <row r="1093" spans="1:16" ht="25.5">
      <c r="A1093" s="3" t="s">
        <v>6044</v>
      </c>
      <c r="B1093" s="3" t="s">
        <v>6045</v>
      </c>
      <c r="C1093" s="4">
        <v>261</v>
      </c>
      <c r="D1093" s="3" t="s">
        <v>9</v>
      </c>
      <c r="E1093" s="3" t="s">
        <v>10</v>
      </c>
      <c r="F1093" s="5">
        <v>453</v>
      </c>
      <c r="G1093" s="5">
        <v>534</v>
      </c>
      <c r="H1093" s="6">
        <v>22095.27</v>
      </c>
      <c r="I1093" s="22">
        <v>28838.16</v>
      </c>
      <c r="J1093" s="24">
        <f t="shared" si="51"/>
        <v>1.9982312708930104E-4</v>
      </c>
      <c r="K1093" s="25">
        <f t="shared" si="53"/>
        <v>0.71285791784779473</v>
      </c>
      <c r="L1093" s="26" t="s">
        <v>7516</v>
      </c>
      <c r="M1093" s="28"/>
      <c r="N1093" s="28"/>
      <c r="O1093" s="20" t="s">
        <v>7530</v>
      </c>
      <c r="P1093" s="27" t="str">
        <f t="shared" si="52"/>
        <v>vermelho</v>
      </c>
    </row>
    <row r="1094" spans="1:16" ht="25.5">
      <c r="A1094" s="3" t="s">
        <v>6046</v>
      </c>
      <c r="B1094" s="3" t="s">
        <v>6047</v>
      </c>
      <c r="C1094" s="4">
        <v>53</v>
      </c>
      <c r="D1094" s="3" t="s">
        <v>34</v>
      </c>
      <c r="E1094" s="3" t="s">
        <v>16</v>
      </c>
      <c r="F1094" s="5">
        <v>384</v>
      </c>
      <c r="G1094" s="5">
        <v>468</v>
      </c>
      <c r="H1094" s="6">
        <v>23538.720000000001</v>
      </c>
      <c r="I1094" s="22">
        <v>28800.93</v>
      </c>
      <c r="J1094" s="24">
        <f t="shared" si="51"/>
        <v>1.9956515587957286E-4</v>
      </c>
      <c r="K1094" s="25">
        <f t="shared" si="53"/>
        <v>0.71305748300367433</v>
      </c>
      <c r="L1094" s="26" t="s">
        <v>7516</v>
      </c>
      <c r="M1094" s="28"/>
      <c r="N1094" s="28"/>
      <c r="O1094" s="20" t="s">
        <v>7530</v>
      </c>
      <c r="P1094" s="27" t="str">
        <f t="shared" si="52"/>
        <v>vermelho</v>
      </c>
    </row>
    <row r="1095" spans="1:16" ht="25.5">
      <c r="A1095" s="3" t="s">
        <v>6048</v>
      </c>
      <c r="B1095" s="3" t="s">
        <v>6049</v>
      </c>
      <c r="C1095" s="4">
        <v>261</v>
      </c>
      <c r="D1095" s="3" t="s">
        <v>9</v>
      </c>
      <c r="E1095" s="3" t="s">
        <v>10</v>
      </c>
      <c r="F1095" s="5">
        <v>417</v>
      </c>
      <c r="G1095" s="5">
        <v>491</v>
      </c>
      <c r="H1095" s="6">
        <v>24281.55</v>
      </c>
      <c r="I1095" s="22">
        <v>28788.28</v>
      </c>
      <c r="J1095" s="24">
        <f t="shared" si="51"/>
        <v>1.9947750248706516E-4</v>
      </c>
      <c r="K1095" s="25">
        <f t="shared" si="53"/>
        <v>0.71325696050616139</v>
      </c>
      <c r="L1095" s="26" t="s">
        <v>7516</v>
      </c>
      <c r="M1095" s="28"/>
      <c r="N1095" s="28"/>
      <c r="O1095" s="20" t="s">
        <v>7530</v>
      </c>
      <c r="P1095" s="27" t="str">
        <f t="shared" si="52"/>
        <v>vermelho</v>
      </c>
    </row>
    <row r="1096" spans="1:16" ht="25.5">
      <c r="A1096" s="3" t="s">
        <v>6050</v>
      </c>
      <c r="B1096" s="3" t="s">
        <v>6051</v>
      </c>
      <c r="C1096" s="4">
        <v>178</v>
      </c>
      <c r="D1096" s="3" t="s">
        <v>74</v>
      </c>
      <c r="E1096" s="3" t="s">
        <v>7</v>
      </c>
      <c r="F1096" s="5">
        <v>240</v>
      </c>
      <c r="G1096" s="5">
        <v>468</v>
      </c>
      <c r="H1096" s="6">
        <v>13057.56</v>
      </c>
      <c r="I1096" s="22">
        <v>28750.2</v>
      </c>
      <c r="J1096" s="24">
        <f t="shared" si="51"/>
        <v>1.9921364152369024E-4</v>
      </c>
      <c r="K1096" s="25">
        <f t="shared" si="53"/>
        <v>0.71345617414768503</v>
      </c>
      <c r="L1096" s="26" t="s">
        <v>7516</v>
      </c>
      <c r="M1096" s="28"/>
      <c r="N1096" s="28"/>
      <c r="O1096" s="20">
        <v>7173.96</v>
      </c>
      <c r="P1096" s="27" t="str">
        <f t="shared" si="52"/>
        <v>amarelo</v>
      </c>
    </row>
    <row r="1097" spans="1:16">
      <c r="A1097" s="3" t="s">
        <v>6052</v>
      </c>
      <c r="B1097" s="3" t="s">
        <v>6053</v>
      </c>
      <c r="C1097" s="4">
        <v>232</v>
      </c>
      <c r="D1097" s="3" t="s">
        <v>174</v>
      </c>
      <c r="E1097" s="3" t="s">
        <v>16</v>
      </c>
      <c r="F1097" s="5">
        <v>192</v>
      </c>
      <c r="G1097" s="5">
        <v>480</v>
      </c>
      <c r="H1097" s="6">
        <v>9459.6</v>
      </c>
      <c r="I1097" s="22">
        <v>28744.44</v>
      </c>
      <c r="J1097" s="24">
        <f t="shared" si="51"/>
        <v>1.9917372978133099E-4</v>
      </c>
      <c r="K1097" s="25">
        <f t="shared" si="53"/>
        <v>0.71365534787746632</v>
      </c>
      <c r="L1097" s="26" t="s">
        <v>7516</v>
      </c>
      <c r="M1097" s="28"/>
      <c r="N1097" s="28"/>
      <c r="O1097" s="20" t="s">
        <v>7530</v>
      </c>
      <c r="P1097" s="27" t="str">
        <f t="shared" si="52"/>
        <v>vermelho</v>
      </c>
    </row>
    <row r="1098" spans="1:16" ht="25.5">
      <c r="A1098" s="3" t="s">
        <v>4</v>
      </c>
      <c r="B1098" s="3" t="s">
        <v>577</v>
      </c>
      <c r="C1098" s="4">
        <v>266</v>
      </c>
      <c r="D1098" s="3" t="s">
        <v>80</v>
      </c>
      <c r="E1098" s="3" t="s">
        <v>10</v>
      </c>
      <c r="F1098" s="5">
        <v>720</v>
      </c>
      <c r="G1098" s="5">
        <v>480</v>
      </c>
      <c r="H1098" s="6">
        <v>41218.11</v>
      </c>
      <c r="I1098" s="22">
        <v>28719.18</v>
      </c>
      <c r="J1098" s="24">
        <f t="shared" si="51"/>
        <v>1.9899870016119311E-4</v>
      </c>
      <c r="K1098" s="25">
        <f t="shared" si="53"/>
        <v>0.71385434657762747</v>
      </c>
      <c r="L1098" s="26" t="s">
        <v>7516</v>
      </c>
      <c r="M1098" s="28"/>
      <c r="N1098" s="28"/>
      <c r="O1098" s="20" t="s">
        <v>7530</v>
      </c>
      <c r="P1098" s="27" t="str">
        <f t="shared" si="52"/>
        <v>vermelho</v>
      </c>
    </row>
    <row r="1099" spans="1:16" ht="25.5">
      <c r="A1099" s="3" t="s">
        <v>4</v>
      </c>
      <c r="B1099" s="3" t="s">
        <v>578</v>
      </c>
      <c r="C1099" s="4">
        <v>178</v>
      </c>
      <c r="D1099" s="3" t="s">
        <v>74</v>
      </c>
      <c r="E1099" s="3" t="s">
        <v>7</v>
      </c>
      <c r="F1099" s="5">
        <v>300</v>
      </c>
      <c r="G1099" s="5">
        <v>444</v>
      </c>
      <c r="H1099" s="6">
        <v>15801</v>
      </c>
      <c r="I1099" s="22">
        <v>28709.52</v>
      </c>
      <c r="J1099" s="24">
        <f t="shared" si="51"/>
        <v>1.9893176484327813E-4</v>
      </c>
      <c r="K1099" s="25">
        <f t="shared" si="53"/>
        <v>0.71405327834247079</v>
      </c>
      <c r="L1099" s="26" t="s">
        <v>7516</v>
      </c>
      <c r="M1099" s="28"/>
      <c r="N1099" s="28"/>
      <c r="O1099" s="20">
        <v>17572.919999999998</v>
      </c>
      <c r="P1099" s="27" t="str">
        <f t="shared" si="52"/>
        <v>laranja</v>
      </c>
    </row>
    <row r="1100" spans="1:16" ht="38.25">
      <c r="A1100" s="3" t="s">
        <v>4</v>
      </c>
      <c r="B1100" s="3" t="s">
        <v>579</v>
      </c>
      <c r="C1100" s="4">
        <v>292</v>
      </c>
      <c r="D1100" s="3" t="s">
        <v>57</v>
      </c>
      <c r="E1100" s="3" t="s">
        <v>49</v>
      </c>
      <c r="F1100" s="5">
        <v>492</v>
      </c>
      <c r="G1100" s="5">
        <v>487</v>
      </c>
      <c r="H1100" s="6">
        <v>23348.412</v>
      </c>
      <c r="I1100" s="22">
        <v>28705.41</v>
      </c>
      <c r="J1100" s="24">
        <f t="shared" si="51"/>
        <v>1.9890328615211554E-4</v>
      </c>
      <c r="K1100" s="25">
        <f t="shared" si="53"/>
        <v>0.71425218162862292</v>
      </c>
      <c r="L1100" s="26" t="s">
        <v>7516</v>
      </c>
      <c r="M1100" s="28">
        <v>1.325409447130641E-4</v>
      </c>
      <c r="N1100" s="28"/>
      <c r="O1100" s="20" t="s">
        <v>7530</v>
      </c>
      <c r="P1100" s="27" t="str">
        <f t="shared" si="52"/>
        <v>vermelho</v>
      </c>
    </row>
    <row r="1101" spans="1:16" ht="25.5">
      <c r="A1101" s="3" t="s">
        <v>4</v>
      </c>
      <c r="B1101" s="3" t="s">
        <v>580</v>
      </c>
      <c r="C1101" s="4">
        <v>197</v>
      </c>
      <c r="D1101" s="3" t="s">
        <v>66</v>
      </c>
      <c r="E1101" s="3" t="s">
        <v>41</v>
      </c>
      <c r="F1101" s="5">
        <v>336</v>
      </c>
      <c r="G1101" s="5">
        <v>486</v>
      </c>
      <c r="H1101" s="6">
        <v>18648.12</v>
      </c>
      <c r="I1101" s="22">
        <v>28696.187999999998</v>
      </c>
      <c r="J1101" s="24">
        <f t="shared" si="51"/>
        <v>1.9883938578960913E-4</v>
      </c>
      <c r="K1101" s="25">
        <f t="shared" si="53"/>
        <v>0.71445102101441249</v>
      </c>
      <c r="L1101" s="26" t="s">
        <v>7516</v>
      </c>
      <c r="M1101" s="28">
        <v>3.1266997048176898E-2</v>
      </c>
      <c r="N1101" s="28"/>
      <c r="O1101" s="20" t="s">
        <v>7530</v>
      </c>
      <c r="P1101" s="27" t="str">
        <f t="shared" si="52"/>
        <v>vermelho</v>
      </c>
    </row>
    <row r="1102" spans="1:16" ht="25.5">
      <c r="A1102" s="3" t="s">
        <v>6054</v>
      </c>
      <c r="B1102" s="3" t="s">
        <v>6055</v>
      </c>
      <c r="C1102" s="4">
        <v>53</v>
      </c>
      <c r="D1102" s="3" t="s">
        <v>34</v>
      </c>
      <c r="E1102" s="3" t="s">
        <v>16</v>
      </c>
      <c r="F1102" s="5">
        <v>870</v>
      </c>
      <c r="G1102" s="5">
        <v>576</v>
      </c>
      <c r="H1102" s="6">
        <v>49550.22</v>
      </c>
      <c r="I1102" s="22">
        <v>28677.366999999998</v>
      </c>
      <c r="J1102" s="24">
        <f t="shared" si="51"/>
        <v>1.9870897278562595E-4</v>
      </c>
      <c r="K1102" s="25">
        <f t="shared" si="53"/>
        <v>0.71464972998719811</v>
      </c>
      <c r="L1102" s="26" t="s">
        <v>7516</v>
      </c>
      <c r="M1102" s="28"/>
      <c r="N1102" s="28"/>
      <c r="O1102" s="20" t="s">
        <v>7530</v>
      </c>
      <c r="P1102" s="27" t="str">
        <f t="shared" si="52"/>
        <v>vermelho</v>
      </c>
    </row>
    <row r="1103" spans="1:16" ht="25.5">
      <c r="A1103" s="3" t="s">
        <v>4</v>
      </c>
      <c r="B1103" s="3" t="s">
        <v>581</v>
      </c>
      <c r="C1103" s="4">
        <v>39</v>
      </c>
      <c r="D1103" s="3" t="s">
        <v>26</v>
      </c>
      <c r="E1103" s="3" t="s">
        <v>13</v>
      </c>
      <c r="F1103" s="5">
        <v>210</v>
      </c>
      <c r="G1103" s="5">
        <v>474</v>
      </c>
      <c r="H1103" s="6">
        <v>10943.58</v>
      </c>
      <c r="I1103" s="22">
        <v>28657.17</v>
      </c>
      <c r="J1103" s="24">
        <f t="shared" si="51"/>
        <v>1.9856902530985694E-4</v>
      </c>
      <c r="K1103" s="25">
        <f t="shared" si="53"/>
        <v>0.71484829901250801</v>
      </c>
      <c r="L1103" s="26" t="s">
        <v>7516</v>
      </c>
      <c r="M1103" s="28"/>
      <c r="N1103" s="28"/>
      <c r="O1103" s="20" t="s">
        <v>7530</v>
      </c>
      <c r="P1103" s="27" t="str">
        <f t="shared" si="52"/>
        <v>vermelho</v>
      </c>
    </row>
    <row r="1104" spans="1:16">
      <c r="A1104" s="3" t="s">
        <v>4</v>
      </c>
      <c r="B1104" s="3" t="s">
        <v>582</v>
      </c>
      <c r="C1104" s="4">
        <v>232</v>
      </c>
      <c r="D1104" s="3" t="s">
        <v>174</v>
      </c>
      <c r="E1104" s="3" t="s">
        <v>16</v>
      </c>
      <c r="F1104" s="5">
        <v>192</v>
      </c>
      <c r="G1104" s="5">
        <v>489</v>
      </c>
      <c r="H1104" s="6">
        <v>10802.94</v>
      </c>
      <c r="I1104" s="22">
        <v>28645.65</v>
      </c>
      <c r="J1104" s="24">
        <f t="shared" si="51"/>
        <v>1.9848920182513851E-4</v>
      </c>
      <c r="K1104" s="25">
        <f t="shared" si="53"/>
        <v>0.71504678821433321</v>
      </c>
      <c r="L1104" s="26" t="s">
        <v>7516</v>
      </c>
      <c r="M1104" s="28"/>
      <c r="N1104" s="28"/>
      <c r="O1104" s="20" t="s">
        <v>7530</v>
      </c>
      <c r="P1104" s="27" t="str">
        <f t="shared" si="52"/>
        <v>vermelho</v>
      </c>
    </row>
    <row r="1105" spans="1:16" ht="25.5">
      <c r="A1105" s="3" t="s">
        <v>4</v>
      </c>
      <c r="B1105" s="3" t="s">
        <v>583</v>
      </c>
      <c r="C1105" s="4">
        <v>240</v>
      </c>
      <c r="D1105" s="3" t="s">
        <v>69</v>
      </c>
      <c r="E1105" s="3" t="s">
        <v>16</v>
      </c>
      <c r="F1105" s="5">
        <v>375</v>
      </c>
      <c r="G1105" s="5">
        <v>540</v>
      </c>
      <c r="H1105" s="6">
        <v>16744.439999999999</v>
      </c>
      <c r="I1105" s="22">
        <v>28641.54</v>
      </c>
      <c r="J1105" s="24">
        <f t="shared" si="51"/>
        <v>1.9846072313397592E-4</v>
      </c>
      <c r="K1105" s="25">
        <f t="shared" si="53"/>
        <v>0.71524524893746722</v>
      </c>
      <c r="L1105" s="26" t="s">
        <v>7516</v>
      </c>
      <c r="M1105" s="28">
        <v>-2.5330141881855332E-3</v>
      </c>
      <c r="N1105" s="28"/>
      <c r="O1105" s="20">
        <v>9589.86</v>
      </c>
      <c r="P1105" s="27" t="str">
        <f t="shared" si="52"/>
        <v>amarelo</v>
      </c>
    </row>
    <row r="1106" spans="1:16" ht="25.5">
      <c r="A1106" s="3" t="s">
        <v>4</v>
      </c>
      <c r="B1106" s="3" t="s">
        <v>584</v>
      </c>
      <c r="C1106" s="4">
        <v>266</v>
      </c>
      <c r="D1106" s="3" t="s">
        <v>80</v>
      </c>
      <c r="E1106" s="3" t="s">
        <v>10</v>
      </c>
      <c r="F1106" s="5">
        <v>0</v>
      </c>
      <c r="G1106" s="5">
        <v>519</v>
      </c>
      <c r="H1106" s="6">
        <v>0</v>
      </c>
      <c r="I1106" s="22">
        <v>28634.639999999999</v>
      </c>
      <c r="J1106" s="24">
        <f t="shared" si="51"/>
        <v>1.9841291219260809E-4</v>
      </c>
      <c r="K1106" s="25">
        <f t="shared" si="53"/>
        <v>0.7154436618496598</v>
      </c>
      <c r="L1106" s="26" t="s">
        <v>7516</v>
      </c>
      <c r="M1106" s="28"/>
      <c r="N1106" s="28"/>
      <c r="O1106" s="20">
        <v>39999.398999999998</v>
      </c>
      <c r="P1106" s="27" t="str">
        <f t="shared" si="52"/>
        <v>verde</v>
      </c>
    </row>
    <row r="1107" spans="1:16" ht="25.5">
      <c r="A1107" s="3" t="s">
        <v>4</v>
      </c>
      <c r="B1107" s="3" t="s">
        <v>585</v>
      </c>
      <c r="C1107" s="4">
        <v>335</v>
      </c>
      <c r="D1107" s="3" t="s">
        <v>36</v>
      </c>
      <c r="E1107" s="3" t="s">
        <v>7</v>
      </c>
      <c r="F1107" s="5">
        <v>615</v>
      </c>
      <c r="G1107" s="5">
        <v>480</v>
      </c>
      <c r="H1107" s="6">
        <v>36404.76</v>
      </c>
      <c r="I1107" s="22">
        <v>28628.880000000001</v>
      </c>
      <c r="J1107" s="24">
        <f t="shared" si="51"/>
        <v>1.9837300045024887E-4</v>
      </c>
      <c r="K1107" s="25">
        <f t="shared" si="53"/>
        <v>0.71564203485011002</v>
      </c>
      <c r="L1107" s="26" t="s">
        <v>7516</v>
      </c>
      <c r="M1107" s="28"/>
      <c r="N1107" s="28"/>
      <c r="O1107" s="20">
        <v>27161.64</v>
      </c>
      <c r="P1107" s="27" t="str">
        <f t="shared" si="52"/>
        <v>laranja</v>
      </c>
    </row>
    <row r="1108" spans="1:16">
      <c r="A1108" s="3" t="s">
        <v>4</v>
      </c>
      <c r="B1108" s="3" t="s">
        <v>586</v>
      </c>
      <c r="C1108" s="4">
        <v>315</v>
      </c>
      <c r="D1108" s="3" t="s">
        <v>63</v>
      </c>
      <c r="E1108" s="3" t="s">
        <v>7</v>
      </c>
      <c r="F1108" s="5">
        <v>0</v>
      </c>
      <c r="G1108" s="5">
        <v>489</v>
      </c>
      <c r="H1108" s="6">
        <v>0</v>
      </c>
      <c r="I1108" s="22">
        <v>28523.933000000001</v>
      </c>
      <c r="J1108" s="24">
        <f t="shared" si="51"/>
        <v>1.9764580989028801E-4</v>
      </c>
      <c r="K1108" s="25">
        <f t="shared" si="53"/>
        <v>0.71583968066000025</v>
      </c>
      <c r="L1108" s="26" t="s">
        <v>7516</v>
      </c>
      <c r="M1108" s="28"/>
      <c r="N1108" s="28"/>
      <c r="O1108" s="20" t="s">
        <v>7530</v>
      </c>
      <c r="P1108" s="27" t="str">
        <f t="shared" si="52"/>
        <v>vermelho</v>
      </c>
    </row>
    <row r="1109" spans="1:16">
      <c r="A1109" s="3" t="s">
        <v>6056</v>
      </c>
      <c r="B1109" s="3" t="s">
        <v>6057</v>
      </c>
      <c r="C1109" s="4">
        <v>240</v>
      </c>
      <c r="D1109" s="3" t="s">
        <v>69</v>
      </c>
      <c r="E1109" s="3" t="s">
        <v>16</v>
      </c>
      <c r="F1109" s="5">
        <v>102</v>
      </c>
      <c r="G1109" s="5">
        <v>432</v>
      </c>
      <c r="H1109" s="6">
        <v>6483.63</v>
      </c>
      <c r="I1109" s="22">
        <v>28496.04</v>
      </c>
      <c r="J1109" s="24">
        <f t="shared" si="51"/>
        <v>1.9745253589208901E-4</v>
      </c>
      <c r="K1109" s="25">
        <f t="shared" si="53"/>
        <v>0.71603713319589235</v>
      </c>
      <c r="L1109" s="26" t="s">
        <v>7516</v>
      </c>
      <c r="M1109" s="28"/>
      <c r="N1109" s="28"/>
      <c r="O1109" s="20" t="s">
        <v>7530</v>
      </c>
      <c r="P1109" s="27" t="str">
        <f t="shared" si="52"/>
        <v>vermelho</v>
      </c>
    </row>
    <row r="1110" spans="1:16" ht="25.5">
      <c r="A1110" s="3" t="s">
        <v>5046</v>
      </c>
      <c r="B1110" s="3" t="s">
        <v>5047</v>
      </c>
      <c r="C1110" s="4">
        <v>194</v>
      </c>
      <c r="D1110" s="3" t="s">
        <v>145</v>
      </c>
      <c r="E1110" s="3" t="s">
        <v>16</v>
      </c>
      <c r="F1110" s="5">
        <v>1062</v>
      </c>
      <c r="G1110" s="5">
        <v>528</v>
      </c>
      <c r="H1110" s="6">
        <v>59031.06</v>
      </c>
      <c r="I1110" s="22">
        <v>28494.720000000001</v>
      </c>
      <c r="J1110" s="24">
        <f t="shared" si="51"/>
        <v>1.9744338945113169E-4</v>
      </c>
      <c r="K1110" s="25">
        <f t="shared" si="53"/>
        <v>0.71623457658534351</v>
      </c>
      <c r="L1110" s="26" t="s">
        <v>7516</v>
      </c>
      <c r="M1110" s="28"/>
      <c r="N1110" s="28"/>
      <c r="O1110" s="20">
        <v>175595.85</v>
      </c>
      <c r="P1110" s="27" t="str">
        <f t="shared" si="52"/>
        <v>verde</v>
      </c>
    </row>
    <row r="1111" spans="1:16" ht="38.25">
      <c r="A1111" s="3" t="s">
        <v>6058</v>
      </c>
      <c r="B1111" s="3" t="s">
        <v>6059</v>
      </c>
      <c r="C1111" s="4">
        <v>292</v>
      </c>
      <c r="D1111" s="3" t="s">
        <v>57</v>
      </c>
      <c r="E1111" s="3" t="s">
        <v>49</v>
      </c>
      <c r="F1111" s="5">
        <v>288</v>
      </c>
      <c r="G1111" s="5">
        <v>408</v>
      </c>
      <c r="H1111" s="6">
        <v>10622.16</v>
      </c>
      <c r="I1111" s="22">
        <v>28482.244999999999</v>
      </c>
      <c r="J1111" s="24">
        <f t="shared" si="51"/>
        <v>1.9735694865496303E-4</v>
      </c>
      <c r="K1111" s="25">
        <f t="shared" si="53"/>
        <v>0.71643193353399848</v>
      </c>
      <c r="L1111" s="26" t="s">
        <v>7516</v>
      </c>
      <c r="M1111" s="28"/>
      <c r="N1111" s="28"/>
      <c r="O1111" s="20">
        <v>26423.764999999999</v>
      </c>
      <c r="P1111" s="27" t="str">
        <f t="shared" si="52"/>
        <v>laranja</v>
      </c>
    </row>
    <row r="1112" spans="1:16" ht="25.5">
      <c r="A1112" s="3" t="s">
        <v>4</v>
      </c>
      <c r="B1112" s="3" t="s">
        <v>587</v>
      </c>
      <c r="C1112" s="4">
        <v>297</v>
      </c>
      <c r="D1112" s="3" t="s">
        <v>115</v>
      </c>
      <c r="E1112" s="3" t="s">
        <v>41</v>
      </c>
      <c r="F1112" s="5">
        <v>378</v>
      </c>
      <c r="G1112" s="5">
        <v>453</v>
      </c>
      <c r="H1112" s="6">
        <v>22092.12</v>
      </c>
      <c r="I1112" s="22">
        <v>28479.21</v>
      </c>
      <c r="J1112" s="24">
        <f t="shared" si="51"/>
        <v>1.9733591876988312E-4</v>
      </c>
      <c r="K1112" s="25">
        <f t="shared" si="53"/>
        <v>0.71662926945276839</v>
      </c>
      <c r="L1112" s="26" t="s">
        <v>7516</v>
      </c>
      <c r="M1112" s="28"/>
      <c r="N1112" s="28"/>
      <c r="O1112" s="20">
        <v>10468.799999999999</v>
      </c>
      <c r="P1112" s="27" t="str">
        <f t="shared" si="52"/>
        <v>amarelo</v>
      </c>
    </row>
    <row r="1113" spans="1:16">
      <c r="A1113" s="3" t="s">
        <v>4</v>
      </c>
      <c r="B1113" s="3" t="s">
        <v>588</v>
      </c>
      <c r="C1113" s="4">
        <v>217</v>
      </c>
      <c r="D1113" s="3" t="s">
        <v>91</v>
      </c>
      <c r="E1113" s="3" t="s">
        <v>16</v>
      </c>
      <c r="F1113" s="5">
        <v>444</v>
      </c>
      <c r="G1113" s="5">
        <v>492</v>
      </c>
      <c r="H1113" s="6">
        <v>25854.720000000001</v>
      </c>
      <c r="I1113" s="22">
        <v>28469.16</v>
      </c>
      <c r="J1113" s="24">
        <f t="shared" si="51"/>
        <v>1.9726628109441259E-4</v>
      </c>
      <c r="K1113" s="25">
        <f t="shared" si="53"/>
        <v>0.71682653573386279</v>
      </c>
      <c r="L1113" s="26" t="s">
        <v>7516</v>
      </c>
      <c r="M1113" s="28">
        <v>-2.3630624071843492E-2</v>
      </c>
      <c r="N1113" s="28"/>
      <c r="O1113" s="20" t="s">
        <v>7530</v>
      </c>
      <c r="P1113" s="27" t="str">
        <f t="shared" si="52"/>
        <v>vermelho</v>
      </c>
    </row>
    <row r="1114" spans="1:16" ht="38.25">
      <c r="A1114" s="3" t="s">
        <v>4</v>
      </c>
      <c r="B1114" s="3" t="s">
        <v>589</v>
      </c>
      <c r="C1114" s="4">
        <v>45</v>
      </c>
      <c r="D1114" s="3" t="s">
        <v>23</v>
      </c>
      <c r="E1114" s="3" t="s">
        <v>7</v>
      </c>
      <c r="F1114" s="5">
        <v>300</v>
      </c>
      <c r="G1114" s="5">
        <v>444</v>
      </c>
      <c r="H1114" s="6">
        <v>16720.32</v>
      </c>
      <c r="I1114" s="22">
        <v>28422.42</v>
      </c>
      <c r="J1114" s="24">
        <f t="shared" si="51"/>
        <v>1.9694241393506003E-4</v>
      </c>
      <c r="K1114" s="25">
        <f t="shared" si="53"/>
        <v>0.71702347814779788</v>
      </c>
      <c r="L1114" s="26" t="s">
        <v>7516</v>
      </c>
      <c r="M1114" s="28"/>
      <c r="N1114" s="28"/>
      <c r="O1114" s="20">
        <v>18392.28</v>
      </c>
      <c r="P1114" s="27" t="str">
        <f t="shared" si="52"/>
        <v>laranja</v>
      </c>
    </row>
    <row r="1115" spans="1:16" ht="51">
      <c r="A1115" s="3" t="s">
        <v>6060</v>
      </c>
      <c r="B1115" s="3" t="s">
        <v>6061</v>
      </c>
      <c r="C1115" s="4">
        <v>282</v>
      </c>
      <c r="D1115" s="3" t="s">
        <v>12</v>
      </c>
      <c r="E1115" s="3" t="s">
        <v>13</v>
      </c>
      <c r="F1115" s="5">
        <v>198</v>
      </c>
      <c r="G1115" s="5">
        <v>513</v>
      </c>
      <c r="H1115" s="6">
        <v>9346.86</v>
      </c>
      <c r="I1115" s="22">
        <v>28408.893</v>
      </c>
      <c r="J1115" s="24">
        <f t="shared" si="51"/>
        <v>1.9684868370261328E-4</v>
      </c>
      <c r="K1115" s="25">
        <f t="shared" si="53"/>
        <v>0.7172203268315005</v>
      </c>
      <c r="L1115" s="26" t="s">
        <v>7516</v>
      </c>
      <c r="M1115" s="28"/>
      <c r="N1115" s="28"/>
      <c r="O1115" s="20" t="s">
        <v>7530</v>
      </c>
      <c r="P1115" s="27" t="str">
        <f t="shared" si="52"/>
        <v>vermelho</v>
      </c>
    </row>
    <row r="1116" spans="1:16" ht="25.5">
      <c r="A1116" s="3" t="s">
        <v>6062</v>
      </c>
      <c r="B1116" s="3" t="s">
        <v>6063</v>
      </c>
      <c r="C1116" s="4">
        <v>266</v>
      </c>
      <c r="D1116" s="3" t="s">
        <v>80</v>
      </c>
      <c r="E1116" s="3" t="s">
        <v>10</v>
      </c>
      <c r="F1116" s="5">
        <v>660</v>
      </c>
      <c r="G1116" s="5">
        <v>495</v>
      </c>
      <c r="H1116" s="6">
        <v>34494.39</v>
      </c>
      <c r="I1116" s="22">
        <v>28381.11</v>
      </c>
      <c r="J1116" s="24">
        <f t="shared" si="51"/>
        <v>1.9665617190782743E-4</v>
      </c>
      <c r="K1116" s="25">
        <f t="shared" si="53"/>
        <v>0.71741698300340828</v>
      </c>
      <c r="L1116" s="26" t="s">
        <v>7516</v>
      </c>
      <c r="M1116" s="28"/>
      <c r="N1116" s="28"/>
      <c r="O1116" s="20" t="s">
        <v>7530</v>
      </c>
      <c r="P1116" s="27" t="str">
        <f t="shared" si="52"/>
        <v>vermelho</v>
      </c>
    </row>
    <row r="1117" spans="1:16" ht="25.5">
      <c r="A1117" s="3" t="s">
        <v>4</v>
      </c>
      <c r="B1117" s="3" t="s">
        <v>590</v>
      </c>
      <c r="C1117" s="4">
        <v>23</v>
      </c>
      <c r="D1117" s="3" t="s">
        <v>87</v>
      </c>
      <c r="E1117" s="3" t="s">
        <v>7</v>
      </c>
      <c r="F1117" s="5">
        <v>471</v>
      </c>
      <c r="G1117" s="5">
        <v>444</v>
      </c>
      <c r="H1117" s="6">
        <v>27092.97</v>
      </c>
      <c r="I1117" s="22">
        <v>28361.52</v>
      </c>
      <c r="J1117" s="24">
        <f t="shared" si="51"/>
        <v>1.965204304090744E-4</v>
      </c>
      <c r="K1117" s="25">
        <f t="shared" si="53"/>
        <v>0.71761350343381736</v>
      </c>
      <c r="L1117" s="26" t="s">
        <v>7516</v>
      </c>
      <c r="M1117" s="28">
        <v>-4.1244980209002816E-2</v>
      </c>
      <c r="N1117" s="28"/>
      <c r="O1117" s="20">
        <v>6072.24</v>
      </c>
      <c r="P1117" s="27" t="str">
        <f t="shared" si="52"/>
        <v>amarelo</v>
      </c>
    </row>
    <row r="1118" spans="1:16" ht="25.5">
      <c r="A1118" s="3" t="s">
        <v>6064</v>
      </c>
      <c r="B1118" s="3" t="s">
        <v>6065</v>
      </c>
      <c r="C1118" s="4">
        <v>321</v>
      </c>
      <c r="D1118" s="3" t="s">
        <v>136</v>
      </c>
      <c r="E1118" s="3" t="s">
        <v>41</v>
      </c>
      <c r="F1118" s="5">
        <v>675</v>
      </c>
      <c r="G1118" s="5">
        <v>567</v>
      </c>
      <c r="H1118" s="6">
        <v>35671.47</v>
      </c>
      <c r="I1118" s="22">
        <v>28341</v>
      </c>
      <c r="J1118" s="24">
        <f t="shared" si="51"/>
        <v>1.9637824482691962E-4</v>
      </c>
      <c r="K1118" s="25">
        <f t="shared" si="53"/>
        <v>0.71780988167864423</v>
      </c>
      <c r="L1118" s="26" t="s">
        <v>7516</v>
      </c>
      <c r="M1118" s="28"/>
      <c r="N1118" s="28"/>
      <c r="O1118" s="20">
        <v>1878.18</v>
      </c>
      <c r="P1118" s="27" t="str">
        <f t="shared" si="52"/>
        <v>amarelo</v>
      </c>
    </row>
    <row r="1119" spans="1:16" ht="25.5">
      <c r="A1119" s="3" t="s">
        <v>4</v>
      </c>
      <c r="B1119" s="3" t="s">
        <v>591</v>
      </c>
      <c r="C1119" s="4">
        <v>261</v>
      </c>
      <c r="D1119" s="3" t="s">
        <v>9</v>
      </c>
      <c r="E1119" s="3" t="s">
        <v>10</v>
      </c>
      <c r="F1119" s="5">
        <v>381</v>
      </c>
      <c r="G1119" s="5">
        <v>507</v>
      </c>
      <c r="H1119" s="6">
        <v>20219.43</v>
      </c>
      <c r="I1119" s="22">
        <v>28317.93</v>
      </c>
      <c r="J1119" s="24">
        <f t="shared" si="51"/>
        <v>1.9621838998382457E-4</v>
      </c>
      <c r="K1119" s="25">
        <f t="shared" si="53"/>
        <v>0.71800610006862808</v>
      </c>
      <c r="L1119" s="26" t="s">
        <v>7516</v>
      </c>
      <c r="M1119" s="28"/>
      <c r="N1119" s="28"/>
      <c r="O1119" s="20">
        <v>10743.66</v>
      </c>
      <c r="P1119" s="27" t="str">
        <f t="shared" si="52"/>
        <v>amarelo</v>
      </c>
    </row>
    <row r="1120" spans="1:16" ht="25.5">
      <c r="A1120" s="3" t="s">
        <v>6066</v>
      </c>
      <c r="B1120" s="3" t="s">
        <v>6067</v>
      </c>
      <c r="C1120" s="4">
        <v>23</v>
      </c>
      <c r="D1120" s="3" t="s">
        <v>87</v>
      </c>
      <c r="E1120" s="3" t="s">
        <v>7</v>
      </c>
      <c r="F1120" s="5">
        <v>90</v>
      </c>
      <c r="G1120" s="5">
        <v>465</v>
      </c>
      <c r="H1120" s="6">
        <v>6112.86</v>
      </c>
      <c r="I1120" s="22">
        <v>28315.26</v>
      </c>
      <c r="J1120" s="24">
        <f t="shared" si="51"/>
        <v>1.9619988922825178E-4</v>
      </c>
      <c r="K1120" s="25">
        <f t="shared" si="53"/>
        <v>0.71820229995785634</v>
      </c>
      <c r="L1120" s="26" t="s">
        <v>7516</v>
      </c>
      <c r="M1120" s="28"/>
      <c r="N1120" s="28"/>
      <c r="O1120" s="20">
        <v>2921.04</v>
      </c>
      <c r="P1120" s="27" t="str">
        <f t="shared" si="52"/>
        <v>amarelo</v>
      </c>
    </row>
    <row r="1121" spans="1:16" ht="25.5">
      <c r="A1121" s="3" t="s">
        <v>4</v>
      </c>
      <c r="B1121" s="3" t="s">
        <v>592</v>
      </c>
      <c r="C1121" s="4">
        <v>261</v>
      </c>
      <c r="D1121" s="3" t="s">
        <v>9</v>
      </c>
      <c r="E1121" s="3" t="s">
        <v>10</v>
      </c>
      <c r="F1121" s="5">
        <v>180</v>
      </c>
      <c r="G1121" s="5">
        <v>534</v>
      </c>
      <c r="H1121" s="6">
        <v>8899.7999999999993</v>
      </c>
      <c r="I1121" s="22">
        <v>28308.260999999999</v>
      </c>
      <c r="J1121" s="24">
        <f t="shared" si="51"/>
        <v>1.9615139230381214E-4</v>
      </c>
      <c r="K1121" s="25">
        <f t="shared" si="53"/>
        <v>0.71839845135016012</v>
      </c>
      <c r="L1121" s="26" t="s">
        <v>7516</v>
      </c>
      <c r="M1121" s="28"/>
      <c r="N1121" s="28"/>
      <c r="O1121" s="20">
        <v>4973.24</v>
      </c>
      <c r="P1121" s="27" t="str">
        <f t="shared" si="52"/>
        <v>amarelo</v>
      </c>
    </row>
    <row r="1122" spans="1:16" ht="25.5">
      <c r="A1122" s="3" t="s">
        <v>6068</v>
      </c>
      <c r="B1122" s="3" t="s">
        <v>6069</v>
      </c>
      <c r="C1122" s="4">
        <v>261</v>
      </c>
      <c r="D1122" s="3" t="s">
        <v>9</v>
      </c>
      <c r="E1122" s="3" t="s">
        <v>10</v>
      </c>
      <c r="F1122" s="5">
        <v>654</v>
      </c>
      <c r="G1122" s="5">
        <v>462</v>
      </c>
      <c r="H1122" s="6">
        <v>37723.08</v>
      </c>
      <c r="I1122" s="22">
        <v>28299.75</v>
      </c>
      <c r="J1122" s="24">
        <f t="shared" si="51"/>
        <v>1.9609241854700324E-4</v>
      </c>
      <c r="K1122" s="25">
        <f t="shared" si="53"/>
        <v>0.71859454376870713</v>
      </c>
      <c r="L1122" s="26" t="s">
        <v>7516</v>
      </c>
      <c r="M1122" s="28"/>
      <c r="N1122" s="28"/>
      <c r="O1122" s="20" t="s">
        <v>7530</v>
      </c>
      <c r="P1122" s="27" t="str">
        <f t="shared" si="52"/>
        <v>vermelho</v>
      </c>
    </row>
    <row r="1123" spans="1:16" ht="25.5">
      <c r="A1123" s="3" t="s">
        <v>6070</v>
      </c>
      <c r="B1123" s="3" t="s">
        <v>6071</v>
      </c>
      <c r="C1123" s="4">
        <v>317</v>
      </c>
      <c r="D1123" s="3" t="s">
        <v>78</v>
      </c>
      <c r="E1123" s="3" t="s">
        <v>10</v>
      </c>
      <c r="F1123" s="5">
        <v>213</v>
      </c>
      <c r="G1123" s="5">
        <v>441</v>
      </c>
      <c r="H1123" s="6">
        <v>13916.25</v>
      </c>
      <c r="I1123" s="22">
        <v>28296.45</v>
      </c>
      <c r="J1123" s="24">
        <f t="shared" si="51"/>
        <v>1.9606955244460994E-4</v>
      </c>
      <c r="K1123" s="25">
        <f t="shared" si="53"/>
        <v>0.71879061332115168</v>
      </c>
      <c r="L1123" s="26" t="s">
        <v>7516</v>
      </c>
      <c r="M1123" s="28"/>
      <c r="N1123" s="28"/>
      <c r="O1123" s="20" t="s">
        <v>7530</v>
      </c>
      <c r="P1123" s="27" t="str">
        <f t="shared" si="52"/>
        <v>vermelho</v>
      </c>
    </row>
    <row r="1124" spans="1:16" ht="38.25">
      <c r="A1124" s="3" t="s">
        <v>4</v>
      </c>
      <c r="B1124" s="3" t="s">
        <v>593</v>
      </c>
      <c r="C1124" s="4">
        <v>34</v>
      </c>
      <c r="D1124" s="3" t="s">
        <v>54</v>
      </c>
      <c r="E1124" s="3" t="s">
        <v>49</v>
      </c>
      <c r="F1124" s="5">
        <v>519</v>
      </c>
      <c r="G1124" s="5">
        <v>408</v>
      </c>
      <c r="H1124" s="6">
        <v>31893.054</v>
      </c>
      <c r="I1124" s="22">
        <v>28271.64</v>
      </c>
      <c r="J1124" s="24">
        <f t="shared" si="51"/>
        <v>1.9589764092934383E-4</v>
      </c>
      <c r="K1124" s="25">
        <f t="shared" si="53"/>
        <v>0.71898651096208099</v>
      </c>
      <c r="L1124" s="26" t="s">
        <v>7516</v>
      </c>
      <c r="M1124" s="28"/>
      <c r="N1124" s="28">
        <v>2.8141334215800177E-2</v>
      </c>
      <c r="O1124" s="20">
        <v>16085.88</v>
      </c>
      <c r="P1124" s="27" t="str">
        <f t="shared" si="52"/>
        <v>laranja</v>
      </c>
    </row>
    <row r="1125" spans="1:16" ht="25.5">
      <c r="A1125" s="3" t="s">
        <v>4</v>
      </c>
      <c r="B1125" s="3" t="s">
        <v>594</v>
      </c>
      <c r="C1125" s="4">
        <v>197</v>
      </c>
      <c r="D1125" s="3" t="s">
        <v>66</v>
      </c>
      <c r="E1125" s="3" t="s">
        <v>41</v>
      </c>
      <c r="F1125" s="5">
        <v>477</v>
      </c>
      <c r="G1125" s="5">
        <v>522</v>
      </c>
      <c r="H1125" s="6">
        <v>24875.199000000001</v>
      </c>
      <c r="I1125" s="22">
        <v>28259.039000000001</v>
      </c>
      <c r="J1125" s="24">
        <f t="shared" si="51"/>
        <v>1.9581032706381108E-4</v>
      </c>
      <c r="K1125" s="25">
        <f t="shared" si="53"/>
        <v>0.71918232128914483</v>
      </c>
      <c r="L1125" s="26" t="s">
        <v>7516</v>
      </c>
      <c r="M1125" s="28"/>
      <c r="N1125" s="28">
        <v>7.6733564131513082E-2</v>
      </c>
      <c r="O1125" s="20">
        <v>3005.28</v>
      </c>
      <c r="P1125" s="27" t="str">
        <f t="shared" si="52"/>
        <v>amarelo</v>
      </c>
    </row>
    <row r="1126" spans="1:16" ht="25.5">
      <c r="A1126" s="3" t="s">
        <v>4</v>
      </c>
      <c r="B1126" s="3" t="s">
        <v>595</v>
      </c>
      <c r="C1126" s="4">
        <v>31</v>
      </c>
      <c r="D1126" s="3" t="s">
        <v>194</v>
      </c>
      <c r="E1126" s="3" t="s">
        <v>16</v>
      </c>
      <c r="F1126" s="5">
        <v>0</v>
      </c>
      <c r="G1126" s="5">
        <v>492</v>
      </c>
      <c r="H1126" s="6">
        <v>0</v>
      </c>
      <c r="I1126" s="22">
        <v>28230.12</v>
      </c>
      <c r="J1126" s="24">
        <f t="shared" si="51"/>
        <v>1.9560994378650437E-4</v>
      </c>
      <c r="K1126" s="25">
        <f t="shared" si="53"/>
        <v>0.71937793123293137</v>
      </c>
      <c r="L1126" s="26" t="s">
        <v>7516</v>
      </c>
      <c r="M1126" s="28"/>
      <c r="N1126" s="28"/>
      <c r="O1126" s="20" t="s">
        <v>7530</v>
      </c>
      <c r="P1126" s="27" t="str">
        <f t="shared" si="52"/>
        <v>vermelho</v>
      </c>
    </row>
    <row r="1127" spans="1:16">
      <c r="A1127" s="3" t="s">
        <v>4</v>
      </c>
      <c r="B1127" s="3" t="s">
        <v>596</v>
      </c>
      <c r="C1127" s="4">
        <v>232</v>
      </c>
      <c r="D1127" s="3" t="s">
        <v>174</v>
      </c>
      <c r="E1127" s="3" t="s">
        <v>16</v>
      </c>
      <c r="F1127" s="5">
        <v>0</v>
      </c>
      <c r="G1127" s="5">
        <v>474</v>
      </c>
      <c r="H1127" s="6">
        <v>0</v>
      </c>
      <c r="I1127" s="22">
        <v>28200.66</v>
      </c>
      <c r="J1127" s="24">
        <f t="shared" si="51"/>
        <v>1.9540581185422954E-4</v>
      </c>
      <c r="K1127" s="25">
        <f t="shared" si="53"/>
        <v>0.71957333704478554</v>
      </c>
      <c r="L1127" s="26" t="s">
        <v>7516</v>
      </c>
      <c r="M1127" s="28"/>
      <c r="N1127" s="28"/>
      <c r="O1127" s="20">
        <v>6081.42</v>
      </c>
      <c r="P1127" s="27" t="str">
        <f t="shared" si="52"/>
        <v>amarelo</v>
      </c>
    </row>
    <row r="1128" spans="1:16" ht="25.5">
      <c r="A1128" s="3" t="s">
        <v>4</v>
      </c>
      <c r="B1128" s="3" t="s">
        <v>597</v>
      </c>
      <c r="C1128" s="4">
        <v>93</v>
      </c>
      <c r="D1128" s="3" t="s">
        <v>20</v>
      </c>
      <c r="E1128" s="3" t="s">
        <v>7</v>
      </c>
      <c r="F1128" s="5">
        <v>231</v>
      </c>
      <c r="G1128" s="5">
        <v>462</v>
      </c>
      <c r="H1128" s="6">
        <v>11600.1</v>
      </c>
      <c r="I1128" s="22">
        <v>28126.080000000002</v>
      </c>
      <c r="J1128" s="24">
        <f t="shared" si="51"/>
        <v>1.948890379401407E-4</v>
      </c>
      <c r="K1128" s="25">
        <f t="shared" si="53"/>
        <v>0.71976822608272573</v>
      </c>
      <c r="L1128" s="26" t="s">
        <v>7516</v>
      </c>
      <c r="M1128" s="28"/>
      <c r="N1128" s="28"/>
      <c r="O1128" s="20" t="s">
        <v>7530</v>
      </c>
      <c r="P1128" s="27" t="str">
        <f t="shared" si="52"/>
        <v>vermelho</v>
      </c>
    </row>
    <row r="1129" spans="1:16" ht="38.25">
      <c r="A1129" s="3" t="s">
        <v>4</v>
      </c>
      <c r="B1129" s="3" t="s">
        <v>598</v>
      </c>
      <c r="C1129" s="4">
        <v>11</v>
      </c>
      <c r="D1129" s="3" t="s">
        <v>61</v>
      </c>
      <c r="E1129" s="3" t="s">
        <v>10</v>
      </c>
      <c r="F1129" s="5">
        <v>576</v>
      </c>
      <c r="G1129" s="5">
        <v>447</v>
      </c>
      <c r="H1129" s="6">
        <v>33123.96</v>
      </c>
      <c r="I1129" s="22">
        <v>28124.098000000002</v>
      </c>
      <c r="J1129" s="24">
        <f t="shared" si="51"/>
        <v>1.9487530442046085E-4</v>
      </c>
      <c r="K1129" s="25">
        <f t="shared" si="53"/>
        <v>0.71996310138714614</v>
      </c>
      <c r="L1129" s="26" t="s">
        <v>7516</v>
      </c>
      <c r="M1129" s="28"/>
      <c r="N1129" s="28"/>
      <c r="O1129" s="20">
        <v>34538.538999999997</v>
      </c>
      <c r="P1129" s="27" t="str">
        <f t="shared" si="52"/>
        <v>verde</v>
      </c>
    </row>
    <row r="1130" spans="1:16" ht="38.25">
      <c r="A1130" s="3" t="s">
        <v>4</v>
      </c>
      <c r="B1130" s="3" t="s">
        <v>599</v>
      </c>
      <c r="C1130" s="4">
        <v>45</v>
      </c>
      <c r="D1130" s="3" t="s">
        <v>23</v>
      </c>
      <c r="E1130" s="3" t="s">
        <v>7</v>
      </c>
      <c r="F1130" s="5">
        <v>168</v>
      </c>
      <c r="G1130" s="5">
        <v>438</v>
      </c>
      <c r="H1130" s="6">
        <v>8962.32</v>
      </c>
      <c r="I1130" s="22">
        <v>28114.62</v>
      </c>
      <c r="J1130" s="24">
        <f t="shared" si="51"/>
        <v>1.9480963020273846E-4</v>
      </c>
      <c r="K1130" s="25">
        <f t="shared" si="53"/>
        <v>0.72015791101734883</v>
      </c>
      <c r="L1130" s="26" t="s">
        <v>7516</v>
      </c>
      <c r="M1130" s="28"/>
      <c r="N1130" s="28"/>
      <c r="O1130" s="20">
        <v>7678.32</v>
      </c>
      <c r="P1130" s="27" t="str">
        <f t="shared" si="52"/>
        <v>amarelo</v>
      </c>
    </row>
    <row r="1131" spans="1:16" ht="25.5">
      <c r="A1131" s="3" t="s">
        <v>4</v>
      </c>
      <c r="B1131" s="3" t="s">
        <v>600</v>
      </c>
      <c r="C1131" s="4">
        <v>31</v>
      </c>
      <c r="D1131" s="3" t="s">
        <v>194</v>
      </c>
      <c r="E1131" s="3" t="s">
        <v>16</v>
      </c>
      <c r="F1131" s="5">
        <v>240</v>
      </c>
      <c r="G1131" s="5">
        <v>480</v>
      </c>
      <c r="H1131" s="6">
        <v>12951.6</v>
      </c>
      <c r="I1131" s="22">
        <v>28053.24</v>
      </c>
      <c r="J1131" s="24">
        <f t="shared" si="51"/>
        <v>1.9438432069822289E-4</v>
      </c>
      <c r="K1131" s="25">
        <f t="shared" si="53"/>
        <v>0.72035229533804701</v>
      </c>
      <c r="L1131" s="26" t="s">
        <v>7516</v>
      </c>
      <c r="M1131" s="28"/>
      <c r="N1131" s="28"/>
      <c r="O1131" s="20" t="s">
        <v>7530</v>
      </c>
      <c r="P1131" s="27" t="str">
        <f t="shared" si="52"/>
        <v>vermelho</v>
      </c>
    </row>
    <row r="1132" spans="1:16" ht="25.5">
      <c r="A1132" s="3" t="s">
        <v>4</v>
      </c>
      <c r="B1132" s="3" t="s">
        <v>601</v>
      </c>
      <c r="C1132" s="4">
        <v>19</v>
      </c>
      <c r="D1132" s="3" t="s">
        <v>72</v>
      </c>
      <c r="E1132" s="3" t="s">
        <v>41</v>
      </c>
      <c r="F1132" s="5">
        <v>564</v>
      </c>
      <c r="G1132" s="5">
        <v>486</v>
      </c>
      <c r="H1132" s="6">
        <v>27873.216</v>
      </c>
      <c r="I1132" s="22">
        <v>28018.560000000001</v>
      </c>
      <c r="J1132" s="24">
        <f t="shared" si="51"/>
        <v>1.9414401874943499E-4</v>
      </c>
      <c r="K1132" s="25">
        <f t="shared" si="53"/>
        <v>0.72054643935679641</v>
      </c>
      <c r="L1132" s="26" t="s">
        <v>7516</v>
      </c>
      <c r="M1132" s="28"/>
      <c r="N1132" s="28"/>
      <c r="O1132" s="20" t="s">
        <v>7530</v>
      </c>
      <c r="P1132" s="27" t="str">
        <f t="shared" si="52"/>
        <v>vermelho</v>
      </c>
    </row>
    <row r="1133" spans="1:16" ht="38.25">
      <c r="A1133" s="3" t="s">
        <v>4</v>
      </c>
      <c r="B1133" s="3" t="s">
        <v>602</v>
      </c>
      <c r="C1133" s="4">
        <v>331</v>
      </c>
      <c r="D1133" s="3" t="s">
        <v>603</v>
      </c>
      <c r="E1133" s="3" t="s">
        <v>13</v>
      </c>
      <c r="F1133" s="5">
        <v>0</v>
      </c>
      <c r="G1133" s="5">
        <v>624</v>
      </c>
      <c r="H1133" s="6">
        <v>0</v>
      </c>
      <c r="I1133" s="22">
        <v>28004.975999999999</v>
      </c>
      <c r="J1133" s="24">
        <f t="shared" si="51"/>
        <v>1.9404989355703778E-4</v>
      </c>
      <c r="K1133" s="25">
        <f t="shared" si="53"/>
        <v>0.7207404892503535</v>
      </c>
      <c r="L1133" s="26" t="s">
        <v>7516</v>
      </c>
      <c r="M1133" s="28"/>
      <c r="N1133" s="28"/>
      <c r="O1133" s="20">
        <v>6281.442</v>
      </c>
      <c r="P1133" s="27" t="str">
        <f t="shared" si="52"/>
        <v>amarelo</v>
      </c>
    </row>
    <row r="1134" spans="1:16" ht="25.5">
      <c r="A1134" s="3" t="s">
        <v>4</v>
      </c>
      <c r="B1134" s="3" t="s">
        <v>604</v>
      </c>
      <c r="C1134" s="4">
        <v>74</v>
      </c>
      <c r="D1134" s="3" t="s">
        <v>6</v>
      </c>
      <c r="E1134" s="3" t="s">
        <v>7</v>
      </c>
      <c r="F1134" s="5">
        <v>504</v>
      </c>
      <c r="G1134" s="5">
        <v>462</v>
      </c>
      <c r="H1134" s="6">
        <v>28694.73</v>
      </c>
      <c r="I1134" s="22">
        <v>27914.7</v>
      </c>
      <c r="J1134" s="24">
        <f t="shared" si="51"/>
        <v>1.9342436014502004E-4</v>
      </c>
      <c r="K1134" s="25">
        <f t="shared" si="53"/>
        <v>0.72093391361049852</v>
      </c>
      <c r="L1134" s="26" t="s">
        <v>7516</v>
      </c>
      <c r="M1134" s="28"/>
      <c r="N1134" s="28"/>
      <c r="O1134" s="20" t="s">
        <v>7530</v>
      </c>
      <c r="P1134" s="27" t="str">
        <f t="shared" si="52"/>
        <v>vermelho</v>
      </c>
    </row>
    <row r="1135" spans="1:16" ht="38.25">
      <c r="A1135" s="3" t="s">
        <v>4</v>
      </c>
      <c r="B1135" s="3" t="s">
        <v>605</v>
      </c>
      <c r="C1135" s="4">
        <v>178</v>
      </c>
      <c r="D1135" s="3" t="s">
        <v>74</v>
      </c>
      <c r="E1135" s="3" t="s">
        <v>7</v>
      </c>
      <c r="F1135" s="5">
        <v>252</v>
      </c>
      <c r="G1135" s="5">
        <v>468</v>
      </c>
      <c r="H1135" s="6">
        <v>16303.38</v>
      </c>
      <c r="I1135" s="22">
        <v>27882.78</v>
      </c>
      <c r="J1135" s="24">
        <f t="shared" si="51"/>
        <v>1.932031825727793E-4</v>
      </c>
      <c r="K1135" s="25">
        <f t="shared" si="53"/>
        <v>0.72112711679307129</v>
      </c>
      <c r="L1135" s="26" t="s">
        <v>7516</v>
      </c>
      <c r="M1135" s="28"/>
      <c r="N1135" s="28"/>
      <c r="O1135" s="20">
        <v>30393.63</v>
      </c>
      <c r="P1135" s="27" t="str">
        <f t="shared" si="52"/>
        <v>verde</v>
      </c>
    </row>
    <row r="1136" spans="1:16">
      <c r="A1136" s="3" t="s">
        <v>4</v>
      </c>
      <c r="B1136" s="3" t="s">
        <v>606</v>
      </c>
      <c r="C1136" s="4">
        <v>217</v>
      </c>
      <c r="D1136" s="3" t="s">
        <v>91</v>
      </c>
      <c r="E1136" s="3" t="s">
        <v>16</v>
      </c>
      <c r="F1136" s="5">
        <v>747</v>
      </c>
      <c r="G1136" s="5">
        <v>486</v>
      </c>
      <c r="H1136" s="6">
        <v>38195.550000000003</v>
      </c>
      <c r="I1136" s="22">
        <v>27872.82</v>
      </c>
      <c r="J1136" s="24">
        <f t="shared" si="51"/>
        <v>1.9313416851828312E-4</v>
      </c>
      <c r="K1136" s="25">
        <f t="shared" si="53"/>
        <v>0.72132025096158958</v>
      </c>
      <c r="L1136" s="26" t="s">
        <v>7516</v>
      </c>
      <c r="M1136" s="28"/>
      <c r="N1136" s="28"/>
      <c r="O1136" s="20" t="s">
        <v>7530</v>
      </c>
      <c r="P1136" s="27" t="str">
        <f t="shared" si="52"/>
        <v>vermelho</v>
      </c>
    </row>
    <row r="1137" spans="1:16" ht="51">
      <c r="A1137" s="3" t="s">
        <v>4</v>
      </c>
      <c r="B1137" s="3" t="s">
        <v>607</v>
      </c>
      <c r="C1137" s="4">
        <v>282</v>
      </c>
      <c r="D1137" s="3" t="s">
        <v>12</v>
      </c>
      <c r="E1137" s="3" t="s">
        <v>13</v>
      </c>
      <c r="F1137" s="5">
        <v>0</v>
      </c>
      <c r="G1137" s="5">
        <v>624</v>
      </c>
      <c r="H1137" s="6">
        <v>0</v>
      </c>
      <c r="I1137" s="22">
        <v>27833.603999999999</v>
      </c>
      <c r="J1137" s="24">
        <f t="shared" si="51"/>
        <v>1.9286243607238732E-4</v>
      </c>
      <c r="K1137" s="25">
        <f t="shared" si="53"/>
        <v>0.721513113397662</v>
      </c>
      <c r="L1137" s="26" t="s">
        <v>7516</v>
      </c>
      <c r="M1137" s="28"/>
      <c r="N1137" s="28"/>
      <c r="O1137" s="20" t="s">
        <v>7530</v>
      </c>
      <c r="P1137" s="27" t="str">
        <f t="shared" si="52"/>
        <v>vermelho</v>
      </c>
    </row>
    <row r="1138" spans="1:16" ht="38.25">
      <c r="A1138" s="3" t="s">
        <v>4</v>
      </c>
      <c r="B1138" s="3" t="s">
        <v>608</v>
      </c>
      <c r="C1138" s="4">
        <v>45</v>
      </c>
      <c r="D1138" s="3" t="s">
        <v>23</v>
      </c>
      <c r="E1138" s="3" t="s">
        <v>7</v>
      </c>
      <c r="F1138" s="5">
        <v>0</v>
      </c>
      <c r="G1138" s="5">
        <v>432</v>
      </c>
      <c r="H1138" s="6">
        <v>0</v>
      </c>
      <c r="I1138" s="22">
        <v>27831.03</v>
      </c>
      <c r="J1138" s="24">
        <f t="shared" si="51"/>
        <v>1.9284460051252055E-4</v>
      </c>
      <c r="K1138" s="25">
        <f t="shared" si="53"/>
        <v>0.7217059579981745</v>
      </c>
      <c r="L1138" s="26" t="s">
        <v>7516</v>
      </c>
      <c r="M1138" s="28"/>
      <c r="N1138" s="28"/>
      <c r="O1138" s="20" t="s">
        <v>7530</v>
      </c>
      <c r="P1138" s="27" t="str">
        <f t="shared" si="52"/>
        <v>vermelho</v>
      </c>
    </row>
    <row r="1139" spans="1:16" ht="38.25">
      <c r="A1139" s="3" t="s">
        <v>4</v>
      </c>
      <c r="B1139" s="3" t="s">
        <v>609</v>
      </c>
      <c r="C1139" s="4">
        <v>143</v>
      </c>
      <c r="D1139" s="3" t="s">
        <v>44</v>
      </c>
      <c r="E1139" s="3" t="s">
        <v>41</v>
      </c>
      <c r="F1139" s="5">
        <v>768</v>
      </c>
      <c r="G1139" s="5">
        <v>435</v>
      </c>
      <c r="H1139" s="6">
        <v>44368.572</v>
      </c>
      <c r="I1139" s="22">
        <v>27817.89</v>
      </c>
      <c r="J1139" s="24">
        <f t="shared" si="51"/>
        <v>1.9275355185026355E-4</v>
      </c>
      <c r="K1139" s="25">
        <f t="shared" si="53"/>
        <v>0.72189871155002472</v>
      </c>
      <c r="L1139" s="26" t="s">
        <v>7516</v>
      </c>
      <c r="M1139" s="28">
        <v>-3.6987328496288288E-2</v>
      </c>
      <c r="N1139" s="28"/>
      <c r="O1139" s="20">
        <v>16998.150000000001</v>
      </c>
      <c r="P1139" s="27" t="str">
        <f t="shared" si="52"/>
        <v>laranja</v>
      </c>
    </row>
    <row r="1140" spans="1:16" ht="25.5">
      <c r="A1140" s="3" t="s">
        <v>6074</v>
      </c>
      <c r="B1140" s="3" t="s">
        <v>6075</v>
      </c>
      <c r="C1140" s="4">
        <v>39</v>
      </c>
      <c r="D1140" s="3" t="s">
        <v>26</v>
      </c>
      <c r="E1140" s="3" t="s">
        <v>13</v>
      </c>
      <c r="F1140" s="5">
        <v>1728</v>
      </c>
      <c r="G1140" s="5">
        <v>480</v>
      </c>
      <c r="H1140" s="6">
        <v>77113.248000000007</v>
      </c>
      <c r="I1140" s="22">
        <v>27692</v>
      </c>
      <c r="J1140" s="24">
        <f t="shared" si="51"/>
        <v>1.9188124468956841E-4</v>
      </c>
      <c r="K1140" s="25">
        <f t="shared" si="53"/>
        <v>0.72209059279471433</v>
      </c>
      <c r="L1140" s="26" t="s">
        <v>7516</v>
      </c>
      <c r="M1140" s="28"/>
      <c r="N1140" s="28"/>
      <c r="O1140" s="20" t="s">
        <v>7530</v>
      </c>
      <c r="P1140" s="27" t="str">
        <f t="shared" si="52"/>
        <v>vermelho</v>
      </c>
    </row>
    <row r="1141" spans="1:16" ht="38.25">
      <c r="A1141" s="3" t="s">
        <v>6076</v>
      </c>
      <c r="B1141" s="3" t="s">
        <v>6077</v>
      </c>
      <c r="C1141" s="4">
        <v>45</v>
      </c>
      <c r="D1141" s="3" t="s">
        <v>23</v>
      </c>
      <c r="E1141" s="3" t="s">
        <v>7</v>
      </c>
      <c r="F1141" s="5">
        <v>168</v>
      </c>
      <c r="G1141" s="5">
        <v>432</v>
      </c>
      <c r="H1141" s="6">
        <v>7976.7719999999999</v>
      </c>
      <c r="I1141" s="22">
        <v>27690.959999999999</v>
      </c>
      <c r="J1141" s="24">
        <f t="shared" si="51"/>
        <v>1.9187403840275355E-4</v>
      </c>
      <c r="K1141" s="25">
        <f t="shared" si="53"/>
        <v>0.72228246683311703</v>
      </c>
      <c r="L1141" s="26" t="s">
        <v>7516</v>
      </c>
      <c r="M1141" s="28"/>
      <c r="N1141" s="28"/>
      <c r="O1141" s="20" t="s">
        <v>7530</v>
      </c>
      <c r="P1141" s="27" t="str">
        <f t="shared" si="52"/>
        <v>vermelho</v>
      </c>
    </row>
    <row r="1142" spans="1:16" ht="25.5">
      <c r="A1142" s="3" t="s">
        <v>4</v>
      </c>
      <c r="B1142" s="3" t="s">
        <v>610</v>
      </c>
      <c r="C1142" s="4">
        <v>167</v>
      </c>
      <c r="D1142" s="3" t="s">
        <v>251</v>
      </c>
      <c r="E1142" s="3" t="s">
        <v>49</v>
      </c>
      <c r="F1142" s="5">
        <v>501</v>
      </c>
      <c r="G1142" s="5">
        <v>498</v>
      </c>
      <c r="H1142" s="6">
        <v>24622.19</v>
      </c>
      <c r="I1142" s="22">
        <v>27684.61</v>
      </c>
      <c r="J1142" s="24">
        <f t="shared" si="51"/>
        <v>1.9183003847845126E-4</v>
      </c>
      <c r="K1142" s="25">
        <f t="shared" si="53"/>
        <v>0.72247429687159548</v>
      </c>
      <c r="L1142" s="26" t="s">
        <v>7516</v>
      </c>
      <c r="M1142" s="28"/>
      <c r="N1142" s="28"/>
      <c r="O1142" s="20">
        <v>8535.34</v>
      </c>
      <c r="P1142" s="27" t="str">
        <f t="shared" si="52"/>
        <v>amarelo</v>
      </c>
    </row>
    <row r="1143" spans="1:16" ht="25.5">
      <c r="A1143" s="3" t="s">
        <v>4</v>
      </c>
      <c r="B1143" s="3" t="s">
        <v>611</v>
      </c>
      <c r="C1143" s="4">
        <v>317</v>
      </c>
      <c r="D1143" s="3" t="s">
        <v>78</v>
      </c>
      <c r="E1143" s="3" t="s">
        <v>10</v>
      </c>
      <c r="F1143" s="5">
        <v>0</v>
      </c>
      <c r="G1143" s="5">
        <v>441</v>
      </c>
      <c r="H1143" s="6">
        <v>0</v>
      </c>
      <c r="I1143" s="22">
        <v>27662.116000000002</v>
      </c>
      <c r="J1143" s="24">
        <f t="shared" si="51"/>
        <v>1.9167417480959214E-4</v>
      </c>
      <c r="K1143" s="25">
        <f t="shared" si="53"/>
        <v>0.72266597104640506</v>
      </c>
      <c r="L1143" s="26" t="s">
        <v>7516</v>
      </c>
      <c r="M1143" s="28">
        <v>-1.326913096879008E-2</v>
      </c>
      <c r="N1143" s="28">
        <v>2.3616145561553012E-3</v>
      </c>
      <c r="O1143" s="20">
        <v>4907.34</v>
      </c>
      <c r="P1143" s="27" t="str">
        <f t="shared" si="52"/>
        <v>amarelo</v>
      </c>
    </row>
    <row r="1144" spans="1:16" ht="25.5">
      <c r="A1144" s="3" t="s">
        <v>4</v>
      </c>
      <c r="B1144" s="3" t="s">
        <v>612</v>
      </c>
      <c r="C1144" s="4">
        <v>232</v>
      </c>
      <c r="D1144" s="3" t="s">
        <v>174</v>
      </c>
      <c r="E1144" s="3" t="s">
        <v>16</v>
      </c>
      <c r="F1144" s="5">
        <v>264</v>
      </c>
      <c r="G1144" s="5">
        <v>432</v>
      </c>
      <c r="H1144" s="6">
        <v>13947.72</v>
      </c>
      <c r="I1144" s="22">
        <v>27653.4</v>
      </c>
      <c r="J1144" s="24">
        <f t="shared" si="51"/>
        <v>1.9161378058278605E-4</v>
      </c>
      <c r="K1144" s="25">
        <f t="shared" si="53"/>
        <v>0.72285758482698781</v>
      </c>
      <c r="L1144" s="26" t="s">
        <v>7516</v>
      </c>
      <c r="M1144" s="28"/>
      <c r="N1144" s="28"/>
      <c r="O1144" s="20">
        <v>11984.4</v>
      </c>
      <c r="P1144" s="27" t="str">
        <f t="shared" si="52"/>
        <v>amarelo</v>
      </c>
    </row>
    <row r="1145" spans="1:16" ht="25.5">
      <c r="A1145" s="3" t="s">
        <v>4</v>
      </c>
      <c r="B1145" s="3" t="s">
        <v>613</v>
      </c>
      <c r="C1145" s="4">
        <v>299</v>
      </c>
      <c r="D1145" s="3" t="s">
        <v>111</v>
      </c>
      <c r="E1145" s="3" t="s">
        <v>49</v>
      </c>
      <c r="F1145" s="5">
        <v>249</v>
      </c>
      <c r="G1145" s="5">
        <v>438</v>
      </c>
      <c r="H1145" s="6">
        <v>14090.55</v>
      </c>
      <c r="I1145" s="22">
        <v>27640.799999999999</v>
      </c>
      <c r="J1145" s="24">
        <f t="shared" si="51"/>
        <v>1.9152647364637521E-4</v>
      </c>
      <c r="K1145" s="25">
        <f t="shared" si="53"/>
        <v>0.72304911130063421</v>
      </c>
      <c r="L1145" s="26" t="s">
        <v>7516</v>
      </c>
      <c r="M1145" s="28"/>
      <c r="N1145" s="28"/>
      <c r="O1145" s="20">
        <v>10443.93</v>
      </c>
      <c r="P1145" s="27" t="str">
        <f t="shared" si="52"/>
        <v>amarelo</v>
      </c>
    </row>
    <row r="1146" spans="1:16">
      <c r="A1146" s="3" t="s">
        <v>4</v>
      </c>
      <c r="B1146" s="3" t="s">
        <v>614</v>
      </c>
      <c r="C1146" s="4">
        <v>232</v>
      </c>
      <c r="D1146" s="3" t="s">
        <v>174</v>
      </c>
      <c r="E1146" s="3" t="s">
        <v>16</v>
      </c>
      <c r="F1146" s="5">
        <v>0</v>
      </c>
      <c r="G1146" s="5">
        <v>480</v>
      </c>
      <c r="H1146" s="6">
        <v>0</v>
      </c>
      <c r="I1146" s="22">
        <v>27592.080000000002</v>
      </c>
      <c r="J1146" s="24">
        <f t="shared" si="51"/>
        <v>1.9118888682558669E-4</v>
      </c>
      <c r="K1146" s="25">
        <f t="shared" si="53"/>
        <v>0.72324030018745977</v>
      </c>
      <c r="L1146" s="26" t="s">
        <v>7516</v>
      </c>
      <c r="M1146" s="28"/>
      <c r="N1146" s="28"/>
      <c r="O1146" s="20" t="s">
        <v>7530</v>
      </c>
      <c r="P1146" s="27" t="str">
        <f t="shared" si="52"/>
        <v>vermelho</v>
      </c>
    </row>
    <row r="1147" spans="1:16" ht="25.5">
      <c r="A1147" s="3" t="s">
        <v>4</v>
      </c>
      <c r="B1147" s="3" t="s">
        <v>615</v>
      </c>
      <c r="C1147" s="4">
        <v>19</v>
      </c>
      <c r="D1147" s="3" t="s">
        <v>72</v>
      </c>
      <c r="E1147" s="3" t="s">
        <v>41</v>
      </c>
      <c r="F1147" s="5">
        <v>456</v>
      </c>
      <c r="G1147" s="5">
        <v>465</v>
      </c>
      <c r="H1147" s="6">
        <v>24714.152999999998</v>
      </c>
      <c r="I1147" s="22">
        <v>27529.48</v>
      </c>
      <c r="J1147" s="24">
        <f t="shared" si="51"/>
        <v>1.9075512379230751E-4</v>
      </c>
      <c r="K1147" s="25">
        <f t="shared" si="53"/>
        <v>0.72343105531125207</v>
      </c>
      <c r="L1147" s="26" t="s">
        <v>7516</v>
      </c>
      <c r="M1147" s="28"/>
      <c r="N1147" s="28"/>
      <c r="O1147" s="20" t="s">
        <v>7530</v>
      </c>
      <c r="P1147" s="27" t="str">
        <f t="shared" si="52"/>
        <v>vermelho</v>
      </c>
    </row>
    <row r="1148" spans="1:16" ht="25.5">
      <c r="A1148" s="3" t="s">
        <v>4</v>
      </c>
      <c r="B1148" s="3" t="s">
        <v>616</v>
      </c>
      <c r="C1148" s="4">
        <v>74</v>
      </c>
      <c r="D1148" s="3" t="s">
        <v>6</v>
      </c>
      <c r="E1148" s="3" t="s">
        <v>7</v>
      </c>
      <c r="F1148" s="5">
        <v>489</v>
      </c>
      <c r="G1148" s="5">
        <v>426</v>
      </c>
      <c r="H1148" s="6">
        <v>30241.83</v>
      </c>
      <c r="I1148" s="22">
        <v>27524.61</v>
      </c>
      <c r="J1148" s="24">
        <f t="shared" si="51"/>
        <v>1.9072137896847255E-4</v>
      </c>
      <c r="K1148" s="25">
        <f t="shared" si="53"/>
        <v>0.72362177669022054</v>
      </c>
      <c r="L1148" s="26" t="s">
        <v>7516</v>
      </c>
      <c r="M1148" s="28"/>
      <c r="N1148" s="28"/>
      <c r="O1148" s="20">
        <v>16553.07</v>
      </c>
      <c r="P1148" s="27" t="str">
        <f t="shared" si="52"/>
        <v>laranja</v>
      </c>
    </row>
    <row r="1149" spans="1:16" ht="25.5">
      <c r="A1149" s="3" t="s">
        <v>4</v>
      </c>
      <c r="B1149" s="3" t="s">
        <v>617</v>
      </c>
      <c r="C1149" s="4">
        <v>187</v>
      </c>
      <c r="D1149" s="3" t="s">
        <v>96</v>
      </c>
      <c r="E1149" s="3" t="s">
        <v>7</v>
      </c>
      <c r="F1149" s="5">
        <v>0</v>
      </c>
      <c r="G1149" s="5">
        <v>450</v>
      </c>
      <c r="H1149" s="6">
        <v>0</v>
      </c>
      <c r="I1149" s="22">
        <v>27510.9</v>
      </c>
      <c r="J1149" s="24">
        <f t="shared" si="51"/>
        <v>1.9062638070671125E-4</v>
      </c>
      <c r="K1149" s="25">
        <f t="shared" si="53"/>
        <v>0.7238124030709272</v>
      </c>
      <c r="L1149" s="26" t="s">
        <v>7516</v>
      </c>
      <c r="M1149" s="28"/>
      <c r="N1149" s="28"/>
      <c r="O1149" s="20">
        <v>51439.56</v>
      </c>
      <c r="P1149" s="27" t="str">
        <f t="shared" si="52"/>
        <v>verde</v>
      </c>
    </row>
    <row r="1150" spans="1:16" ht="25.5">
      <c r="A1150" s="3" t="s">
        <v>6078</v>
      </c>
      <c r="B1150" s="3" t="s">
        <v>6079</v>
      </c>
      <c r="C1150" s="4">
        <v>261</v>
      </c>
      <c r="D1150" s="3" t="s">
        <v>9</v>
      </c>
      <c r="E1150" s="3" t="s">
        <v>10</v>
      </c>
      <c r="F1150" s="5">
        <v>444</v>
      </c>
      <c r="G1150" s="5">
        <v>462</v>
      </c>
      <c r="H1150" s="6">
        <v>26997.96</v>
      </c>
      <c r="I1150" s="22">
        <v>27493.919999999998</v>
      </c>
      <c r="J1150" s="24">
        <f t="shared" si="51"/>
        <v>1.9050872421621473E-4</v>
      </c>
      <c r="K1150" s="25">
        <f t="shared" si="53"/>
        <v>0.72400291179514342</v>
      </c>
      <c r="L1150" s="26" t="s">
        <v>7516</v>
      </c>
      <c r="M1150" s="28"/>
      <c r="N1150" s="28"/>
      <c r="O1150" s="20">
        <v>20330.73</v>
      </c>
      <c r="P1150" s="27" t="str">
        <f t="shared" si="52"/>
        <v>laranja</v>
      </c>
    </row>
    <row r="1151" spans="1:16" ht="25.5">
      <c r="A1151" s="3" t="s">
        <v>4</v>
      </c>
      <c r="B1151" s="3" t="s">
        <v>618</v>
      </c>
      <c r="C1151" s="4">
        <v>296</v>
      </c>
      <c r="D1151" s="3" t="s">
        <v>282</v>
      </c>
      <c r="E1151" s="3" t="s">
        <v>10</v>
      </c>
      <c r="F1151" s="5">
        <v>84</v>
      </c>
      <c r="G1151" s="5">
        <v>438</v>
      </c>
      <c r="H1151" s="6">
        <v>6106.62</v>
      </c>
      <c r="I1151" s="22">
        <v>27476.446</v>
      </c>
      <c r="J1151" s="24">
        <f t="shared" si="51"/>
        <v>1.9038764473948118E-4</v>
      </c>
      <c r="K1151" s="25">
        <f t="shared" si="53"/>
        <v>0.72419329943988286</v>
      </c>
      <c r="L1151" s="26" t="s">
        <v>7516</v>
      </c>
      <c r="M1151" s="28"/>
      <c r="N1151" s="28"/>
      <c r="O1151" s="20">
        <v>8705.5339999999997</v>
      </c>
      <c r="P1151" s="27" t="str">
        <f t="shared" si="52"/>
        <v>amarelo</v>
      </c>
    </row>
    <row r="1152" spans="1:16" ht="25.5">
      <c r="A1152" s="3" t="s">
        <v>5759</v>
      </c>
      <c r="B1152" s="3" t="s">
        <v>5760</v>
      </c>
      <c r="C1152" s="4">
        <v>197</v>
      </c>
      <c r="D1152" s="3" t="s">
        <v>66</v>
      </c>
      <c r="E1152" s="3" t="s">
        <v>41</v>
      </c>
      <c r="F1152" s="5">
        <v>312</v>
      </c>
      <c r="G1152" s="5">
        <v>423</v>
      </c>
      <c r="H1152" s="6">
        <v>18697.28</v>
      </c>
      <c r="I1152" s="22">
        <v>27455.759999999998</v>
      </c>
      <c r="J1152" s="24">
        <f t="shared" si="51"/>
        <v>1.9024430892308482E-4</v>
      </c>
      <c r="K1152" s="25">
        <f t="shared" si="53"/>
        <v>0.72438354374880598</v>
      </c>
      <c r="L1152" s="26" t="s">
        <v>7516</v>
      </c>
      <c r="M1152" s="28"/>
      <c r="N1152" s="28"/>
      <c r="O1152" s="20">
        <v>17900.04</v>
      </c>
      <c r="P1152" s="27" t="str">
        <f t="shared" si="52"/>
        <v>laranja</v>
      </c>
    </row>
    <row r="1153" spans="1:16" ht="38.25">
      <c r="A1153" s="3" t="s">
        <v>4</v>
      </c>
      <c r="B1153" s="3" t="s">
        <v>619</v>
      </c>
      <c r="C1153" s="4">
        <v>34</v>
      </c>
      <c r="D1153" s="3" t="s">
        <v>54</v>
      </c>
      <c r="E1153" s="3" t="s">
        <v>49</v>
      </c>
      <c r="F1153" s="5">
        <v>570</v>
      </c>
      <c r="G1153" s="5">
        <v>432</v>
      </c>
      <c r="H1153" s="6">
        <v>32617.583999999999</v>
      </c>
      <c r="I1153" s="22">
        <v>27451.200000000001</v>
      </c>
      <c r="J1153" s="24">
        <f t="shared" si="51"/>
        <v>1.9021271212705043E-4</v>
      </c>
      <c r="K1153" s="25">
        <f t="shared" si="53"/>
        <v>0.72457375646093303</v>
      </c>
      <c r="L1153" s="26" t="s">
        <v>7516</v>
      </c>
      <c r="M1153" s="28"/>
      <c r="N1153" s="28"/>
      <c r="O1153" s="20">
        <v>11069.13</v>
      </c>
      <c r="P1153" s="27" t="str">
        <f t="shared" si="52"/>
        <v>amarelo</v>
      </c>
    </row>
    <row r="1154" spans="1:16" ht="25.5">
      <c r="A1154" s="3" t="s">
        <v>4</v>
      </c>
      <c r="B1154" s="3" t="s">
        <v>620</v>
      </c>
      <c r="C1154" s="4">
        <v>218</v>
      </c>
      <c r="D1154" s="3" t="s">
        <v>104</v>
      </c>
      <c r="E1154" s="3" t="s">
        <v>16</v>
      </c>
      <c r="F1154" s="5">
        <v>480</v>
      </c>
      <c r="G1154" s="5">
        <v>521</v>
      </c>
      <c r="H1154" s="6">
        <v>23637.51</v>
      </c>
      <c r="I1154" s="22">
        <v>27431.51</v>
      </c>
      <c r="J1154" s="24">
        <f t="shared" si="51"/>
        <v>1.9007627771610365E-4</v>
      </c>
      <c r="K1154" s="25">
        <f t="shared" si="53"/>
        <v>0.72476383273864908</v>
      </c>
      <c r="L1154" s="26" t="s">
        <v>7516</v>
      </c>
      <c r="M1154" s="28"/>
      <c r="N1154" s="28"/>
      <c r="O1154" s="20">
        <v>8405.94</v>
      </c>
      <c r="P1154" s="27" t="str">
        <f t="shared" si="52"/>
        <v>amarelo</v>
      </c>
    </row>
    <row r="1155" spans="1:16" ht="25.5">
      <c r="A1155" s="3" t="s">
        <v>4</v>
      </c>
      <c r="B1155" s="3" t="s">
        <v>621</v>
      </c>
      <c r="C1155" s="4">
        <v>327</v>
      </c>
      <c r="D1155" s="3" t="s">
        <v>100</v>
      </c>
      <c r="E1155" s="3" t="s">
        <v>7</v>
      </c>
      <c r="F1155" s="5">
        <v>639</v>
      </c>
      <c r="G1155" s="5">
        <v>459</v>
      </c>
      <c r="H1155" s="6">
        <v>38330.67</v>
      </c>
      <c r="I1155" s="22">
        <v>27386.16</v>
      </c>
      <c r="J1155" s="24">
        <f t="shared" ref="J1155:J1218" si="54">I1155/$I$6364</f>
        <v>1.8976204203624406E-4</v>
      </c>
      <c r="K1155" s="25">
        <f t="shared" si="53"/>
        <v>0.72495359478068533</v>
      </c>
      <c r="L1155" s="26" t="s">
        <v>7516</v>
      </c>
      <c r="M1155" s="28"/>
      <c r="N1155" s="28"/>
      <c r="O1155" s="20" t="s">
        <v>7530</v>
      </c>
      <c r="P1155" s="27" t="str">
        <f t="shared" ref="P1155:P1218" si="55">IF(O1155&lt;=0,"vermelho",IFERROR(IF(O1155/I1155&lt;=0.5098,"amarelo",IF(O1155/I1155&lt;1,"laranja","verde")),"vermelho"))</f>
        <v>vermelho</v>
      </c>
    </row>
    <row r="1156" spans="1:16" ht="25.5">
      <c r="A1156" s="3" t="s">
        <v>4</v>
      </c>
      <c r="B1156" s="3" t="s">
        <v>622</v>
      </c>
      <c r="C1156" s="4">
        <v>315</v>
      </c>
      <c r="D1156" s="3" t="s">
        <v>63</v>
      </c>
      <c r="E1156" s="3" t="s">
        <v>7</v>
      </c>
      <c r="F1156" s="5">
        <v>0</v>
      </c>
      <c r="G1156" s="5">
        <v>438</v>
      </c>
      <c r="H1156" s="6">
        <v>0</v>
      </c>
      <c r="I1156" s="22">
        <v>27364.120999999999</v>
      </c>
      <c r="J1156" s="24">
        <f t="shared" si="54"/>
        <v>1.8960933111786642E-4</v>
      </c>
      <c r="K1156" s="25">
        <f t="shared" ref="K1156:K1219" si="56">J1156+K1155</f>
        <v>0.72514320411180322</v>
      </c>
      <c r="L1156" s="26" t="s">
        <v>7516</v>
      </c>
      <c r="M1156" s="28">
        <v>-1.326913096879008E-2</v>
      </c>
      <c r="N1156" s="28"/>
      <c r="O1156" s="20">
        <v>12832.858</v>
      </c>
      <c r="P1156" s="27" t="str">
        <f t="shared" si="55"/>
        <v>amarelo</v>
      </c>
    </row>
    <row r="1157" spans="1:16" ht="25.5">
      <c r="A1157" s="3" t="s">
        <v>4</v>
      </c>
      <c r="B1157" s="3" t="s">
        <v>623</v>
      </c>
      <c r="C1157" s="4">
        <v>266</v>
      </c>
      <c r="D1157" s="3" t="s">
        <v>80</v>
      </c>
      <c r="E1157" s="3" t="s">
        <v>10</v>
      </c>
      <c r="F1157" s="5">
        <v>444</v>
      </c>
      <c r="G1157" s="5">
        <v>441</v>
      </c>
      <c r="H1157" s="6">
        <v>24344.58</v>
      </c>
      <c r="I1157" s="22">
        <v>27356.67</v>
      </c>
      <c r="J1157" s="24">
        <f t="shared" si="54"/>
        <v>1.8955770223031109E-4</v>
      </c>
      <c r="K1157" s="25">
        <f t="shared" si="56"/>
        <v>0.7253327618140335</v>
      </c>
      <c r="L1157" s="26" t="s">
        <v>7516</v>
      </c>
      <c r="M1157" s="28"/>
      <c r="N1157" s="28"/>
      <c r="O1157" s="20" t="s">
        <v>7530</v>
      </c>
      <c r="P1157" s="27" t="str">
        <f t="shared" si="55"/>
        <v>vermelho</v>
      </c>
    </row>
    <row r="1158" spans="1:16" ht="51">
      <c r="A1158" s="3" t="s">
        <v>4</v>
      </c>
      <c r="B1158" s="3" t="s">
        <v>624</v>
      </c>
      <c r="C1158" s="4">
        <v>282</v>
      </c>
      <c r="D1158" s="3" t="s">
        <v>12</v>
      </c>
      <c r="E1158" s="3" t="s">
        <v>13</v>
      </c>
      <c r="F1158" s="5">
        <v>209</v>
      </c>
      <c r="G1158" s="5">
        <v>522</v>
      </c>
      <c r="H1158" s="6">
        <v>9874.8130000000001</v>
      </c>
      <c r="I1158" s="22">
        <v>27334.705999999998</v>
      </c>
      <c r="J1158" s="24">
        <f t="shared" si="54"/>
        <v>1.8940551099607878E-4</v>
      </c>
      <c r="K1158" s="25">
        <f t="shared" si="56"/>
        <v>0.72552216732502961</v>
      </c>
      <c r="L1158" s="26" t="s">
        <v>7516</v>
      </c>
      <c r="M1158" s="28"/>
      <c r="N1158" s="28"/>
      <c r="O1158" s="20" t="s">
        <v>7530</v>
      </c>
      <c r="P1158" s="27" t="str">
        <f t="shared" si="55"/>
        <v>vermelho</v>
      </c>
    </row>
    <row r="1159" spans="1:16" ht="25.5">
      <c r="A1159" s="3" t="s">
        <v>4</v>
      </c>
      <c r="B1159" s="3" t="s">
        <v>625</v>
      </c>
      <c r="C1159" s="4">
        <v>31</v>
      </c>
      <c r="D1159" s="3" t="s">
        <v>194</v>
      </c>
      <c r="E1159" s="3" t="s">
        <v>16</v>
      </c>
      <c r="F1159" s="5">
        <v>468</v>
      </c>
      <c r="G1159" s="5">
        <v>456</v>
      </c>
      <c r="H1159" s="6">
        <v>27250.560000000001</v>
      </c>
      <c r="I1159" s="22">
        <v>27312.6</v>
      </c>
      <c r="J1159" s="24">
        <f t="shared" si="54"/>
        <v>1.8925233582653135E-4</v>
      </c>
      <c r="K1159" s="25">
        <f t="shared" si="56"/>
        <v>0.72571141966085617</v>
      </c>
      <c r="L1159" s="26" t="s">
        <v>7516</v>
      </c>
      <c r="M1159" s="28"/>
      <c r="N1159" s="28"/>
      <c r="O1159" s="20">
        <v>16875.96</v>
      </c>
      <c r="P1159" s="27" t="str">
        <f t="shared" si="55"/>
        <v>laranja</v>
      </c>
    </row>
    <row r="1160" spans="1:16" ht="25.5">
      <c r="A1160" s="3" t="s">
        <v>6080</v>
      </c>
      <c r="B1160" s="3" t="s">
        <v>6081</v>
      </c>
      <c r="C1160" s="4">
        <v>335</v>
      </c>
      <c r="D1160" s="3" t="s">
        <v>36</v>
      </c>
      <c r="E1160" s="3" t="s">
        <v>7</v>
      </c>
      <c r="F1160" s="5">
        <v>336</v>
      </c>
      <c r="G1160" s="5">
        <v>468</v>
      </c>
      <c r="H1160" s="6">
        <v>20243.28</v>
      </c>
      <c r="I1160" s="22">
        <v>27291.024000000001</v>
      </c>
      <c r="J1160" s="24">
        <f t="shared" si="54"/>
        <v>1.8910283309161072E-4</v>
      </c>
      <c r="K1160" s="25">
        <f t="shared" si="56"/>
        <v>0.72590052249394776</v>
      </c>
      <c r="L1160" s="26" t="s">
        <v>7516</v>
      </c>
      <c r="M1160" s="28"/>
      <c r="N1160" s="28"/>
      <c r="O1160" s="20" t="s">
        <v>7530</v>
      </c>
      <c r="P1160" s="27" t="str">
        <f t="shared" si="55"/>
        <v>vermelho</v>
      </c>
    </row>
    <row r="1161" spans="1:16" ht="25.5">
      <c r="A1161" s="3" t="s">
        <v>4</v>
      </c>
      <c r="B1161" s="3" t="s">
        <v>626</v>
      </c>
      <c r="C1161" s="4">
        <v>41</v>
      </c>
      <c r="D1161" s="3" t="s">
        <v>178</v>
      </c>
      <c r="E1161" s="3" t="s">
        <v>41</v>
      </c>
      <c r="F1161" s="5">
        <v>207</v>
      </c>
      <c r="G1161" s="5">
        <v>444</v>
      </c>
      <c r="H1161" s="6">
        <v>11087.61</v>
      </c>
      <c r="I1161" s="22">
        <v>27268.14</v>
      </c>
      <c r="J1161" s="24">
        <f t="shared" si="54"/>
        <v>1.8894426706519599E-4</v>
      </c>
      <c r="K1161" s="25">
        <f t="shared" si="56"/>
        <v>0.72608946676101294</v>
      </c>
      <c r="L1161" s="26" t="s">
        <v>7516</v>
      </c>
      <c r="M1161" s="28"/>
      <c r="N1161" s="28"/>
      <c r="O1161" s="20" t="s">
        <v>7530</v>
      </c>
      <c r="P1161" s="27" t="str">
        <f t="shared" si="55"/>
        <v>vermelho</v>
      </c>
    </row>
    <row r="1162" spans="1:16" ht="25.5">
      <c r="A1162" s="3" t="s">
        <v>4</v>
      </c>
      <c r="B1162" s="3" t="s">
        <v>627</v>
      </c>
      <c r="C1162" s="4">
        <v>197</v>
      </c>
      <c r="D1162" s="3" t="s">
        <v>66</v>
      </c>
      <c r="E1162" s="3" t="s">
        <v>41</v>
      </c>
      <c r="F1162" s="5">
        <v>390</v>
      </c>
      <c r="G1162" s="5">
        <v>432</v>
      </c>
      <c r="H1162" s="6">
        <v>24660.9</v>
      </c>
      <c r="I1162" s="22">
        <v>27245.67</v>
      </c>
      <c r="J1162" s="24">
        <f t="shared" si="54"/>
        <v>1.8878856969526336E-4</v>
      </c>
      <c r="K1162" s="25">
        <f t="shared" si="56"/>
        <v>0.72627825533070822</v>
      </c>
      <c r="L1162" s="26" t="s">
        <v>7516</v>
      </c>
      <c r="M1162" s="28"/>
      <c r="N1162" s="28"/>
      <c r="O1162" s="20" t="s">
        <v>7530</v>
      </c>
      <c r="P1162" s="27" t="str">
        <f t="shared" si="55"/>
        <v>vermelho</v>
      </c>
    </row>
    <row r="1163" spans="1:16" ht="25.5">
      <c r="A1163" s="3" t="s">
        <v>4</v>
      </c>
      <c r="B1163" s="3" t="s">
        <v>628</v>
      </c>
      <c r="C1163" s="4">
        <v>19</v>
      </c>
      <c r="D1163" s="3" t="s">
        <v>72</v>
      </c>
      <c r="E1163" s="3" t="s">
        <v>41</v>
      </c>
      <c r="F1163" s="5">
        <v>606</v>
      </c>
      <c r="G1163" s="5">
        <v>441</v>
      </c>
      <c r="H1163" s="6">
        <v>32044.488000000001</v>
      </c>
      <c r="I1163" s="22">
        <v>27203.05</v>
      </c>
      <c r="J1163" s="24">
        <f t="shared" si="54"/>
        <v>1.884932505182928E-4</v>
      </c>
      <c r="K1163" s="25">
        <f t="shared" si="56"/>
        <v>0.72646674858122651</v>
      </c>
      <c r="L1163" s="26" t="s">
        <v>7516</v>
      </c>
      <c r="M1163" s="28"/>
      <c r="N1163" s="28"/>
      <c r="O1163" s="20" t="s">
        <v>7530</v>
      </c>
      <c r="P1163" s="27" t="str">
        <f t="shared" si="55"/>
        <v>vermelho</v>
      </c>
    </row>
    <row r="1164" spans="1:16" ht="25.5">
      <c r="A1164" s="3" t="s">
        <v>4</v>
      </c>
      <c r="B1164" s="3" t="s">
        <v>629</v>
      </c>
      <c r="C1164" s="4">
        <v>299</v>
      </c>
      <c r="D1164" s="3" t="s">
        <v>111</v>
      </c>
      <c r="E1164" s="3" t="s">
        <v>49</v>
      </c>
      <c r="F1164" s="5">
        <v>120</v>
      </c>
      <c r="G1164" s="5">
        <v>495</v>
      </c>
      <c r="H1164" s="6">
        <v>6706.62</v>
      </c>
      <c r="I1164" s="22">
        <v>27071.55</v>
      </c>
      <c r="J1164" s="24">
        <f t="shared" si="54"/>
        <v>1.8758207098352903E-4</v>
      </c>
      <c r="K1164" s="25">
        <f t="shared" si="56"/>
        <v>0.72665433065221008</v>
      </c>
      <c r="L1164" s="26" t="s">
        <v>7516</v>
      </c>
      <c r="M1164" s="28"/>
      <c r="N1164" s="28"/>
      <c r="O1164" s="20" t="s">
        <v>7530</v>
      </c>
      <c r="P1164" s="27" t="str">
        <f t="shared" si="55"/>
        <v>vermelho</v>
      </c>
    </row>
    <row r="1165" spans="1:16">
      <c r="A1165" s="3" t="s">
        <v>6082</v>
      </c>
      <c r="B1165" s="3" t="s">
        <v>6083</v>
      </c>
      <c r="C1165" s="4">
        <v>217</v>
      </c>
      <c r="D1165" s="3" t="s">
        <v>91</v>
      </c>
      <c r="E1165" s="3" t="s">
        <v>16</v>
      </c>
      <c r="F1165" s="5">
        <v>648</v>
      </c>
      <c r="G1165" s="5">
        <v>456</v>
      </c>
      <c r="H1165" s="6">
        <v>30573.599999999999</v>
      </c>
      <c r="I1165" s="22">
        <v>27066.959999999999</v>
      </c>
      <c r="J1165" s="24">
        <f t="shared" si="54"/>
        <v>1.8755026631383649E-4</v>
      </c>
      <c r="K1165" s="25">
        <f t="shared" si="56"/>
        <v>0.72684188091852386</v>
      </c>
      <c r="L1165" s="26" t="s">
        <v>7516</v>
      </c>
      <c r="M1165" s="28"/>
      <c r="N1165" s="28"/>
      <c r="O1165" s="20" t="s">
        <v>7530</v>
      </c>
      <c r="P1165" s="27" t="str">
        <f t="shared" si="55"/>
        <v>vermelho</v>
      </c>
    </row>
    <row r="1166" spans="1:16" ht="25.5">
      <c r="A1166" s="3" t="s">
        <v>4</v>
      </c>
      <c r="B1166" s="3" t="s">
        <v>630</v>
      </c>
      <c r="C1166" s="4">
        <v>31</v>
      </c>
      <c r="D1166" s="3" t="s">
        <v>194</v>
      </c>
      <c r="E1166" s="3" t="s">
        <v>16</v>
      </c>
      <c r="F1166" s="5">
        <v>0</v>
      </c>
      <c r="G1166" s="5">
        <v>414</v>
      </c>
      <c r="H1166" s="6">
        <v>0</v>
      </c>
      <c r="I1166" s="22">
        <v>27051.360000000001</v>
      </c>
      <c r="J1166" s="24">
        <f t="shared" si="54"/>
        <v>1.874421720116136E-4</v>
      </c>
      <c r="K1166" s="25">
        <f t="shared" si="56"/>
        <v>0.72702932309053547</v>
      </c>
      <c r="L1166" s="26" t="s">
        <v>7516</v>
      </c>
      <c r="M1166" s="28"/>
      <c r="N1166" s="28">
        <v>4.5555371262428375E-2</v>
      </c>
      <c r="O1166" s="20">
        <v>17412.36</v>
      </c>
      <c r="P1166" s="27" t="str">
        <f t="shared" si="55"/>
        <v>laranja</v>
      </c>
    </row>
    <row r="1167" spans="1:16" ht="51">
      <c r="A1167" s="3" t="s">
        <v>4</v>
      </c>
      <c r="B1167" s="3" t="s">
        <v>631</v>
      </c>
      <c r="C1167" s="4">
        <v>282</v>
      </c>
      <c r="D1167" s="3" t="s">
        <v>12</v>
      </c>
      <c r="E1167" s="3" t="s">
        <v>13</v>
      </c>
      <c r="F1167" s="5">
        <v>0</v>
      </c>
      <c r="G1167" s="5">
        <v>372</v>
      </c>
      <c r="H1167" s="6">
        <v>0</v>
      </c>
      <c r="I1167" s="22">
        <v>27046.157999999999</v>
      </c>
      <c r="J1167" s="24">
        <f t="shared" si="54"/>
        <v>1.8740612671929539E-4</v>
      </c>
      <c r="K1167" s="25">
        <f t="shared" si="56"/>
        <v>0.72721672921725478</v>
      </c>
      <c r="L1167" s="26" t="s">
        <v>7516</v>
      </c>
      <c r="M1167" s="28"/>
      <c r="N1167" s="28"/>
      <c r="O1167" s="20">
        <v>27046.157999999999</v>
      </c>
      <c r="P1167" s="27" t="str">
        <f t="shared" si="55"/>
        <v>verde</v>
      </c>
    </row>
    <row r="1168" spans="1:16" ht="38.25">
      <c r="A1168" s="3" t="s">
        <v>4</v>
      </c>
      <c r="B1168" s="3" t="s">
        <v>632</v>
      </c>
      <c r="C1168" s="4">
        <v>328</v>
      </c>
      <c r="D1168" s="3" t="s">
        <v>215</v>
      </c>
      <c r="E1168" s="3" t="s">
        <v>13</v>
      </c>
      <c r="F1168" s="5">
        <v>0</v>
      </c>
      <c r="G1168" s="5">
        <v>396</v>
      </c>
      <c r="H1168" s="6">
        <v>0</v>
      </c>
      <c r="I1168" s="22">
        <v>27005.279999999999</v>
      </c>
      <c r="J1168" s="24">
        <f t="shared" si="54"/>
        <v>1.871228780727397E-4</v>
      </c>
      <c r="K1168" s="25">
        <f t="shared" si="56"/>
        <v>0.72740385209532754</v>
      </c>
      <c r="L1168" s="26" t="s">
        <v>7516</v>
      </c>
      <c r="M1168" s="28"/>
      <c r="N1168" s="28">
        <v>-1.6797935672778902E-2</v>
      </c>
      <c r="O1168" s="20">
        <v>13799.04</v>
      </c>
      <c r="P1168" s="27" t="str">
        <f t="shared" si="55"/>
        <v>laranja</v>
      </c>
    </row>
    <row r="1169" spans="1:16" ht="25.5">
      <c r="A1169" s="3" t="s">
        <v>4</v>
      </c>
      <c r="B1169" s="3" t="s">
        <v>633</v>
      </c>
      <c r="C1169" s="4">
        <v>19</v>
      </c>
      <c r="D1169" s="3" t="s">
        <v>72</v>
      </c>
      <c r="E1169" s="3" t="s">
        <v>41</v>
      </c>
      <c r="F1169" s="5">
        <v>270</v>
      </c>
      <c r="G1169" s="5">
        <v>450</v>
      </c>
      <c r="H1169" s="6">
        <v>18032.7</v>
      </c>
      <c r="I1169" s="22">
        <v>26997.48</v>
      </c>
      <c r="J1169" s="24">
        <f t="shared" si="54"/>
        <v>1.8706883092162825E-4</v>
      </c>
      <c r="K1169" s="25">
        <f t="shared" si="56"/>
        <v>0.72759092092624922</v>
      </c>
      <c r="L1169" s="26" t="s">
        <v>7516</v>
      </c>
      <c r="M1169" s="28"/>
      <c r="N1169" s="28"/>
      <c r="O1169" s="20">
        <v>6435.99</v>
      </c>
      <c r="P1169" s="27" t="str">
        <f t="shared" si="55"/>
        <v>amarelo</v>
      </c>
    </row>
    <row r="1170" spans="1:16" ht="25.5">
      <c r="A1170" s="3" t="s">
        <v>4</v>
      </c>
      <c r="B1170" s="3" t="s">
        <v>58</v>
      </c>
      <c r="C1170" s="4">
        <v>264</v>
      </c>
      <c r="D1170" s="3" t="s">
        <v>40</v>
      </c>
      <c r="E1170" s="3" t="s">
        <v>7</v>
      </c>
      <c r="F1170" s="5">
        <v>0</v>
      </c>
      <c r="G1170" s="5">
        <v>606</v>
      </c>
      <c r="H1170" s="6">
        <v>0</v>
      </c>
      <c r="I1170" s="22">
        <v>26990.391</v>
      </c>
      <c r="J1170" s="24">
        <f t="shared" si="54"/>
        <v>1.8701971037621425E-4</v>
      </c>
      <c r="K1170" s="25">
        <f t="shared" si="56"/>
        <v>0.72777794063662549</v>
      </c>
      <c r="L1170" s="26" t="s">
        <v>7516</v>
      </c>
      <c r="M1170" s="28"/>
      <c r="N1170" s="28"/>
      <c r="O1170" s="20">
        <v>24122.955999999998</v>
      </c>
      <c r="P1170" s="27" t="str">
        <f t="shared" si="55"/>
        <v>laranja</v>
      </c>
    </row>
    <row r="1171" spans="1:16">
      <c r="A1171" s="3" t="s">
        <v>4</v>
      </c>
      <c r="B1171" s="3" t="s">
        <v>634</v>
      </c>
      <c r="C1171" s="4">
        <v>15</v>
      </c>
      <c r="D1171" s="3" t="s">
        <v>18</v>
      </c>
      <c r="E1171" s="3" t="s">
        <v>16</v>
      </c>
      <c r="F1171" s="5">
        <v>0</v>
      </c>
      <c r="G1171" s="5">
        <v>408</v>
      </c>
      <c r="H1171" s="6">
        <v>0</v>
      </c>
      <c r="I1171" s="22">
        <v>26983.8</v>
      </c>
      <c r="J1171" s="24">
        <f t="shared" si="54"/>
        <v>1.8697404053352507E-4</v>
      </c>
      <c r="K1171" s="25">
        <f t="shared" si="56"/>
        <v>0.72796491467715896</v>
      </c>
      <c r="L1171" s="26" t="s">
        <v>7516</v>
      </c>
      <c r="M1171" s="28"/>
      <c r="N1171" s="28"/>
      <c r="O1171" s="20" t="s">
        <v>7530</v>
      </c>
      <c r="P1171" s="27" t="str">
        <f t="shared" si="55"/>
        <v>vermelho</v>
      </c>
    </row>
    <row r="1172" spans="1:16" ht="25.5">
      <c r="A1172" s="3" t="s">
        <v>4</v>
      </c>
      <c r="B1172" s="3" t="s">
        <v>635</v>
      </c>
      <c r="C1172" s="4">
        <v>296</v>
      </c>
      <c r="D1172" s="3" t="s">
        <v>282</v>
      </c>
      <c r="E1172" s="3" t="s">
        <v>10</v>
      </c>
      <c r="F1172" s="5">
        <v>0</v>
      </c>
      <c r="G1172" s="5">
        <v>384</v>
      </c>
      <c r="H1172" s="6">
        <v>0</v>
      </c>
      <c r="I1172" s="22">
        <v>26975.077000000001</v>
      </c>
      <c r="J1172" s="24">
        <f t="shared" si="54"/>
        <v>1.8691359780286543E-4</v>
      </c>
      <c r="K1172" s="25">
        <f t="shared" si="56"/>
        <v>0.72815182827496183</v>
      </c>
      <c r="L1172" s="26" t="s">
        <v>7516</v>
      </c>
      <c r="M1172" s="28"/>
      <c r="N1172" s="28"/>
      <c r="O1172" s="20">
        <v>15237.951999999999</v>
      </c>
      <c r="P1172" s="27" t="str">
        <f t="shared" si="55"/>
        <v>laranja</v>
      </c>
    </row>
    <row r="1173" spans="1:16" ht="25.5">
      <c r="A1173" s="3" t="s">
        <v>4</v>
      </c>
      <c r="B1173" s="3" t="s">
        <v>636</v>
      </c>
      <c r="C1173" s="4">
        <v>217</v>
      </c>
      <c r="D1173" s="3" t="s">
        <v>91</v>
      </c>
      <c r="E1173" s="3" t="s">
        <v>16</v>
      </c>
      <c r="F1173" s="5">
        <v>0</v>
      </c>
      <c r="G1173" s="5">
        <v>420</v>
      </c>
      <c r="H1173" s="6">
        <v>0</v>
      </c>
      <c r="I1173" s="22">
        <v>26947.8</v>
      </c>
      <c r="J1173" s="24">
        <f t="shared" si="54"/>
        <v>1.8672459214377985E-4</v>
      </c>
      <c r="K1173" s="25">
        <f t="shared" si="56"/>
        <v>0.72833855286710558</v>
      </c>
      <c r="L1173" s="26" t="s">
        <v>7516</v>
      </c>
      <c r="M1173" s="28"/>
      <c r="N1173" s="28"/>
      <c r="O1173" s="20" t="s">
        <v>7530</v>
      </c>
      <c r="P1173" s="27" t="str">
        <f t="shared" si="55"/>
        <v>vermelho</v>
      </c>
    </row>
    <row r="1174" spans="1:16" ht="25.5">
      <c r="A1174" s="3" t="s">
        <v>4</v>
      </c>
      <c r="B1174" s="3" t="s">
        <v>637</v>
      </c>
      <c r="C1174" s="4">
        <v>93</v>
      </c>
      <c r="D1174" s="3" t="s">
        <v>20</v>
      </c>
      <c r="E1174" s="3" t="s">
        <v>7</v>
      </c>
      <c r="F1174" s="5">
        <v>198</v>
      </c>
      <c r="G1174" s="5">
        <v>399</v>
      </c>
      <c r="H1174" s="6">
        <v>10510.02</v>
      </c>
      <c r="I1174" s="22">
        <v>26916.33</v>
      </c>
      <c r="J1174" s="24">
        <f t="shared" si="54"/>
        <v>1.8650653267641092E-4</v>
      </c>
      <c r="K1174" s="25">
        <f t="shared" si="56"/>
        <v>0.72852505939978196</v>
      </c>
      <c r="L1174" s="26" t="s">
        <v>7516</v>
      </c>
      <c r="M1174" s="28"/>
      <c r="N1174" s="28"/>
      <c r="O1174" s="20">
        <v>14488.08</v>
      </c>
      <c r="P1174" s="27" t="str">
        <f t="shared" si="55"/>
        <v>laranja</v>
      </c>
    </row>
    <row r="1175" spans="1:16" ht="25.5">
      <c r="A1175" s="3" t="s">
        <v>4</v>
      </c>
      <c r="B1175" s="3" t="s">
        <v>638</v>
      </c>
      <c r="C1175" s="4">
        <v>267</v>
      </c>
      <c r="D1175" s="3" t="s">
        <v>125</v>
      </c>
      <c r="E1175" s="3" t="s">
        <v>16</v>
      </c>
      <c r="F1175" s="5">
        <v>0</v>
      </c>
      <c r="G1175" s="5">
        <v>468</v>
      </c>
      <c r="H1175" s="6">
        <v>0</v>
      </c>
      <c r="I1175" s="22">
        <v>26910.6</v>
      </c>
      <c r="J1175" s="24">
        <f t="shared" si="54"/>
        <v>1.8646682880770979E-4</v>
      </c>
      <c r="K1175" s="25">
        <f t="shared" si="56"/>
        <v>0.7287115262285897</v>
      </c>
      <c r="L1175" s="26" t="s">
        <v>7516</v>
      </c>
      <c r="M1175" s="28"/>
      <c r="N1175" s="28"/>
      <c r="O1175" s="20" t="s">
        <v>7530</v>
      </c>
      <c r="P1175" s="27" t="str">
        <f t="shared" si="55"/>
        <v>vermelho</v>
      </c>
    </row>
    <row r="1176" spans="1:16" ht="25.5">
      <c r="A1176" s="3" t="s">
        <v>4</v>
      </c>
      <c r="B1176" s="3" t="s">
        <v>639</v>
      </c>
      <c r="C1176" s="4">
        <v>316</v>
      </c>
      <c r="D1176" s="3" t="s">
        <v>247</v>
      </c>
      <c r="E1176" s="3" t="s">
        <v>10</v>
      </c>
      <c r="F1176" s="5">
        <v>0</v>
      </c>
      <c r="G1176" s="5">
        <v>447</v>
      </c>
      <c r="H1176" s="6">
        <v>0</v>
      </c>
      <c r="I1176" s="22">
        <v>26893.439999999999</v>
      </c>
      <c r="J1176" s="24">
        <f t="shared" si="54"/>
        <v>1.8634792507526456E-4</v>
      </c>
      <c r="K1176" s="25">
        <f t="shared" si="56"/>
        <v>0.72889787415366492</v>
      </c>
      <c r="L1176" s="26" t="s">
        <v>7516</v>
      </c>
      <c r="M1176" s="28"/>
      <c r="N1176" s="28"/>
      <c r="O1176" s="20" t="s">
        <v>7530</v>
      </c>
      <c r="P1176" s="27" t="str">
        <f t="shared" si="55"/>
        <v>vermelho</v>
      </c>
    </row>
    <row r="1177" spans="1:16" ht="38.25">
      <c r="A1177" s="3" t="s">
        <v>4</v>
      </c>
      <c r="B1177" s="3" t="s">
        <v>640</v>
      </c>
      <c r="C1177" s="4">
        <v>270</v>
      </c>
      <c r="D1177" s="3" t="s">
        <v>266</v>
      </c>
      <c r="E1177" s="3" t="s">
        <v>49</v>
      </c>
      <c r="F1177" s="5">
        <v>303</v>
      </c>
      <c r="G1177" s="5">
        <v>465</v>
      </c>
      <c r="H1177" s="6">
        <v>16036.98</v>
      </c>
      <c r="I1177" s="22">
        <v>26825.37</v>
      </c>
      <c r="J1177" s="24">
        <f t="shared" si="54"/>
        <v>1.8587625974498799E-4</v>
      </c>
      <c r="K1177" s="25">
        <f t="shared" si="56"/>
        <v>0.72908375041340989</v>
      </c>
      <c r="L1177" s="26" t="s">
        <v>7516</v>
      </c>
      <c r="M1177" s="28"/>
      <c r="N1177" s="28"/>
      <c r="O1177" s="20">
        <v>8972.2199999999993</v>
      </c>
      <c r="P1177" s="27" t="str">
        <f t="shared" si="55"/>
        <v>amarelo</v>
      </c>
    </row>
    <row r="1178" spans="1:16" ht="38.25">
      <c r="A1178" s="3" t="s">
        <v>6084</v>
      </c>
      <c r="B1178" s="3" t="s">
        <v>6085</v>
      </c>
      <c r="C1178" s="4">
        <v>45</v>
      </c>
      <c r="D1178" s="3" t="s">
        <v>23</v>
      </c>
      <c r="E1178" s="3" t="s">
        <v>7</v>
      </c>
      <c r="F1178" s="5">
        <v>315</v>
      </c>
      <c r="G1178" s="5">
        <v>468</v>
      </c>
      <c r="H1178" s="6">
        <v>12326.58</v>
      </c>
      <c r="I1178" s="22">
        <v>26821.8</v>
      </c>
      <c r="J1178" s="24">
        <f t="shared" si="54"/>
        <v>1.8585152277967158E-4</v>
      </c>
      <c r="K1178" s="25">
        <f t="shared" si="56"/>
        <v>0.72926960193618962</v>
      </c>
      <c r="L1178" s="26" t="s">
        <v>7516</v>
      </c>
      <c r="M1178" s="28"/>
      <c r="N1178" s="28"/>
      <c r="O1178" s="20" t="s">
        <v>7530</v>
      </c>
      <c r="P1178" s="27" t="str">
        <f t="shared" si="55"/>
        <v>vermelho</v>
      </c>
    </row>
    <row r="1179" spans="1:16" ht="38.25">
      <c r="A1179" s="3" t="s">
        <v>4</v>
      </c>
      <c r="B1179" s="3" t="s">
        <v>641</v>
      </c>
      <c r="C1179" s="4">
        <v>371</v>
      </c>
      <c r="D1179" s="3" t="s">
        <v>82</v>
      </c>
      <c r="E1179" s="3" t="s">
        <v>49</v>
      </c>
      <c r="F1179" s="5">
        <v>0</v>
      </c>
      <c r="G1179" s="5">
        <v>474</v>
      </c>
      <c r="H1179" s="6">
        <v>0</v>
      </c>
      <c r="I1179" s="22">
        <v>26821.26</v>
      </c>
      <c r="J1179" s="24">
        <f t="shared" si="54"/>
        <v>1.858477810538254E-4</v>
      </c>
      <c r="K1179" s="25">
        <f t="shared" si="56"/>
        <v>0.72945544971724341</v>
      </c>
      <c r="L1179" s="26" t="s">
        <v>7516</v>
      </c>
      <c r="M1179" s="28"/>
      <c r="N1179" s="28"/>
      <c r="O1179" s="20" t="s">
        <v>7530</v>
      </c>
      <c r="P1179" s="27" t="str">
        <f t="shared" si="55"/>
        <v>vermelho</v>
      </c>
    </row>
    <row r="1180" spans="1:16" ht="38.25">
      <c r="A1180" s="3" t="s">
        <v>4</v>
      </c>
      <c r="B1180" s="3" t="s">
        <v>642</v>
      </c>
      <c r="C1180" s="4">
        <v>34</v>
      </c>
      <c r="D1180" s="3" t="s">
        <v>54</v>
      </c>
      <c r="E1180" s="3" t="s">
        <v>49</v>
      </c>
      <c r="F1180" s="5">
        <v>132</v>
      </c>
      <c r="G1180" s="5">
        <v>429</v>
      </c>
      <c r="H1180" s="6">
        <v>8638.92</v>
      </c>
      <c r="I1180" s="22">
        <v>26821.02</v>
      </c>
      <c r="J1180" s="24">
        <f t="shared" si="54"/>
        <v>1.8584611806456047E-4</v>
      </c>
      <c r="K1180" s="25">
        <f t="shared" si="56"/>
        <v>0.72964129583530801</v>
      </c>
      <c r="L1180" s="26" t="s">
        <v>7516</v>
      </c>
      <c r="M1180" s="28"/>
      <c r="N1180" s="28"/>
      <c r="O1180" s="20" t="s">
        <v>7530</v>
      </c>
      <c r="P1180" s="27" t="str">
        <f t="shared" si="55"/>
        <v>vermelho</v>
      </c>
    </row>
    <row r="1181" spans="1:16" ht="25.5">
      <c r="A1181" s="3" t="s">
        <v>6086</v>
      </c>
      <c r="B1181" s="3" t="s">
        <v>6087</v>
      </c>
      <c r="C1181" s="4">
        <v>316</v>
      </c>
      <c r="D1181" s="3" t="s">
        <v>247</v>
      </c>
      <c r="E1181" s="3" t="s">
        <v>10</v>
      </c>
      <c r="F1181" s="5">
        <v>850</v>
      </c>
      <c r="G1181" s="5">
        <v>555</v>
      </c>
      <c r="H1181" s="6">
        <v>33231.269999999997</v>
      </c>
      <c r="I1181" s="22">
        <v>26812.86</v>
      </c>
      <c r="J1181" s="24">
        <f t="shared" si="54"/>
        <v>1.8578957642955153E-4</v>
      </c>
      <c r="K1181" s="25">
        <f t="shared" si="56"/>
        <v>0.72982708541173757</v>
      </c>
      <c r="L1181" s="26" t="s">
        <v>7516</v>
      </c>
      <c r="M1181" s="28"/>
      <c r="N1181" s="28"/>
      <c r="O1181" s="20" t="s">
        <v>7530</v>
      </c>
      <c r="P1181" s="27" t="str">
        <f t="shared" si="55"/>
        <v>vermelho</v>
      </c>
    </row>
    <row r="1182" spans="1:16" ht="25.5">
      <c r="A1182" s="3" t="s">
        <v>6088</v>
      </c>
      <c r="B1182" s="3" t="s">
        <v>6089</v>
      </c>
      <c r="C1182" s="4">
        <v>299</v>
      </c>
      <c r="D1182" s="3" t="s">
        <v>111</v>
      </c>
      <c r="E1182" s="3" t="s">
        <v>49</v>
      </c>
      <c r="F1182" s="5">
        <v>0</v>
      </c>
      <c r="G1182" s="5">
        <v>624</v>
      </c>
      <c r="H1182" s="6">
        <v>0</v>
      </c>
      <c r="I1182" s="22">
        <v>26797.68</v>
      </c>
      <c r="J1182" s="24">
        <f t="shared" si="54"/>
        <v>1.8568439235854231E-4</v>
      </c>
      <c r="K1182" s="25">
        <f t="shared" si="56"/>
        <v>0.73001276980409613</v>
      </c>
      <c r="L1182" s="26" t="s">
        <v>7516</v>
      </c>
      <c r="M1182" s="28"/>
      <c r="N1182" s="28"/>
      <c r="O1182" s="20" t="s">
        <v>7530</v>
      </c>
      <c r="P1182" s="27" t="str">
        <f t="shared" si="55"/>
        <v>vermelho</v>
      </c>
    </row>
    <row r="1183" spans="1:16" ht="51">
      <c r="A1183" s="3" t="s">
        <v>6090</v>
      </c>
      <c r="B1183" s="3" t="s">
        <v>6091</v>
      </c>
      <c r="C1183" s="4">
        <v>282</v>
      </c>
      <c r="D1183" s="3" t="s">
        <v>12</v>
      </c>
      <c r="E1183" s="3" t="s">
        <v>13</v>
      </c>
      <c r="F1183" s="5">
        <v>300</v>
      </c>
      <c r="G1183" s="5">
        <v>504</v>
      </c>
      <c r="H1183" s="6">
        <v>16377.906000000001</v>
      </c>
      <c r="I1183" s="22">
        <v>26778.93</v>
      </c>
      <c r="J1183" s="24">
        <f t="shared" si="54"/>
        <v>1.8555447132221668E-4</v>
      </c>
      <c r="K1183" s="25">
        <f t="shared" si="56"/>
        <v>0.73019832427541831</v>
      </c>
      <c r="L1183" s="26" t="s">
        <v>7516</v>
      </c>
      <c r="M1183" s="28"/>
      <c r="N1183" s="28"/>
      <c r="O1183" s="20" t="s">
        <v>7530</v>
      </c>
      <c r="P1183" s="27" t="str">
        <f t="shared" si="55"/>
        <v>vermelho</v>
      </c>
    </row>
    <row r="1184" spans="1:16" ht="25.5">
      <c r="A1184" s="3" t="s">
        <v>6092</v>
      </c>
      <c r="B1184" s="3" t="s">
        <v>6093</v>
      </c>
      <c r="C1184" s="4">
        <v>197</v>
      </c>
      <c r="D1184" s="3" t="s">
        <v>66</v>
      </c>
      <c r="E1184" s="3" t="s">
        <v>41</v>
      </c>
      <c r="F1184" s="5">
        <v>285</v>
      </c>
      <c r="G1184" s="5">
        <v>450</v>
      </c>
      <c r="H1184" s="6">
        <v>15294.227999999999</v>
      </c>
      <c r="I1184" s="22">
        <v>26756.28</v>
      </c>
      <c r="J1184" s="24">
        <f t="shared" si="54"/>
        <v>1.853975267103353E-4</v>
      </c>
      <c r="K1184" s="25">
        <f t="shared" si="56"/>
        <v>0.73038372180212863</v>
      </c>
      <c r="L1184" s="26" t="s">
        <v>7516</v>
      </c>
      <c r="M1184" s="28"/>
      <c r="N1184" s="28"/>
      <c r="O1184" s="20" t="s">
        <v>7530</v>
      </c>
      <c r="P1184" s="27" t="str">
        <f t="shared" si="55"/>
        <v>vermelho</v>
      </c>
    </row>
    <row r="1185" spans="1:16" ht="25.5">
      <c r="A1185" s="3" t="s">
        <v>4</v>
      </c>
      <c r="B1185" s="3" t="s">
        <v>643</v>
      </c>
      <c r="C1185" s="4">
        <v>261</v>
      </c>
      <c r="D1185" s="3" t="s">
        <v>9</v>
      </c>
      <c r="E1185" s="3" t="s">
        <v>10</v>
      </c>
      <c r="F1185" s="5">
        <v>168</v>
      </c>
      <c r="G1185" s="5">
        <v>453</v>
      </c>
      <c r="H1185" s="6">
        <v>8706.36</v>
      </c>
      <c r="I1185" s="22">
        <v>26747.91</v>
      </c>
      <c r="J1185" s="24">
        <f t="shared" si="54"/>
        <v>1.8533952995971955E-4</v>
      </c>
      <c r="K1185" s="25">
        <f t="shared" si="56"/>
        <v>0.73056906133208832</v>
      </c>
      <c r="L1185" s="26" t="s">
        <v>7516</v>
      </c>
      <c r="M1185" s="28"/>
      <c r="N1185" s="28"/>
      <c r="O1185" s="20" t="s">
        <v>7530</v>
      </c>
      <c r="P1185" s="27" t="str">
        <f t="shared" si="55"/>
        <v>vermelho</v>
      </c>
    </row>
    <row r="1186" spans="1:16" ht="25.5">
      <c r="A1186" s="3" t="s">
        <v>6094</v>
      </c>
      <c r="B1186" s="3" t="s">
        <v>6095</v>
      </c>
      <c r="C1186" s="4">
        <v>41</v>
      </c>
      <c r="D1186" s="3" t="s">
        <v>178</v>
      </c>
      <c r="E1186" s="3" t="s">
        <v>41</v>
      </c>
      <c r="F1186" s="5">
        <v>852</v>
      </c>
      <c r="G1186" s="5">
        <v>471</v>
      </c>
      <c r="H1186" s="6">
        <v>45188.232000000004</v>
      </c>
      <c r="I1186" s="22">
        <v>26738.954000000002</v>
      </c>
      <c r="J1186" s="24">
        <f t="shared" si="54"/>
        <v>1.852774727436485E-4</v>
      </c>
      <c r="K1186" s="25">
        <f t="shared" si="56"/>
        <v>0.73075433880483198</v>
      </c>
      <c r="L1186" s="26" t="s">
        <v>7516</v>
      </c>
      <c r="M1186" s="28"/>
      <c r="N1186" s="28"/>
      <c r="O1186" s="20">
        <v>6043.33</v>
      </c>
      <c r="P1186" s="27" t="str">
        <f t="shared" si="55"/>
        <v>amarelo</v>
      </c>
    </row>
    <row r="1187" spans="1:16" ht="25.5">
      <c r="A1187" s="3" t="s">
        <v>4</v>
      </c>
      <c r="B1187" s="3" t="s">
        <v>644</v>
      </c>
      <c r="C1187" s="4">
        <v>266</v>
      </c>
      <c r="D1187" s="3" t="s">
        <v>80</v>
      </c>
      <c r="E1187" s="3" t="s">
        <v>10</v>
      </c>
      <c r="F1187" s="5">
        <v>240</v>
      </c>
      <c r="G1187" s="5">
        <v>450</v>
      </c>
      <c r="H1187" s="6">
        <v>13406.58</v>
      </c>
      <c r="I1187" s="22">
        <v>26733.69</v>
      </c>
      <c r="J1187" s="24">
        <f t="shared" si="54"/>
        <v>1.8524099784577019E-4</v>
      </c>
      <c r="K1187" s="25">
        <f t="shared" si="56"/>
        <v>0.73093957980267776</v>
      </c>
      <c r="L1187" s="26" t="s">
        <v>7516</v>
      </c>
      <c r="M1187" s="28"/>
      <c r="N1187" s="28"/>
      <c r="O1187" s="20">
        <v>9902.8799999999992</v>
      </c>
      <c r="P1187" s="27" t="str">
        <f t="shared" si="55"/>
        <v>amarelo</v>
      </c>
    </row>
    <row r="1188" spans="1:16" ht="25.5">
      <c r="A1188" s="3" t="s">
        <v>4</v>
      </c>
      <c r="B1188" s="3" t="s">
        <v>645</v>
      </c>
      <c r="C1188" s="4">
        <v>178</v>
      </c>
      <c r="D1188" s="3" t="s">
        <v>74</v>
      </c>
      <c r="E1188" s="3" t="s">
        <v>7</v>
      </c>
      <c r="F1188" s="5">
        <v>600</v>
      </c>
      <c r="G1188" s="5">
        <v>468</v>
      </c>
      <c r="H1188" s="6">
        <v>29983.295999999998</v>
      </c>
      <c r="I1188" s="22">
        <v>26723.88</v>
      </c>
      <c r="J1188" s="24">
        <f t="shared" si="54"/>
        <v>1.8517302315956464E-4</v>
      </c>
      <c r="K1188" s="25">
        <f t="shared" si="56"/>
        <v>0.73112475282583733</v>
      </c>
      <c r="L1188" s="26" t="s">
        <v>7516</v>
      </c>
      <c r="M1188" s="28"/>
      <c r="N1188" s="28">
        <v>4.406587471009045E-2</v>
      </c>
      <c r="O1188" s="20">
        <v>8260.9500000000007</v>
      </c>
      <c r="P1188" s="27" t="str">
        <f t="shared" si="55"/>
        <v>amarelo</v>
      </c>
    </row>
    <row r="1189" spans="1:16" ht="38.25">
      <c r="A1189" s="3" t="s">
        <v>4</v>
      </c>
      <c r="B1189" s="3" t="s">
        <v>646</v>
      </c>
      <c r="C1189" s="4">
        <v>143</v>
      </c>
      <c r="D1189" s="3" t="s">
        <v>44</v>
      </c>
      <c r="E1189" s="3" t="s">
        <v>41</v>
      </c>
      <c r="F1189" s="5">
        <v>72</v>
      </c>
      <c r="G1189" s="5">
        <v>408</v>
      </c>
      <c r="H1189" s="6">
        <v>4781.28</v>
      </c>
      <c r="I1189" s="22">
        <v>26661.15</v>
      </c>
      <c r="J1189" s="24">
        <f t="shared" si="54"/>
        <v>1.8473835934043359E-4</v>
      </c>
      <c r="K1189" s="25">
        <f t="shared" si="56"/>
        <v>0.73130949118517774</v>
      </c>
      <c r="L1189" s="26" t="s">
        <v>7516</v>
      </c>
      <c r="M1189" s="28"/>
      <c r="N1189" s="28"/>
      <c r="O1189" s="20">
        <v>3782.88</v>
      </c>
      <c r="P1189" s="27" t="str">
        <f t="shared" si="55"/>
        <v>amarelo</v>
      </c>
    </row>
    <row r="1190" spans="1:16">
      <c r="A1190" s="3" t="s">
        <v>6096</v>
      </c>
      <c r="B1190" s="3" t="s">
        <v>6097</v>
      </c>
      <c r="C1190" s="4">
        <v>240</v>
      </c>
      <c r="D1190" s="3" t="s">
        <v>69</v>
      </c>
      <c r="E1190" s="3" t="s">
        <v>16</v>
      </c>
      <c r="F1190" s="5">
        <v>708</v>
      </c>
      <c r="G1190" s="5">
        <v>468</v>
      </c>
      <c r="H1190" s="6">
        <v>40504.080000000002</v>
      </c>
      <c r="I1190" s="22">
        <v>26611.56</v>
      </c>
      <c r="J1190" s="24">
        <f t="shared" si="54"/>
        <v>1.8439474418355955E-4</v>
      </c>
      <c r="K1190" s="25">
        <f t="shared" si="56"/>
        <v>0.73149388592936126</v>
      </c>
      <c r="L1190" s="26" t="s">
        <v>7516</v>
      </c>
      <c r="M1190" s="28"/>
      <c r="N1190" s="28"/>
      <c r="O1190" s="20" t="s">
        <v>7530</v>
      </c>
      <c r="P1190" s="27" t="str">
        <f t="shared" si="55"/>
        <v>vermelho</v>
      </c>
    </row>
    <row r="1191" spans="1:16" ht="25.5">
      <c r="A1191" s="3" t="s">
        <v>6098</v>
      </c>
      <c r="B1191" s="3" t="s">
        <v>6099</v>
      </c>
      <c r="C1191" s="4">
        <v>218</v>
      </c>
      <c r="D1191" s="3" t="s">
        <v>104</v>
      </c>
      <c r="E1191" s="3" t="s">
        <v>16</v>
      </c>
      <c r="F1191" s="5">
        <v>288</v>
      </c>
      <c r="G1191" s="5">
        <v>462</v>
      </c>
      <c r="H1191" s="6">
        <v>15276.6</v>
      </c>
      <c r="I1191" s="22">
        <v>26610.66</v>
      </c>
      <c r="J1191" s="24">
        <f t="shared" si="54"/>
        <v>1.8438850797381591E-4</v>
      </c>
      <c r="K1191" s="25">
        <f t="shared" si="56"/>
        <v>0.73167827443733513</v>
      </c>
      <c r="L1191" s="26" t="s">
        <v>7516</v>
      </c>
      <c r="M1191" s="28"/>
      <c r="N1191" s="28"/>
      <c r="O1191" s="20">
        <v>8016</v>
      </c>
      <c r="P1191" s="27" t="str">
        <f t="shared" si="55"/>
        <v>amarelo</v>
      </c>
    </row>
    <row r="1192" spans="1:16" ht="25.5">
      <c r="A1192" s="3" t="s">
        <v>6100</v>
      </c>
      <c r="B1192" s="3" t="s">
        <v>6101</v>
      </c>
      <c r="C1192" s="4">
        <v>297</v>
      </c>
      <c r="D1192" s="3" t="s">
        <v>115</v>
      </c>
      <c r="E1192" s="3" t="s">
        <v>41</v>
      </c>
      <c r="F1192" s="5">
        <v>378</v>
      </c>
      <c r="G1192" s="5">
        <v>519</v>
      </c>
      <c r="H1192" s="6">
        <v>18732.707999999999</v>
      </c>
      <c r="I1192" s="22">
        <v>26603.129000000001</v>
      </c>
      <c r="J1192" s="24">
        <f t="shared" si="54"/>
        <v>1.8433632475650563E-4</v>
      </c>
      <c r="K1192" s="25">
        <f t="shared" si="56"/>
        <v>0.73186261076209158</v>
      </c>
      <c r="L1192" s="26" t="s">
        <v>7516</v>
      </c>
      <c r="M1192" s="28"/>
      <c r="N1192" s="28"/>
      <c r="O1192" s="20">
        <v>2790.8919999999998</v>
      </c>
      <c r="P1192" s="27" t="str">
        <f t="shared" si="55"/>
        <v>amarelo</v>
      </c>
    </row>
    <row r="1193" spans="1:16" ht="25.5">
      <c r="A1193" s="3" t="s">
        <v>4</v>
      </c>
      <c r="B1193" s="3" t="s">
        <v>647</v>
      </c>
      <c r="C1193" s="4">
        <v>208</v>
      </c>
      <c r="D1193" s="3" t="s">
        <v>15</v>
      </c>
      <c r="E1193" s="3" t="s">
        <v>16</v>
      </c>
      <c r="F1193" s="5">
        <v>432</v>
      </c>
      <c r="G1193" s="5">
        <v>444</v>
      </c>
      <c r="H1193" s="6">
        <v>23803.439999999999</v>
      </c>
      <c r="I1193" s="22">
        <v>26593.08</v>
      </c>
      <c r="J1193" s="24">
        <f t="shared" si="54"/>
        <v>1.8426669401015703E-4</v>
      </c>
      <c r="K1193" s="25">
        <f t="shared" si="56"/>
        <v>0.73204687745610175</v>
      </c>
      <c r="L1193" s="26" t="s">
        <v>7516</v>
      </c>
      <c r="M1193" s="28"/>
      <c r="N1193" s="28"/>
      <c r="O1193" s="20">
        <v>21454.799999999999</v>
      </c>
      <c r="P1193" s="27" t="str">
        <f t="shared" si="55"/>
        <v>laranja</v>
      </c>
    </row>
    <row r="1194" spans="1:16" ht="38.25">
      <c r="A1194" s="3" t="s">
        <v>6102</v>
      </c>
      <c r="B1194" s="3" t="s">
        <v>5707</v>
      </c>
      <c r="C1194" s="4">
        <v>45</v>
      </c>
      <c r="D1194" s="3" t="s">
        <v>23</v>
      </c>
      <c r="E1194" s="3" t="s">
        <v>7</v>
      </c>
      <c r="F1194" s="5">
        <v>1026</v>
      </c>
      <c r="G1194" s="5">
        <v>453</v>
      </c>
      <c r="H1194" s="6">
        <v>65785.86</v>
      </c>
      <c r="I1194" s="22">
        <v>26588.91</v>
      </c>
      <c r="J1194" s="24">
        <f t="shared" si="54"/>
        <v>1.8423779957167817E-4</v>
      </c>
      <c r="K1194" s="25">
        <f t="shared" si="56"/>
        <v>0.73223111525567341</v>
      </c>
      <c r="L1194" s="26" t="s">
        <v>7516</v>
      </c>
      <c r="M1194" s="28"/>
      <c r="N1194" s="28"/>
      <c r="O1194" s="20">
        <v>30935.34</v>
      </c>
      <c r="P1194" s="27" t="str">
        <f t="shared" si="55"/>
        <v>verde</v>
      </c>
    </row>
    <row r="1195" spans="1:16" ht="25.5">
      <c r="A1195" s="3" t="s">
        <v>4</v>
      </c>
      <c r="B1195" s="3" t="s">
        <v>648</v>
      </c>
      <c r="C1195" s="4">
        <v>321</v>
      </c>
      <c r="D1195" s="3" t="s">
        <v>136</v>
      </c>
      <c r="E1195" s="3" t="s">
        <v>41</v>
      </c>
      <c r="F1195" s="5">
        <v>225</v>
      </c>
      <c r="G1195" s="5">
        <v>444</v>
      </c>
      <c r="H1195" s="6">
        <v>13639.74</v>
      </c>
      <c r="I1195" s="22">
        <v>26585.16</v>
      </c>
      <c r="J1195" s="24">
        <f t="shared" si="54"/>
        <v>1.8421181536441305E-4</v>
      </c>
      <c r="K1195" s="25">
        <f t="shared" si="56"/>
        <v>0.73241532707103785</v>
      </c>
      <c r="L1195" s="26" t="s">
        <v>7516</v>
      </c>
      <c r="M1195" s="28"/>
      <c r="N1195" s="28"/>
      <c r="O1195" s="20">
        <v>20517.66</v>
      </c>
      <c r="P1195" s="27" t="str">
        <f t="shared" si="55"/>
        <v>laranja</v>
      </c>
    </row>
    <row r="1196" spans="1:16" ht="38.25">
      <c r="A1196" s="3" t="s">
        <v>4</v>
      </c>
      <c r="B1196" s="3" t="s">
        <v>649</v>
      </c>
      <c r="C1196" s="4">
        <v>143</v>
      </c>
      <c r="D1196" s="3" t="s">
        <v>44</v>
      </c>
      <c r="E1196" s="3" t="s">
        <v>41</v>
      </c>
      <c r="F1196" s="5">
        <v>396</v>
      </c>
      <c r="G1196" s="5">
        <v>432</v>
      </c>
      <c r="H1196" s="6">
        <v>20387.759999999998</v>
      </c>
      <c r="I1196" s="22">
        <v>26562.65</v>
      </c>
      <c r="J1196" s="24">
        <f t="shared" si="54"/>
        <v>1.8405584082960294E-4</v>
      </c>
      <c r="K1196" s="25">
        <f t="shared" si="56"/>
        <v>0.73259938291186744</v>
      </c>
      <c r="L1196" s="26" t="s">
        <v>7516</v>
      </c>
      <c r="M1196" s="28"/>
      <c r="N1196" s="28"/>
      <c r="O1196" s="20">
        <v>12304.01</v>
      </c>
      <c r="P1196" s="27" t="str">
        <f t="shared" si="55"/>
        <v>amarelo</v>
      </c>
    </row>
    <row r="1197" spans="1:16" ht="25.5">
      <c r="A1197" s="3" t="s">
        <v>4</v>
      </c>
      <c r="B1197" s="3" t="s">
        <v>650</v>
      </c>
      <c r="C1197" s="4">
        <v>317</v>
      </c>
      <c r="D1197" s="3" t="s">
        <v>78</v>
      </c>
      <c r="E1197" s="3" t="s">
        <v>10</v>
      </c>
      <c r="F1197" s="5">
        <v>0</v>
      </c>
      <c r="G1197" s="5">
        <v>411</v>
      </c>
      <c r="H1197" s="6">
        <v>0</v>
      </c>
      <c r="I1197" s="22">
        <v>26555.07</v>
      </c>
      <c r="J1197" s="24">
        <f t="shared" si="54"/>
        <v>1.8400331808531768E-4</v>
      </c>
      <c r="K1197" s="25">
        <f t="shared" si="56"/>
        <v>0.73278338622995276</v>
      </c>
      <c r="L1197" s="26" t="s">
        <v>7516</v>
      </c>
      <c r="M1197" s="28"/>
      <c r="N1197" s="28"/>
      <c r="O1197" s="20" t="s">
        <v>7530</v>
      </c>
      <c r="P1197" s="27" t="str">
        <f t="shared" si="55"/>
        <v>vermelho</v>
      </c>
    </row>
    <row r="1198" spans="1:16" ht="38.25">
      <c r="A1198" s="3" t="s">
        <v>4</v>
      </c>
      <c r="B1198" s="3" t="s">
        <v>651</v>
      </c>
      <c r="C1198" s="4">
        <v>38</v>
      </c>
      <c r="D1198" s="3" t="s">
        <v>184</v>
      </c>
      <c r="E1198" s="3" t="s">
        <v>49</v>
      </c>
      <c r="F1198" s="5">
        <v>447</v>
      </c>
      <c r="G1198" s="5">
        <v>432</v>
      </c>
      <c r="H1198" s="6">
        <v>26642.46</v>
      </c>
      <c r="I1198" s="22">
        <v>26538.48</v>
      </c>
      <c r="J1198" s="24">
        <f t="shared" si="54"/>
        <v>1.8388836395237675E-4</v>
      </c>
      <c r="K1198" s="25">
        <f t="shared" si="56"/>
        <v>0.73296727459390509</v>
      </c>
      <c r="L1198" s="26" t="s">
        <v>7516</v>
      </c>
      <c r="M1198" s="28"/>
      <c r="N1198" s="28"/>
      <c r="O1198" s="20">
        <v>13963.92</v>
      </c>
      <c r="P1198" s="27" t="str">
        <f t="shared" si="55"/>
        <v>laranja</v>
      </c>
    </row>
    <row r="1199" spans="1:16" ht="25.5">
      <c r="A1199" s="3" t="s">
        <v>4</v>
      </c>
      <c r="B1199" s="3" t="s">
        <v>652</v>
      </c>
      <c r="C1199" s="4">
        <v>61</v>
      </c>
      <c r="D1199" s="3" t="s">
        <v>48</v>
      </c>
      <c r="E1199" s="3" t="s">
        <v>49</v>
      </c>
      <c r="F1199" s="5">
        <v>444</v>
      </c>
      <c r="G1199" s="5">
        <v>396</v>
      </c>
      <c r="H1199" s="6">
        <v>26117.88</v>
      </c>
      <c r="I1199" s="22">
        <v>26530.080000000002</v>
      </c>
      <c r="J1199" s="24">
        <f t="shared" si="54"/>
        <v>1.8383015932810288E-4</v>
      </c>
      <c r="K1199" s="25">
        <f t="shared" si="56"/>
        <v>0.7331511047532332</v>
      </c>
      <c r="L1199" s="26" t="s">
        <v>7516</v>
      </c>
      <c r="M1199" s="28"/>
      <c r="N1199" s="28"/>
      <c r="O1199" s="20">
        <v>9508.3799999999992</v>
      </c>
      <c r="P1199" s="27" t="str">
        <f t="shared" si="55"/>
        <v>amarelo</v>
      </c>
    </row>
    <row r="1200" spans="1:16" ht="25.5">
      <c r="A1200" s="3" t="s">
        <v>4</v>
      </c>
      <c r="B1200" s="3" t="s">
        <v>653</v>
      </c>
      <c r="C1200" s="4">
        <v>19</v>
      </c>
      <c r="D1200" s="3" t="s">
        <v>72</v>
      </c>
      <c r="E1200" s="3" t="s">
        <v>41</v>
      </c>
      <c r="F1200" s="5">
        <v>240</v>
      </c>
      <c r="G1200" s="5">
        <v>432</v>
      </c>
      <c r="H1200" s="6">
        <v>15756</v>
      </c>
      <c r="I1200" s="22">
        <v>26458.92</v>
      </c>
      <c r="J1200" s="24">
        <f t="shared" si="54"/>
        <v>1.8333708301103982E-4</v>
      </c>
      <c r="K1200" s="25">
        <f t="shared" si="56"/>
        <v>0.73333444183624419</v>
      </c>
      <c r="L1200" s="26" t="s">
        <v>7516</v>
      </c>
      <c r="M1200" s="28"/>
      <c r="N1200" s="28"/>
      <c r="O1200" s="20" t="s">
        <v>7530</v>
      </c>
      <c r="P1200" s="27" t="str">
        <f t="shared" si="55"/>
        <v>vermelho</v>
      </c>
    </row>
    <row r="1201" spans="1:16" ht="25.5">
      <c r="A1201" s="3" t="s">
        <v>4</v>
      </c>
      <c r="B1201" s="3" t="s">
        <v>654</v>
      </c>
      <c r="C1201" s="4">
        <v>327</v>
      </c>
      <c r="D1201" s="3" t="s">
        <v>100</v>
      </c>
      <c r="E1201" s="3" t="s">
        <v>7</v>
      </c>
      <c r="F1201" s="5">
        <v>0</v>
      </c>
      <c r="G1201" s="5">
        <v>345</v>
      </c>
      <c r="H1201" s="6">
        <v>0</v>
      </c>
      <c r="I1201" s="22">
        <v>26455.5</v>
      </c>
      <c r="J1201" s="24">
        <f t="shared" si="54"/>
        <v>1.8331338541401404E-4</v>
      </c>
      <c r="K1201" s="25">
        <f t="shared" si="56"/>
        <v>0.73351775522165819</v>
      </c>
      <c r="L1201" s="26" t="s">
        <v>7516</v>
      </c>
      <c r="M1201" s="28">
        <v>3.7292917499813019E-3</v>
      </c>
      <c r="N1201" s="28"/>
      <c r="O1201" s="20">
        <v>23259.42</v>
      </c>
      <c r="P1201" s="27" t="str">
        <f t="shared" si="55"/>
        <v>laranja</v>
      </c>
    </row>
    <row r="1202" spans="1:16" ht="38.25">
      <c r="A1202" s="3" t="s">
        <v>6103</v>
      </c>
      <c r="B1202" s="3" t="s">
        <v>6104</v>
      </c>
      <c r="C1202" s="4">
        <v>11</v>
      </c>
      <c r="D1202" s="3" t="s">
        <v>61</v>
      </c>
      <c r="E1202" s="3" t="s">
        <v>10</v>
      </c>
      <c r="F1202" s="5">
        <v>0</v>
      </c>
      <c r="G1202" s="5">
        <v>408</v>
      </c>
      <c r="H1202" s="6">
        <v>0</v>
      </c>
      <c r="I1202" s="22">
        <v>26445.08</v>
      </c>
      <c r="J1202" s="24">
        <f t="shared" si="54"/>
        <v>1.8324118396342669E-4</v>
      </c>
      <c r="K1202" s="25">
        <f t="shared" si="56"/>
        <v>0.73370099640562159</v>
      </c>
      <c r="L1202" s="26" t="s">
        <v>7516</v>
      </c>
      <c r="M1202" s="28"/>
      <c r="N1202" s="28"/>
      <c r="O1202" s="20" t="s">
        <v>7530</v>
      </c>
      <c r="P1202" s="27" t="str">
        <f t="shared" si="55"/>
        <v>vermelho</v>
      </c>
    </row>
    <row r="1203" spans="1:16" ht="25.5">
      <c r="A1203" s="3" t="s">
        <v>4</v>
      </c>
      <c r="B1203" s="3" t="s">
        <v>655</v>
      </c>
      <c r="C1203" s="4">
        <v>178</v>
      </c>
      <c r="D1203" s="3" t="s">
        <v>74</v>
      </c>
      <c r="E1203" s="3" t="s">
        <v>7</v>
      </c>
      <c r="F1203" s="5">
        <v>348</v>
      </c>
      <c r="G1203" s="5">
        <v>420</v>
      </c>
      <c r="H1203" s="6">
        <v>19833.72</v>
      </c>
      <c r="I1203" s="22">
        <v>26413.8</v>
      </c>
      <c r="J1203" s="24">
        <f t="shared" si="54"/>
        <v>1.8302444102922584E-4</v>
      </c>
      <c r="K1203" s="25">
        <f t="shared" si="56"/>
        <v>0.73388402084665083</v>
      </c>
      <c r="L1203" s="26" t="s">
        <v>7516</v>
      </c>
      <c r="M1203" s="28"/>
      <c r="N1203" s="28"/>
      <c r="O1203" s="20">
        <v>13182.12</v>
      </c>
      <c r="P1203" s="27" t="str">
        <f t="shared" si="55"/>
        <v>amarelo</v>
      </c>
    </row>
    <row r="1204" spans="1:16" ht="25.5">
      <c r="A1204" s="3" t="s">
        <v>4</v>
      </c>
      <c r="B1204" s="3" t="s">
        <v>656</v>
      </c>
      <c r="C1204" s="4">
        <v>337</v>
      </c>
      <c r="D1204" s="3" t="s">
        <v>202</v>
      </c>
      <c r="E1204" s="3" t="s">
        <v>16</v>
      </c>
      <c r="F1204" s="5">
        <v>588</v>
      </c>
      <c r="G1204" s="5">
        <v>408</v>
      </c>
      <c r="H1204" s="6">
        <v>35267.760000000002</v>
      </c>
      <c r="I1204" s="22">
        <v>26405.64</v>
      </c>
      <c r="J1204" s="24">
        <f t="shared" si="54"/>
        <v>1.8296789939421692E-4</v>
      </c>
      <c r="K1204" s="25">
        <f t="shared" si="56"/>
        <v>0.73406698874604503</v>
      </c>
      <c r="L1204" s="26" t="s">
        <v>7516</v>
      </c>
      <c r="M1204" s="28"/>
      <c r="N1204" s="28"/>
      <c r="O1204" s="20">
        <v>28255.24</v>
      </c>
      <c r="P1204" s="27" t="str">
        <f t="shared" si="55"/>
        <v>verde</v>
      </c>
    </row>
    <row r="1205" spans="1:16" ht="25.5">
      <c r="A1205" s="3" t="s">
        <v>4</v>
      </c>
      <c r="B1205" s="3" t="s">
        <v>657</v>
      </c>
      <c r="C1205" s="4">
        <v>74</v>
      </c>
      <c r="D1205" s="3" t="s">
        <v>6</v>
      </c>
      <c r="E1205" s="3" t="s">
        <v>7</v>
      </c>
      <c r="F1205" s="5">
        <v>0</v>
      </c>
      <c r="G1205" s="5">
        <v>438</v>
      </c>
      <c r="H1205" s="6">
        <v>0</v>
      </c>
      <c r="I1205" s="22">
        <v>26398.38</v>
      </c>
      <c r="J1205" s="24">
        <f t="shared" si="54"/>
        <v>1.8291759396895166E-4</v>
      </c>
      <c r="K1205" s="25">
        <f t="shared" si="56"/>
        <v>0.73424990634001397</v>
      </c>
      <c r="L1205" s="26" t="s">
        <v>7516</v>
      </c>
      <c r="M1205" s="28"/>
      <c r="N1205" s="28"/>
      <c r="O1205" s="20" t="s">
        <v>7530</v>
      </c>
      <c r="P1205" s="27" t="str">
        <f t="shared" si="55"/>
        <v>vermelho</v>
      </c>
    </row>
    <row r="1206" spans="1:16" ht="25.5">
      <c r="A1206" s="3" t="s">
        <v>4</v>
      </c>
      <c r="B1206" s="3" t="s">
        <v>658</v>
      </c>
      <c r="C1206" s="4">
        <v>194</v>
      </c>
      <c r="D1206" s="3" t="s">
        <v>145</v>
      </c>
      <c r="E1206" s="3" t="s">
        <v>16</v>
      </c>
      <c r="F1206" s="5">
        <v>0</v>
      </c>
      <c r="G1206" s="5">
        <v>492</v>
      </c>
      <c r="H1206" s="6">
        <v>0</v>
      </c>
      <c r="I1206" s="22">
        <v>26386.38</v>
      </c>
      <c r="J1206" s="24">
        <f t="shared" si="54"/>
        <v>1.8283444450570323E-4</v>
      </c>
      <c r="K1206" s="25">
        <f t="shared" si="56"/>
        <v>0.7344327407845197</v>
      </c>
      <c r="L1206" s="26" t="s">
        <v>7516</v>
      </c>
      <c r="M1206" s="28"/>
      <c r="N1206" s="28"/>
      <c r="O1206" s="20">
        <v>15423</v>
      </c>
      <c r="P1206" s="27" t="str">
        <f t="shared" si="55"/>
        <v>laranja</v>
      </c>
    </row>
    <row r="1207" spans="1:16">
      <c r="A1207" s="3" t="s">
        <v>4</v>
      </c>
      <c r="B1207" s="3" t="s">
        <v>659</v>
      </c>
      <c r="C1207" s="4">
        <v>315</v>
      </c>
      <c r="D1207" s="3" t="s">
        <v>63</v>
      </c>
      <c r="E1207" s="3" t="s">
        <v>7</v>
      </c>
      <c r="F1207" s="5">
        <v>192</v>
      </c>
      <c r="G1207" s="5">
        <v>444</v>
      </c>
      <c r="H1207" s="6">
        <v>10571.16</v>
      </c>
      <c r="I1207" s="22">
        <v>26383.598000000002</v>
      </c>
      <c r="J1207" s="24">
        <f t="shared" si="54"/>
        <v>1.828151676884735E-4</v>
      </c>
      <c r="K1207" s="25">
        <f t="shared" si="56"/>
        <v>0.73461555595220818</v>
      </c>
      <c r="L1207" s="26" t="s">
        <v>7516</v>
      </c>
      <c r="M1207" s="28"/>
      <c r="N1207" s="28"/>
      <c r="O1207" s="20">
        <v>5743.32</v>
      </c>
      <c r="P1207" s="27" t="str">
        <f t="shared" si="55"/>
        <v>amarelo</v>
      </c>
    </row>
    <row r="1208" spans="1:16" ht="25.5">
      <c r="A1208" s="3" t="s">
        <v>6105</v>
      </c>
      <c r="B1208" s="3" t="s">
        <v>6106</v>
      </c>
      <c r="C1208" s="4">
        <v>61</v>
      </c>
      <c r="D1208" s="3" t="s">
        <v>48</v>
      </c>
      <c r="E1208" s="3" t="s">
        <v>49</v>
      </c>
      <c r="F1208" s="5">
        <v>399</v>
      </c>
      <c r="G1208" s="5">
        <v>432</v>
      </c>
      <c r="H1208" s="6">
        <v>23566.71</v>
      </c>
      <c r="I1208" s="22">
        <v>26378.37</v>
      </c>
      <c r="J1208" s="24">
        <f t="shared" si="54"/>
        <v>1.8277894223898492E-4</v>
      </c>
      <c r="K1208" s="25">
        <f t="shared" si="56"/>
        <v>0.73479833489444712</v>
      </c>
      <c r="L1208" s="26" t="s">
        <v>7516</v>
      </c>
      <c r="M1208" s="28"/>
      <c r="N1208" s="28"/>
      <c r="O1208" s="20">
        <v>14794.35</v>
      </c>
      <c r="P1208" s="27" t="str">
        <f t="shared" si="55"/>
        <v>laranja</v>
      </c>
    </row>
    <row r="1209" spans="1:16" ht="25.5">
      <c r="A1209" s="3" t="s">
        <v>6107</v>
      </c>
      <c r="B1209" s="3" t="s">
        <v>6108</v>
      </c>
      <c r="C1209" s="4">
        <v>31</v>
      </c>
      <c r="D1209" s="3" t="s">
        <v>194</v>
      </c>
      <c r="E1209" s="3" t="s">
        <v>16</v>
      </c>
      <c r="F1209" s="5">
        <v>0</v>
      </c>
      <c r="G1209" s="5">
        <v>600</v>
      </c>
      <c r="H1209" s="6">
        <v>0</v>
      </c>
      <c r="I1209" s="22">
        <v>26368.2</v>
      </c>
      <c r="J1209" s="24">
        <f t="shared" si="54"/>
        <v>1.8270847306888191E-4</v>
      </c>
      <c r="K1209" s="25">
        <f t="shared" si="56"/>
        <v>0.73498104336751602</v>
      </c>
      <c r="L1209" s="26" t="s">
        <v>7516</v>
      </c>
      <c r="M1209" s="28"/>
      <c r="N1209" s="28"/>
      <c r="O1209" s="20" t="s">
        <v>7530</v>
      </c>
      <c r="P1209" s="27" t="str">
        <f t="shared" si="55"/>
        <v>vermelho</v>
      </c>
    </row>
    <row r="1210" spans="1:16" ht="25.5">
      <c r="A1210" s="3" t="s">
        <v>4</v>
      </c>
      <c r="B1210" s="3" t="s">
        <v>660</v>
      </c>
      <c r="C1210" s="4">
        <v>316</v>
      </c>
      <c r="D1210" s="3" t="s">
        <v>247</v>
      </c>
      <c r="E1210" s="3" t="s">
        <v>10</v>
      </c>
      <c r="F1210" s="5">
        <v>0</v>
      </c>
      <c r="G1210" s="5">
        <v>501</v>
      </c>
      <c r="H1210" s="6">
        <v>0</v>
      </c>
      <c r="I1210" s="22">
        <v>26349.360000000001</v>
      </c>
      <c r="J1210" s="24">
        <f t="shared" si="54"/>
        <v>1.8257792841158192E-4</v>
      </c>
      <c r="K1210" s="25">
        <f t="shared" si="56"/>
        <v>0.73516362129592761</v>
      </c>
      <c r="L1210" s="26" t="s">
        <v>7516</v>
      </c>
      <c r="M1210" s="28"/>
      <c r="N1210" s="28">
        <v>1.053070822494364E-2</v>
      </c>
      <c r="O1210" s="20">
        <v>16417.349999999999</v>
      </c>
      <c r="P1210" s="27" t="str">
        <f t="shared" si="55"/>
        <v>laranja</v>
      </c>
    </row>
    <row r="1211" spans="1:16">
      <c r="A1211" s="3" t="s">
        <v>6109</v>
      </c>
      <c r="B1211" s="3" t="s">
        <v>6110</v>
      </c>
      <c r="C1211" s="4">
        <v>231</v>
      </c>
      <c r="D1211" s="3" t="s">
        <v>52</v>
      </c>
      <c r="E1211" s="3" t="s">
        <v>7</v>
      </c>
      <c r="F1211" s="5">
        <v>228</v>
      </c>
      <c r="G1211" s="5">
        <v>492</v>
      </c>
      <c r="H1211" s="6">
        <v>13834.2</v>
      </c>
      <c r="I1211" s="22">
        <v>26346.959999999999</v>
      </c>
      <c r="J1211" s="24">
        <f t="shared" si="54"/>
        <v>1.8256129851893223E-4</v>
      </c>
      <c r="K1211" s="25">
        <f t="shared" si="56"/>
        <v>0.73534618259444651</v>
      </c>
      <c r="L1211" s="26" t="s">
        <v>7516</v>
      </c>
      <c r="M1211" s="28"/>
      <c r="N1211" s="28"/>
      <c r="O1211" s="20">
        <v>10480.200000000001</v>
      </c>
      <c r="P1211" s="27" t="str">
        <f t="shared" si="55"/>
        <v>amarelo</v>
      </c>
    </row>
    <row r="1212" spans="1:16" ht="25.5">
      <c r="A1212" s="3" t="s">
        <v>6111</v>
      </c>
      <c r="B1212" s="3" t="s">
        <v>6112</v>
      </c>
      <c r="C1212" s="4">
        <v>31</v>
      </c>
      <c r="D1212" s="3" t="s">
        <v>194</v>
      </c>
      <c r="E1212" s="3" t="s">
        <v>16</v>
      </c>
      <c r="F1212" s="5">
        <v>204</v>
      </c>
      <c r="G1212" s="5">
        <v>426</v>
      </c>
      <c r="H1212" s="6">
        <v>9917.31</v>
      </c>
      <c r="I1212" s="22">
        <v>26307.06</v>
      </c>
      <c r="J1212" s="24">
        <f t="shared" si="54"/>
        <v>1.8228482655363129E-4</v>
      </c>
      <c r="K1212" s="25">
        <f t="shared" si="56"/>
        <v>0.73552846742100009</v>
      </c>
      <c r="L1212" s="26" t="s">
        <v>7516</v>
      </c>
      <c r="M1212" s="28"/>
      <c r="N1212" s="28"/>
      <c r="O1212" s="20">
        <v>8690.94</v>
      </c>
      <c r="P1212" s="27" t="str">
        <f t="shared" si="55"/>
        <v>amarelo</v>
      </c>
    </row>
    <row r="1213" spans="1:16" ht="38.25">
      <c r="A1213" s="3" t="s">
        <v>4</v>
      </c>
      <c r="B1213" s="3" t="s">
        <v>335</v>
      </c>
      <c r="C1213" s="4">
        <v>264</v>
      </c>
      <c r="D1213" s="3" t="s">
        <v>40</v>
      </c>
      <c r="E1213" s="3" t="s">
        <v>41</v>
      </c>
      <c r="F1213" s="5">
        <v>258</v>
      </c>
      <c r="G1213" s="5">
        <v>591</v>
      </c>
      <c r="H1213" s="6">
        <v>15599.28</v>
      </c>
      <c r="I1213" s="22">
        <v>26285.905999999999</v>
      </c>
      <c r="J1213" s="24">
        <f t="shared" si="54"/>
        <v>1.8213824790816821E-4</v>
      </c>
      <c r="K1213" s="25">
        <f t="shared" si="56"/>
        <v>0.73571060566890822</v>
      </c>
      <c r="L1213" s="26" t="s">
        <v>7516</v>
      </c>
      <c r="M1213" s="28"/>
      <c r="N1213" s="28"/>
      <c r="O1213" s="20">
        <v>10649.43</v>
      </c>
      <c r="P1213" s="27" t="str">
        <f t="shared" si="55"/>
        <v>amarelo</v>
      </c>
    </row>
    <row r="1214" spans="1:16" ht="25.5">
      <c r="A1214" s="3" t="s">
        <v>4</v>
      </c>
      <c r="B1214" s="3" t="s">
        <v>661</v>
      </c>
      <c r="C1214" s="4">
        <v>197</v>
      </c>
      <c r="D1214" s="3" t="s">
        <v>66</v>
      </c>
      <c r="E1214" s="3" t="s">
        <v>41</v>
      </c>
      <c r="F1214" s="5">
        <v>228</v>
      </c>
      <c r="G1214" s="5">
        <v>432</v>
      </c>
      <c r="H1214" s="6">
        <v>14005.2</v>
      </c>
      <c r="I1214" s="22">
        <v>26273.4</v>
      </c>
      <c r="J1214" s="24">
        <f t="shared" si="54"/>
        <v>1.8205159230921952E-4</v>
      </c>
      <c r="K1214" s="25">
        <f t="shared" si="56"/>
        <v>0.73589265726121744</v>
      </c>
      <c r="L1214" s="26" t="s">
        <v>7516</v>
      </c>
      <c r="M1214" s="28"/>
      <c r="N1214" s="28"/>
      <c r="O1214" s="20" t="s">
        <v>7530</v>
      </c>
      <c r="P1214" s="27" t="str">
        <f t="shared" si="55"/>
        <v>vermelho</v>
      </c>
    </row>
    <row r="1215" spans="1:16" ht="25.5">
      <c r="A1215" s="3" t="s">
        <v>4</v>
      </c>
      <c r="B1215" s="3" t="s">
        <v>662</v>
      </c>
      <c r="C1215" s="4">
        <v>23</v>
      </c>
      <c r="D1215" s="3" t="s">
        <v>87</v>
      </c>
      <c r="E1215" s="3" t="s">
        <v>7</v>
      </c>
      <c r="F1215" s="5">
        <v>300</v>
      </c>
      <c r="G1215" s="5">
        <v>448</v>
      </c>
      <c r="H1215" s="6">
        <v>18320.34</v>
      </c>
      <c r="I1215" s="22">
        <v>26262.799999999999</v>
      </c>
      <c r="J1215" s="24">
        <f t="shared" si="54"/>
        <v>1.8197814361668342E-4</v>
      </c>
      <c r="K1215" s="25">
        <f t="shared" si="56"/>
        <v>0.73607463540483409</v>
      </c>
      <c r="L1215" s="26" t="s">
        <v>7516</v>
      </c>
      <c r="M1215" s="28"/>
      <c r="N1215" s="28"/>
      <c r="O1215" s="20">
        <v>13905.93</v>
      </c>
      <c r="P1215" s="27" t="str">
        <f t="shared" si="55"/>
        <v>laranja</v>
      </c>
    </row>
    <row r="1216" spans="1:16" ht="25.5">
      <c r="A1216" s="3" t="s">
        <v>4</v>
      </c>
      <c r="B1216" s="3" t="s">
        <v>663</v>
      </c>
      <c r="C1216" s="4">
        <v>267</v>
      </c>
      <c r="D1216" s="3" t="s">
        <v>125</v>
      </c>
      <c r="E1216" s="3" t="s">
        <v>16</v>
      </c>
      <c r="F1216" s="5">
        <v>342</v>
      </c>
      <c r="G1216" s="5">
        <v>453</v>
      </c>
      <c r="H1216" s="6">
        <v>20844.12</v>
      </c>
      <c r="I1216" s="22">
        <v>26259.54</v>
      </c>
      <c r="J1216" s="24">
        <f t="shared" si="54"/>
        <v>1.8195555467916762E-4</v>
      </c>
      <c r="K1216" s="25">
        <f t="shared" si="56"/>
        <v>0.73625659095951324</v>
      </c>
      <c r="L1216" s="26" t="s">
        <v>7516</v>
      </c>
      <c r="M1216" s="28"/>
      <c r="N1216" s="28"/>
      <c r="O1216" s="20">
        <v>7793.64</v>
      </c>
      <c r="P1216" s="27" t="str">
        <f t="shared" si="55"/>
        <v>amarelo</v>
      </c>
    </row>
    <row r="1217" spans="1:16" ht="25.5">
      <c r="A1217" s="3" t="s">
        <v>4</v>
      </c>
      <c r="B1217" s="3" t="s">
        <v>664</v>
      </c>
      <c r="C1217" s="4">
        <v>23</v>
      </c>
      <c r="D1217" s="3" t="s">
        <v>87</v>
      </c>
      <c r="E1217" s="3" t="s">
        <v>7</v>
      </c>
      <c r="F1217" s="5">
        <v>525</v>
      </c>
      <c r="G1217" s="5">
        <v>408</v>
      </c>
      <c r="H1217" s="6">
        <v>29574.75</v>
      </c>
      <c r="I1217" s="22">
        <v>26193.99</v>
      </c>
      <c r="J1217" s="24">
        <f t="shared" si="54"/>
        <v>1.8150135073617321E-4</v>
      </c>
      <c r="K1217" s="25">
        <f t="shared" si="56"/>
        <v>0.73643809231024937</v>
      </c>
      <c r="L1217" s="26" t="s">
        <v>7516</v>
      </c>
      <c r="M1217" s="28"/>
      <c r="N1217" s="28">
        <v>4.8091609645227518E-2</v>
      </c>
      <c r="O1217" s="20">
        <v>12054.203</v>
      </c>
      <c r="P1217" s="27" t="str">
        <f t="shared" si="55"/>
        <v>amarelo</v>
      </c>
    </row>
    <row r="1218" spans="1:16">
      <c r="A1218" s="3" t="s">
        <v>4</v>
      </c>
      <c r="B1218" s="3" t="s">
        <v>665</v>
      </c>
      <c r="C1218" s="4">
        <v>15</v>
      </c>
      <c r="D1218" s="3" t="s">
        <v>18</v>
      </c>
      <c r="E1218" s="3" t="s">
        <v>16</v>
      </c>
      <c r="F1218" s="5">
        <v>810</v>
      </c>
      <c r="G1218" s="5">
        <v>390</v>
      </c>
      <c r="H1218" s="6">
        <v>49215.42</v>
      </c>
      <c r="I1218" s="22">
        <v>26186.7</v>
      </c>
      <c r="J1218" s="24">
        <f t="shared" si="54"/>
        <v>1.814508374372498E-4</v>
      </c>
      <c r="K1218" s="25">
        <f t="shared" si="56"/>
        <v>0.73661954314768663</v>
      </c>
      <c r="L1218" s="26" t="s">
        <v>7516</v>
      </c>
      <c r="M1218" s="28"/>
      <c r="N1218" s="28"/>
      <c r="O1218" s="20">
        <v>40587.300000000003</v>
      </c>
      <c r="P1218" s="27" t="str">
        <f t="shared" si="55"/>
        <v>verde</v>
      </c>
    </row>
    <row r="1219" spans="1:16" ht="25.5">
      <c r="A1219" s="3" t="s">
        <v>4</v>
      </c>
      <c r="B1219" s="3" t="s">
        <v>666</v>
      </c>
      <c r="C1219" s="4">
        <v>261</v>
      </c>
      <c r="D1219" s="3" t="s">
        <v>9</v>
      </c>
      <c r="E1219" s="3" t="s">
        <v>10</v>
      </c>
      <c r="F1219" s="5">
        <v>390</v>
      </c>
      <c r="G1219" s="5">
        <v>414</v>
      </c>
      <c r="H1219" s="6">
        <v>20932.8</v>
      </c>
      <c r="I1219" s="22">
        <v>26186.43</v>
      </c>
      <c r="J1219" s="24">
        <f t="shared" ref="J1219:J1282" si="57">I1219/$I$6364</f>
        <v>1.814489665743267E-4</v>
      </c>
      <c r="K1219" s="25">
        <f t="shared" si="56"/>
        <v>0.73680099211426098</v>
      </c>
      <c r="L1219" s="26" t="s">
        <v>7516</v>
      </c>
      <c r="M1219" s="28"/>
      <c r="N1219" s="28"/>
      <c r="O1219" s="20">
        <v>8904.1200000000008</v>
      </c>
      <c r="P1219" s="27" t="str">
        <f t="shared" ref="P1219:P1282" si="58">IF(O1219&lt;=0,"vermelho",IFERROR(IF(O1219/I1219&lt;=0.5098,"amarelo",IF(O1219/I1219&lt;1,"laranja","verde")),"vermelho"))</f>
        <v>amarelo</v>
      </c>
    </row>
    <row r="1220" spans="1:16" ht="25.5">
      <c r="A1220" s="3" t="s">
        <v>4</v>
      </c>
      <c r="B1220" s="3" t="s">
        <v>667</v>
      </c>
      <c r="C1220" s="4">
        <v>297</v>
      </c>
      <c r="D1220" s="3" t="s">
        <v>115</v>
      </c>
      <c r="E1220" s="3" t="s">
        <v>41</v>
      </c>
      <c r="F1220" s="5">
        <v>297</v>
      </c>
      <c r="G1220" s="5">
        <v>441</v>
      </c>
      <c r="H1220" s="6">
        <v>17691.84</v>
      </c>
      <c r="I1220" s="22">
        <v>26173.17</v>
      </c>
      <c r="J1220" s="24">
        <f t="shared" si="57"/>
        <v>1.8135708641743719E-4</v>
      </c>
      <c r="K1220" s="25">
        <f t="shared" ref="K1220:K1283" si="59">J1220+K1219</f>
        <v>0.7369823492006784</v>
      </c>
      <c r="L1220" s="26" t="s">
        <v>7516</v>
      </c>
      <c r="M1220" s="28"/>
      <c r="N1220" s="28"/>
      <c r="O1220" s="20" t="s">
        <v>7530</v>
      </c>
      <c r="P1220" s="27" t="str">
        <f t="shared" si="58"/>
        <v>vermelho</v>
      </c>
    </row>
    <row r="1221" spans="1:16" ht="25.5">
      <c r="A1221" s="3" t="s">
        <v>6113</v>
      </c>
      <c r="B1221" s="3" t="s">
        <v>6114</v>
      </c>
      <c r="C1221" s="4">
        <v>41</v>
      </c>
      <c r="D1221" s="3" t="s">
        <v>178</v>
      </c>
      <c r="E1221" s="3" t="s">
        <v>41</v>
      </c>
      <c r="F1221" s="5">
        <v>444</v>
      </c>
      <c r="G1221" s="5">
        <v>447</v>
      </c>
      <c r="H1221" s="6">
        <v>27234.78</v>
      </c>
      <c r="I1221" s="22">
        <v>26141.07</v>
      </c>
      <c r="J1221" s="24">
        <f t="shared" si="57"/>
        <v>1.8113466160324772E-4</v>
      </c>
      <c r="K1221" s="25">
        <f t="shared" si="59"/>
        <v>0.7371634838622817</v>
      </c>
      <c r="L1221" s="26" t="s">
        <v>7516</v>
      </c>
      <c r="M1221" s="28"/>
      <c r="N1221" s="28"/>
      <c r="O1221" s="20">
        <v>7390.5</v>
      </c>
      <c r="P1221" s="27" t="str">
        <f t="shared" si="58"/>
        <v>amarelo</v>
      </c>
    </row>
    <row r="1222" spans="1:16" ht="38.25">
      <c r="A1222" s="3" t="s">
        <v>4</v>
      </c>
      <c r="B1222" s="3" t="s">
        <v>668</v>
      </c>
      <c r="C1222" s="4">
        <v>34</v>
      </c>
      <c r="D1222" s="3" t="s">
        <v>54</v>
      </c>
      <c r="E1222" s="3" t="s">
        <v>49</v>
      </c>
      <c r="F1222" s="5">
        <v>276</v>
      </c>
      <c r="G1222" s="5">
        <v>384</v>
      </c>
      <c r="H1222" s="6">
        <v>14242.2</v>
      </c>
      <c r="I1222" s="22">
        <v>26096.880000000001</v>
      </c>
      <c r="J1222" s="24">
        <f t="shared" si="57"/>
        <v>1.8082846370483547E-4</v>
      </c>
      <c r="K1222" s="25">
        <f t="shared" si="59"/>
        <v>0.73734431232598652</v>
      </c>
      <c r="L1222" s="26" t="s">
        <v>7516</v>
      </c>
      <c r="M1222" s="28"/>
      <c r="N1222" s="28"/>
      <c r="O1222" s="20" t="s">
        <v>7530</v>
      </c>
      <c r="P1222" s="27" t="str">
        <f t="shared" si="58"/>
        <v>vermelho</v>
      </c>
    </row>
    <row r="1223" spans="1:16" ht="38.25">
      <c r="A1223" s="3" t="s">
        <v>4</v>
      </c>
      <c r="B1223" s="3" t="s">
        <v>669</v>
      </c>
      <c r="C1223" s="4">
        <v>266</v>
      </c>
      <c r="D1223" s="3" t="s">
        <v>80</v>
      </c>
      <c r="E1223" s="3" t="s">
        <v>10</v>
      </c>
      <c r="F1223" s="5">
        <v>144</v>
      </c>
      <c r="G1223" s="5">
        <v>477</v>
      </c>
      <c r="H1223" s="6">
        <v>8711.94</v>
      </c>
      <c r="I1223" s="22">
        <v>26080.95</v>
      </c>
      <c r="J1223" s="24">
        <f t="shared" si="57"/>
        <v>1.8071808279237323E-4</v>
      </c>
      <c r="K1223" s="25">
        <f t="shared" si="59"/>
        <v>0.73752503040877893</v>
      </c>
      <c r="L1223" s="26" t="s">
        <v>7516</v>
      </c>
      <c r="M1223" s="28"/>
      <c r="N1223" s="28"/>
      <c r="O1223" s="20" t="s">
        <v>7530</v>
      </c>
      <c r="P1223" s="27" t="str">
        <f t="shared" si="58"/>
        <v>vermelho</v>
      </c>
    </row>
    <row r="1224" spans="1:16" ht="25.5">
      <c r="A1224" s="3" t="s">
        <v>4</v>
      </c>
      <c r="B1224" s="3" t="s">
        <v>670</v>
      </c>
      <c r="C1224" s="4">
        <v>23</v>
      </c>
      <c r="D1224" s="3" t="s">
        <v>87</v>
      </c>
      <c r="E1224" s="3" t="s">
        <v>7</v>
      </c>
      <c r="F1224" s="5">
        <v>495</v>
      </c>
      <c r="G1224" s="5">
        <v>429</v>
      </c>
      <c r="H1224" s="6">
        <v>29120.94</v>
      </c>
      <c r="I1224" s="22">
        <v>26063.778999999999</v>
      </c>
      <c r="J1224" s="24">
        <f t="shared" si="57"/>
        <v>1.8059910283958668E-4</v>
      </c>
      <c r="K1224" s="25">
        <f t="shared" si="59"/>
        <v>0.73770562951161855</v>
      </c>
      <c r="L1224" s="26" t="s">
        <v>7516</v>
      </c>
      <c r="M1224" s="28"/>
      <c r="N1224" s="28"/>
      <c r="O1224" s="20" t="s">
        <v>7530</v>
      </c>
      <c r="P1224" s="27" t="str">
        <f t="shared" si="58"/>
        <v>vermelho</v>
      </c>
    </row>
    <row r="1225" spans="1:16" ht="25.5">
      <c r="A1225" s="3" t="s">
        <v>4</v>
      </c>
      <c r="B1225" s="3" t="s">
        <v>671</v>
      </c>
      <c r="C1225" s="4">
        <v>335</v>
      </c>
      <c r="D1225" s="3" t="s">
        <v>36</v>
      </c>
      <c r="E1225" s="3" t="s">
        <v>7</v>
      </c>
      <c r="F1225" s="5">
        <v>531</v>
      </c>
      <c r="G1225" s="5">
        <v>444</v>
      </c>
      <c r="H1225" s="6">
        <v>30756.21</v>
      </c>
      <c r="I1225" s="22">
        <v>26023.38</v>
      </c>
      <c r="J1225" s="24">
        <f t="shared" si="57"/>
        <v>1.80319173242439E-4</v>
      </c>
      <c r="K1225" s="25">
        <f t="shared" si="59"/>
        <v>0.73788594868486101</v>
      </c>
      <c r="L1225" s="26" t="s">
        <v>7516</v>
      </c>
      <c r="M1225" s="28"/>
      <c r="N1225" s="28"/>
      <c r="O1225" s="20">
        <v>6926.76</v>
      </c>
      <c r="P1225" s="27" t="str">
        <f t="shared" si="58"/>
        <v>amarelo</v>
      </c>
    </row>
    <row r="1226" spans="1:16" ht="25.5">
      <c r="A1226" s="3" t="s">
        <v>6115</v>
      </c>
      <c r="B1226" s="3" t="s">
        <v>6116</v>
      </c>
      <c r="C1226" s="4">
        <v>218</v>
      </c>
      <c r="D1226" s="3" t="s">
        <v>104</v>
      </c>
      <c r="E1226" s="3" t="s">
        <v>16</v>
      </c>
      <c r="F1226" s="5">
        <v>354</v>
      </c>
      <c r="G1226" s="5">
        <v>435</v>
      </c>
      <c r="H1226" s="6">
        <v>18695.55</v>
      </c>
      <c r="I1226" s="22">
        <v>26019.21</v>
      </c>
      <c r="J1226" s="24">
        <f t="shared" si="57"/>
        <v>1.8029027880396017E-4</v>
      </c>
      <c r="K1226" s="25">
        <f t="shared" si="59"/>
        <v>0.73806623896366497</v>
      </c>
      <c r="L1226" s="26" t="s">
        <v>7516</v>
      </c>
      <c r="M1226" s="28"/>
      <c r="N1226" s="28"/>
      <c r="O1226" s="20" t="s">
        <v>7530</v>
      </c>
      <c r="P1226" s="27" t="str">
        <f t="shared" si="58"/>
        <v>vermelho</v>
      </c>
    </row>
    <row r="1227" spans="1:16" ht="51">
      <c r="A1227" s="3" t="s">
        <v>6117</v>
      </c>
      <c r="B1227" s="3" t="s">
        <v>6118</v>
      </c>
      <c r="C1227" s="4">
        <v>282</v>
      </c>
      <c r="D1227" s="3" t="s">
        <v>12</v>
      </c>
      <c r="E1227" s="3" t="s">
        <v>13</v>
      </c>
      <c r="F1227" s="5">
        <v>183</v>
      </c>
      <c r="G1227" s="5">
        <v>444</v>
      </c>
      <c r="H1227" s="6">
        <v>10564.11</v>
      </c>
      <c r="I1227" s="22">
        <v>26003.592000000001</v>
      </c>
      <c r="J1227" s="24">
        <f t="shared" si="57"/>
        <v>1.8018205977754238E-4</v>
      </c>
      <c r="K1227" s="25">
        <f t="shared" si="59"/>
        <v>0.73824642102344251</v>
      </c>
      <c r="L1227" s="26" t="s">
        <v>7516</v>
      </c>
      <c r="M1227" s="28"/>
      <c r="N1227" s="28"/>
      <c r="O1227" s="20" t="s">
        <v>7530</v>
      </c>
      <c r="P1227" s="27" t="str">
        <f t="shared" si="58"/>
        <v>vermelho</v>
      </c>
    </row>
    <row r="1228" spans="1:16" ht="25.5">
      <c r="A1228" s="3" t="s">
        <v>4</v>
      </c>
      <c r="B1228" s="3" t="s">
        <v>672</v>
      </c>
      <c r="C1228" s="4">
        <v>23</v>
      </c>
      <c r="D1228" s="3" t="s">
        <v>87</v>
      </c>
      <c r="E1228" s="3" t="s">
        <v>7</v>
      </c>
      <c r="F1228" s="5">
        <v>456</v>
      </c>
      <c r="G1228" s="5">
        <v>402</v>
      </c>
      <c r="H1228" s="6">
        <v>27846.522000000001</v>
      </c>
      <c r="I1228" s="22">
        <v>25969.11</v>
      </c>
      <c r="J1228" s="24">
        <f t="shared" si="57"/>
        <v>1.7994312979489809E-4</v>
      </c>
      <c r="K1228" s="25">
        <f t="shared" si="59"/>
        <v>0.73842636415323737</v>
      </c>
      <c r="L1228" s="26" t="s">
        <v>7516</v>
      </c>
      <c r="M1228" s="28"/>
      <c r="N1228" s="28"/>
      <c r="O1228" s="20">
        <v>4556.58</v>
      </c>
      <c r="P1228" s="27" t="str">
        <f t="shared" si="58"/>
        <v>amarelo</v>
      </c>
    </row>
    <row r="1229" spans="1:16" ht="38.25">
      <c r="A1229" s="3" t="s">
        <v>6119</v>
      </c>
      <c r="B1229" s="3" t="s">
        <v>6120</v>
      </c>
      <c r="C1229" s="4">
        <v>371</v>
      </c>
      <c r="D1229" s="3" t="s">
        <v>82</v>
      </c>
      <c r="E1229" s="3" t="s">
        <v>49</v>
      </c>
      <c r="F1229" s="5">
        <v>240</v>
      </c>
      <c r="G1229" s="5">
        <v>495</v>
      </c>
      <c r="H1229" s="6">
        <v>12104.82</v>
      </c>
      <c r="I1229" s="22">
        <v>25952.412</v>
      </c>
      <c r="J1229" s="24">
        <f t="shared" si="57"/>
        <v>1.7982742731678794E-4</v>
      </c>
      <c r="K1229" s="25">
        <f t="shared" si="59"/>
        <v>0.73860619158055418</v>
      </c>
      <c r="L1229" s="26" t="s">
        <v>7516</v>
      </c>
      <c r="M1229" s="28"/>
      <c r="N1229" s="28"/>
      <c r="O1229" s="20">
        <v>2226.6480000000001</v>
      </c>
      <c r="P1229" s="27" t="str">
        <f t="shared" si="58"/>
        <v>amarelo</v>
      </c>
    </row>
    <row r="1230" spans="1:16" ht="25.5">
      <c r="A1230" s="3" t="s">
        <v>4</v>
      </c>
      <c r="B1230" s="3" t="s">
        <v>673</v>
      </c>
      <c r="C1230" s="4">
        <v>178</v>
      </c>
      <c r="D1230" s="3" t="s">
        <v>74</v>
      </c>
      <c r="E1230" s="3" t="s">
        <v>7</v>
      </c>
      <c r="F1230" s="5">
        <v>333</v>
      </c>
      <c r="G1230" s="5">
        <v>441</v>
      </c>
      <c r="H1230" s="6">
        <v>18847.77</v>
      </c>
      <c r="I1230" s="22">
        <v>25940.16</v>
      </c>
      <c r="J1230" s="24">
        <f t="shared" si="57"/>
        <v>1.797425317148113E-4</v>
      </c>
      <c r="K1230" s="25">
        <f t="shared" si="59"/>
        <v>0.738785934112269</v>
      </c>
      <c r="L1230" s="26" t="s">
        <v>7516</v>
      </c>
      <c r="M1230" s="28"/>
      <c r="N1230" s="28"/>
      <c r="O1230" s="20">
        <v>7951.56</v>
      </c>
      <c r="P1230" s="27" t="str">
        <f t="shared" si="58"/>
        <v>amarelo</v>
      </c>
    </row>
    <row r="1231" spans="1:16" ht="25.5">
      <c r="A1231" s="3" t="s">
        <v>4</v>
      </c>
      <c r="B1231" s="3" t="s">
        <v>674</v>
      </c>
      <c r="C1231" s="4">
        <v>93</v>
      </c>
      <c r="D1231" s="3" t="s">
        <v>20</v>
      </c>
      <c r="E1231" s="3" t="s">
        <v>7</v>
      </c>
      <c r="F1231" s="5">
        <v>375</v>
      </c>
      <c r="G1231" s="5">
        <v>444</v>
      </c>
      <c r="H1231" s="6">
        <v>20297.993999999999</v>
      </c>
      <c r="I1231" s="22">
        <v>25899.72</v>
      </c>
      <c r="J1231" s="24">
        <f t="shared" si="57"/>
        <v>1.794623180236642E-4</v>
      </c>
      <c r="K1231" s="25">
        <f t="shared" si="59"/>
        <v>0.73896539643029269</v>
      </c>
      <c r="L1231" s="26" t="s">
        <v>7516</v>
      </c>
      <c r="M1231" s="28"/>
      <c r="N1231" s="28"/>
      <c r="O1231" s="20" t="s">
        <v>7530</v>
      </c>
      <c r="P1231" s="27" t="str">
        <f t="shared" si="58"/>
        <v>vermelho</v>
      </c>
    </row>
    <row r="1232" spans="1:16" ht="25.5">
      <c r="A1232" s="3" t="s">
        <v>4</v>
      </c>
      <c r="B1232" s="3" t="s">
        <v>675</v>
      </c>
      <c r="C1232" s="4">
        <v>261</v>
      </c>
      <c r="D1232" s="3" t="s">
        <v>9</v>
      </c>
      <c r="E1232" s="3" t="s">
        <v>10</v>
      </c>
      <c r="F1232" s="5">
        <v>477</v>
      </c>
      <c r="G1232" s="5">
        <v>432</v>
      </c>
      <c r="H1232" s="6">
        <v>27489.119999999999</v>
      </c>
      <c r="I1232" s="22">
        <v>25892.31</v>
      </c>
      <c r="J1232" s="24">
        <f t="shared" si="57"/>
        <v>1.7941097323010831E-4</v>
      </c>
      <c r="K1232" s="25">
        <f t="shared" si="59"/>
        <v>0.73914480740352284</v>
      </c>
      <c r="L1232" s="26" t="s">
        <v>7516</v>
      </c>
      <c r="M1232" s="28"/>
      <c r="N1232" s="28"/>
      <c r="O1232" s="20">
        <v>11799.15</v>
      </c>
      <c r="P1232" s="27" t="str">
        <f t="shared" si="58"/>
        <v>amarelo</v>
      </c>
    </row>
    <row r="1233" spans="1:16" ht="25.5">
      <c r="A1233" s="3" t="s">
        <v>4</v>
      </c>
      <c r="B1233" s="3" t="s">
        <v>676</v>
      </c>
      <c r="C1233" s="4">
        <v>327</v>
      </c>
      <c r="D1233" s="3" t="s">
        <v>100</v>
      </c>
      <c r="E1233" s="3" t="s">
        <v>7</v>
      </c>
      <c r="F1233" s="5">
        <v>0</v>
      </c>
      <c r="G1233" s="5">
        <v>372</v>
      </c>
      <c r="H1233" s="6">
        <v>0</v>
      </c>
      <c r="I1233" s="22">
        <v>25876.494999999999</v>
      </c>
      <c r="J1233" s="24">
        <f t="shared" si="57"/>
        <v>1.7930138916666884E-4</v>
      </c>
      <c r="K1233" s="25">
        <f t="shared" si="59"/>
        <v>0.7393241087926895</v>
      </c>
      <c r="L1233" s="26" t="s">
        <v>7516</v>
      </c>
      <c r="M1233" s="28">
        <v>-4.1244980209002816E-2</v>
      </c>
      <c r="N1233" s="28"/>
      <c r="O1233" s="20">
        <v>24155.695</v>
      </c>
      <c r="P1233" s="27" t="str">
        <f t="shared" si="58"/>
        <v>laranja</v>
      </c>
    </row>
    <row r="1234" spans="1:16" ht="38.25">
      <c r="A1234" s="3" t="s">
        <v>4</v>
      </c>
      <c r="B1234" s="3" t="s">
        <v>677</v>
      </c>
      <c r="C1234" s="4">
        <v>143</v>
      </c>
      <c r="D1234" s="3" t="s">
        <v>44</v>
      </c>
      <c r="E1234" s="3" t="s">
        <v>41</v>
      </c>
      <c r="F1234" s="5">
        <v>588</v>
      </c>
      <c r="G1234" s="5">
        <v>420</v>
      </c>
      <c r="H1234" s="6">
        <v>34685.760000000002</v>
      </c>
      <c r="I1234" s="22">
        <v>25867.439999999999</v>
      </c>
      <c r="J1234" s="24">
        <f t="shared" si="57"/>
        <v>1.7923864596752596E-4</v>
      </c>
      <c r="K1234" s="25">
        <f t="shared" si="59"/>
        <v>0.73950334743865698</v>
      </c>
      <c r="L1234" s="26" t="s">
        <v>7516</v>
      </c>
      <c r="M1234" s="28"/>
      <c r="N1234" s="28"/>
      <c r="O1234" s="20">
        <v>9343.2000000000007</v>
      </c>
      <c r="P1234" s="27" t="str">
        <f t="shared" si="58"/>
        <v>amarelo</v>
      </c>
    </row>
    <row r="1235" spans="1:16" ht="25.5">
      <c r="A1235" s="3" t="s">
        <v>4</v>
      </c>
      <c r="B1235" s="3" t="s">
        <v>678</v>
      </c>
      <c r="C1235" s="4">
        <v>327</v>
      </c>
      <c r="D1235" s="3" t="s">
        <v>100</v>
      </c>
      <c r="E1235" s="3" t="s">
        <v>7</v>
      </c>
      <c r="F1235" s="5">
        <v>462</v>
      </c>
      <c r="G1235" s="5">
        <v>423</v>
      </c>
      <c r="H1235" s="6">
        <v>27004.98</v>
      </c>
      <c r="I1235" s="22">
        <v>25853.1</v>
      </c>
      <c r="J1235" s="24">
        <f t="shared" si="57"/>
        <v>1.7913928235894412E-4</v>
      </c>
      <c r="K1235" s="25">
        <f t="shared" si="59"/>
        <v>0.73968248672101589</v>
      </c>
      <c r="L1235" s="26" t="s">
        <v>7516</v>
      </c>
      <c r="M1235" s="28"/>
      <c r="N1235" s="28"/>
      <c r="O1235" s="20">
        <v>15550.463</v>
      </c>
      <c r="P1235" s="27" t="str">
        <f t="shared" si="58"/>
        <v>laranja</v>
      </c>
    </row>
    <row r="1236" spans="1:16" ht="38.25">
      <c r="A1236" s="3" t="s">
        <v>4</v>
      </c>
      <c r="B1236" s="3" t="s">
        <v>679</v>
      </c>
      <c r="C1236" s="4">
        <v>45</v>
      </c>
      <c r="D1236" s="3" t="s">
        <v>23</v>
      </c>
      <c r="E1236" s="3" t="s">
        <v>7</v>
      </c>
      <c r="F1236" s="5">
        <v>447</v>
      </c>
      <c r="G1236" s="5">
        <v>402</v>
      </c>
      <c r="H1236" s="6">
        <v>25616.400000000001</v>
      </c>
      <c r="I1236" s="22">
        <v>25789.26</v>
      </c>
      <c r="J1236" s="24">
        <f t="shared" si="57"/>
        <v>1.7869692721446262E-4</v>
      </c>
      <c r="K1236" s="25">
        <f t="shared" si="59"/>
        <v>0.73986118364823039</v>
      </c>
      <c r="L1236" s="26" t="s">
        <v>7516</v>
      </c>
      <c r="M1236" s="28"/>
      <c r="N1236" s="28"/>
      <c r="O1236" s="20">
        <v>18146.099999999999</v>
      </c>
      <c r="P1236" s="27" t="str">
        <f t="shared" si="58"/>
        <v>laranja</v>
      </c>
    </row>
    <row r="1237" spans="1:16" ht="25.5">
      <c r="A1237" s="3" t="s">
        <v>6121</v>
      </c>
      <c r="B1237" s="3" t="s">
        <v>6122</v>
      </c>
      <c r="C1237" s="4">
        <v>297</v>
      </c>
      <c r="D1237" s="3" t="s">
        <v>115</v>
      </c>
      <c r="E1237" s="3" t="s">
        <v>41</v>
      </c>
      <c r="F1237" s="5">
        <v>246</v>
      </c>
      <c r="G1237" s="5">
        <v>399</v>
      </c>
      <c r="H1237" s="6">
        <v>13467.012000000001</v>
      </c>
      <c r="I1237" s="22">
        <v>25780.05</v>
      </c>
      <c r="J1237" s="24">
        <f t="shared" si="57"/>
        <v>1.7863311000141947E-4</v>
      </c>
      <c r="K1237" s="25">
        <f t="shared" si="59"/>
        <v>0.74003981675823183</v>
      </c>
      <c r="L1237" s="26" t="s">
        <v>7516</v>
      </c>
      <c r="M1237" s="28"/>
      <c r="N1237" s="28"/>
      <c r="O1237" s="20" t="s">
        <v>7530</v>
      </c>
      <c r="P1237" s="27" t="str">
        <f t="shared" si="58"/>
        <v>vermelho</v>
      </c>
    </row>
    <row r="1238" spans="1:16" ht="25.5">
      <c r="A1238" s="3" t="s">
        <v>4</v>
      </c>
      <c r="B1238" s="3" t="s">
        <v>680</v>
      </c>
      <c r="C1238" s="4">
        <v>218</v>
      </c>
      <c r="D1238" s="3" t="s">
        <v>104</v>
      </c>
      <c r="E1238" s="3" t="s">
        <v>16</v>
      </c>
      <c r="F1238" s="5">
        <v>0</v>
      </c>
      <c r="G1238" s="5">
        <v>480</v>
      </c>
      <c r="H1238" s="6">
        <v>0</v>
      </c>
      <c r="I1238" s="22">
        <v>25770.48</v>
      </c>
      <c r="J1238" s="24">
        <f t="shared" si="57"/>
        <v>1.7856679830447888E-4</v>
      </c>
      <c r="K1238" s="25">
        <f t="shared" si="59"/>
        <v>0.74021838355653635</v>
      </c>
      <c r="L1238" s="26" t="s">
        <v>7516</v>
      </c>
      <c r="M1238" s="28"/>
      <c r="N1238" s="28"/>
      <c r="O1238" s="20" t="s">
        <v>7530</v>
      </c>
      <c r="P1238" s="27" t="str">
        <f t="shared" si="58"/>
        <v>vermelho</v>
      </c>
    </row>
    <row r="1239" spans="1:16" ht="25.5">
      <c r="A1239" s="3" t="s">
        <v>6123</v>
      </c>
      <c r="B1239" s="3" t="s">
        <v>6124</v>
      </c>
      <c r="C1239" s="4">
        <v>187</v>
      </c>
      <c r="D1239" s="3" t="s">
        <v>96</v>
      </c>
      <c r="E1239" s="3" t="s">
        <v>7</v>
      </c>
      <c r="F1239" s="5">
        <v>348</v>
      </c>
      <c r="G1239" s="5">
        <v>408</v>
      </c>
      <c r="H1239" s="6">
        <v>20227.41</v>
      </c>
      <c r="I1239" s="22">
        <v>25745.88</v>
      </c>
      <c r="J1239" s="24">
        <f t="shared" si="57"/>
        <v>1.7839634190481966E-4</v>
      </c>
      <c r="K1239" s="25">
        <f t="shared" si="59"/>
        <v>0.74039677989844122</v>
      </c>
      <c r="L1239" s="26" t="s">
        <v>7516</v>
      </c>
      <c r="M1239" s="28"/>
      <c r="N1239" s="28"/>
      <c r="O1239" s="20">
        <v>8981.2800000000007</v>
      </c>
      <c r="P1239" s="27" t="str">
        <f t="shared" si="58"/>
        <v>amarelo</v>
      </c>
    </row>
    <row r="1240" spans="1:16" ht="25.5">
      <c r="A1240" s="3" t="s">
        <v>6125</v>
      </c>
      <c r="B1240" s="3" t="s">
        <v>6126</v>
      </c>
      <c r="C1240" s="4">
        <v>39</v>
      </c>
      <c r="D1240" s="3" t="s">
        <v>26</v>
      </c>
      <c r="E1240" s="3" t="s">
        <v>13</v>
      </c>
      <c r="F1240" s="5">
        <v>399</v>
      </c>
      <c r="G1240" s="5">
        <v>417</v>
      </c>
      <c r="H1240" s="6">
        <v>20183.016</v>
      </c>
      <c r="I1240" s="22">
        <v>25741.05</v>
      </c>
      <c r="J1240" s="24">
        <f t="shared" si="57"/>
        <v>1.7836287424586214E-4</v>
      </c>
      <c r="K1240" s="25">
        <f t="shared" si="59"/>
        <v>0.7405751427726871</v>
      </c>
      <c r="L1240" s="26" t="s">
        <v>7516</v>
      </c>
      <c r="M1240" s="28"/>
      <c r="N1240" s="28"/>
      <c r="O1240" s="20" t="s">
        <v>7530</v>
      </c>
      <c r="P1240" s="27" t="str">
        <f t="shared" si="58"/>
        <v>vermelho</v>
      </c>
    </row>
    <row r="1241" spans="1:16" ht="38.25">
      <c r="A1241" s="3" t="s">
        <v>4</v>
      </c>
      <c r="B1241" s="3" t="s">
        <v>681</v>
      </c>
      <c r="C1241" s="4">
        <v>11</v>
      </c>
      <c r="D1241" s="3" t="s">
        <v>61</v>
      </c>
      <c r="E1241" s="3" t="s">
        <v>10</v>
      </c>
      <c r="F1241" s="5">
        <v>348</v>
      </c>
      <c r="G1241" s="5">
        <v>384</v>
      </c>
      <c r="H1241" s="6">
        <v>19040.52</v>
      </c>
      <c r="I1241" s="22">
        <v>25734.720000000001</v>
      </c>
      <c r="J1241" s="24">
        <f t="shared" si="57"/>
        <v>1.7831901290399864E-4</v>
      </c>
      <c r="K1241" s="25">
        <f t="shared" si="59"/>
        <v>0.74075346178559109</v>
      </c>
      <c r="L1241" s="26" t="s">
        <v>7516</v>
      </c>
      <c r="M1241" s="28"/>
      <c r="N1241" s="28"/>
      <c r="O1241" s="20" t="s">
        <v>7530</v>
      </c>
      <c r="P1241" s="27" t="str">
        <f t="shared" si="58"/>
        <v>vermelho</v>
      </c>
    </row>
    <row r="1242" spans="1:16">
      <c r="A1242" s="3" t="s">
        <v>4</v>
      </c>
      <c r="B1242" s="3" t="s">
        <v>682</v>
      </c>
      <c r="C1242" s="4">
        <v>167</v>
      </c>
      <c r="D1242" s="3" t="s">
        <v>251</v>
      </c>
      <c r="E1242" s="3" t="s">
        <v>49</v>
      </c>
      <c r="F1242" s="5">
        <v>546</v>
      </c>
      <c r="G1242" s="5">
        <v>450</v>
      </c>
      <c r="H1242" s="6">
        <v>29517.81</v>
      </c>
      <c r="I1242" s="22">
        <v>25724.58</v>
      </c>
      <c r="J1242" s="24">
        <f t="shared" si="57"/>
        <v>1.7824875160755375E-4</v>
      </c>
      <c r="K1242" s="25">
        <f t="shared" si="59"/>
        <v>0.74093171053719864</v>
      </c>
      <c r="L1242" s="26" t="s">
        <v>7516</v>
      </c>
      <c r="M1242" s="28"/>
      <c r="N1242" s="28"/>
      <c r="O1242" s="20">
        <v>17417.34</v>
      </c>
      <c r="P1242" s="27" t="str">
        <f t="shared" si="58"/>
        <v>laranja</v>
      </c>
    </row>
    <row r="1243" spans="1:16" ht="25.5">
      <c r="A1243" s="3" t="s">
        <v>4</v>
      </c>
      <c r="B1243" s="3" t="s">
        <v>683</v>
      </c>
      <c r="C1243" s="4">
        <v>208</v>
      </c>
      <c r="D1243" s="3" t="s">
        <v>15</v>
      </c>
      <c r="E1243" s="3" t="s">
        <v>16</v>
      </c>
      <c r="F1243" s="5">
        <v>0</v>
      </c>
      <c r="G1243" s="5">
        <v>393</v>
      </c>
      <c r="H1243" s="6">
        <v>0</v>
      </c>
      <c r="I1243" s="22">
        <v>25722.69</v>
      </c>
      <c r="J1243" s="24">
        <f t="shared" si="57"/>
        <v>1.782356555670921E-4</v>
      </c>
      <c r="K1243" s="25">
        <f t="shared" si="59"/>
        <v>0.74110994619276571</v>
      </c>
      <c r="L1243" s="26" t="s">
        <v>7516</v>
      </c>
      <c r="M1243" s="28"/>
      <c r="N1243" s="28"/>
      <c r="O1243" s="20" t="s">
        <v>7530</v>
      </c>
      <c r="P1243" s="27" t="str">
        <f t="shared" si="58"/>
        <v>vermelho</v>
      </c>
    </row>
    <row r="1244" spans="1:16" ht="25.5">
      <c r="A1244" s="3" t="s">
        <v>4</v>
      </c>
      <c r="B1244" s="3" t="s">
        <v>684</v>
      </c>
      <c r="C1244" s="4">
        <v>315</v>
      </c>
      <c r="D1244" s="3" t="s">
        <v>63</v>
      </c>
      <c r="E1244" s="3" t="s">
        <v>7</v>
      </c>
      <c r="F1244" s="5">
        <v>357</v>
      </c>
      <c r="G1244" s="5">
        <v>447</v>
      </c>
      <c r="H1244" s="6">
        <v>20647.23</v>
      </c>
      <c r="I1244" s="22">
        <v>25672.938999999998</v>
      </c>
      <c r="J1244" s="24">
        <f t="shared" si="57"/>
        <v>1.7789092482158614E-4</v>
      </c>
      <c r="K1244" s="25">
        <f t="shared" si="59"/>
        <v>0.74128783711758728</v>
      </c>
      <c r="L1244" s="26" t="s">
        <v>7516</v>
      </c>
      <c r="M1244" s="28"/>
      <c r="N1244" s="28"/>
      <c r="O1244" s="20">
        <v>12060.11</v>
      </c>
      <c r="P1244" s="27" t="str">
        <f t="shared" si="58"/>
        <v>amarelo</v>
      </c>
    </row>
    <row r="1245" spans="1:16" ht="25.5">
      <c r="A1245" s="3" t="s">
        <v>4</v>
      </c>
      <c r="B1245" s="3" t="s">
        <v>685</v>
      </c>
      <c r="C1245" s="4">
        <v>19</v>
      </c>
      <c r="D1245" s="3" t="s">
        <v>72</v>
      </c>
      <c r="E1245" s="3" t="s">
        <v>41</v>
      </c>
      <c r="F1245" s="5">
        <v>210</v>
      </c>
      <c r="G1245" s="5">
        <v>384</v>
      </c>
      <c r="H1245" s="6">
        <v>12559.98</v>
      </c>
      <c r="I1245" s="22">
        <v>25651.32</v>
      </c>
      <c r="J1245" s="24">
        <f t="shared" si="57"/>
        <v>1.777411241344222E-4</v>
      </c>
      <c r="K1245" s="25">
        <f t="shared" si="59"/>
        <v>0.74146557824172166</v>
      </c>
      <c r="L1245" s="26" t="s">
        <v>7516</v>
      </c>
      <c r="M1245" s="28"/>
      <c r="N1245" s="28"/>
      <c r="O1245" s="20">
        <v>6381.45</v>
      </c>
      <c r="P1245" s="27" t="str">
        <f t="shared" si="58"/>
        <v>amarelo</v>
      </c>
    </row>
    <row r="1246" spans="1:16">
      <c r="A1246" s="3" t="s">
        <v>6127</v>
      </c>
      <c r="B1246" s="3" t="s">
        <v>6128</v>
      </c>
      <c r="C1246" s="4">
        <v>315</v>
      </c>
      <c r="D1246" s="3" t="s">
        <v>63</v>
      </c>
      <c r="E1246" s="3" t="s">
        <v>7</v>
      </c>
      <c r="F1246" s="5">
        <v>0</v>
      </c>
      <c r="G1246" s="5">
        <v>552</v>
      </c>
      <c r="H1246" s="6">
        <v>0</v>
      </c>
      <c r="I1246" s="22">
        <v>25622.992999999999</v>
      </c>
      <c r="J1246" s="24">
        <f t="shared" si="57"/>
        <v>1.775448428973024E-4</v>
      </c>
      <c r="K1246" s="25">
        <f t="shared" si="59"/>
        <v>0.74164312308461899</v>
      </c>
      <c r="L1246" s="26" t="s">
        <v>7516</v>
      </c>
      <c r="M1246" s="28"/>
      <c r="N1246" s="28"/>
      <c r="O1246" s="20" t="s">
        <v>7530</v>
      </c>
      <c r="P1246" s="27" t="str">
        <f t="shared" si="58"/>
        <v>vermelho</v>
      </c>
    </row>
    <row r="1247" spans="1:16" ht="25.5">
      <c r="A1247" s="3" t="s">
        <v>6129</v>
      </c>
      <c r="B1247" s="3" t="s">
        <v>6130</v>
      </c>
      <c r="C1247" s="4">
        <v>218</v>
      </c>
      <c r="D1247" s="3" t="s">
        <v>104</v>
      </c>
      <c r="E1247" s="3" t="s">
        <v>16</v>
      </c>
      <c r="F1247" s="5">
        <v>246</v>
      </c>
      <c r="G1247" s="5">
        <v>468</v>
      </c>
      <c r="H1247" s="6">
        <v>11896.38</v>
      </c>
      <c r="I1247" s="22">
        <v>25622.880000000001</v>
      </c>
      <c r="J1247" s="24">
        <f t="shared" si="57"/>
        <v>1.775440599065235E-4</v>
      </c>
      <c r="K1247" s="25">
        <f t="shared" si="59"/>
        <v>0.74182066714452555</v>
      </c>
      <c r="L1247" s="26" t="s">
        <v>7516</v>
      </c>
      <c r="M1247" s="28"/>
      <c r="N1247" s="28"/>
      <c r="O1247" s="20" t="s">
        <v>7530</v>
      </c>
      <c r="P1247" s="27" t="str">
        <f t="shared" si="58"/>
        <v>vermelho</v>
      </c>
    </row>
    <row r="1248" spans="1:16" ht="38.25">
      <c r="A1248" s="3" t="s">
        <v>4</v>
      </c>
      <c r="B1248" s="3" t="s">
        <v>686</v>
      </c>
      <c r="C1248" s="4">
        <v>45</v>
      </c>
      <c r="D1248" s="3" t="s">
        <v>23</v>
      </c>
      <c r="E1248" s="3" t="s">
        <v>7</v>
      </c>
      <c r="F1248" s="5">
        <v>126</v>
      </c>
      <c r="G1248" s="5">
        <v>411</v>
      </c>
      <c r="H1248" s="6">
        <v>7054.74</v>
      </c>
      <c r="I1248" s="22">
        <v>25618.38</v>
      </c>
      <c r="J1248" s="24">
        <f t="shared" si="57"/>
        <v>1.7751287885780536E-4</v>
      </c>
      <c r="K1248" s="25">
        <f t="shared" si="59"/>
        <v>0.74199818002338336</v>
      </c>
      <c r="L1248" s="26" t="s">
        <v>7516</v>
      </c>
      <c r="M1248" s="28"/>
      <c r="N1248" s="28"/>
      <c r="O1248" s="20">
        <v>12999.03</v>
      </c>
      <c r="P1248" s="27" t="str">
        <f t="shared" si="58"/>
        <v>amarelo</v>
      </c>
    </row>
    <row r="1249" spans="1:16" ht="25.5">
      <c r="A1249" s="3" t="s">
        <v>4</v>
      </c>
      <c r="B1249" s="3" t="s">
        <v>687</v>
      </c>
      <c r="C1249" s="4">
        <v>261</v>
      </c>
      <c r="D1249" s="3" t="s">
        <v>9</v>
      </c>
      <c r="E1249" s="3" t="s">
        <v>10</v>
      </c>
      <c r="F1249" s="5">
        <v>618</v>
      </c>
      <c r="G1249" s="5">
        <v>456</v>
      </c>
      <c r="H1249" s="6">
        <v>35978.730000000003</v>
      </c>
      <c r="I1249" s="22">
        <v>25608.12</v>
      </c>
      <c r="J1249" s="24">
        <f t="shared" si="57"/>
        <v>1.7744178606672796E-4</v>
      </c>
      <c r="K1249" s="25">
        <f t="shared" si="59"/>
        <v>0.74217562180945007</v>
      </c>
      <c r="L1249" s="26" t="s">
        <v>7516</v>
      </c>
      <c r="M1249" s="28"/>
      <c r="N1249" s="28"/>
      <c r="O1249" s="20">
        <v>10649.34</v>
      </c>
      <c r="P1249" s="27" t="str">
        <f t="shared" si="58"/>
        <v>amarelo</v>
      </c>
    </row>
    <row r="1250" spans="1:16" ht="25.5">
      <c r="A1250" s="3" t="s">
        <v>6131</v>
      </c>
      <c r="B1250" s="3" t="s">
        <v>6132</v>
      </c>
      <c r="C1250" s="4">
        <v>39</v>
      </c>
      <c r="D1250" s="3" t="s">
        <v>26</v>
      </c>
      <c r="E1250" s="3" t="s">
        <v>13</v>
      </c>
      <c r="F1250" s="5">
        <v>48</v>
      </c>
      <c r="G1250" s="5">
        <v>492</v>
      </c>
      <c r="H1250" s="6">
        <v>1728</v>
      </c>
      <c r="I1250" s="22">
        <v>25607.313999999998</v>
      </c>
      <c r="J1250" s="24">
        <f t="shared" si="57"/>
        <v>1.7743620119444644E-4</v>
      </c>
      <c r="K1250" s="25">
        <f t="shared" si="59"/>
        <v>0.74235305801064455</v>
      </c>
      <c r="L1250" s="26" t="s">
        <v>7516</v>
      </c>
      <c r="M1250" s="28"/>
      <c r="N1250" s="28"/>
      <c r="O1250" s="20" t="s">
        <v>7530</v>
      </c>
      <c r="P1250" s="27" t="str">
        <f t="shared" si="58"/>
        <v>vermelho</v>
      </c>
    </row>
    <row r="1251" spans="1:16" ht="25.5">
      <c r="A1251" s="3" t="s">
        <v>4</v>
      </c>
      <c r="B1251" s="3" t="s">
        <v>688</v>
      </c>
      <c r="C1251" s="4">
        <v>39</v>
      </c>
      <c r="D1251" s="3" t="s">
        <v>26</v>
      </c>
      <c r="E1251" s="3" t="s">
        <v>13</v>
      </c>
      <c r="F1251" s="5">
        <v>1112</v>
      </c>
      <c r="G1251" s="5">
        <v>480</v>
      </c>
      <c r="H1251" s="6">
        <v>38672.44</v>
      </c>
      <c r="I1251" s="22">
        <v>25603.969000000001</v>
      </c>
      <c r="J1251" s="24">
        <f t="shared" si="57"/>
        <v>1.7741302328156596E-4</v>
      </c>
      <c r="K1251" s="25">
        <f t="shared" si="59"/>
        <v>0.74253047103392611</v>
      </c>
      <c r="L1251" s="26" t="s">
        <v>7516</v>
      </c>
      <c r="M1251" s="28"/>
      <c r="N1251" s="28"/>
      <c r="O1251" s="20">
        <v>14079.91</v>
      </c>
      <c r="P1251" s="27" t="str">
        <f t="shared" si="58"/>
        <v>laranja</v>
      </c>
    </row>
    <row r="1252" spans="1:16" ht="25.5">
      <c r="A1252" s="3" t="s">
        <v>4</v>
      </c>
      <c r="B1252" s="3" t="s">
        <v>689</v>
      </c>
      <c r="C1252" s="4">
        <v>61</v>
      </c>
      <c r="D1252" s="3" t="s">
        <v>48</v>
      </c>
      <c r="E1252" s="3" t="s">
        <v>49</v>
      </c>
      <c r="F1252" s="5">
        <v>594</v>
      </c>
      <c r="G1252" s="5">
        <v>411</v>
      </c>
      <c r="H1252" s="6">
        <v>32645.328000000001</v>
      </c>
      <c r="I1252" s="22">
        <v>25598.85</v>
      </c>
      <c r="J1252" s="24">
        <f t="shared" si="57"/>
        <v>1.7737755310636856E-4</v>
      </c>
      <c r="K1252" s="25">
        <f t="shared" si="59"/>
        <v>0.74270784858703243</v>
      </c>
      <c r="L1252" s="26" t="s">
        <v>7516</v>
      </c>
      <c r="M1252" s="28"/>
      <c r="N1252" s="28"/>
      <c r="O1252" s="20">
        <v>13239.96</v>
      </c>
      <c r="P1252" s="27" t="str">
        <f t="shared" si="58"/>
        <v>laranja</v>
      </c>
    </row>
    <row r="1253" spans="1:16" ht="25.5">
      <c r="A1253" s="3" t="s">
        <v>6133</v>
      </c>
      <c r="B1253" s="3" t="s">
        <v>6134</v>
      </c>
      <c r="C1253" s="4">
        <v>335</v>
      </c>
      <c r="D1253" s="3" t="s">
        <v>36</v>
      </c>
      <c r="E1253" s="3" t="s">
        <v>7</v>
      </c>
      <c r="F1253" s="5">
        <v>432</v>
      </c>
      <c r="G1253" s="5">
        <v>426</v>
      </c>
      <c r="H1253" s="6">
        <v>23485.652999999998</v>
      </c>
      <c r="I1253" s="22">
        <v>25593.42</v>
      </c>
      <c r="J1253" s="24">
        <f t="shared" si="57"/>
        <v>1.7733992797424865E-4</v>
      </c>
      <c r="K1253" s="25">
        <f t="shared" si="59"/>
        <v>0.74288518851500662</v>
      </c>
      <c r="L1253" s="26" t="s">
        <v>7516</v>
      </c>
      <c r="M1253" s="28"/>
      <c r="N1253" s="28"/>
      <c r="O1253" s="20" t="s">
        <v>7530</v>
      </c>
      <c r="P1253" s="27" t="str">
        <f t="shared" si="58"/>
        <v>vermelho</v>
      </c>
    </row>
    <row r="1254" spans="1:16" ht="25.5">
      <c r="A1254" s="3" t="s">
        <v>4</v>
      </c>
      <c r="B1254" s="3" t="s">
        <v>690</v>
      </c>
      <c r="C1254" s="4">
        <v>187</v>
      </c>
      <c r="D1254" s="3" t="s">
        <v>96</v>
      </c>
      <c r="E1254" s="3" t="s">
        <v>7</v>
      </c>
      <c r="F1254" s="5">
        <v>0</v>
      </c>
      <c r="G1254" s="5">
        <v>420</v>
      </c>
      <c r="H1254" s="6">
        <v>0</v>
      </c>
      <c r="I1254" s="22">
        <v>25565.46</v>
      </c>
      <c r="J1254" s="24">
        <f t="shared" si="57"/>
        <v>1.7714618972487986E-4</v>
      </c>
      <c r="K1254" s="25">
        <f t="shared" si="59"/>
        <v>0.74306233470473149</v>
      </c>
      <c r="L1254" s="26" t="s">
        <v>7516</v>
      </c>
      <c r="M1254" s="28"/>
      <c r="N1254" s="28"/>
      <c r="O1254" s="20" t="s">
        <v>7530</v>
      </c>
      <c r="P1254" s="27" t="str">
        <f t="shared" si="58"/>
        <v>vermelho</v>
      </c>
    </row>
    <row r="1255" spans="1:16" ht="38.25">
      <c r="A1255" s="3" t="s">
        <v>4</v>
      </c>
      <c r="B1255" s="3" t="s">
        <v>691</v>
      </c>
      <c r="C1255" s="4">
        <v>45</v>
      </c>
      <c r="D1255" s="3" t="s">
        <v>23</v>
      </c>
      <c r="E1255" s="3" t="s">
        <v>7</v>
      </c>
      <c r="F1255" s="5">
        <v>174</v>
      </c>
      <c r="G1255" s="5">
        <v>417</v>
      </c>
      <c r="H1255" s="6">
        <v>9818.4599999999991</v>
      </c>
      <c r="I1255" s="22">
        <v>25561.71</v>
      </c>
      <c r="J1255" s="24">
        <f t="shared" si="57"/>
        <v>1.7712020551761474E-4</v>
      </c>
      <c r="K1255" s="25">
        <f t="shared" si="59"/>
        <v>0.74323945491024912</v>
      </c>
      <c r="L1255" s="26" t="s">
        <v>7516</v>
      </c>
      <c r="M1255" s="28"/>
      <c r="N1255" s="28"/>
      <c r="O1255" s="20">
        <v>7366.08</v>
      </c>
      <c r="P1255" s="27" t="str">
        <f t="shared" si="58"/>
        <v>amarelo</v>
      </c>
    </row>
    <row r="1256" spans="1:16" ht="38.25">
      <c r="A1256" s="3" t="s">
        <v>4</v>
      </c>
      <c r="B1256" s="3" t="s">
        <v>692</v>
      </c>
      <c r="C1256" s="4">
        <v>34</v>
      </c>
      <c r="D1256" s="3" t="s">
        <v>54</v>
      </c>
      <c r="E1256" s="3" t="s">
        <v>49</v>
      </c>
      <c r="F1256" s="5">
        <v>0</v>
      </c>
      <c r="G1256" s="5">
        <v>438</v>
      </c>
      <c r="H1256" s="6">
        <v>0</v>
      </c>
      <c r="I1256" s="22">
        <v>25561.38</v>
      </c>
      <c r="J1256" s="24">
        <f t="shared" si="57"/>
        <v>1.7711791890737542E-4</v>
      </c>
      <c r="K1256" s="25">
        <f t="shared" si="59"/>
        <v>0.74341657282915652</v>
      </c>
      <c r="L1256" s="26" t="s">
        <v>7516</v>
      </c>
      <c r="M1256" s="28"/>
      <c r="N1256" s="28"/>
      <c r="O1256" s="20">
        <v>1917.6</v>
      </c>
      <c r="P1256" s="27" t="str">
        <f t="shared" si="58"/>
        <v>amarelo</v>
      </c>
    </row>
    <row r="1257" spans="1:16" ht="25.5">
      <c r="A1257" s="3" t="s">
        <v>4</v>
      </c>
      <c r="B1257" s="3" t="s">
        <v>693</v>
      </c>
      <c r="C1257" s="4">
        <v>320</v>
      </c>
      <c r="D1257" s="3" t="s">
        <v>218</v>
      </c>
      <c r="E1257" s="3" t="s">
        <v>49</v>
      </c>
      <c r="F1257" s="5">
        <v>483</v>
      </c>
      <c r="G1257" s="5">
        <v>438</v>
      </c>
      <c r="H1257" s="6">
        <v>29530.02</v>
      </c>
      <c r="I1257" s="22">
        <v>25548.78</v>
      </c>
      <c r="J1257" s="24">
        <f t="shared" si="57"/>
        <v>1.7703061197096458E-4</v>
      </c>
      <c r="K1257" s="25">
        <f t="shared" si="59"/>
        <v>0.74359360344112746</v>
      </c>
      <c r="L1257" s="26" t="s">
        <v>7516</v>
      </c>
      <c r="M1257" s="28"/>
      <c r="N1257" s="28"/>
      <c r="O1257" s="20" t="s">
        <v>7530</v>
      </c>
      <c r="P1257" s="27" t="str">
        <f t="shared" si="58"/>
        <v>vermelho</v>
      </c>
    </row>
    <row r="1258" spans="1:16" ht="25.5">
      <c r="A1258" s="3" t="s">
        <v>4</v>
      </c>
      <c r="B1258" s="3" t="s">
        <v>694</v>
      </c>
      <c r="C1258" s="4">
        <v>31</v>
      </c>
      <c r="D1258" s="3" t="s">
        <v>194</v>
      </c>
      <c r="E1258" s="3" t="s">
        <v>16</v>
      </c>
      <c r="F1258" s="5">
        <v>321</v>
      </c>
      <c r="G1258" s="5">
        <v>423</v>
      </c>
      <c r="H1258" s="6">
        <v>18080.349999999999</v>
      </c>
      <c r="I1258" s="22">
        <v>25540.5</v>
      </c>
      <c r="J1258" s="24">
        <f t="shared" si="57"/>
        <v>1.7697323884132319E-4</v>
      </c>
      <c r="K1258" s="25">
        <f t="shared" si="59"/>
        <v>0.74377057667996882</v>
      </c>
      <c r="L1258" s="26" t="s">
        <v>7516</v>
      </c>
      <c r="M1258" s="28"/>
      <c r="N1258" s="28"/>
      <c r="O1258" s="20" t="s">
        <v>7530</v>
      </c>
      <c r="P1258" s="27" t="str">
        <f t="shared" si="58"/>
        <v>vermelho</v>
      </c>
    </row>
    <row r="1259" spans="1:16" ht="38.25">
      <c r="A1259" s="3" t="s">
        <v>6135</v>
      </c>
      <c r="B1259" s="3" t="s">
        <v>6136</v>
      </c>
      <c r="C1259" s="4">
        <v>371</v>
      </c>
      <c r="D1259" s="3" t="s">
        <v>82</v>
      </c>
      <c r="E1259" s="3" t="s">
        <v>49</v>
      </c>
      <c r="F1259" s="5">
        <v>594</v>
      </c>
      <c r="G1259" s="5">
        <v>507</v>
      </c>
      <c r="H1259" s="6">
        <v>29355.15</v>
      </c>
      <c r="I1259" s="22">
        <v>25540.17</v>
      </c>
      <c r="J1259" s="24">
        <f t="shared" si="57"/>
        <v>1.7697095223108384E-4</v>
      </c>
      <c r="K1259" s="25">
        <f t="shared" si="59"/>
        <v>0.74394754763219995</v>
      </c>
      <c r="L1259" s="26" t="s">
        <v>7516</v>
      </c>
      <c r="M1259" s="28"/>
      <c r="N1259" s="28"/>
      <c r="O1259" s="20">
        <v>11543.88</v>
      </c>
      <c r="P1259" s="27" t="str">
        <f t="shared" si="58"/>
        <v>amarelo</v>
      </c>
    </row>
    <row r="1260" spans="1:16" ht="25.5">
      <c r="A1260" s="3" t="s">
        <v>6137</v>
      </c>
      <c r="B1260" s="3" t="s">
        <v>6138</v>
      </c>
      <c r="C1260" s="4">
        <v>19</v>
      </c>
      <c r="D1260" s="3" t="s">
        <v>72</v>
      </c>
      <c r="E1260" s="3" t="s">
        <v>41</v>
      </c>
      <c r="F1260" s="5">
        <v>216</v>
      </c>
      <c r="G1260" s="5">
        <v>402</v>
      </c>
      <c r="H1260" s="6">
        <v>17050.295999999998</v>
      </c>
      <c r="I1260" s="22">
        <v>25531.24</v>
      </c>
      <c r="J1260" s="24">
        <f t="shared" si="57"/>
        <v>1.769090751721832E-4</v>
      </c>
      <c r="K1260" s="25">
        <f t="shared" si="59"/>
        <v>0.74412445670737215</v>
      </c>
      <c r="L1260" s="26" t="s">
        <v>7516</v>
      </c>
      <c r="M1260" s="28"/>
      <c r="N1260" s="28"/>
      <c r="O1260" s="20" t="s">
        <v>7530</v>
      </c>
      <c r="P1260" s="27" t="str">
        <f t="shared" si="58"/>
        <v>vermelho</v>
      </c>
    </row>
    <row r="1261" spans="1:16" ht="25.5">
      <c r="A1261" s="3" t="s">
        <v>4</v>
      </c>
      <c r="B1261" s="3" t="s">
        <v>695</v>
      </c>
      <c r="C1261" s="4">
        <v>327</v>
      </c>
      <c r="D1261" s="3" t="s">
        <v>100</v>
      </c>
      <c r="E1261" s="3" t="s">
        <v>7</v>
      </c>
      <c r="F1261" s="5">
        <v>0</v>
      </c>
      <c r="G1261" s="5">
        <v>402</v>
      </c>
      <c r="H1261" s="6">
        <v>0</v>
      </c>
      <c r="I1261" s="22">
        <v>25465.8</v>
      </c>
      <c r="J1261" s="24">
        <f t="shared" si="57"/>
        <v>1.7645563343260187E-4</v>
      </c>
      <c r="K1261" s="25">
        <f t="shared" si="59"/>
        <v>0.74430091234080475</v>
      </c>
      <c r="L1261" s="26" t="s">
        <v>7516</v>
      </c>
      <c r="M1261" s="28"/>
      <c r="N1261" s="28">
        <v>4.6684012065048755E-2</v>
      </c>
      <c r="O1261" s="20">
        <v>12641.04</v>
      </c>
      <c r="P1261" s="27" t="str">
        <f t="shared" si="58"/>
        <v>amarelo</v>
      </c>
    </row>
    <row r="1262" spans="1:16" ht="25.5">
      <c r="A1262" s="3" t="s">
        <v>4</v>
      </c>
      <c r="B1262" s="3" t="s">
        <v>696</v>
      </c>
      <c r="C1262" s="4">
        <v>218</v>
      </c>
      <c r="D1262" s="3" t="s">
        <v>104</v>
      </c>
      <c r="E1262" s="3" t="s">
        <v>16</v>
      </c>
      <c r="F1262" s="5">
        <v>816</v>
      </c>
      <c r="G1262" s="5">
        <v>447</v>
      </c>
      <c r="H1262" s="6">
        <v>41546.04</v>
      </c>
      <c r="I1262" s="22">
        <v>25462.53</v>
      </c>
      <c r="J1262" s="24">
        <f t="shared" si="57"/>
        <v>1.7643297520386668E-4</v>
      </c>
      <c r="K1262" s="25">
        <f t="shared" si="59"/>
        <v>0.74447734531600862</v>
      </c>
      <c r="L1262" s="26" t="s">
        <v>7516</v>
      </c>
      <c r="M1262" s="28"/>
      <c r="N1262" s="28"/>
      <c r="O1262" s="20">
        <v>8761.7999999999993</v>
      </c>
      <c r="P1262" s="27" t="str">
        <f t="shared" si="58"/>
        <v>amarelo</v>
      </c>
    </row>
    <row r="1263" spans="1:16" ht="38.25">
      <c r="A1263" s="3" t="s">
        <v>4</v>
      </c>
      <c r="B1263" s="3" t="s">
        <v>697</v>
      </c>
      <c r="C1263" s="4">
        <v>292</v>
      </c>
      <c r="D1263" s="3" t="s">
        <v>57</v>
      </c>
      <c r="E1263" s="3" t="s">
        <v>49</v>
      </c>
      <c r="F1263" s="5">
        <v>0</v>
      </c>
      <c r="G1263" s="5">
        <v>477</v>
      </c>
      <c r="H1263" s="6">
        <v>0</v>
      </c>
      <c r="I1263" s="22">
        <v>25457.82</v>
      </c>
      <c r="J1263" s="24">
        <f t="shared" si="57"/>
        <v>1.764003390395417E-4</v>
      </c>
      <c r="K1263" s="25">
        <f t="shared" si="59"/>
        <v>0.74465374565504816</v>
      </c>
      <c r="L1263" s="26" t="s">
        <v>7516</v>
      </c>
      <c r="M1263" s="28"/>
      <c r="N1263" s="28"/>
      <c r="O1263" s="20" t="s">
        <v>7530</v>
      </c>
      <c r="P1263" s="27" t="str">
        <f t="shared" si="58"/>
        <v>vermelho</v>
      </c>
    </row>
    <row r="1264" spans="1:16" ht="25.5">
      <c r="A1264" s="3" t="s">
        <v>4</v>
      </c>
      <c r="B1264" s="3" t="s">
        <v>698</v>
      </c>
      <c r="C1264" s="4">
        <v>270</v>
      </c>
      <c r="D1264" s="3" t="s">
        <v>266</v>
      </c>
      <c r="E1264" s="3" t="s">
        <v>49</v>
      </c>
      <c r="F1264" s="5">
        <v>384</v>
      </c>
      <c r="G1264" s="5">
        <v>444</v>
      </c>
      <c r="H1264" s="6">
        <v>21048.6</v>
      </c>
      <c r="I1264" s="22">
        <v>25436.28</v>
      </c>
      <c r="J1264" s="24">
        <f t="shared" si="57"/>
        <v>1.762510857530108E-4</v>
      </c>
      <c r="K1264" s="25">
        <f t="shared" si="59"/>
        <v>0.74482999674080119</v>
      </c>
      <c r="L1264" s="26" t="s">
        <v>7516</v>
      </c>
      <c r="M1264" s="28"/>
      <c r="N1264" s="28"/>
      <c r="O1264" s="20">
        <v>14859.84</v>
      </c>
      <c r="P1264" s="27" t="str">
        <f t="shared" si="58"/>
        <v>laranja</v>
      </c>
    </row>
    <row r="1265" spans="1:16">
      <c r="A1265" s="3" t="s">
        <v>6139</v>
      </c>
      <c r="B1265" s="3" t="s">
        <v>6140</v>
      </c>
      <c r="C1265" s="4">
        <v>232</v>
      </c>
      <c r="D1265" s="3" t="s">
        <v>174</v>
      </c>
      <c r="E1265" s="3" t="s">
        <v>16</v>
      </c>
      <c r="F1265" s="5">
        <v>108</v>
      </c>
      <c r="G1265" s="5">
        <v>396</v>
      </c>
      <c r="H1265" s="6">
        <v>6617.04</v>
      </c>
      <c r="I1265" s="22">
        <v>25420.47</v>
      </c>
      <c r="J1265" s="24">
        <f t="shared" si="57"/>
        <v>1.7614153633518104E-4</v>
      </c>
      <c r="K1265" s="25">
        <f t="shared" si="59"/>
        <v>0.74500613827713635</v>
      </c>
      <c r="L1265" s="26" t="s">
        <v>7516</v>
      </c>
      <c r="M1265" s="28"/>
      <c r="N1265" s="28"/>
      <c r="O1265" s="20">
        <v>11783.88</v>
      </c>
      <c r="P1265" s="27" t="str">
        <f t="shared" si="58"/>
        <v>amarelo</v>
      </c>
    </row>
    <row r="1266" spans="1:16" ht="25.5">
      <c r="A1266" s="3" t="s">
        <v>4</v>
      </c>
      <c r="B1266" s="3" t="s">
        <v>699</v>
      </c>
      <c r="C1266" s="4">
        <v>23</v>
      </c>
      <c r="D1266" s="3" t="s">
        <v>87</v>
      </c>
      <c r="E1266" s="3" t="s">
        <v>7</v>
      </c>
      <c r="F1266" s="5">
        <v>462</v>
      </c>
      <c r="G1266" s="5">
        <v>414</v>
      </c>
      <c r="H1266" s="6">
        <v>27418.799999999999</v>
      </c>
      <c r="I1266" s="22">
        <v>25402.92</v>
      </c>
      <c r="J1266" s="24">
        <f t="shared" si="57"/>
        <v>1.7601993024518023E-4</v>
      </c>
      <c r="K1266" s="25">
        <f t="shared" si="59"/>
        <v>0.74518215820738154</v>
      </c>
      <c r="L1266" s="26" t="s">
        <v>7516</v>
      </c>
      <c r="M1266" s="28"/>
      <c r="N1266" s="28"/>
      <c r="O1266" s="20">
        <v>18803.310000000001</v>
      </c>
      <c r="P1266" s="27" t="str">
        <f t="shared" si="58"/>
        <v>laranja</v>
      </c>
    </row>
    <row r="1267" spans="1:16" ht="25.5">
      <c r="A1267" s="3" t="s">
        <v>4</v>
      </c>
      <c r="B1267" s="3" t="s">
        <v>700</v>
      </c>
      <c r="C1267" s="4">
        <v>335</v>
      </c>
      <c r="D1267" s="3" t="s">
        <v>36</v>
      </c>
      <c r="E1267" s="3" t="s">
        <v>7</v>
      </c>
      <c r="F1267" s="5">
        <v>447</v>
      </c>
      <c r="G1267" s="5">
        <v>411</v>
      </c>
      <c r="H1267" s="6">
        <v>25169.73</v>
      </c>
      <c r="I1267" s="22">
        <v>25397.595000000001</v>
      </c>
      <c r="J1267" s="24">
        <f t="shared" si="57"/>
        <v>1.7598303267086376E-4</v>
      </c>
      <c r="K1267" s="25">
        <f t="shared" si="59"/>
        <v>0.7453581412400524</v>
      </c>
      <c r="L1267" s="26" t="s">
        <v>7516</v>
      </c>
      <c r="M1267" s="28"/>
      <c r="N1267" s="28"/>
      <c r="O1267" s="20">
        <v>8073.4350000000004</v>
      </c>
      <c r="P1267" s="27" t="str">
        <f t="shared" si="58"/>
        <v>amarelo</v>
      </c>
    </row>
    <row r="1268" spans="1:16" ht="38.25">
      <c r="A1268" s="3" t="s">
        <v>4</v>
      </c>
      <c r="B1268" s="3" t="s">
        <v>701</v>
      </c>
      <c r="C1268" s="4">
        <v>45</v>
      </c>
      <c r="D1268" s="3" t="s">
        <v>23</v>
      </c>
      <c r="E1268" s="3" t="s">
        <v>7</v>
      </c>
      <c r="F1268" s="5">
        <v>0</v>
      </c>
      <c r="G1268" s="5">
        <v>462</v>
      </c>
      <c r="H1268" s="6">
        <v>0</v>
      </c>
      <c r="I1268" s="22">
        <v>25396.86</v>
      </c>
      <c r="J1268" s="24">
        <f t="shared" si="57"/>
        <v>1.759779397662398E-4</v>
      </c>
      <c r="K1268" s="25">
        <f t="shared" si="59"/>
        <v>0.7455341191798186</v>
      </c>
      <c r="L1268" s="26" t="s">
        <v>7516</v>
      </c>
      <c r="M1268" s="28"/>
      <c r="N1268" s="28"/>
      <c r="O1268" s="20" t="s">
        <v>7530</v>
      </c>
      <c r="P1268" s="27" t="str">
        <f t="shared" si="58"/>
        <v>vermelho</v>
      </c>
    </row>
    <row r="1269" spans="1:16">
      <c r="A1269" s="3" t="s">
        <v>4</v>
      </c>
      <c r="B1269" s="3" t="s">
        <v>702</v>
      </c>
      <c r="C1269" s="4">
        <v>232</v>
      </c>
      <c r="D1269" s="3" t="s">
        <v>174</v>
      </c>
      <c r="E1269" s="3" t="s">
        <v>16</v>
      </c>
      <c r="F1269" s="5">
        <v>0</v>
      </c>
      <c r="G1269" s="5">
        <v>438</v>
      </c>
      <c r="H1269" s="6">
        <v>0</v>
      </c>
      <c r="I1269" s="22">
        <v>25387.5</v>
      </c>
      <c r="J1269" s="24">
        <f t="shared" si="57"/>
        <v>1.7591308318490605E-4</v>
      </c>
      <c r="K1269" s="25">
        <f t="shared" si="59"/>
        <v>0.74571003226300347</v>
      </c>
      <c r="L1269" s="26" t="s">
        <v>7516</v>
      </c>
      <c r="M1269" s="28"/>
      <c r="N1269" s="28"/>
      <c r="O1269" s="20" t="s">
        <v>7530</v>
      </c>
      <c r="P1269" s="27" t="str">
        <f t="shared" si="58"/>
        <v>vermelho</v>
      </c>
    </row>
    <row r="1270" spans="1:16" ht="25.5">
      <c r="A1270" s="3" t="s">
        <v>4</v>
      </c>
      <c r="B1270" s="3" t="s">
        <v>703</v>
      </c>
      <c r="C1270" s="4">
        <v>31</v>
      </c>
      <c r="D1270" s="3" t="s">
        <v>194</v>
      </c>
      <c r="E1270" s="3" t="s">
        <v>16</v>
      </c>
      <c r="F1270" s="5">
        <v>351</v>
      </c>
      <c r="G1270" s="5">
        <v>444</v>
      </c>
      <c r="H1270" s="6">
        <v>17917.650000000001</v>
      </c>
      <c r="I1270" s="22">
        <v>25366.35</v>
      </c>
      <c r="J1270" s="24">
        <f t="shared" si="57"/>
        <v>1.7576653225593071E-4</v>
      </c>
      <c r="K1270" s="25">
        <f t="shared" si="59"/>
        <v>0.7458857987952594</v>
      </c>
      <c r="L1270" s="26" t="s">
        <v>7516</v>
      </c>
      <c r="M1270" s="28"/>
      <c r="N1270" s="28"/>
      <c r="O1270" s="20" t="s">
        <v>7530</v>
      </c>
      <c r="P1270" s="27" t="str">
        <f t="shared" si="58"/>
        <v>vermelho</v>
      </c>
    </row>
    <row r="1271" spans="1:16" ht="25.5">
      <c r="A1271" s="3" t="s">
        <v>4</v>
      </c>
      <c r="B1271" s="3" t="s">
        <v>704</v>
      </c>
      <c r="C1271" s="4">
        <v>93</v>
      </c>
      <c r="D1271" s="3" t="s">
        <v>20</v>
      </c>
      <c r="E1271" s="3" t="s">
        <v>7</v>
      </c>
      <c r="F1271" s="5">
        <v>180</v>
      </c>
      <c r="G1271" s="5">
        <v>384</v>
      </c>
      <c r="H1271" s="6">
        <v>10640.4</v>
      </c>
      <c r="I1271" s="22">
        <v>25364.46</v>
      </c>
      <c r="J1271" s="24">
        <f t="shared" si="57"/>
        <v>1.7575343621546908E-4</v>
      </c>
      <c r="K1271" s="25">
        <f t="shared" si="59"/>
        <v>0.74606155223147486</v>
      </c>
      <c r="L1271" s="26" t="s">
        <v>7516</v>
      </c>
      <c r="M1271" s="28">
        <v>-5.2604224116582381E-2</v>
      </c>
      <c r="N1271" s="28"/>
      <c r="O1271" s="20">
        <v>4263.24</v>
      </c>
      <c r="P1271" s="27" t="str">
        <f t="shared" si="58"/>
        <v>amarelo</v>
      </c>
    </row>
    <row r="1272" spans="1:16" ht="25.5">
      <c r="A1272" s="3" t="s">
        <v>4</v>
      </c>
      <c r="B1272" s="3" t="s">
        <v>705</v>
      </c>
      <c r="C1272" s="4">
        <v>264</v>
      </c>
      <c r="D1272" s="3" t="s">
        <v>40</v>
      </c>
      <c r="E1272" s="3" t="s">
        <v>41</v>
      </c>
      <c r="F1272" s="5">
        <v>336</v>
      </c>
      <c r="G1272" s="5">
        <v>426</v>
      </c>
      <c r="H1272" s="6">
        <v>20874.57</v>
      </c>
      <c r="I1272" s="22">
        <v>25353.298999999999</v>
      </c>
      <c r="J1272" s="24">
        <f t="shared" si="57"/>
        <v>1.7567610028552613E-4</v>
      </c>
      <c r="K1272" s="25">
        <f t="shared" si="59"/>
        <v>0.74623722833176043</v>
      </c>
      <c r="L1272" s="26" t="s">
        <v>7516</v>
      </c>
      <c r="M1272" s="28"/>
      <c r="N1272" s="28"/>
      <c r="O1272" s="20" t="s">
        <v>7530</v>
      </c>
      <c r="P1272" s="27" t="str">
        <f t="shared" si="58"/>
        <v>vermelho</v>
      </c>
    </row>
    <row r="1273" spans="1:16" ht="25.5">
      <c r="A1273" s="3" t="s">
        <v>4</v>
      </c>
      <c r="B1273" s="3" t="s">
        <v>706</v>
      </c>
      <c r="C1273" s="4">
        <v>194</v>
      </c>
      <c r="D1273" s="3" t="s">
        <v>145</v>
      </c>
      <c r="E1273" s="3" t="s">
        <v>16</v>
      </c>
      <c r="F1273" s="5">
        <v>384</v>
      </c>
      <c r="G1273" s="5">
        <v>456</v>
      </c>
      <c r="H1273" s="6">
        <v>22555.439999999999</v>
      </c>
      <c r="I1273" s="22">
        <v>25351.439999999999</v>
      </c>
      <c r="J1273" s="24">
        <f t="shared" si="57"/>
        <v>1.7566321904784456E-4</v>
      </c>
      <c r="K1273" s="25">
        <f t="shared" si="59"/>
        <v>0.74641289155080826</v>
      </c>
      <c r="L1273" s="26" t="s">
        <v>7516</v>
      </c>
      <c r="M1273" s="28"/>
      <c r="N1273" s="28"/>
      <c r="O1273" s="20" t="s">
        <v>7530</v>
      </c>
      <c r="P1273" s="27" t="str">
        <f t="shared" si="58"/>
        <v>vermelho</v>
      </c>
    </row>
    <row r="1274" spans="1:16" ht="25.5">
      <c r="A1274" s="3" t="s">
        <v>6141</v>
      </c>
      <c r="B1274" s="3" t="s">
        <v>6142</v>
      </c>
      <c r="C1274" s="4">
        <v>19</v>
      </c>
      <c r="D1274" s="3" t="s">
        <v>72</v>
      </c>
      <c r="E1274" s="3" t="s">
        <v>41</v>
      </c>
      <c r="F1274" s="5">
        <v>783</v>
      </c>
      <c r="G1274" s="5">
        <v>414</v>
      </c>
      <c r="H1274" s="6">
        <v>44617.512000000002</v>
      </c>
      <c r="I1274" s="22">
        <v>25323.119999999999</v>
      </c>
      <c r="J1274" s="24">
        <f t="shared" si="57"/>
        <v>1.7546698631457834E-4</v>
      </c>
      <c r="K1274" s="25">
        <f t="shared" si="59"/>
        <v>0.7465883585371228</v>
      </c>
      <c r="L1274" s="26" t="s">
        <v>7516</v>
      </c>
      <c r="M1274" s="28"/>
      <c r="N1274" s="28"/>
      <c r="O1274" s="20">
        <v>4476.12</v>
      </c>
      <c r="P1274" s="27" t="str">
        <f t="shared" si="58"/>
        <v>amarelo</v>
      </c>
    </row>
    <row r="1275" spans="1:16" ht="25.5">
      <c r="A1275" s="3" t="s">
        <v>4</v>
      </c>
      <c r="B1275" s="3" t="s">
        <v>707</v>
      </c>
      <c r="C1275" s="4">
        <v>267</v>
      </c>
      <c r="D1275" s="3" t="s">
        <v>125</v>
      </c>
      <c r="E1275" s="3" t="s">
        <v>16</v>
      </c>
      <c r="F1275" s="5">
        <v>318</v>
      </c>
      <c r="G1275" s="5">
        <v>456</v>
      </c>
      <c r="H1275" s="6">
        <v>16818.3</v>
      </c>
      <c r="I1275" s="22">
        <v>25308.12</v>
      </c>
      <c r="J1275" s="24">
        <f t="shared" si="57"/>
        <v>1.7536304948551784E-4</v>
      </c>
      <c r="K1275" s="25">
        <f t="shared" si="59"/>
        <v>0.74676372158660831</v>
      </c>
      <c r="L1275" s="26" t="s">
        <v>7516</v>
      </c>
      <c r="M1275" s="28">
        <v>3.9124074238869017E-2</v>
      </c>
      <c r="N1275" s="28"/>
      <c r="O1275" s="20">
        <v>3994.68</v>
      </c>
      <c r="P1275" s="27" t="str">
        <f t="shared" si="58"/>
        <v>amarelo</v>
      </c>
    </row>
    <row r="1276" spans="1:16" ht="38.25">
      <c r="A1276" s="3" t="s">
        <v>4</v>
      </c>
      <c r="B1276" s="3" t="s">
        <v>708</v>
      </c>
      <c r="C1276" s="4">
        <v>143</v>
      </c>
      <c r="D1276" s="3" t="s">
        <v>44</v>
      </c>
      <c r="E1276" s="3" t="s">
        <v>41</v>
      </c>
      <c r="F1276" s="5">
        <v>300</v>
      </c>
      <c r="G1276" s="5">
        <v>438</v>
      </c>
      <c r="H1276" s="6">
        <v>17448.3</v>
      </c>
      <c r="I1276" s="22">
        <v>25299.78</v>
      </c>
      <c r="J1276" s="24">
        <f t="shared" si="57"/>
        <v>1.7530526060856018E-4</v>
      </c>
      <c r="K1276" s="25">
        <f t="shared" si="59"/>
        <v>0.74693902684721691</v>
      </c>
      <c r="L1276" s="26" t="s">
        <v>7516</v>
      </c>
      <c r="M1276" s="28"/>
      <c r="N1276" s="28"/>
      <c r="O1276" s="20">
        <v>9008.64</v>
      </c>
      <c r="P1276" s="27" t="str">
        <f t="shared" si="58"/>
        <v>amarelo</v>
      </c>
    </row>
    <row r="1277" spans="1:16" ht="51">
      <c r="A1277" s="3" t="s">
        <v>6143</v>
      </c>
      <c r="B1277" s="3" t="s">
        <v>6144</v>
      </c>
      <c r="C1277" s="4">
        <v>282</v>
      </c>
      <c r="D1277" s="3" t="s">
        <v>12</v>
      </c>
      <c r="E1277" s="3" t="s">
        <v>13</v>
      </c>
      <c r="F1277" s="5">
        <v>0</v>
      </c>
      <c r="G1277" s="5">
        <v>384</v>
      </c>
      <c r="H1277" s="6">
        <v>0</v>
      </c>
      <c r="I1277" s="22">
        <v>25292.16</v>
      </c>
      <c r="J1277" s="24">
        <f t="shared" si="57"/>
        <v>1.7525246069939745E-4</v>
      </c>
      <c r="K1277" s="25">
        <f t="shared" si="59"/>
        <v>0.7471142793079163</v>
      </c>
      <c r="L1277" s="26" t="s">
        <v>7516</v>
      </c>
      <c r="M1277" s="28"/>
      <c r="N1277" s="28"/>
      <c r="O1277" s="20" t="s">
        <v>7530</v>
      </c>
      <c r="P1277" s="27" t="str">
        <f t="shared" si="58"/>
        <v>vermelho</v>
      </c>
    </row>
    <row r="1278" spans="1:16" ht="25.5">
      <c r="A1278" s="3" t="s">
        <v>4</v>
      </c>
      <c r="B1278" s="3" t="s">
        <v>709</v>
      </c>
      <c r="C1278" s="4">
        <v>232</v>
      </c>
      <c r="D1278" s="3" t="s">
        <v>174</v>
      </c>
      <c r="E1278" s="3" t="s">
        <v>16</v>
      </c>
      <c r="F1278" s="5">
        <v>975</v>
      </c>
      <c r="G1278" s="5">
        <v>438</v>
      </c>
      <c r="H1278" s="6">
        <v>53001.84</v>
      </c>
      <c r="I1278" s="22">
        <v>25287</v>
      </c>
      <c r="J1278" s="24">
        <f t="shared" si="57"/>
        <v>1.7521670643020064E-4</v>
      </c>
      <c r="K1278" s="25">
        <f t="shared" si="59"/>
        <v>0.74728949601434647</v>
      </c>
      <c r="L1278" s="26" t="s">
        <v>7516</v>
      </c>
      <c r="M1278" s="28"/>
      <c r="N1278" s="28"/>
      <c r="O1278" s="20">
        <v>5649.6</v>
      </c>
      <c r="P1278" s="27" t="str">
        <f t="shared" si="58"/>
        <v>amarelo</v>
      </c>
    </row>
    <row r="1279" spans="1:16" ht="25.5">
      <c r="A1279" s="3" t="s">
        <v>4</v>
      </c>
      <c r="B1279" s="3" t="s">
        <v>710</v>
      </c>
      <c r="C1279" s="4">
        <v>316</v>
      </c>
      <c r="D1279" s="3" t="s">
        <v>247</v>
      </c>
      <c r="E1279" s="3" t="s">
        <v>10</v>
      </c>
      <c r="F1279" s="5">
        <v>663</v>
      </c>
      <c r="G1279" s="5">
        <v>417</v>
      </c>
      <c r="H1279" s="6">
        <v>33302.25</v>
      </c>
      <c r="I1279" s="22">
        <v>25275.9</v>
      </c>
      <c r="J1279" s="24">
        <f t="shared" si="57"/>
        <v>1.7513979317669589E-4</v>
      </c>
      <c r="K1279" s="25">
        <f t="shared" si="59"/>
        <v>0.7474646358075232</v>
      </c>
      <c r="L1279" s="26" t="s">
        <v>7516</v>
      </c>
      <c r="M1279" s="28"/>
      <c r="N1279" s="28"/>
      <c r="O1279" s="20">
        <v>7641.15</v>
      </c>
      <c r="P1279" s="27" t="str">
        <f t="shared" si="58"/>
        <v>amarelo</v>
      </c>
    </row>
    <row r="1280" spans="1:16" ht="38.25">
      <c r="A1280" s="3" t="s">
        <v>6147</v>
      </c>
      <c r="B1280" s="3" t="s">
        <v>6148</v>
      </c>
      <c r="C1280" s="4">
        <v>34</v>
      </c>
      <c r="D1280" s="3" t="s">
        <v>54</v>
      </c>
      <c r="E1280" s="3" t="s">
        <v>49</v>
      </c>
      <c r="F1280" s="5">
        <v>1104</v>
      </c>
      <c r="G1280" s="5">
        <v>411</v>
      </c>
      <c r="H1280" s="6">
        <v>64599.072</v>
      </c>
      <c r="I1280" s="22">
        <v>25265.07</v>
      </c>
      <c r="J1280" s="24">
        <f t="shared" si="57"/>
        <v>1.7506475078611419E-4</v>
      </c>
      <c r="K1280" s="25">
        <f t="shared" si="59"/>
        <v>0.74763970055830931</v>
      </c>
      <c r="L1280" s="26" t="s">
        <v>7516</v>
      </c>
      <c r="M1280" s="28"/>
      <c r="N1280" s="28"/>
      <c r="O1280" s="20">
        <v>11738.25</v>
      </c>
      <c r="P1280" s="27" t="str">
        <f t="shared" si="58"/>
        <v>amarelo</v>
      </c>
    </row>
    <row r="1281" spans="1:16" ht="38.25">
      <c r="A1281" s="3" t="s">
        <v>4</v>
      </c>
      <c r="B1281" s="3" t="s">
        <v>711</v>
      </c>
      <c r="C1281" s="4">
        <v>301</v>
      </c>
      <c r="D1281" s="3" t="s">
        <v>519</v>
      </c>
      <c r="E1281" s="3" t="s">
        <v>16</v>
      </c>
      <c r="F1281" s="5">
        <v>381</v>
      </c>
      <c r="G1281" s="5">
        <v>435</v>
      </c>
      <c r="H1281" s="6">
        <v>21518.52</v>
      </c>
      <c r="I1281" s="22">
        <v>25264.71</v>
      </c>
      <c r="J1281" s="24">
        <f t="shared" si="57"/>
        <v>1.7506225630221673E-4</v>
      </c>
      <c r="K1281" s="25">
        <f t="shared" si="59"/>
        <v>0.74781476281461157</v>
      </c>
      <c r="L1281" s="26" t="s">
        <v>7516</v>
      </c>
      <c r="M1281" s="28"/>
      <c r="N1281" s="28"/>
      <c r="O1281" s="20">
        <v>27356.94</v>
      </c>
      <c r="P1281" s="27" t="str">
        <f t="shared" si="58"/>
        <v>verde</v>
      </c>
    </row>
    <row r="1282" spans="1:16" ht="25.5">
      <c r="A1282" s="3" t="s">
        <v>4</v>
      </c>
      <c r="B1282" s="3" t="s">
        <v>712</v>
      </c>
      <c r="C1282" s="4">
        <v>232</v>
      </c>
      <c r="D1282" s="3" t="s">
        <v>174</v>
      </c>
      <c r="E1282" s="3" t="s">
        <v>16</v>
      </c>
      <c r="F1282" s="5">
        <v>432</v>
      </c>
      <c r="G1282" s="5">
        <v>420</v>
      </c>
      <c r="H1282" s="6">
        <v>22908.240000000002</v>
      </c>
      <c r="I1282" s="22">
        <v>25254.959999999999</v>
      </c>
      <c r="J1282" s="24">
        <f t="shared" si="57"/>
        <v>1.7499469736332739E-4</v>
      </c>
      <c r="K1282" s="25">
        <f t="shared" si="59"/>
        <v>0.74798975751197494</v>
      </c>
      <c r="L1282" s="26" t="s">
        <v>7516</v>
      </c>
      <c r="M1282" s="28">
        <v>-6.4360641023255812E-3</v>
      </c>
      <c r="N1282" s="28"/>
      <c r="O1282" s="20">
        <v>3911.76</v>
      </c>
      <c r="P1282" s="27" t="str">
        <f t="shared" si="58"/>
        <v>amarelo</v>
      </c>
    </row>
    <row r="1283" spans="1:16">
      <c r="A1283" s="3" t="s">
        <v>4</v>
      </c>
      <c r="B1283" s="3" t="s">
        <v>713</v>
      </c>
      <c r="C1283" s="4">
        <v>315</v>
      </c>
      <c r="D1283" s="3" t="s">
        <v>63</v>
      </c>
      <c r="E1283" s="3" t="s">
        <v>7</v>
      </c>
      <c r="F1283" s="5">
        <v>525</v>
      </c>
      <c r="G1283" s="5">
        <v>444</v>
      </c>
      <c r="H1283" s="6">
        <v>31041.39</v>
      </c>
      <c r="I1283" s="22">
        <v>25235.552</v>
      </c>
      <c r="J1283" s="24">
        <f t="shared" ref="J1283:J1346" si="60">I1283/$I$6364</f>
        <v>1.74860216964767E-4</v>
      </c>
      <c r="K1283" s="25">
        <f t="shared" si="59"/>
        <v>0.74816461772893972</v>
      </c>
      <c r="L1283" s="26" t="s">
        <v>7516</v>
      </c>
      <c r="M1283" s="28"/>
      <c r="N1283" s="28">
        <v>4.0388315472418349E-2</v>
      </c>
      <c r="O1283" s="20">
        <v>20387.089</v>
      </c>
      <c r="P1283" s="27" t="str">
        <f t="shared" ref="P1283:P1346" si="61">IF(O1283&lt;=0,"vermelho",IFERROR(IF(O1283/I1283&lt;=0.5098,"amarelo",IF(O1283/I1283&lt;1,"laranja","verde")),"vermelho"))</f>
        <v>laranja</v>
      </c>
    </row>
    <row r="1284" spans="1:16" ht="25.5">
      <c r="A1284" s="3" t="s">
        <v>4</v>
      </c>
      <c r="B1284" s="3" t="s">
        <v>714</v>
      </c>
      <c r="C1284" s="4">
        <v>315</v>
      </c>
      <c r="D1284" s="3" t="s">
        <v>63</v>
      </c>
      <c r="E1284" s="3" t="s">
        <v>7</v>
      </c>
      <c r="F1284" s="5">
        <v>0</v>
      </c>
      <c r="G1284" s="5">
        <v>459</v>
      </c>
      <c r="H1284" s="6">
        <v>0</v>
      </c>
      <c r="I1284" s="22">
        <v>25185.69</v>
      </c>
      <c r="J1284" s="24">
        <f t="shared" si="60"/>
        <v>1.7451471708672598E-4</v>
      </c>
      <c r="K1284" s="25">
        <f t="shared" ref="K1284:K1347" si="62">J1284+K1283</f>
        <v>0.74833913244602646</v>
      </c>
      <c r="L1284" s="26" t="s">
        <v>7516</v>
      </c>
      <c r="M1284" s="28"/>
      <c r="N1284" s="28"/>
      <c r="O1284" s="20" t="s">
        <v>7530</v>
      </c>
      <c r="P1284" s="27" t="str">
        <f t="shared" si="61"/>
        <v>vermelho</v>
      </c>
    </row>
    <row r="1285" spans="1:16" ht="51">
      <c r="A1285" s="3" t="s">
        <v>4</v>
      </c>
      <c r="B1285" s="3" t="s">
        <v>715</v>
      </c>
      <c r="C1285" s="4">
        <v>282</v>
      </c>
      <c r="D1285" s="3" t="s">
        <v>12</v>
      </c>
      <c r="E1285" s="3" t="s">
        <v>13</v>
      </c>
      <c r="F1285" s="5">
        <v>0</v>
      </c>
      <c r="G1285" s="5">
        <v>456</v>
      </c>
      <c r="H1285" s="6">
        <v>0</v>
      </c>
      <c r="I1285" s="22">
        <v>25158.928</v>
      </c>
      <c r="J1285" s="24">
        <f t="shared" si="60"/>
        <v>1.7432927992543817E-4</v>
      </c>
      <c r="K1285" s="25">
        <f t="shared" si="62"/>
        <v>0.7485134617259519</v>
      </c>
      <c r="L1285" s="26" t="s">
        <v>7516</v>
      </c>
      <c r="M1285" s="28"/>
      <c r="N1285" s="28"/>
      <c r="O1285" s="20" t="s">
        <v>7530</v>
      </c>
      <c r="P1285" s="27" t="str">
        <f t="shared" si="61"/>
        <v>vermelho</v>
      </c>
    </row>
    <row r="1286" spans="1:16" ht="25.5">
      <c r="A1286" s="3" t="s">
        <v>6149</v>
      </c>
      <c r="B1286" s="3" t="s">
        <v>6150</v>
      </c>
      <c r="C1286" s="4">
        <v>53</v>
      </c>
      <c r="D1286" s="3" t="s">
        <v>34</v>
      </c>
      <c r="E1286" s="3" t="s">
        <v>16</v>
      </c>
      <c r="F1286" s="5">
        <v>0</v>
      </c>
      <c r="G1286" s="5">
        <v>414</v>
      </c>
      <c r="H1286" s="6">
        <v>0</v>
      </c>
      <c r="I1286" s="22">
        <v>25142.7</v>
      </c>
      <c r="J1286" s="24">
        <f t="shared" si="60"/>
        <v>1.742168341346386E-4</v>
      </c>
      <c r="K1286" s="25">
        <f t="shared" si="62"/>
        <v>0.74868767856008656</v>
      </c>
      <c r="L1286" s="26" t="s">
        <v>7516</v>
      </c>
      <c r="M1286" s="28"/>
      <c r="N1286" s="28"/>
      <c r="O1286" s="20" t="s">
        <v>7530</v>
      </c>
      <c r="P1286" s="27" t="str">
        <f t="shared" si="61"/>
        <v>vermelho</v>
      </c>
    </row>
    <row r="1287" spans="1:16" ht="25.5">
      <c r="A1287" s="3" t="s">
        <v>4</v>
      </c>
      <c r="B1287" s="3" t="s">
        <v>716</v>
      </c>
      <c r="C1287" s="4">
        <v>261</v>
      </c>
      <c r="D1287" s="3" t="s">
        <v>9</v>
      </c>
      <c r="E1287" s="3" t="s">
        <v>10</v>
      </c>
      <c r="F1287" s="5">
        <v>0</v>
      </c>
      <c r="G1287" s="5">
        <v>420</v>
      </c>
      <c r="H1287" s="6">
        <v>0</v>
      </c>
      <c r="I1287" s="22">
        <v>25135.8</v>
      </c>
      <c r="J1287" s="24">
        <f t="shared" si="60"/>
        <v>1.7416902319327074E-4</v>
      </c>
      <c r="K1287" s="25">
        <f t="shared" si="62"/>
        <v>0.74886184758327978</v>
      </c>
      <c r="L1287" s="26" t="s">
        <v>7516</v>
      </c>
      <c r="M1287" s="28"/>
      <c r="N1287" s="28"/>
      <c r="O1287" s="20">
        <v>16730.64</v>
      </c>
      <c r="P1287" s="27" t="str">
        <f t="shared" si="61"/>
        <v>laranja</v>
      </c>
    </row>
    <row r="1288" spans="1:16" ht="25.5">
      <c r="A1288" s="3" t="s">
        <v>6151</v>
      </c>
      <c r="B1288" s="3" t="s">
        <v>6152</v>
      </c>
      <c r="C1288" s="4">
        <v>74</v>
      </c>
      <c r="D1288" s="3" t="s">
        <v>6</v>
      </c>
      <c r="E1288" s="3" t="s">
        <v>7</v>
      </c>
      <c r="F1288" s="5">
        <v>573</v>
      </c>
      <c r="G1288" s="5">
        <v>399</v>
      </c>
      <c r="H1288" s="6">
        <v>29993.73</v>
      </c>
      <c r="I1288" s="22">
        <v>25135.38</v>
      </c>
      <c r="J1288" s="24">
        <f t="shared" si="60"/>
        <v>1.7416611296205707E-4</v>
      </c>
      <c r="K1288" s="25">
        <f t="shared" si="62"/>
        <v>0.74903601369624184</v>
      </c>
      <c r="L1288" s="26" t="s">
        <v>7516</v>
      </c>
      <c r="M1288" s="28"/>
      <c r="N1288" s="28"/>
      <c r="O1288" s="20">
        <v>14798.55</v>
      </c>
      <c r="P1288" s="27" t="str">
        <f t="shared" si="61"/>
        <v>laranja</v>
      </c>
    </row>
    <row r="1289" spans="1:16" ht="25.5">
      <c r="A1289" s="3" t="s">
        <v>4</v>
      </c>
      <c r="B1289" s="3" t="s">
        <v>717</v>
      </c>
      <c r="C1289" s="4">
        <v>232</v>
      </c>
      <c r="D1289" s="3" t="s">
        <v>174</v>
      </c>
      <c r="E1289" s="3" t="s">
        <v>16</v>
      </c>
      <c r="F1289" s="5">
        <v>297</v>
      </c>
      <c r="G1289" s="5">
        <v>444</v>
      </c>
      <c r="H1289" s="6">
        <v>14617.41</v>
      </c>
      <c r="I1289" s="22">
        <v>25115.1</v>
      </c>
      <c r="J1289" s="24">
        <f t="shared" si="60"/>
        <v>1.7402559036916725E-4</v>
      </c>
      <c r="K1289" s="25">
        <f t="shared" si="62"/>
        <v>0.74921003928661101</v>
      </c>
      <c r="L1289" s="26" t="s">
        <v>7516</v>
      </c>
      <c r="M1289" s="28"/>
      <c r="N1289" s="28">
        <v>1.8725773795388902E-2</v>
      </c>
      <c r="O1289" s="20">
        <v>6819.6</v>
      </c>
      <c r="P1289" s="27" t="str">
        <f t="shared" si="61"/>
        <v>amarelo</v>
      </c>
    </row>
    <row r="1290" spans="1:16" ht="25.5">
      <c r="A1290" s="3" t="s">
        <v>4</v>
      </c>
      <c r="B1290" s="3" t="s">
        <v>718</v>
      </c>
      <c r="C1290" s="4">
        <v>194</v>
      </c>
      <c r="D1290" s="3" t="s">
        <v>145</v>
      </c>
      <c r="E1290" s="3" t="s">
        <v>16</v>
      </c>
      <c r="F1290" s="5">
        <v>156</v>
      </c>
      <c r="G1290" s="5">
        <v>444</v>
      </c>
      <c r="H1290" s="6">
        <v>9046.44</v>
      </c>
      <c r="I1290" s="22">
        <v>25107.599999999999</v>
      </c>
      <c r="J1290" s="24">
        <f t="shared" si="60"/>
        <v>1.73973621954637E-4</v>
      </c>
      <c r="K1290" s="25">
        <f t="shared" si="62"/>
        <v>0.7493840129085656</v>
      </c>
      <c r="L1290" s="26" t="s">
        <v>7516</v>
      </c>
      <c r="M1290" s="28"/>
      <c r="N1290" s="28"/>
      <c r="O1290" s="20">
        <v>26040</v>
      </c>
      <c r="P1290" s="27" t="str">
        <f t="shared" si="61"/>
        <v>verde</v>
      </c>
    </row>
    <row r="1291" spans="1:16" ht="25.5">
      <c r="A1291" s="3" t="s">
        <v>6153</v>
      </c>
      <c r="B1291" s="3" t="s">
        <v>6154</v>
      </c>
      <c r="C1291" s="4">
        <v>261</v>
      </c>
      <c r="D1291" s="3" t="s">
        <v>9</v>
      </c>
      <c r="E1291" s="3" t="s">
        <v>10</v>
      </c>
      <c r="F1291" s="5">
        <v>372</v>
      </c>
      <c r="G1291" s="5">
        <v>396</v>
      </c>
      <c r="H1291" s="6">
        <v>22214.04</v>
      </c>
      <c r="I1291" s="22">
        <v>25107.119999999999</v>
      </c>
      <c r="J1291" s="24">
        <f t="shared" si="60"/>
        <v>1.7397029597610706E-4</v>
      </c>
      <c r="K1291" s="25">
        <f t="shared" si="62"/>
        <v>0.7495579832045417</v>
      </c>
      <c r="L1291" s="26" t="s">
        <v>7516</v>
      </c>
      <c r="M1291" s="28"/>
      <c r="N1291" s="28"/>
      <c r="O1291" s="20" t="s">
        <v>7530</v>
      </c>
      <c r="P1291" s="27" t="str">
        <f t="shared" si="61"/>
        <v>vermelho</v>
      </c>
    </row>
    <row r="1292" spans="1:16" ht="25.5">
      <c r="A1292" s="3" t="s">
        <v>4</v>
      </c>
      <c r="B1292" s="3" t="s">
        <v>719</v>
      </c>
      <c r="C1292" s="4">
        <v>197</v>
      </c>
      <c r="D1292" s="3" t="s">
        <v>66</v>
      </c>
      <c r="E1292" s="3" t="s">
        <v>41</v>
      </c>
      <c r="F1292" s="5">
        <v>300</v>
      </c>
      <c r="G1292" s="5">
        <v>429</v>
      </c>
      <c r="H1292" s="6">
        <v>15966.24</v>
      </c>
      <c r="I1292" s="22">
        <v>25102.89</v>
      </c>
      <c r="J1292" s="24">
        <f t="shared" si="60"/>
        <v>1.7394098579031199E-4</v>
      </c>
      <c r="K1292" s="25">
        <f t="shared" si="62"/>
        <v>0.74973192419033197</v>
      </c>
      <c r="L1292" s="26" t="s">
        <v>7516</v>
      </c>
      <c r="M1292" s="28"/>
      <c r="N1292" s="28"/>
      <c r="O1292" s="20">
        <v>12041.58</v>
      </c>
      <c r="P1292" s="27" t="str">
        <f t="shared" si="61"/>
        <v>amarelo</v>
      </c>
    </row>
    <row r="1293" spans="1:16" ht="25.5">
      <c r="A1293" s="3" t="s">
        <v>4</v>
      </c>
      <c r="B1293" s="3" t="s">
        <v>720</v>
      </c>
      <c r="C1293" s="4">
        <v>167</v>
      </c>
      <c r="D1293" s="3" t="s">
        <v>251</v>
      </c>
      <c r="E1293" s="3" t="s">
        <v>49</v>
      </c>
      <c r="F1293" s="5">
        <v>342</v>
      </c>
      <c r="G1293" s="5">
        <v>513</v>
      </c>
      <c r="H1293" s="6">
        <v>17350.7</v>
      </c>
      <c r="I1293" s="22">
        <v>25085.33</v>
      </c>
      <c r="J1293" s="24">
        <f t="shared" si="60"/>
        <v>1.7381931040909185E-4</v>
      </c>
      <c r="K1293" s="25">
        <f t="shared" si="62"/>
        <v>0.74990574350074102</v>
      </c>
      <c r="L1293" s="26" t="s">
        <v>7516</v>
      </c>
      <c r="M1293" s="28"/>
      <c r="N1293" s="28"/>
      <c r="O1293" s="20">
        <v>8808.58</v>
      </c>
      <c r="P1293" s="27" t="str">
        <f t="shared" si="61"/>
        <v>amarelo</v>
      </c>
    </row>
    <row r="1294" spans="1:16" ht="25.5">
      <c r="A1294" s="3" t="s">
        <v>4</v>
      </c>
      <c r="B1294" s="3" t="s">
        <v>721</v>
      </c>
      <c r="C1294" s="4">
        <v>74</v>
      </c>
      <c r="D1294" s="3" t="s">
        <v>6</v>
      </c>
      <c r="E1294" s="3" t="s">
        <v>7</v>
      </c>
      <c r="F1294" s="5">
        <v>528</v>
      </c>
      <c r="G1294" s="5">
        <v>372</v>
      </c>
      <c r="H1294" s="6">
        <v>29532.45</v>
      </c>
      <c r="I1294" s="22">
        <v>25079.279999999999</v>
      </c>
      <c r="J1294" s="24">
        <f t="shared" si="60"/>
        <v>1.7377738922137075E-4</v>
      </c>
      <c r="K1294" s="25">
        <f t="shared" si="62"/>
        <v>0.75007952088996244</v>
      </c>
      <c r="L1294" s="26" t="s">
        <v>7516</v>
      </c>
      <c r="M1294" s="28"/>
      <c r="N1294" s="28"/>
      <c r="O1294" s="20" t="s">
        <v>7530</v>
      </c>
      <c r="P1294" s="27" t="str">
        <f t="shared" si="61"/>
        <v>vermelho</v>
      </c>
    </row>
    <row r="1295" spans="1:16" ht="38.25">
      <c r="A1295" s="3" t="s">
        <v>4</v>
      </c>
      <c r="B1295" s="3" t="s">
        <v>722</v>
      </c>
      <c r="C1295" s="4">
        <v>38</v>
      </c>
      <c r="D1295" s="3" t="s">
        <v>184</v>
      </c>
      <c r="E1295" s="3" t="s">
        <v>49</v>
      </c>
      <c r="F1295" s="5">
        <v>108</v>
      </c>
      <c r="G1295" s="5">
        <v>420</v>
      </c>
      <c r="H1295" s="6">
        <v>5250.5280000000002</v>
      </c>
      <c r="I1295" s="22">
        <v>25059.9</v>
      </c>
      <c r="J1295" s="24">
        <f t="shared" si="60"/>
        <v>1.7364310283822461E-4</v>
      </c>
      <c r="K1295" s="25">
        <f t="shared" si="62"/>
        <v>0.75025316399280062</v>
      </c>
      <c r="L1295" s="26" t="s">
        <v>7516</v>
      </c>
      <c r="M1295" s="28"/>
      <c r="N1295" s="28"/>
      <c r="O1295" s="20" t="s">
        <v>7530</v>
      </c>
      <c r="P1295" s="27" t="str">
        <f t="shared" si="61"/>
        <v>vermelho</v>
      </c>
    </row>
    <row r="1296" spans="1:16" ht="51">
      <c r="A1296" s="3" t="s">
        <v>4</v>
      </c>
      <c r="B1296" s="3" t="s">
        <v>723</v>
      </c>
      <c r="C1296" s="4">
        <v>282</v>
      </c>
      <c r="D1296" s="3" t="s">
        <v>12</v>
      </c>
      <c r="E1296" s="3" t="s">
        <v>13</v>
      </c>
      <c r="F1296" s="5">
        <v>231</v>
      </c>
      <c r="G1296" s="5">
        <v>456</v>
      </c>
      <c r="H1296" s="6">
        <v>10830.81</v>
      </c>
      <c r="I1296" s="22">
        <v>25046.04</v>
      </c>
      <c r="J1296" s="24">
        <f t="shared" si="60"/>
        <v>1.7354706520817268E-4</v>
      </c>
      <c r="K1296" s="25">
        <f t="shared" si="62"/>
        <v>0.75042671105800884</v>
      </c>
      <c r="L1296" s="26" t="s">
        <v>7516</v>
      </c>
      <c r="M1296" s="28"/>
      <c r="N1296" s="28"/>
      <c r="O1296" s="20" t="s">
        <v>7530</v>
      </c>
      <c r="P1296" s="27" t="str">
        <f t="shared" si="61"/>
        <v>vermelho</v>
      </c>
    </row>
    <row r="1297" spans="1:16" ht="25.5">
      <c r="A1297" s="3" t="s">
        <v>4</v>
      </c>
      <c r="B1297" s="3" t="s">
        <v>724</v>
      </c>
      <c r="C1297" s="4">
        <v>187</v>
      </c>
      <c r="D1297" s="3" t="s">
        <v>96</v>
      </c>
      <c r="E1297" s="3" t="s">
        <v>7</v>
      </c>
      <c r="F1297" s="5">
        <v>0</v>
      </c>
      <c r="G1297" s="5">
        <v>405</v>
      </c>
      <c r="H1297" s="6">
        <v>0</v>
      </c>
      <c r="I1297" s="22">
        <v>25036.32</v>
      </c>
      <c r="J1297" s="24">
        <f t="shared" si="60"/>
        <v>1.7347971414294146E-4</v>
      </c>
      <c r="K1297" s="25">
        <f t="shared" si="62"/>
        <v>0.75060019077215179</v>
      </c>
      <c r="L1297" s="26" t="s">
        <v>7516</v>
      </c>
      <c r="M1297" s="28"/>
      <c r="N1297" s="28"/>
      <c r="O1297" s="20">
        <v>9850.3799999999992</v>
      </c>
      <c r="P1297" s="27" t="str">
        <f t="shared" si="61"/>
        <v>amarelo</v>
      </c>
    </row>
    <row r="1298" spans="1:16" ht="25.5">
      <c r="A1298" s="3" t="s">
        <v>4</v>
      </c>
      <c r="B1298" s="3" t="s">
        <v>725</v>
      </c>
      <c r="C1298" s="4">
        <v>53</v>
      </c>
      <c r="D1298" s="3" t="s">
        <v>34</v>
      </c>
      <c r="E1298" s="3" t="s">
        <v>16</v>
      </c>
      <c r="F1298" s="5">
        <v>726</v>
      </c>
      <c r="G1298" s="5">
        <v>498</v>
      </c>
      <c r="H1298" s="6">
        <v>36602.82</v>
      </c>
      <c r="I1298" s="22">
        <v>25025.58</v>
      </c>
      <c r="J1298" s="24">
        <f t="shared" si="60"/>
        <v>1.7340529537333417E-4</v>
      </c>
      <c r="K1298" s="25">
        <f t="shared" si="62"/>
        <v>0.75077359606752514</v>
      </c>
      <c r="L1298" s="26" t="s">
        <v>7516</v>
      </c>
      <c r="M1298" s="28"/>
      <c r="N1298" s="28"/>
      <c r="O1298" s="20" t="s">
        <v>7530</v>
      </c>
      <c r="P1298" s="27" t="str">
        <f t="shared" si="61"/>
        <v>vermelho</v>
      </c>
    </row>
    <row r="1299" spans="1:16" ht="25.5">
      <c r="A1299" s="3" t="s">
        <v>4</v>
      </c>
      <c r="B1299" s="3" t="s">
        <v>726</v>
      </c>
      <c r="C1299" s="4">
        <v>74</v>
      </c>
      <c r="D1299" s="3" t="s">
        <v>6</v>
      </c>
      <c r="E1299" s="3" t="s">
        <v>7</v>
      </c>
      <c r="F1299" s="5">
        <v>72</v>
      </c>
      <c r="G1299" s="5">
        <v>399</v>
      </c>
      <c r="H1299" s="6">
        <v>4829.76</v>
      </c>
      <c r="I1299" s="22">
        <v>25016.97</v>
      </c>
      <c r="J1299" s="24">
        <f t="shared" si="60"/>
        <v>1.7334563563345344E-4</v>
      </c>
      <c r="K1299" s="25">
        <f t="shared" si="62"/>
        <v>0.75094694170315857</v>
      </c>
      <c r="L1299" s="26" t="s">
        <v>7516</v>
      </c>
      <c r="M1299" s="28"/>
      <c r="N1299" s="28"/>
      <c r="O1299" s="20" t="s">
        <v>7530</v>
      </c>
      <c r="P1299" s="27" t="str">
        <f t="shared" si="61"/>
        <v>vermelho</v>
      </c>
    </row>
    <row r="1300" spans="1:16" ht="25.5">
      <c r="A1300" s="3" t="s">
        <v>4</v>
      </c>
      <c r="B1300" s="3" t="s">
        <v>727</v>
      </c>
      <c r="C1300" s="4">
        <v>261</v>
      </c>
      <c r="D1300" s="3" t="s">
        <v>9</v>
      </c>
      <c r="E1300" s="3" t="s">
        <v>10</v>
      </c>
      <c r="F1300" s="5">
        <v>204</v>
      </c>
      <c r="G1300" s="5">
        <v>462</v>
      </c>
      <c r="H1300" s="6">
        <v>10753.44</v>
      </c>
      <c r="I1300" s="22">
        <v>24952.52</v>
      </c>
      <c r="J1300" s="24">
        <f t="shared" si="60"/>
        <v>1.7289905372459011E-4</v>
      </c>
      <c r="K1300" s="25">
        <f t="shared" si="62"/>
        <v>0.75111984075688321</v>
      </c>
      <c r="L1300" s="26" t="s">
        <v>7516</v>
      </c>
      <c r="M1300" s="28"/>
      <c r="N1300" s="28"/>
      <c r="O1300" s="20">
        <v>14696.636</v>
      </c>
      <c r="P1300" s="27" t="str">
        <f t="shared" si="61"/>
        <v>laranja</v>
      </c>
    </row>
    <row r="1301" spans="1:16" ht="38.25">
      <c r="A1301" s="3" t="s">
        <v>6155</v>
      </c>
      <c r="B1301" s="3" t="s">
        <v>6156</v>
      </c>
      <c r="C1301" s="4">
        <v>11</v>
      </c>
      <c r="D1301" s="3" t="s">
        <v>61</v>
      </c>
      <c r="E1301" s="3" t="s">
        <v>10</v>
      </c>
      <c r="F1301" s="5">
        <v>216</v>
      </c>
      <c r="G1301" s="5">
        <v>444</v>
      </c>
      <c r="H1301" s="6">
        <v>10830.24</v>
      </c>
      <c r="I1301" s="22">
        <v>24949.200000000001</v>
      </c>
      <c r="J1301" s="24">
        <f t="shared" si="60"/>
        <v>1.7287604903975807E-4</v>
      </c>
      <c r="K1301" s="25">
        <f t="shared" si="62"/>
        <v>0.75129271680592291</v>
      </c>
      <c r="L1301" s="26" t="s">
        <v>7516</v>
      </c>
      <c r="M1301" s="28"/>
      <c r="N1301" s="28"/>
      <c r="O1301" s="20" t="s">
        <v>7530</v>
      </c>
      <c r="P1301" s="27" t="str">
        <f t="shared" si="61"/>
        <v>vermelho</v>
      </c>
    </row>
    <row r="1302" spans="1:16" ht="25.5">
      <c r="A1302" s="3" t="s">
        <v>4</v>
      </c>
      <c r="B1302" s="3" t="s">
        <v>728</v>
      </c>
      <c r="C1302" s="4">
        <v>329</v>
      </c>
      <c r="D1302" s="3" t="s">
        <v>729</v>
      </c>
      <c r="E1302" s="3" t="s">
        <v>13</v>
      </c>
      <c r="F1302" s="5">
        <v>0</v>
      </c>
      <c r="G1302" s="5">
        <v>452</v>
      </c>
      <c r="H1302" s="6">
        <v>0</v>
      </c>
      <c r="I1302" s="22">
        <v>24931.14</v>
      </c>
      <c r="J1302" s="24">
        <f t="shared" si="60"/>
        <v>1.7275090909756919E-4</v>
      </c>
      <c r="K1302" s="25">
        <f t="shared" si="62"/>
        <v>0.75146546771502043</v>
      </c>
      <c r="L1302" s="26" t="s">
        <v>7516</v>
      </c>
      <c r="M1302" s="28"/>
      <c r="N1302" s="28"/>
      <c r="O1302" s="20" t="s">
        <v>7530</v>
      </c>
      <c r="P1302" s="27" t="str">
        <f t="shared" si="61"/>
        <v>vermelho</v>
      </c>
    </row>
    <row r="1303" spans="1:16" ht="25.5">
      <c r="A1303" s="3" t="s">
        <v>4</v>
      </c>
      <c r="B1303" s="3" t="s">
        <v>730</v>
      </c>
      <c r="C1303" s="4">
        <v>317</v>
      </c>
      <c r="D1303" s="3" t="s">
        <v>78</v>
      </c>
      <c r="E1303" s="3" t="s">
        <v>10</v>
      </c>
      <c r="F1303" s="5">
        <v>543</v>
      </c>
      <c r="G1303" s="5">
        <v>384</v>
      </c>
      <c r="H1303" s="6">
        <v>31706.82</v>
      </c>
      <c r="I1303" s="22">
        <v>24928.2</v>
      </c>
      <c r="J1303" s="24">
        <f t="shared" si="60"/>
        <v>1.7273053747907335E-4</v>
      </c>
      <c r="K1303" s="25">
        <f t="shared" si="62"/>
        <v>0.75163819825249956</v>
      </c>
      <c r="L1303" s="26" t="s">
        <v>7516</v>
      </c>
      <c r="M1303" s="28"/>
      <c r="N1303" s="28"/>
      <c r="O1303" s="20" t="s">
        <v>7530</v>
      </c>
      <c r="P1303" s="27" t="str">
        <f t="shared" si="61"/>
        <v>vermelho</v>
      </c>
    </row>
    <row r="1304" spans="1:16" ht="25.5">
      <c r="A1304" s="3" t="s">
        <v>6157</v>
      </c>
      <c r="B1304" s="3" t="s">
        <v>6158</v>
      </c>
      <c r="C1304" s="4">
        <v>39</v>
      </c>
      <c r="D1304" s="3" t="s">
        <v>26</v>
      </c>
      <c r="E1304" s="3" t="s">
        <v>13</v>
      </c>
      <c r="F1304" s="5">
        <v>72</v>
      </c>
      <c r="G1304" s="5">
        <v>450</v>
      </c>
      <c r="H1304" s="6">
        <v>2592</v>
      </c>
      <c r="I1304" s="22">
        <v>24888.39</v>
      </c>
      <c r="J1304" s="24">
        <f t="shared" si="60"/>
        <v>1.7245468913474677E-4</v>
      </c>
      <c r="K1304" s="25">
        <f t="shared" si="62"/>
        <v>0.75181065294163429</v>
      </c>
      <c r="L1304" s="26" t="s">
        <v>7516</v>
      </c>
      <c r="M1304" s="28"/>
      <c r="N1304" s="28"/>
      <c r="O1304" s="20">
        <v>2227.1</v>
      </c>
      <c r="P1304" s="27" t="str">
        <f t="shared" si="61"/>
        <v>amarelo</v>
      </c>
    </row>
    <row r="1305" spans="1:16" ht="25.5">
      <c r="A1305" s="3" t="s">
        <v>6159</v>
      </c>
      <c r="B1305" s="3" t="s">
        <v>6160</v>
      </c>
      <c r="C1305" s="4">
        <v>41</v>
      </c>
      <c r="D1305" s="3" t="s">
        <v>178</v>
      </c>
      <c r="E1305" s="3" t="s">
        <v>41</v>
      </c>
      <c r="F1305" s="5">
        <v>588</v>
      </c>
      <c r="G1305" s="5">
        <v>456</v>
      </c>
      <c r="H1305" s="6">
        <v>33524.417999999998</v>
      </c>
      <c r="I1305" s="22">
        <v>24887.7</v>
      </c>
      <c r="J1305" s="24">
        <f t="shared" si="60"/>
        <v>1.7244990804060999E-4</v>
      </c>
      <c r="K1305" s="25">
        <f t="shared" si="62"/>
        <v>0.75198310284967496</v>
      </c>
      <c r="L1305" s="26" t="s">
        <v>7516</v>
      </c>
      <c r="M1305" s="28"/>
      <c r="N1305" s="28"/>
      <c r="O1305" s="20">
        <v>19059.087</v>
      </c>
      <c r="P1305" s="27" t="str">
        <f t="shared" si="61"/>
        <v>laranja</v>
      </c>
    </row>
    <row r="1306" spans="1:16" ht="51">
      <c r="A1306" s="3" t="s">
        <v>6161</v>
      </c>
      <c r="B1306" s="3" t="s">
        <v>6162</v>
      </c>
      <c r="C1306" s="4">
        <v>282</v>
      </c>
      <c r="D1306" s="3" t="s">
        <v>12</v>
      </c>
      <c r="E1306" s="3" t="s">
        <v>13</v>
      </c>
      <c r="F1306" s="5">
        <v>270</v>
      </c>
      <c r="G1306" s="5">
        <v>372</v>
      </c>
      <c r="H1306" s="6">
        <v>13907.016</v>
      </c>
      <c r="I1306" s="22">
        <v>24874.68</v>
      </c>
      <c r="J1306" s="24">
        <f t="shared" si="60"/>
        <v>1.7235969087298547E-4</v>
      </c>
      <c r="K1306" s="25">
        <f t="shared" si="62"/>
        <v>0.75215546254054799</v>
      </c>
      <c r="L1306" s="26" t="s">
        <v>7516</v>
      </c>
      <c r="M1306" s="28"/>
      <c r="N1306" s="28"/>
      <c r="O1306" s="20" t="s">
        <v>7530</v>
      </c>
      <c r="P1306" s="27" t="str">
        <f t="shared" si="61"/>
        <v>vermelho</v>
      </c>
    </row>
    <row r="1307" spans="1:16" ht="25.5">
      <c r="A1307" s="3" t="s">
        <v>4</v>
      </c>
      <c r="B1307" s="3" t="s">
        <v>731</v>
      </c>
      <c r="C1307" s="4">
        <v>194</v>
      </c>
      <c r="D1307" s="3" t="s">
        <v>145</v>
      </c>
      <c r="E1307" s="3" t="s">
        <v>16</v>
      </c>
      <c r="F1307" s="5">
        <v>363</v>
      </c>
      <c r="G1307" s="5">
        <v>417</v>
      </c>
      <c r="H1307" s="6">
        <v>19403.37</v>
      </c>
      <c r="I1307" s="22">
        <v>24814.26</v>
      </c>
      <c r="J1307" s="24">
        <f t="shared" si="60"/>
        <v>1.7194103332552973E-4</v>
      </c>
      <c r="K1307" s="25">
        <f t="shared" si="62"/>
        <v>0.75232740357387351</v>
      </c>
      <c r="L1307" s="26" t="s">
        <v>7516</v>
      </c>
      <c r="M1307" s="28"/>
      <c r="N1307" s="28"/>
      <c r="O1307" s="20">
        <v>14930.7</v>
      </c>
      <c r="P1307" s="27" t="str">
        <f t="shared" si="61"/>
        <v>laranja</v>
      </c>
    </row>
    <row r="1308" spans="1:16" ht="38.25">
      <c r="A1308" s="3" t="s">
        <v>4</v>
      </c>
      <c r="B1308" s="3" t="s">
        <v>732</v>
      </c>
      <c r="C1308" s="4">
        <v>301</v>
      </c>
      <c r="D1308" s="3" t="s">
        <v>519</v>
      </c>
      <c r="E1308" s="3" t="s">
        <v>16</v>
      </c>
      <c r="F1308" s="5">
        <v>504</v>
      </c>
      <c r="G1308" s="5">
        <v>430</v>
      </c>
      <c r="H1308" s="6">
        <v>25280.16</v>
      </c>
      <c r="I1308" s="22">
        <v>24803.58</v>
      </c>
      <c r="J1308" s="24">
        <f t="shared" si="60"/>
        <v>1.7186703030323868E-4</v>
      </c>
      <c r="K1308" s="25">
        <f t="shared" si="62"/>
        <v>0.75249927060417676</v>
      </c>
      <c r="L1308" s="26" t="s">
        <v>7516</v>
      </c>
      <c r="M1308" s="28"/>
      <c r="N1308" s="28"/>
      <c r="O1308" s="20" t="s">
        <v>7530</v>
      </c>
      <c r="P1308" s="27" t="str">
        <f t="shared" si="61"/>
        <v>vermelho</v>
      </c>
    </row>
    <row r="1309" spans="1:16" ht="25.5">
      <c r="A1309" s="3" t="s">
        <v>4</v>
      </c>
      <c r="B1309" s="3" t="s">
        <v>733</v>
      </c>
      <c r="C1309" s="4">
        <v>273</v>
      </c>
      <c r="D1309" s="3" t="s">
        <v>149</v>
      </c>
      <c r="E1309" s="3" t="s">
        <v>16</v>
      </c>
      <c r="F1309" s="5">
        <v>545</v>
      </c>
      <c r="G1309" s="5">
        <v>399</v>
      </c>
      <c r="H1309" s="6">
        <v>26859.45</v>
      </c>
      <c r="I1309" s="22">
        <v>24802.687000000002</v>
      </c>
      <c r="J1309" s="24">
        <f t="shared" si="60"/>
        <v>1.7186084259734861E-4</v>
      </c>
      <c r="K1309" s="25">
        <f t="shared" si="62"/>
        <v>0.75267113144677411</v>
      </c>
      <c r="L1309" s="26" t="s">
        <v>7516</v>
      </c>
      <c r="M1309" s="28"/>
      <c r="N1309" s="28"/>
      <c r="O1309" s="20" t="s">
        <v>7530</v>
      </c>
      <c r="P1309" s="27" t="str">
        <f t="shared" si="61"/>
        <v>vermelho</v>
      </c>
    </row>
    <row r="1310" spans="1:16" ht="25.5">
      <c r="A1310" s="3" t="s">
        <v>6163</v>
      </c>
      <c r="B1310" s="3" t="s">
        <v>6164</v>
      </c>
      <c r="C1310" s="4">
        <v>187</v>
      </c>
      <c r="D1310" s="3" t="s">
        <v>96</v>
      </c>
      <c r="E1310" s="3" t="s">
        <v>7</v>
      </c>
      <c r="F1310" s="5">
        <v>954</v>
      </c>
      <c r="G1310" s="5">
        <v>396</v>
      </c>
      <c r="H1310" s="6">
        <v>58724.061999999998</v>
      </c>
      <c r="I1310" s="22">
        <v>24789.9</v>
      </c>
      <c r="J1310" s="24">
        <f t="shared" si="60"/>
        <v>1.717722399151355E-4</v>
      </c>
      <c r="K1310" s="25">
        <f t="shared" si="62"/>
        <v>0.75284290368668927</v>
      </c>
      <c r="L1310" s="26" t="s">
        <v>7516</v>
      </c>
      <c r="M1310" s="28"/>
      <c r="N1310" s="28"/>
      <c r="O1310" s="20">
        <v>34863.81</v>
      </c>
      <c r="P1310" s="27" t="str">
        <f t="shared" si="61"/>
        <v>verde</v>
      </c>
    </row>
    <row r="1311" spans="1:16" ht="25.5">
      <c r="A1311" s="3" t="s">
        <v>4</v>
      </c>
      <c r="B1311" s="3" t="s">
        <v>734</v>
      </c>
      <c r="C1311" s="4">
        <v>297</v>
      </c>
      <c r="D1311" s="3" t="s">
        <v>115</v>
      </c>
      <c r="E1311" s="3" t="s">
        <v>41</v>
      </c>
      <c r="F1311" s="5">
        <v>597</v>
      </c>
      <c r="G1311" s="5">
        <v>474</v>
      </c>
      <c r="H1311" s="6">
        <v>25645.65</v>
      </c>
      <c r="I1311" s="22">
        <v>24782.57</v>
      </c>
      <c r="J1311" s="24">
        <f t="shared" si="60"/>
        <v>1.7172144945133458E-4</v>
      </c>
      <c r="K1311" s="25">
        <f t="shared" si="62"/>
        <v>0.75301462513614059</v>
      </c>
      <c r="L1311" s="26" t="s">
        <v>7516</v>
      </c>
      <c r="M1311" s="28"/>
      <c r="N1311" s="28"/>
      <c r="O1311" s="20">
        <v>8968.5820000000003</v>
      </c>
      <c r="P1311" s="27" t="str">
        <f t="shared" si="61"/>
        <v>amarelo</v>
      </c>
    </row>
    <row r="1312" spans="1:16" ht="25.5">
      <c r="A1312" s="3" t="s">
        <v>4</v>
      </c>
      <c r="B1312" s="3" t="s">
        <v>735</v>
      </c>
      <c r="C1312" s="4">
        <v>19</v>
      </c>
      <c r="D1312" s="3" t="s">
        <v>72</v>
      </c>
      <c r="E1312" s="3" t="s">
        <v>41</v>
      </c>
      <c r="F1312" s="5">
        <v>0</v>
      </c>
      <c r="G1312" s="5">
        <v>420</v>
      </c>
      <c r="H1312" s="6">
        <v>0</v>
      </c>
      <c r="I1312" s="22">
        <v>24778.26</v>
      </c>
      <c r="J1312" s="24">
        <f t="shared" si="60"/>
        <v>1.7169158493578454E-4</v>
      </c>
      <c r="K1312" s="25">
        <f t="shared" si="62"/>
        <v>0.75318631672107639</v>
      </c>
      <c r="L1312" s="26" t="s">
        <v>7516</v>
      </c>
      <c r="M1312" s="28"/>
      <c r="N1312" s="28"/>
      <c r="O1312" s="20">
        <v>35069.760000000002</v>
      </c>
      <c r="P1312" s="27" t="str">
        <f t="shared" si="61"/>
        <v>verde</v>
      </c>
    </row>
    <row r="1313" spans="1:16" ht="25.5">
      <c r="A1313" s="3" t="s">
        <v>4</v>
      </c>
      <c r="B1313" s="3" t="s">
        <v>736</v>
      </c>
      <c r="C1313" s="4">
        <v>178</v>
      </c>
      <c r="D1313" s="3" t="s">
        <v>74</v>
      </c>
      <c r="E1313" s="3" t="s">
        <v>7</v>
      </c>
      <c r="F1313" s="5">
        <v>162</v>
      </c>
      <c r="G1313" s="5">
        <v>444</v>
      </c>
      <c r="H1313" s="6">
        <v>10516.38</v>
      </c>
      <c r="I1313" s="22">
        <v>24767.759999999998</v>
      </c>
      <c r="J1313" s="24">
        <f t="shared" si="60"/>
        <v>1.7161882915544218E-4</v>
      </c>
      <c r="K1313" s="25">
        <f t="shared" si="62"/>
        <v>0.75335793555023178</v>
      </c>
      <c r="L1313" s="26" t="s">
        <v>7516</v>
      </c>
      <c r="M1313" s="28"/>
      <c r="N1313" s="28"/>
      <c r="O1313" s="20">
        <v>3610.92</v>
      </c>
      <c r="P1313" s="27" t="str">
        <f t="shared" si="61"/>
        <v>amarelo</v>
      </c>
    </row>
    <row r="1314" spans="1:16" ht="25.5">
      <c r="A1314" s="3" t="s">
        <v>4</v>
      </c>
      <c r="B1314" s="3" t="s">
        <v>737</v>
      </c>
      <c r="C1314" s="4">
        <v>23</v>
      </c>
      <c r="D1314" s="3" t="s">
        <v>87</v>
      </c>
      <c r="E1314" s="3" t="s">
        <v>7</v>
      </c>
      <c r="F1314" s="5">
        <v>405</v>
      </c>
      <c r="G1314" s="5">
        <v>368</v>
      </c>
      <c r="H1314" s="6">
        <v>23080.724999999999</v>
      </c>
      <c r="I1314" s="22">
        <v>24766.445</v>
      </c>
      <c r="J1314" s="24">
        <f t="shared" si="60"/>
        <v>1.7160971736009453E-4</v>
      </c>
      <c r="K1314" s="25">
        <f t="shared" si="62"/>
        <v>0.75352954526759186</v>
      </c>
      <c r="L1314" s="26" t="s">
        <v>7516</v>
      </c>
      <c r="M1314" s="28">
        <v>-2.9156673773673841E-2</v>
      </c>
      <c r="N1314" s="28"/>
      <c r="O1314" s="20">
        <v>15140.25</v>
      </c>
      <c r="P1314" s="27" t="str">
        <f t="shared" si="61"/>
        <v>laranja</v>
      </c>
    </row>
    <row r="1315" spans="1:16" ht="38.25">
      <c r="A1315" s="3" t="s">
        <v>6165</v>
      </c>
      <c r="B1315" s="3" t="s">
        <v>6166</v>
      </c>
      <c r="C1315" s="4">
        <v>38</v>
      </c>
      <c r="D1315" s="3" t="s">
        <v>184</v>
      </c>
      <c r="E1315" s="3" t="s">
        <v>49</v>
      </c>
      <c r="F1315" s="5">
        <v>276</v>
      </c>
      <c r="G1315" s="5">
        <v>414</v>
      </c>
      <c r="H1315" s="6">
        <v>16721.8</v>
      </c>
      <c r="I1315" s="22">
        <v>24745.9</v>
      </c>
      <c r="J1315" s="24">
        <f t="shared" si="60"/>
        <v>1.7146735854989135E-4</v>
      </c>
      <c r="K1315" s="25">
        <f t="shared" si="62"/>
        <v>0.75370101262614175</v>
      </c>
      <c r="L1315" s="26" t="s">
        <v>7516</v>
      </c>
      <c r="M1315" s="28"/>
      <c r="N1315" s="28"/>
      <c r="O1315" s="20">
        <v>15158.2</v>
      </c>
      <c r="P1315" s="27" t="str">
        <f t="shared" si="61"/>
        <v>laranja</v>
      </c>
    </row>
    <row r="1316" spans="1:16" ht="38.25">
      <c r="A1316" s="3" t="s">
        <v>4</v>
      </c>
      <c r="B1316" s="3" t="s">
        <v>738</v>
      </c>
      <c r="C1316" s="4">
        <v>317</v>
      </c>
      <c r="D1316" s="3" t="s">
        <v>78</v>
      </c>
      <c r="E1316" s="3" t="s">
        <v>10</v>
      </c>
      <c r="F1316" s="5">
        <v>0</v>
      </c>
      <c r="G1316" s="5">
        <v>390</v>
      </c>
      <c r="H1316" s="6">
        <v>0</v>
      </c>
      <c r="I1316" s="22">
        <v>24737.73</v>
      </c>
      <c r="J1316" s="24">
        <f t="shared" si="60"/>
        <v>1.7141074762366305E-4</v>
      </c>
      <c r="K1316" s="25">
        <f t="shared" si="62"/>
        <v>0.75387242337376537</v>
      </c>
      <c r="L1316" s="26" t="s">
        <v>7516</v>
      </c>
      <c r="M1316" s="28"/>
      <c r="N1316" s="28"/>
      <c r="O1316" s="20" t="s">
        <v>7530</v>
      </c>
      <c r="P1316" s="27" t="str">
        <f t="shared" si="61"/>
        <v>vermelho</v>
      </c>
    </row>
    <row r="1317" spans="1:16" ht="38.25">
      <c r="A1317" s="3" t="s">
        <v>6167</v>
      </c>
      <c r="B1317" s="3" t="s">
        <v>6168</v>
      </c>
      <c r="C1317" s="4">
        <v>11</v>
      </c>
      <c r="D1317" s="3" t="s">
        <v>61</v>
      </c>
      <c r="E1317" s="3" t="s">
        <v>10</v>
      </c>
      <c r="F1317" s="5">
        <v>576</v>
      </c>
      <c r="G1317" s="5">
        <v>336</v>
      </c>
      <c r="H1317" s="6">
        <v>35655.96</v>
      </c>
      <c r="I1317" s="22">
        <v>24728.28</v>
      </c>
      <c r="J1317" s="24">
        <f t="shared" si="60"/>
        <v>1.7134526742135491E-4</v>
      </c>
      <c r="K1317" s="25">
        <f t="shared" si="62"/>
        <v>0.75404376864118672</v>
      </c>
      <c r="L1317" s="26" t="s">
        <v>7516</v>
      </c>
      <c r="M1317" s="28"/>
      <c r="N1317" s="28"/>
      <c r="O1317" s="20" t="s">
        <v>7530</v>
      </c>
      <c r="P1317" s="27" t="str">
        <f t="shared" si="61"/>
        <v>vermelho</v>
      </c>
    </row>
    <row r="1318" spans="1:16" ht="25.5">
      <c r="A1318" s="3" t="s">
        <v>4</v>
      </c>
      <c r="B1318" s="3" t="s">
        <v>739</v>
      </c>
      <c r="C1318" s="4">
        <v>15</v>
      </c>
      <c r="D1318" s="3" t="s">
        <v>18</v>
      </c>
      <c r="E1318" s="3" t="s">
        <v>16</v>
      </c>
      <c r="F1318" s="5">
        <v>642</v>
      </c>
      <c r="G1318" s="5">
        <v>456</v>
      </c>
      <c r="H1318" s="6">
        <v>35650.980000000003</v>
      </c>
      <c r="I1318" s="22">
        <v>24719.64</v>
      </c>
      <c r="J1318" s="24">
        <f t="shared" si="60"/>
        <v>1.7128539980781608E-4</v>
      </c>
      <c r="K1318" s="25">
        <f t="shared" si="62"/>
        <v>0.75421505404099454</v>
      </c>
      <c r="L1318" s="26" t="s">
        <v>7516</v>
      </c>
      <c r="M1318" s="28"/>
      <c r="N1318" s="28"/>
      <c r="O1318" s="20" t="s">
        <v>7530</v>
      </c>
      <c r="P1318" s="27" t="str">
        <f t="shared" si="61"/>
        <v>vermelho</v>
      </c>
    </row>
    <row r="1319" spans="1:16" ht="25.5">
      <c r="A1319" s="3" t="s">
        <v>4</v>
      </c>
      <c r="B1319" s="3" t="s">
        <v>740</v>
      </c>
      <c r="C1319" s="4">
        <v>261</v>
      </c>
      <c r="D1319" s="3" t="s">
        <v>9</v>
      </c>
      <c r="E1319" s="3" t="s">
        <v>10</v>
      </c>
      <c r="F1319" s="5">
        <v>1005</v>
      </c>
      <c r="G1319" s="5">
        <v>453</v>
      </c>
      <c r="H1319" s="6">
        <v>40932.99</v>
      </c>
      <c r="I1319" s="22">
        <v>24716.400000000001</v>
      </c>
      <c r="J1319" s="24">
        <f t="shared" si="60"/>
        <v>1.7126294945273902E-4</v>
      </c>
      <c r="K1319" s="25">
        <f t="shared" si="62"/>
        <v>0.75438631699044723</v>
      </c>
      <c r="L1319" s="26" t="s">
        <v>7516</v>
      </c>
      <c r="M1319" s="28"/>
      <c r="N1319" s="28"/>
      <c r="O1319" s="20">
        <v>6997.26</v>
      </c>
      <c r="P1319" s="27" t="str">
        <f t="shared" si="61"/>
        <v>amarelo</v>
      </c>
    </row>
    <row r="1320" spans="1:16" ht="25.5">
      <c r="A1320" s="3" t="s">
        <v>4</v>
      </c>
      <c r="B1320" s="3" t="s">
        <v>741</v>
      </c>
      <c r="C1320" s="4">
        <v>19</v>
      </c>
      <c r="D1320" s="3" t="s">
        <v>72</v>
      </c>
      <c r="E1320" s="3" t="s">
        <v>41</v>
      </c>
      <c r="F1320" s="5">
        <v>168</v>
      </c>
      <c r="G1320" s="5">
        <v>354</v>
      </c>
      <c r="H1320" s="6">
        <v>11569.11</v>
      </c>
      <c r="I1320" s="22">
        <v>24679.26</v>
      </c>
      <c r="J1320" s="24">
        <f t="shared" si="60"/>
        <v>1.710056018639852E-4</v>
      </c>
      <c r="K1320" s="25">
        <f t="shared" si="62"/>
        <v>0.75455732259231123</v>
      </c>
      <c r="L1320" s="26" t="s">
        <v>7516</v>
      </c>
      <c r="M1320" s="28"/>
      <c r="N1320" s="28"/>
      <c r="O1320" s="20" t="s">
        <v>7530</v>
      </c>
      <c r="P1320" s="27" t="str">
        <f t="shared" si="61"/>
        <v>vermelho</v>
      </c>
    </row>
    <row r="1321" spans="1:16" ht="25.5">
      <c r="A1321" s="3" t="s">
        <v>4</v>
      </c>
      <c r="B1321" s="3" t="s">
        <v>742</v>
      </c>
      <c r="C1321" s="4">
        <v>194</v>
      </c>
      <c r="D1321" s="3" t="s">
        <v>145</v>
      </c>
      <c r="E1321" s="3" t="s">
        <v>16</v>
      </c>
      <c r="F1321" s="5">
        <v>258</v>
      </c>
      <c r="G1321" s="5">
        <v>420</v>
      </c>
      <c r="H1321" s="6">
        <v>14674.74</v>
      </c>
      <c r="I1321" s="22">
        <v>24665.759999999998</v>
      </c>
      <c r="J1321" s="24">
        <f t="shared" si="60"/>
        <v>1.7091205871783073E-4</v>
      </c>
      <c r="K1321" s="25">
        <f t="shared" si="62"/>
        <v>0.75472823465102901</v>
      </c>
      <c r="L1321" s="26" t="s">
        <v>7516</v>
      </c>
      <c r="M1321" s="28"/>
      <c r="N1321" s="28"/>
      <c r="O1321" s="20">
        <v>10909.44</v>
      </c>
      <c r="P1321" s="27" t="str">
        <f t="shared" si="61"/>
        <v>amarelo</v>
      </c>
    </row>
    <row r="1322" spans="1:16" ht="25.5">
      <c r="A1322" s="3" t="s">
        <v>4</v>
      </c>
      <c r="B1322" s="3" t="s">
        <v>743</v>
      </c>
      <c r="C1322" s="4">
        <v>240</v>
      </c>
      <c r="D1322" s="3" t="s">
        <v>69</v>
      </c>
      <c r="E1322" s="3" t="s">
        <v>16</v>
      </c>
      <c r="F1322" s="5">
        <v>948</v>
      </c>
      <c r="G1322" s="5">
        <v>423</v>
      </c>
      <c r="H1322" s="6">
        <v>58509.39</v>
      </c>
      <c r="I1322" s="22">
        <v>24654.84</v>
      </c>
      <c r="J1322" s="24">
        <f t="shared" si="60"/>
        <v>1.708363927062747E-4</v>
      </c>
      <c r="K1322" s="25">
        <f t="shared" si="62"/>
        <v>0.75489907104373533</v>
      </c>
      <c r="L1322" s="26" t="s">
        <v>7516</v>
      </c>
      <c r="M1322" s="28"/>
      <c r="N1322" s="28"/>
      <c r="O1322" s="20" t="s">
        <v>7530</v>
      </c>
      <c r="P1322" s="27" t="str">
        <f t="shared" si="61"/>
        <v>vermelho</v>
      </c>
    </row>
    <row r="1323" spans="1:16" ht="25.5">
      <c r="A1323" s="3" t="s">
        <v>4</v>
      </c>
      <c r="B1323" s="3" t="s">
        <v>744</v>
      </c>
      <c r="C1323" s="4">
        <v>197</v>
      </c>
      <c r="D1323" s="3" t="s">
        <v>66</v>
      </c>
      <c r="E1323" s="3" t="s">
        <v>41</v>
      </c>
      <c r="F1323" s="5">
        <v>384</v>
      </c>
      <c r="G1323" s="5">
        <v>411</v>
      </c>
      <c r="H1323" s="6">
        <v>21309.601999999999</v>
      </c>
      <c r="I1323" s="22">
        <v>24640.83</v>
      </c>
      <c r="J1323" s="24">
        <f t="shared" si="60"/>
        <v>1.707393157079322E-4</v>
      </c>
      <c r="K1323" s="25">
        <f t="shared" si="62"/>
        <v>0.75506981035944321</v>
      </c>
      <c r="L1323" s="26" t="s">
        <v>7516</v>
      </c>
      <c r="M1323" s="28"/>
      <c r="N1323" s="28"/>
      <c r="O1323" s="20">
        <v>9767.52</v>
      </c>
      <c r="P1323" s="27" t="str">
        <f t="shared" si="61"/>
        <v>amarelo</v>
      </c>
    </row>
    <row r="1324" spans="1:16" ht="25.5">
      <c r="A1324" s="3" t="s">
        <v>6169</v>
      </c>
      <c r="B1324" s="3" t="s">
        <v>6170</v>
      </c>
      <c r="C1324" s="4">
        <v>316</v>
      </c>
      <c r="D1324" s="3" t="s">
        <v>247</v>
      </c>
      <c r="E1324" s="3" t="s">
        <v>10</v>
      </c>
      <c r="F1324" s="5">
        <v>0</v>
      </c>
      <c r="G1324" s="5">
        <v>372</v>
      </c>
      <c r="H1324" s="6">
        <v>0</v>
      </c>
      <c r="I1324" s="22">
        <v>24619.68</v>
      </c>
      <c r="J1324" s="24">
        <f t="shared" si="60"/>
        <v>1.7059276477895686E-4</v>
      </c>
      <c r="K1324" s="25">
        <f t="shared" si="62"/>
        <v>0.75524040312422214</v>
      </c>
      <c r="L1324" s="26" t="s">
        <v>7516</v>
      </c>
      <c r="M1324" s="28"/>
      <c r="N1324" s="28"/>
      <c r="O1324" s="20" t="s">
        <v>7530</v>
      </c>
      <c r="P1324" s="27" t="str">
        <f t="shared" si="61"/>
        <v>vermelho</v>
      </c>
    </row>
    <row r="1325" spans="1:16" ht="38.25">
      <c r="A1325" s="3" t="s">
        <v>4</v>
      </c>
      <c r="B1325" s="3" t="s">
        <v>745</v>
      </c>
      <c r="C1325" s="4">
        <v>38</v>
      </c>
      <c r="D1325" s="3" t="s">
        <v>184</v>
      </c>
      <c r="E1325" s="3" t="s">
        <v>49</v>
      </c>
      <c r="F1325" s="5">
        <v>645</v>
      </c>
      <c r="G1325" s="5">
        <v>438</v>
      </c>
      <c r="H1325" s="6">
        <v>37796.730000000003</v>
      </c>
      <c r="I1325" s="22">
        <v>24617.19</v>
      </c>
      <c r="J1325" s="24">
        <f t="shared" si="60"/>
        <v>1.7057551126533282E-4</v>
      </c>
      <c r="K1325" s="25">
        <f t="shared" si="62"/>
        <v>0.75541097863548745</v>
      </c>
      <c r="L1325" s="26" t="s">
        <v>7516</v>
      </c>
      <c r="M1325" s="28"/>
      <c r="N1325" s="28"/>
      <c r="O1325" s="20" t="s">
        <v>7530</v>
      </c>
      <c r="P1325" s="27" t="str">
        <f t="shared" si="61"/>
        <v>vermelho</v>
      </c>
    </row>
    <row r="1326" spans="1:16">
      <c r="A1326" s="3" t="s">
        <v>4</v>
      </c>
      <c r="B1326" s="3" t="s">
        <v>746</v>
      </c>
      <c r="C1326" s="4">
        <v>232</v>
      </c>
      <c r="D1326" s="3" t="s">
        <v>174</v>
      </c>
      <c r="E1326" s="3" t="s">
        <v>16</v>
      </c>
      <c r="F1326" s="5">
        <v>0</v>
      </c>
      <c r="G1326" s="5">
        <v>384</v>
      </c>
      <c r="H1326" s="6">
        <v>0</v>
      </c>
      <c r="I1326" s="22">
        <v>24611.52</v>
      </c>
      <c r="J1326" s="24">
        <f t="shared" si="60"/>
        <v>1.7053622314394795E-4</v>
      </c>
      <c r="K1326" s="25">
        <f t="shared" si="62"/>
        <v>0.75558151485863145</v>
      </c>
      <c r="L1326" s="26" t="s">
        <v>7516</v>
      </c>
      <c r="M1326" s="28"/>
      <c r="N1326" s="28"/>
      <c r="O1326" s="20" t="s">
        <v>7530</v>
      </c>
      <c r="P1326" s="27" t="str">
        <f t="shared" si="61"/>
        <v>vermelho</v>
      </c>
    </row>
    <row r="1327" spans="1:16">
      <c r="A1327" s="3" t="s">
        <v>6171</v>
      </c>
      <c r="B1327" s="3" t="s">
        <v>6172</v>
      </c>
      <c r="C1327" s="4">
        <v>240</v>
      </c>
      <c r="D1327" s="3" t="s">
        <v>69</v>
      </c>
      <c r="E1327" s="3" t="s">
        <v>16</v>
      </c>
      <c r="F1327" s="5">
        <v>372</v>
      </c>
      <c r="G1327" s="5">
        <v>441</v>
      </c>
      <c r="H1327" s="6">
        <v>21243.42</v>
      </c>
      <c r="I1327" s="22">
        <v>24586.53</v>
      </c>
      <c r="J1327" s="24">
        <f t="shared" si="60"/>
        <v>1.7036306438673315E-4</v>
      </c>
      <c r="K1327" s="25">
        <f t="shared" si="62"/>
        <v>0.75575187792301823</v>
      </c>
      <c r="L1327" s="26" t="s">
        <v>7516</v>
      </c>
      <c r="M1327" s="28"/>
      <c r="N1327" s="28"/>
      <c r="O1327" s="20">
        <v>3531</v>
      </c>
      <c r="P1327" s="27" t="str">
        <f t="shared" si="61"/>
        <v>amarelo</v>
      </c>
    </row>
    <row r="1328" spans="1:16" ht="38.25">
      <c r="A1328" s="3" t="s">
        <v>4</v>
      </c>
      <c r="B1328" s="3" t="s">
        <v>747</v>
      </c>
      <c r="C1328" s="4">
        <v>11</v>
      </c>
      <c r="D1328" s="3" t="s">
        <v>61</v>
      </c>
      <c r="E1328" s="3" t="s">
        <v>10</v>
      </c>
      <c r="F1328" s="5">
        <v>456</v>
      </c>
      <c r="G1328" s="5">
        <v>345</v>
      </c>
      <c r="H1328" s="6">
        <v>27168.84</v>
      </c>
      <c r="I1328" s="22">
        <v>24572.31</v>
      </c>
      <c r="J1328" s="24">
        <f t="shared" si="60"/>
        <v>1.7026453227278379E-4</v>
      </c>
      <c r="K1328" s="25">
        <f t="shared" si="62"/>
        <v>0.75592214245529099</v>
      </c>
      <c r="L1328" s="26" t="s">
        <v>7516</v>
      </c>
      <c r="M1328" s="28"/>
      <c r="N1328" s="28"/>
      <c r="O1328" s="20">
        <v>43904.52</v>
      </c>
      <c r="P1328" s="27" t="str">
        <f t="shared" si="61"/>
        <v>verde</v>
      </c>
    </row>
    <row r="1329" spans="1:16" ht="25.5">
      <c r="A1329" s="3" t="s">
        <v>4</v>
      </c>
      <c r="B1329" s="3" t="s">
        <v>748</v>
      </c>
      <c r="C1329" s="4">
        <v>61</v>
      </c>
      <c r="D1329" s="3" t="s">
        <v>48</v>
      </c>
      <c r="E1329" s="3" t="s">
        <v>49</v>
      </c>
      <c r="F1329" s="5">
        <v>417</v>
      </c>
      <c r="G1329" s="5">
        <v>384</v>
      </c>
      <c r="H1329" s="6">
        <v>25844.91</v>
      </c>
      <c r="I1329" s="22">
        <v>24534.78</v>
      </c>
      <c r="J1329" s="24">
        <f t="shared" si="60"/>
        <v>1.7000448232647441E-4</v>
      </c>
      <c r="K1329" s="25">
        <f t="shared" si="62"/>
        <v>0.7560921469376175</v>
      </c>
      <c r="L1329" s="26" t="s">
        <v>7516</v>
      </c>
      <c r="M1329" s="28"/>
      <c r="N1329" s="28"/>
      <c r="O1329" s="20">
        <v>11940.09</v>
      </c>
      <c r="P1329" s="27" t="str">
        <f t="shared" si="61"/>
        <v>amarelo</v>
      </c>
    </row>
    <row r="1330" spans="1:16" ht="38.25">
      <c r="A1330" s="3" t="s">
        <v>4</v>
      </c>
      <c r="B1330" s="3" t="s">
        <v>749</v>
      </c>
      <c r="C1330" s="4">
        <v>38</v>
      </c>
      <c r="D1330" s="3" t="s">
        <v>184</v>
      </c>
      <c r="E1330" s="3" t="s">
        <v>49</v>
      </c>
      <c r="F1330" s="5">
        <v>0</v>
      </c>
      <c r="G1330" s="5">
        <v>456</v>
      </c>
      <c r="H1330" s="6">
        <v>0</v>
      </c>
      <c r="I1330" s="22">
        <v>24519.72</v>
      </c>
      <c r="J1330" s="24">
        <f t="shared" si="60"/>
        <v>1.6990012975009767E-4</v>
      </c>
      <c r="K1330" s="25">
        <f t="shared" si="62"/>
        <v>0.75626204706736755</v>
      </c>
      <c r="L1330" s="26" t="s">
        <v>7516</v>
      </c>
      <c r="M1330" s="28"/>
      <c r="N1330" s="28"/>
      <c r="O1330" s="20" t="s">
        <v>7530</v>
      </c>
      <c r="P1330" s="27" t="str">
        <f t="shared" si="61"/>
        <v>vermelho</v>
      </c>
    </row>
    <row r="1331" spans="1:16" ht="25.5">
      <c r="A1331" s="3" t="s">
        <v>4</v>
      </c>
      <c r="B1331" s="3" t="s">
        <v>750</v>
      </c>
      <c r="C1331" s="4">
        <v>270</v>
      </c>
      <c r="D1331" s="3" t="s">
        <v>266</v>
      </c>
      <c r="E1331" s="3" t="s">
        <v>49</v>
      </c>
      <c r="F1331" s="5">
        <v>453</v>
      </c>
      <c r="G1331" s="5">
        <v>447</v>
      </c>
      <c r="H1331" s="6">
        <v>24999.39</v>
      </c>
      <c r="I1331" s="22">
        <v>24506.04</v>
      </c>
      <c r="J1331" s="24">
        <f t="shared" si="60"/>
        <v>1.6980533936199448E-4</v>
      </c>
      <c r="K1331" s="25">
        <f t="shared" si="62"/>
        <v>0.7564318524067295</v>
      </c>
      <c r="L1331" s="26" t="s">
        <v>7516</v>
      </c>
      <c r="M1331" s="28"/>
      <c r="N1331" s="28"/>
      <c r="O1331" s="20" t="s">
        <v>7530</v>
      </c>
      <c r="P1331" s="27" t="str">
        <f t="shared" si="61"/>
        <v>vermelho</v>
      </c>
    </row>
    <row r="1332" spans="1:16">
      <c r="A1332" s="3" t="s">
        <v>6173</v>
      </c>
      <c r="B1332" s="3" t="s">
        <v>6174</v>
      </c>
      <c r="C1332" s="4">
        <v>217</v>
      </c>
      <c r="D1332" s="3" t="s">
        <v>91</v>
      </c>
      <c r="E1332" s="3" t="s">
        <v>16</v>
      </c>
      <c r="F1332" s="5">
        <v>2184</v>
      </c>
      <c r="G1332" s="5">
        <v>540</v>
      </c>
      <c r="H1332" s="6">
        <v>110904.27</v>
      </c>
      <c r="I1332" s="22">
        <v>24465.24</v>
      </c>
      <c r="J1332" s="24">
        <f t="shared" si="60"/>
        <v>1.6952263118694992E-4</v>
      </c>
      <c r="K1332" s="25">
        <f t="shared" si="62"/>
        <v>0.75660137503791647</v>
      </c>
      <c r="L1332" s="26" t="s">
        <v>7516</v>
      </c>
      <c r="M1332" s="28"/>
      <c r="N1332" s="28"/>
      <c r="O1332" s="20">
        <v>8229.33</v>
      </c>
      <c r="P1332" s="27" t="str">
        <f t="shared" si="61"/>
        <v>amarelo</v>
      </c>
    </row>
    <row r="1333" spans="1:16" ht="25.5">
      <c r="A1333" s="3" t="s">
        <v>4</v>
      </c>
      <c r="B1333" s="3" t="s">
        <v>751</v>
      </c>
      <c r="C1333" s="4">
        <v>53</v>
      </c>
      <c r="D1333" s="3" t="s">
        <v>34</v>
      </c>
      <c r="E1333" s="3" t="s">
        <v>16</v>
      </c>
      <c r="F1333" s="5">
        <v>984</v>
      </c>
      <c r="G1333" s="5">
        <v>408</v>
      </c>
      <c r="H1333" s="6">
        <v>55373.760000000002</v>
      </c>
      <c r="I1333" s="22">
        <v>24449.279999999999</v>
      </c>
      <c r="J1333" s="24">
        <f t="shared" si="60"/>
        <v>1.6941204240082951E-4</v>
      </c>
      <c r="K1333" s="25">
        <f t="shared" si="62"/>
        <v>0.75677078708031731</v>
      </c>
      <c r="L1333" s="26" t="s">
        <v>7516</v>
      </c>
      <c r="M1333" s="28"/>
      <c r="N1333" s="28"/>
      <c r="O1333" s="20">
        <v>6442.17</v>
      </c>
      <c r="P1333" s="27" t="str">
        <f t="shared" si="61"/>
        <v>amarelo</v>
      </c>
    </row>
    <row r="1334" spans="1:16" ht="25.5">
      <c r="A1334" s="3" t="s">
        <v>6175</v>
      </c>
      <c r="B1334" s="3" t="s">
        <v>6176</v>
      </c>
      <c r="C1334" s="4">
        <v>178</v>
      </c>
      <c r="D1334" s="3" t="s">
        <v>74</v>
      </c>
      <c r="E1334" s="3" t="s">
        <v>7</v>
      </c>
      <c r="F1334" s="5">
        <v>501</v>
      </c>
      <c r="G1334" s="5">
        <v>387</v>
      </c>
      <c r="H1334" s="6">
        <v>29357.67</v>
      </c>
      <c r="I1334" s="22">
        <v>24446.639999999999</v>
      </c>
      <c r="J1334" s="24">
        <f t="shared" si="60"/>
        <v>1.6939374951891487E-4</v>
      </c>
      <c r="K1334" s="25">
        <f t="shared" si="62"/>
        <v>0.75694018082983627</v>
      </c>
      <c r="L1334" s="26" t="s">
        <v>7516</v>
      </c>
      <c r="M1334" s="28"/>
      <c r="N1334" s="28"/>
      <c r="O1334" s="20">
        <v>12449.94</v>
      </c>
      <c r="P1334" s="27" t="str">
        <f t="shared" si="61"/>
        <v>amarelo</v>
      </c>
    </row>
    <row r="1335" spans="1:16" ht="25.5">
      <c r="A1335" s="3" t="s">
        <v>4</v>
      </c>
      <c r="B1335" s="3" t="s">
        <v>752</v>
      </c>
      <c r="C1335" s="4">
        <v>93</v>
      </c>
      <c r="D1335" s="3" t="s">
        <v>20</v>
      </c>
      <c r="E1335" s="3" t="s">
        <v>7</v>
      </c>
      <c r="F1335" s="5">
        <v>623</v>
      </c>
      <c r="G1335" s="5">
        <v>450</v>
      </c>
      <c r="H1335" s="6">
        <v>29414.66</v>
      </c>
      <c r="I1335" s="22">
        <v>24419.82</v>
      </c>
      <c r="J1335" s="24">
        <f t="shared" si="60"/>
        <v>1.6920791046855468E-4</v>
      </c>
      <c r="K1335" s="25">
        <f t="shared" si="62"/>
        <v>0.75710938874030487</v>
      </c>
      <c r="L1335" s="26" t="s">
        <v>7516</v>
      </c>
      <c r="M1335" s="28"/>
      <c r="N1335" s="28"/>
      <c r="O1335" s="20" t="s">
        <v>7530</v>
      </c>
      <c r="P1335" s="27" t="str">
        <f t="shared" si="61"/>
        <v>vermelho</v>
      </c>
    </row>
    <row r="1336" spans="1:16">
      <c r="A1336" s="3" t="s">
        <v>4</v>
      </c>
      <c r="B1336" s="3" t="s">
        <v>753</v>
      </c>
      <c r="C1336" s="4">
        <v>217</v>
      </c>
      <c r="D1336" s="3" t="s">
        <v>91</v>
      </c>
      <c r="E1336" s="3" t="s">
        <v>16</v>
      </c>
      <c r="F1336" s="5">
        <v>0</v>
      </c>
      <c r="G1336" s="5">
        <v>480</v>
      </c>
      <c r="H1336" s="6">
        <v>0</v>
      </c>
      <c r="I1336" s="22">
        <v>24403.200000000001</v>
      </c>
      <c r="J1336" s="24">
        <f t="shared" si="60"/>
        <v>1.6909274846195566E-4</v>
      </c>
      <c r="K1336" s="25">
        <f t="shared" si="62"/>
        <v>0.75727848148876686</v>
      </c>
      <c r="L1336" s="26" t="s">
        <v>7516</v>
      </c>
      <c r="M1336" s="28"/>
      <c r="N1336" s="28"/>
      <c r="O1336" s="20">
        <v>25036.44</v>
      </c>
      <c r="P1336" s="27" t="str">
        <f t="shared" si="61"/>
        <v>verde</v>
      </c>
    </row>
    <row r="1337" spans="1:16" ht="38.25">
      <c r="A1337" s="3" t="s">
        <v>6177</v>
      </c>
      <c r="B1337" s="3" t="s">
        <v>6178</v>
      </c>
      <c r="C1337" s="4">
        <v>45</v>
      </c>
      <c r="D1337" s="3" t="s">
        <v>23</v>
      </c>
      <c r="E1337" s="3" t="s">
        <v>7</v>
      </c>
      <c r="F1337" s="5">
        <v>432</v>
      </c>
      <c r="G1337" s="5">
        <v>393</v>
      </c>
      <c r="H1337" s="6">
        <v>25086</v>
      </c>
      <c r="I1337" s="22">
        <v>24391.41</v>
      </c>
      <c r="J1337" s="24">
        <f t="shared" si="60"/>
        <v>1.690110541143141E-4</v>
      </c>
      <c r="K1337" s="25">
        <f t="shared" si="62"/>
        <v>0.75744749254288113</v>
      </c>
      <c r="L1337" s="26" t="s">
        <v>7516</v>
      </c>
      <c r="M1337" s="28"/>
      <c r="N1337" s="28"/>
      <c r="O1337" s="20">
        <v>11759.64</v>
      </c>
      <c r="P1337" s="27" t="str">
        <f t="shared" si="61"/>
        <v>amarelo</v>
      </c>
    </row>
    <row r="1338" spans="1:16" ht="25.5">
      <c r="A1338" s="3" t="s">
        <v>4</v>
      </c>
      <c r="B1338" s="3" t="s">
        <v>754</v>
      </c>
      <c r="C1338" s="4">
        <v>93</v>
      </c>
      <c r="D1338" s="3" t="s">
        <v>20</v>
      </c>
      <c r="E1338" s="3" t="s">
        <v>7</v>
      </c>
      <c r="F1338" s="5">
        <v>204</v>
      </c>
      <c r="G1338" s="5">
        <v>384</v>
      </c>
      <c r="H1338" s="6">
        <v>11156.64</v>
      </c>
      <c r="I1338" s="22">
        <v>24382.95</v>
      </c>
      <c r="J1338" s="24">
        <f t="shared" si="60"/>
        <v>1.6895243374272397E-4</v>
      </c>
      <c r="K1338" s="25">
        <f t="shared" si="62"/>
        <v>0.75761644497662384</v>
      </c>
      <c r="L1338" s="26" t="s">
        <v>7516</v>
      </c>
      <c r="M1338" s="28"/>
      <c r="N1338" s="28"/>
      <c r="O1338" s="20">
        <v>11466.57</v>
      </c>
      <c r="P1338" s="27" t="str">
        <f t="shared" si="61"/>
        <v>amarelo</v>
      </c>
    </row>
    <row r="1339" spans="1:16">
      <c r="A1339" s="3" t="s">
        <v>6179</v>
      </c>
      <c r="B1339" s="3" t="s">
        <v>6180</v>
      </c>
      <c r="C1339" s="4">
        <v>240</v>
      </c>
      <c r="D1339" s="3" t="s">
        <v>69</v>
      </c>
      <c r="E1339" s="3" t="s">
        <v>16</v>
      </c>
      <c r="F1339" s="5">
        <v>432</v>
      </c>
      <c r="G1339" s="5">
        <v>408</v>
      </c>
      <c r="H1339" s="6">
        <v>25716.240000000002</v>
      </c>
      <c r="I1339" s="22">
        <v>24372</v>
      </c>
      <c r="J1339" s="24">
        <f t="shared" si="60"/>
        <v>1.6887655985750979E-4</v>
      </c>
      <c r="K1339" s="25">
        <f t="shared" si="62"/>
        <v>0.75778532153648137</v>
      </c>
      <c r="L1339" s="26" t="s">
        <v>7516</v>
      </c>
      <c r="M1339" s="28"/>
      <c r="N1339" s="28"/>
      <c r="O1339" s="20">
        <v>14263.74</v>
      </c>
      <c r="P1339" s="27" t="str">
        <f t="shared" si="61"/>
        <v>laranja</v>
      </c>
    </row>
    <row r="1340" spans="1:16" ht="38.25">
      <c r="A1340" s="3" t="s">
        <v>4</v>
      </c>
      <c r="B1340" s="3" t="s">
        <v>755</v>
      </c>
      <c r="C1340" s="4">
        <v>197</v>
      </c>
      <c r="D1340" s="3" t="s">
        <v>66</v>
      </c>
      <c r="E1340" s="3" t="s">
        <v>41</v>
      </c>
      <c r="F1340" s="5">
        <v>84</v>
      </c>
      <c r="G1340" s="5">
        <v>453</v>
      </c>
      <c r="H1340" s="6">
        <v>3983.16</v>
      </c>
      <c r="I1340" s="22">
        <v>24362.913</v>
      </c>
      <c r="J1340" s="24">
        <f t="shared" si="60"/>
        <v>1.6881359492646494E-4</v>
      </c>
      <c r="K1340" s="25">
        <f t="shared" si="62"/>
        <v>0.75795413513140786</v>
      </c>
      <c r="L1340" s="26" t="s">
        <v>7516</v>
      </c>
      <c r="M1340" s="28"/>
      <c r="N1340" s="28"/>
      <c r="O1340" s="20" t="s">
        <v>7530</v>
      </c>
      <c r="P1340" s="27" t="str">
        <f t="shared" si="61"/>
        <v>vermelho</v>
      </c>
    </row>
    <row r="1341" spans="1:16">
      <c r="A1341" s="3" t="s">
        <v>4</v>
      </c>
      <c r="B1341" s="3" t="s">
        <v>756</v>
      </c>
      <c r="C1341" s="4">
        <v>240</v>
      </c>
      <c r="D1341" s="3" t="s">
        <v>69</v>
      </c>
      <c r="E1341" s="3" t="s">
        <v>16</v>
      </c>
      <c r="F1341" s="5">
        <v>468</v>
      </c>
      <c r="G1341" s="5">
        <v>396</v>
      </c>
      <c r="H1341" s="6">
        <v>23483.46</v>
      </c>
      <c r="I1341" s="22">
        <v>24319.68</v>
      </c>
      <c r="J1341" s="24">
        <f t="shared" si="60"/>
        <v>1.6851402819774674E-4</v>
      </c>
      <c r="K1341" s="25">
        <f t="shared" si="62"/>
        <v>0.75812264915960559</v>
      </c>
      <c r="L1341" s="26" t="s">
        <v>7516</v>
      </c>
      <c r="M1341" s="28">
        <v>-3.832698820273344E-2</v>
      </c>
      <c r="N1341" s="28"/>
      <c r="O1341" s="20">
        <v>2607.84</v>
      </c>
      <c r="P1341" s="27" t="str">
        <f t="shared" si="61"/>
        <v>amarelo</v>
      </c>
    </row>
    <row r="1342" spans="1:16" ht="25.5">
      <c r="A1342" s="3" t="s">
        <v>4</v>
      </c>
      <c r="B1342" s="3" t="s">
        <v>757</v>
      </c>
      <c r="C1342" s="4">
        <v>337</v>
      </c>
      <c r="D1342" s="3" t="s">
        <v>202</v>
      </c>
      <c r="E1342" s="3" t="s">
        <v>16</v>
      </c>
      <c r="F1342" s="5">
        <v>228</v>
      </c>
      <c r="G1342" s="5">
        <v>423</v>
      </c>
      <c r="H1342" s="6">
        <v>11982.48</v>
      </c>
      <c r="I1342" s="22">
        <v>24282.51</v>
      </c>
      <c r="J1342" s="24">
        <f t="shared" si="60"/>
        <v>1.682564727353348E-4</v>
      </c>
      <c r="K1342" s="25">
        <f t="shared" si="62"/>
        <v>0.75829090563234092</v>
      </c>
      <c r="L1342" s="26" t="s">
        <v>7516</v>
      </c>
      <c r="M1342" s="28"/>
      <c r="N1342" s="28"/>
      <c r="O1342" s="20" t="s">
        <v>7530</v>
      </c>
      <c r="P1342" s="27" t="str">
        <f t="shared" si="61"/>
        <v>vermelho</v>
      </c>
    </row>
    <row r="1343" spans="1:16" ht="25.5">
      <c r="A1343" s="3" t="s">
        <v>4</v>
      </c>
      <c r="B1343" s="3" t="s">
        <v>758</v>
      </c>
      <c r="C1343" s="4">
        <v>197</v>
      </c>
      <c r="D1343" s="3" t="s">
        <v>66</v>
      </c>
      <c r="E1343" s="3" t="s">
        <v>41</v>
      </c>
      <c r="F1343" s="5">
        <v>270</v>
      </c>
      <c r="G1343" s="5">
        <v>423</v>
      </c>
      <c r="H1343" s="6">
        <v>13272.429</v>
      </c>
      <c r="I1343" s="22">
        <v>24274.82</v>
      </c>
      <c r="J1343" s="24">
        <f t="shared" si="60"/>
        <v>1.6820318778763648E-4</v>
      </c>
      <c r="K1343" s="25">
        <f t="shared" si="62"/>
        <v>0.75845910882012857</v>
      </c>
      <c r="L1343" s="26" t="s">
        <v>7516</v>
      </c>
      <c r="M1343" s="28"/>
      <c r="N1343" s="28"/>
      <c r="O1343" s="20" t="s">
        <v>7530</v>
      </c>
      <c r="P1343" s="27" t="str">
        <f t="shared" si="61"/>
        <v>vermelho</v>
      </c>
    </row>
    <row r="1344" spans="1:16" ht="38.25">
      <c r="A1344" s="3" t="s">
        <v>4</v>
      </c>
      <c r="B1344" s="3" t="s">
        <v>759</v>
      </c>
      <c r="C1344" s="4">
        <v>45</v>
      </c>
      <c r="D1344" s="3" t="s">
        <v>23</v>
      </c>
      <c r="E1344" s="3" t="s">
        <v>7</v>
      </c>
      <c r="F1344" s="5">
        <v>0</v>
      </c>
      <c r="G1344" s="5">
        <v>570</v>
      </c>
      <c r="H1344" s="6">
        <v>0</v>
      </c>
      <c r="I1344" s="22">
        <v>24264.959999999999</v>
      </c>
      <c r="J1344" s="24">
        <f t="shared" si="60"/>
        <v>1.6813486664533401E-4</v>
      </c>
      <c r="K1344" s="25">
        <f t="shared" si="62"/>
        <v>0.75862724368677392</v>
      </c>
      <c r="L1344" s="26" t="s">
        <v>7516</v>
      </c>
      <c r="M1344" s="28"/>
      <c r="N1344" s="28"/>
      <c r="O1344" s="20" t="s">
        <v>7530</v>
      </c>
      <c r="P1344" s="27" t="str">
        <f t="shared" si="61"/>
        <v>vermelho</v>
      </c>
    </row>
    <row r="1345" spans="1:16" ht="25.5">
      <c r="A1345" s="3" t="s">
        <v>4</v>
      </c>
      <c r="B1345" s="3" t="s">
        <v>760</v>
      </c>
      <c r="C1345" s="4">
        <v>187</v>
      </c>
      <c r="D1345" s="3" t="s">
        <v>96</v>
      </c>
      <c r="E1345" s="3" t="s">
        <v>7</v>
      </c>
      <c r="F1345" s="5">
        <v>324</v>
      </c>
      <c r="G1345" s="5">
        <v>381</v>
      </c>
      <c r="H1345" s="6">
        <v>19060.68</v>
      </c>
      <c r="I1345" s="22">
        <v>24262.77</v>
      </c>
      <c r="J1345" s="24">
        <f t="shared" si="60"/>
        <v>1.681196918682912E-4</v>
      </c>
      <c r="K1345" s="25">
        <f t="shared" si="62"/>
        <v>0.75879536337864217</v>
      </c>
      <c r="L1345" s="26" t="s">
        <v>7516</v>
      </c>
      <c r="M1345" s="28"/>
      <c r="N1345" s="28"/>
      <c r="O1345" s="20">
        <v>22889.22</v>
      </c>
      <c r="P1345" s="27" t="str">
        <f t="shared" si="61"/>
        <v>laranja</v>
      </c>
    </row>
    <row r="1346" spans="1:16" ht="25.5">
      <c r="A1346" s="3" t="s">
        <v>4</v>
      </c>
      <c r="B1346" s="3" t="s">
        <v>761</v>
      </c>
      <c r="C1346" s="4">
        <v>197</v>
      </c>
      <c r="D1346" s="3" t="s">
        <v>66</v>
      </c>
      <c r="E1346" s="3" t="s">
        <v>41</v>
      </c>
      <c r="F1346" s="5">
        <v>222</v>
      </c>
      <c r="G1346" s="5">
        <v>396</v>
      </c>
      <c r="H1346" s="6">
        <v>12559.038</v>
      </c>
      <c r="I1346" s="22">
        <v>24261.137999999999</v>
      </c>
      <c r="J1346" s="24">
        <f t="shared" si="60"/>
        <v>1.681083835412894E-4</v>
      </c>
      <c r="K1346" s="25">
        <f t="shared" si="62"/>
        <v>0.75896347176218348</v>
      </c>
      <c r="L1346" s="26" t="s">
        <v>7516</v>
      </c>
      <c r="M1346" s="28"/>
      <c r="N1346" s="28"/>
      <c r="O1346" s="20" t="s">
        <v>7530</v>
      </c>
      <c r="P1346" s="27" t="str">
        <f t="shared" si="61"/>
        <v>vermelho</v>
      </c>
    </row>
    <row r="1347" spans="1:16">
      <c r="A1347" s="3" t="s">
        <v>6181</v>
      </c>
      <c r="B1347" s="3" t="s">
        <v>6182</v>
      </c>
      <c r="C1347" s="4">
        <v>240</v>
      </c>
      <c r="D1347" s="3" t="s">
        <v>69</v>
      </c>
      <c r="E1347" s="3" t="s">
        <v>16</v>
      </c>
      <c r="F1347" s="5">
        <v>534</v>
      </c>
      <c r="G1347" s="5">
        <v>444</v>
      </c>
      <c r="H1347" s="6">
        <v>27707.46</v>
      </c>
      <c r="I1347" s="22">
        <v>24247.56</v>
      </c>
      <c r="J1347" s="24">
        <f t="shared" ref="J1347:J1410" si="63">I1347/$I$6364</f>
        <v>1.6801429992362385E-4</v>
      </c>
      <c r="K1347" s="25">
        <f t="shared" si="62"/>
        <v>0.75913148606210712</v>
      </c>
      <c r="L1347" s="26" t="s">
        <v>7516</v>
      </c>
      <c r="M1347" s="28"/>
      <c r="N1347" s="28"/>
      <c r="O1347" s="20">
        <v>18952.439999999999</v>
      </c>
      <c r="P1347" s="27" t="str">
        <f t="shared" ref="P1347:P1410" si="64">IF(O1347&lt;=0,"vermelho",IFERROR(IF(O1347/I1347&lt;=0.5098,"amarelo",IF(O1347/I1347&lt;1,"laranja","verde")),"vermelho"))</f>
        <v>laranja</v>
      </c>
    </row>
    <row r="1348" spans="1:16" ht="25.5">
      <c r="A1348" s="3" t="s">
        <v>6183</v>
      </c>
      <c r="B1348" s="3" t="s">
        <v>6184</v>
      </c>
      <c r="C1348" s="4">
        <v>299</v>
      </c>
      <c r="D1348" s="3" t="s">
        <v>111</v>
      </c>
      <c r="E1348" s="3" t="s">
        <v>49</v>
      </c>
      <c r="F1348" s="5">
        <v>357</v>
      </c>
      <c r="G1348" s="5">
        <v>408</v>
      </c>
      <c r="H1348" s="6">
        <v>19925.330000000002</v>
      </c>
      <c r="I1348" s="22">
        <v>24231.431</v>
      </c>
      <c r="J1348" s="24">
        <f t="shared" si="63"/>
        <v>1.6790254011589604E-4</v>
      </c>
      <c r="K1348" s="25">
        <f t="shared" ref="K1348:K1411" si="65">J1348+K1347</f>
        <v>0.75929938860222301</v>
      </c>
      <c r="L1348" s="26" t="s">
        <v>7516</v>
      </c>
      <c r="M1348" s="28"/>
      <c r="N1348" s="28"/>
      <c r="O1348" s="20" t="s">
        <v>7530</v>
      </c>
      <c r="P1348" s="27" t="str">
        <f t="shared" si="64"/>
        <v>vermelho</v>
      </c>
    </row>
    <row r="1349" spans="1:16" ht="25.5">
      <c r="A1349" s="3" t="s">
        <v>4</v>
      </c>
      <c r="B1349" s="3" t="s">
        <v>762</v>
      </c>
      <c r="C1349" s="4">
        <v>93</v>
      </c>
      <c r="D1349" s="3" t="s">
        <v>20</v>
      </c>
      <c r="E1349" s="3" t="s">
        <v>7</v>
      </c>
      <c r="F1349" s="5">
        <v>0</v>
      </c>
      <c r="G1349" s="5">
        <v>480</v>
      </c>
      <c r="H1349" s="6">
        <v>0</v>
      </c>
      <c r="I1349" s="22">
        <v>24185.46</v>
      </c>
      <c r="J1349" s="24">
        <f t="shared" si="63"/>
        <v>1.6758400145131333E-4</v>
      </c>
      <c r="K1349" s="25">
        <f t="shared" si="65"/>
        <v>0.75946697260367435</v>
      </c>
      <c r="L1349" s="26" t="s">
        <v>7516</v>
      </c>
      <c r="M1349" s="28"/>
      <c r="N1349" s="28"/>
      <c r="O1349" s="20" t="s">
        <v>7530</v>
      </c>
      <c r="P1349" s="27" t="str">
        <f t="shared" si="64"/>
        <v>vermelho</v>
      </c>
    </row>
    <row r="1350" spans="1:16" ht="25.5">
      <c r="A1350" s="3" t="s">
        <v>4</v>
      </c>
      <c r="B1350" s="3" t="s">
        <v>763</v>
      </c>
      <c r="C1350" s="4">
        <v>231</v>
      </c>
      <c r="D1350" s="3" t="s">
        <v>52</v>
      </c>
      <c r="E1350" s="3" t="s">
        <v>7</v>
      </c>
      <c r="F1350" s="5">
        <v>0</v>
      </c>
      <c r="G1350" s="5">
        <v>405</v>
      </c>
      <c r="H1350" s="6">
        <v>0</v>
      </c>
      <c r="I1350" s="22">
        <v>24181.8</v>
      </c>
      <c r="J1350" s="24">
        <f t="shared" si="63"/>
        <v>1.6755864086502259E-4</v>
      </c>
      <c r="K1350" s="25">
        <f t="shared" si="65"/>
        <v>0.75963453124453939</v>
      </c>
      <c r="L1350" s="26" t="s">
        <v>7516</v>
      </c>
      <c r="M1350" s="28"/>
      <c r="N1350" s="28"/>
      <c r="O1350" s="20" t="s">
        <v>7530</v>
      </c>
      <c r="P1350" s="27" t="str">
        <f t="shared" si="64"/>
        <v>vermelho</v>
      </c>
    </row>
    <row r="1351" spans="1:16" ht="25.5">
      <c r="A1351" s="3" t="s">
        <v>4</v>
      </c>
      <c r="B1351" s="3" t="s">
        <v>764</v>
      </c>
      <c r="C1351" s="4">
        <v>178</v>
      </c>
      <c r="D1351" s="3" t="s">
        <v>74</v>
      </c>
      <c r="E1351" s="3" t="s">
        <v>7</v>
      </c>
      <c r="F1351" s="5">
        <v>0</v>
      </c>
      <c r="G1351" s="5">
        <v>336</v>
      </c>
      <c r="H1351" s="6">
        <v>0</v>
      </c>
      <c r="I1351" s="22">
        <v>24129.48</v>
      </c>
      <c r="J1351" s="24">
        <f t="shared" si="63"/>
        <v>1.6719610920525954E-4</v>
      </c>
      <c r="K1351" s="25">
        <f t="shared" si="65"/>
        <v>0.75980172735374463</v>
      </c>
      <c r="L1351" s="26" t="s">
        <v>7516</v>
      </c>
      <c r="M1351" s="28"/>
      <c r="N1351" s="28"/>
      <c r="O1351" s="20">
        <v>13295.16</v>
      </c>
      <c r="P1351" s="27" t="str">
        <f t="shared" si="64"/>
        <v>laranja</v>
      </c>
    </row>
    <row r="1352" spans="1:16" ht="25.5">
      <c r="A1352" s="3" t="s">
        <v>4</v>
      </c>
      <c r="B1352" s="3" t="s">
        <v>765</v>
      </c>
      <c r="C1352" s="4">
        <v>178</v>
      </c>
      <c r="D1352" s="3" t="s">
        <v>74</v>
      </c>
      <c r="E1352" s="3" t="s">
        <v>7</v>
      </c>
      <c r="F1352" s="5">
        <v>0</v>
      </c>
      <c r="G1352" s="5">
        <v>336</v>
      </c>
      <c r="H1352" s="6">
        <v>0</v>
      </c>
      <c r="I1352" s="22">
        <v>24129.48</v>
      </c>
      <c r="J1352" s="24">
        <f t="shared" si="63"/>
        <v>1.6719610920525954E-4</v>
      </c>
      <c r="K1352" s="25">
        <f t="shared" si="65"/>
        <v>0.75996892346294986</v>
      </c>
      <c r="L1352" s="26" t="s">
        <v>7516</v>
      </c>
      <c r="M1352" s="28"/>
      <c r="N1352" s="28"/>
      <c r="O1352" s="20">
        <v>13295.16</v>
      </c>
      <c r="P1352" s="27" t="str">
        <f t="shared" si="64"/>
        <v>laranja</v>
      </c>
    </row>
    <row r="1353" spans="1:16">
      <c r="A1353" s="3" t="s">
        <v>4</v>
      </c>
      <c r="B1353" s="3" t="s">
        <v>766</v>
      </c>
      <c r="C1353" s="4">
        <v>231</v>
      </c>
      <c r="D1353" s="3" t="s">
        <v>52</v>
      </c>
      <c r="E1353" s="3" t="s">
        <v>7</v>
      </c>
      <c r="F1353" s="5">
        <v>216</v>
      </c>
      <c r="G1353" s="5">
        <v>402</v>
      </c>
      <c r="H1353" s="6">
        <v>13461.84</v>
      </c>
      <c r="I1353" s="22">
        <v>24118.32</v>
      </c>
      <c r="J1353" s="24">
        <f t="shared" si="63"/>
        <v>1.6711878020443853E-4</v>
      </c>
      <c r="K1353" s="25">
        <f t="shared" si="65"/>
        <v>0.76013604224315434</v>
      </c>
      <c r="L1353" s="26" t="s">
        <v>7516</v>
      </c>
      <c r="M1353" s="28">
        <v>-2.1870648179333676E-2</v>
      </c>
      <c r="N1353" s="28"/>
      <c r="O1353" s="20">
        <v>4234.59</v>
      </c>
      <c r="P1353" s="27" t="str">
        <f t="shared" si="64"/>
        <v>amarelo</v>
      </c>
    </row>
    <row r="1354" spans="1:16" ht="25.5">
      <c r="A1354" s="3" t="s">
        <v>4</v>
      </c>
      <c r="B1354" s="3" t="s">
        <v>767</v>
      </c>
      <c r="C1354" s="4">
        <v>328</v>
      </c>
      <c r="D1354" s="3" t="s">
        <v>215</v>
      </c>
      <c r="E1354" s="3" t="s">
        <v>41</v>
      </c>
      <c r="F1354" s="5">
        <v>294</v>
      </c>
      <c r="G1354" s="5">
        <v>369</v>
      </c>
      <c r="H1354" s="6">
        <v>13891.554</v>
      </c>
      <c r="I1354" s="22">
        <v>24106.080000000002</v>
      </c>
      <c r="J1354" s="24">
        <f t="shared" si="63"/>
        <v>1.6703396775192517E-4</v>
      </c>
      <c r="K1354" s="25">
        <f t="shared" si="65"/>
        <v>0.76030307621090631</v>
      </c>
      <c r="L1354" s="26" t="s">
        <v>7516</v>
      </c>
      <c r="M1354" s="28"/>
      <c r="N1354" s="28"/>
      <c r="O1354" s="20">
        <v>8208.57</v>
      </c>
      <c r="P1354" s="27" t="str">
        <f t="shared" si="64"/>
        <v>amarelo</v>
      </c>
    </row>
    <row r="1355" spans="1:16" ht="25.5">
      <c r="A1355" s="3" t="s">
        <v>6185</v>
      </c>
      <c r="B1355" s="3" t="s">
        <v>6186</v>
      </c>
      <c r="C1355" s="4">
        <v>327</v>
      </c>
      <c r="D1355" s="3" t="s">
        <v>100</v>
      </c>
      <c r="E1355" s="3" t="s">
        <v>7</v>
      </c>
      <c r="F1355" s="5">
        <v>0</v>
      </c>
      <c r="G1355" s="5">
        <v>333</v>
      </c>
      <c r="H1355" s="6">
        <v>0</v>
      </c>
      <c r="I1355" s="22">
        <v>24102.74</v>
      </c>
      <c r="J1355" s="24">
        <f t="shared" si="63"/>
        <v>1.6701082448465437E-4</v>
      </c>
      <c r="K1355" s="25">
        <f t="shared" si="65"/>
        <v>0.76047008703539098</v>
      </c>
      <c r="L1355" s="26" t="s">
        <v>7516</v>
      </c>
      <c r="M1355" s="28"/>
      <c r="N1355" s="28"/>
      <c r="O1355" s="20">
        <v>15513.77</v>
      </c>
      <c r="P1355" s="27" t="str">
        <f t="shared" si="64"/>
        <v>laranja</v>
      </c>
    </row>
    <row r="1356" spans="1:16" ht="38.25">
      <c r="A1356" s="3" t="s">
        <v>4</v>
      </c>
      <c r="B1356" s="3" t="s">
        <v>768</v>
      </c>
      <c r="C1356" s="4">
        <v>45</v>
      </c>
      <c r="D1356" s="3" t="s">
        <v>23</v>
      </c>
      <c r="E1356" s="3" t="s">
        <v>7</v>
      </c>
      <c r="F1356" s="5">
        <v>429</v>
      </c>
      <c r="G1356" s="5">
        <v>393</v>
      </c>
      <c r="H1356" s="6">
        <v>22880.618999999999</v>
      </c>
      <c r="I1356" s="22">
        <v>24102.27</v>
      </c>
      <c r="J1356" s="24">
        <f t="shared" si="63"/>
        <v>1.6700756779734378E-4</v>
      </c>
      <c r="K1356" s="25">
        <f t="shared" si="65"/>
        <v>0.76063709460318829</v>
      </c>
      <c r="L1356" s="26" t="s">
        <v>7516</v>
      </c>
      <c r="M1356" s="28"/>
      <c r="N1356" s="28"/>
      <c r="O1356" s="20">
        <v>8451.24</v>
      </c>
      <c r="P1356" s="27" t="str">
        <f t="shared" si="64"/>
        <v>amarelo</v>
      </c>
    </row>
    <row r="1357" spans="1:16" ht="25.5">
      <c r="A1357" s="3" t="s">
        <v>4</v>
      </c>
      <c r="B1357" s="3" t="s">
        <v>769</v>
      </c>
      <c r="C1357" s="4">
        <v>266</v>
      </c>
      <c r="D1357" s="3" t="s">
        <v>80</v>
      </c>
      <c r="E1357" s="3" t="s">
        <v>10</v>
      </c>
      <c r="F1357" s="5">
        <v>552</v>
      </c>
      <c r="G1357" s="5">
        <v>405</v>
      </c>
      <c r="H1357" s="6">
        <v>31991.52</v>
      </c>
      <c r="I1357" s="22">
        <v>24039.39</v>
      </c>
      <c r="J1357" s="24">
        <f t="shared" si="63"/>
        <v>1.6657186460992214E-4</v>
      </c>
      <c r="K1357" s="25">
        <f t="shared" si="65"/>
        <v>0.76080366646779818</v>
      </c>
      <c r="L1357" s="26" t="s">
        <v>7516</v>
      </c>
      <c r="M1357" s="28"/>
      <c r="N1357" s="28"/>
      <c r="O1357" s="20" t="s">
        <v>7530</v>
      </c>
      <c r="P1357" s="27" t="str">
        <f t="shared" si="64"/>
        <v>vermelho</v>
      </c>
    </row>
    <row r="1358" spans="1:16" ht="38.25">
      <c r="A1358" s="3" t="s">
        <v>4</v>
      </c>
      <c r="B1358" s="3" t="s">
        <v>770</v>
      </c>
      <c r="C1358" s="4">
        <v>327</v>
      </c>
      <c r="D1358" s="3" t="s">
        <v>100</v>
      </c>
      <c r="E1358" s="3" t="s">
        <v>7</v>
      </c>
      <c r="F1358" s="5">
        <v>399</v>
      </c>
      <c r="G1358" s="5">
        <v>405</v>
      </c>
      <c r="H1358" s="6">
        <v>22659.06</v>
      </c>
      <c r="I1358" s="22">
        <v>24024.66</v>
      </c>
      <c r="J1358" s="24">
        <f t="shared" si="63"/>
        <v>1.6646979864378471E-4</v>
      </c>
      <c r="K1358" s="25">
        <f t="shared" si="65"/>
        <v>0.76097013626644194</v>
      </c>
      <c r="L1358" s="26" t="s">
        <v>7516</v>
      </c>
      <c r="M1358" s="28"/>
      <c r="N1358" s="28"/>
      <c r="O1358" s="20">
        <v>25062.521000000001</v>
      </c>
      <c r="P1358" s="27" t="str">
        <f t="shared" si="64"/>
        <v>verde</v>
      </c>
    </row>
    <row r="1359" spans="1:16" ht="25.5">
      <c r="A1359" s="3" t="s">
        <v>4</v>
      </c>
      <c r="B1359" s="3" t="s">
        <v>771</v>
      </c>
      <c r="C1359" s="4">
        <v>320</v>
      </c>
      <c r="D1359" s="3" t="s">
        <v>218</v>
      </c>
      <c r="E1359" s="3" t="s">
        <v>49</v>
      </c>
      <c r="F1359" s="5">
        <v>0</v>
      </c>
      <c r="G1359" s="5">
        <v>453</v>
      </c>
      <c r="H1359" s="6">
        <v>0</v>
      </c>
      <c r="I1359" s="22">
        <v>24023.79</v>
      </c>
      <c r="J1359" s="24">
        <f t="shared" si="63"/>
        <v>1.6646377030769921E-4</v>
      </c>
      <c r="K1359" s="25">
        <f t="shared" si="65"/>
        <v>0.76113660003674966</v>
      </c>
      <c r="L1359" s="26" t="s">
        <v>7516</v>
      </c>
      <c r="M1359" s="28"/>
      <c r="N1359" s="28"/>
      <c r="O1359" s="20" t="s">
        <v>7530</v>
      </c>
      <c r="P1359" s="27" t="str">
        <f t="shared" si="64"/>
        <v>vermelho</v>
      </c>
    </row>
    <row r="1360" spans="1:16" ht="38.25">
      <c r="A1360" s="3" t="s">
        <v>6187</v>
      </c>
      <c r="B1360" s="3" t="s">
        <v>6188</v>
      </c>
      <c r="C1360" s="4">
        <v>34</v>
      </c>
      <c r="D1360" s="3" t="s">
        <v>54</v>
      </c>
      <c r="E1360" s="3" t="s">
        <v>49</v>
      </c>
      <c r="F1360" s="5">
        <v>840</v>
      </c>
      <c r="G1360" s="5">
        <v>369</v>
      </c>
      <c r="H1360" s="6">
        <v>49682.616000000002</v>
      </c>
      <c r="I1360" s="22">
        <v>24022.95</v>
      </c>
      <c r="J1360" s="24">
        <f t="shared" si="63"/>
        <v>1.6645794984527184E-4</v>
      </c>
      <c r="K1360" s="25">
        <f t="shared" si="65"/>
        <v>0.76130305798659492</v>
      </c>
      <c r="L1360" s="26" t="s">
        <v>7516</v>
      </c>
      <c r="M1360" s="28"/>
      <c r="N1360" s="28"/>
      <c r="O1360" s="20" t="s">
        <v>7530</v>
      </c>
      <c r="P1360" s="27" t="str">
        <f t="shared" si="64"/>
        <v>vermelho</v>
      </c>
    </row>
    <row r="1361" spans="1:16" ht="25.5">
      <c r="A1361" s="3" t="s">
        <v>4</v>
      </c>
      <c r="B1361" s="3" t="s">
        <v>772</v>
      </c>
      <c r="C1361" s="4">
        <v>23</v>
      </c>
      <c r="D1361" s="3" t="s">
        <v>87</v>
      </c>
      <c r="E1361" s="3" t="s">
        <v>7</v>
      </c>
      <c r="F1361" s="5">
        <v>540</v>
      </c>
      <c r="G1361" s="5">
        <v>408</v>
      </c>
      <c r="H1361" s="6">
        <v>30733.8</v>
      </c>
      <c r="I1361" s="22">
        <v>24019.68</v>
      </c>
      <c r="J1361" s="24">
        <f t="shared" si="63"/>
        <v>1.6643529161653662E-4</v>
      </c>
      <c r="K1361" s="25">
        <f t="shared" si="65"/>
        <v>0.76146949327821145</v>
      </c>
      <c r="L1361" s="26" t="s">
        <v>7516</v>
      </c>
      <c r="M1361" s="28"/>
      <c r="N1361" s="28"/>
      <c r="O1361" s="20" t="s">
        <v>7530</v>
      </c>
      <c r="P1361" s="27" t="str">
        <f t="shared" si="64"/>
        <v>vermelho</v>
      </c>
    </row>
    <row r="1362" spans="1:16" ht="25.5">
      <c r="A1362" s="3" t="s">
        <v>4</v>
      </c>
      <c r="B1362" s="3" t="s">
        <v>773</v>
      </c>
      <c r="C1362" s="4">
        <v>315</v>
      </c>
      <c r="D1362" s="3" t="s">
        <v>63</v>
      </c>
      <c r="E1362" s="3" t="s">
        <v>7</v>
      </c>
      <c r="F1362" s="5">
        <v>120</v>
      </c>
      <c r="G1362" s="5">
        <v>441</v>
      </c>
      <c r="H1362" s="6">
        <v>4572</v>
      </c>
      <c r="I1362" s="22">
        <v>24012.614000000001</v>
      </c>
      <c r="J1362" s="24">
        <f t="shared" si="63"/>
        <v>1.663863304409272E-4</v>
      </c>
      <c r="K1362" s="25">
        <f t="shared" si="65"/>
        <v>0.76163587960865242</v>
      </c>
      <c r="L1362" s="26" t="s">
        <v>7516</v>
      </c>
      <c r="M1362" s="28"/>
      <c r="N1362" s="28"/>
      <c r="O1362" s="20" t="s">
        <v>7530</v>
      </c>
      <c r="P1362" s="27" t="str">
        <f t="shared" si="64"/>
        <v>vermelho</v>
      </c>
    </row>
    <row r="1363" spans="1:16">
      <c r="A1363" s="3" t="s">
        <v>4</v>
      </c>
      <c r="B1363" s="3" t="s">
        <v>774</v>
      </c>
      <c r="C1363" s="4">
        <v>232</v>
      </c>
      <c r="D1363" s="3" t="s">
        <v>174</v>
      </c>
      <c r="E1363" s="3" t="s">
        <v>16</v>
      </c>
      <c r="F1363" s="5">
        <v>0</v>
      </c>
      <c r="G1363" s="5">
        <v>432</v>
      </c>
      <c r="H1363" s="6">
        <v>0</v>
      </c>
      <c r="I1363" s="22">
        <v>24008.852999999999</v>
      </c>
      <c r="J1363" s="24">
        <f t="shared" si="63"/>
        <v>1.6636027001332076E-4</v>
      </c>
      <c r="K1363" s="25">
        <f t="shared" si="65"/>
        <v>0.76180223987866569</v>
      </c>
      <c r="L1363" s="26" t="s">
        <v>7516</v>
      </c>
      <c r="M1363" s="28"/>
      <c r="N1363" s="28"/>
      <c r="O1363" s="20" t="s">
        <v>7530</v>
      </c>
      <c r="P1363" s="27" t="str">
        <f t="shared" si="64"/>
        <v>vermelho</v>
      </c>
    </row>
    <row r="1364" spans="1:16" ht="25.5">
      <c r="A1364" s="3" t="s">
        <v>4</v>
      </c>
      <c r="B1364" s="3" t="s">
        <v>775</v>
      </c>
      <c r="C1364" s="4">
        <v>317</v>
      </c>
      <c r="D1364" s="3" t="s">
        <v>78</v>
      </c>
      <c r="E1364" s="3" t="s">
        <v>10</v>
      </c>
      <c r="F1364" s="5">
        <v>372</v>
      </c>
      <c r="G1364" s="5">
        <v>432</v>
      </c>
      <c r="H1364" s="6">
        <v>21465.24</v>
      </c>
      <c r="I1364" s="22">
        <v>23982.678</v>
      </c>
      <c r="J1364" s="24">
        <f t="shared" si="63"/>
        <v>1.6617890024661018E-4</v>
      </c>
      <c r="K1364" s="25">
        <f t="shared" si="65"/>
        <v>0.7619684187789123</v>
      </c>
      <c r="L1364" s="26" t="s">
        <v>7516</v>
      </c>
      <c r="M1364" s="28"/>
      <c r="N1364" s="28"/>
      <c r="O1364" s="20" t="s">
        <v>7530</v>
      </c>
      <c r="P1364" s="27" t="str">
        <f t="shared" si="64"/>
        <v>vermelho</v>
      </c>
    </row>
    <row r="1365" spans="1:16" ht="25.5">
      <c r="A1365" s="3" t="s">
        <v>6189</v>
      </c>
      <c r="B1365" s="3" t="s">
        <v>6190</v>
      </c>
      <c r="C1365" s="4">
        <v>317</v>
      </c>
      <c r="D1365" s="3" t="s">
        <v>78</v>
      </c>
      <c r="E1365" s="3" t="s">
        <v>10</v>
      </c>
      <c r="F1365" s="5">
        <v>468</v>
      </c>
      <c r="G1365" s="5">
        <v>360</v>
      </c>
      <c r="H1365" s="6">
        <v>26824.2</v>
      </c>
      <c r="I1365" s="22">
        <v>23915.040000000001</v>
      </c>
      <c r="J1365" s="24">
        <f t="shared" si="63"/>
        <v>1.6571022829701057E-4</v>
      </c>
      <c r="K1365" s="25">
        <f t="shared" si="65"/>
        <v>0.76213412900720934</v>
      </c>
      <c r="L1365" s="26" t="s">
        <v>7516</v>
      </c>
      <c r="M1365" s="28"/>
      <c r="N1365" s="28"/>
      <c r="O1365" s="20" t="s">
        <v>7530</v>
      </c>
      <c r="P1365" s="27" t="str">
        <f t="shared" si="64"/>
        <v>vermelho</v>
      </c>
    </row>
    <row r="1366" spans="1:16">
      <c r="A1366" s="3" t="s">
        <v>4</v>
      </c>
      <c r="B1366" s="3" t="s">
        <v>776</v>
      </c>
      <c r="C1366" s="4">
        <v>167</v>
      </c>
      <c r="D1366" s="3" t="s">
        <v>251</v>
      </c>
      <c r="E1366" s="3" t="s">
        <v>49</v>
      </c>
      <c r="F1366" s="5">
        <v>180</v>
      </c>
      <c r="G1366" s="5">
        <v>417</v>
      </c>
      <c r="H1366" s="6">
        <v>9837.42</v>
      </c>
      <c r="I1366" s="22">
        <v>23912.42</v>
      </c>
      <c r="J1366" s="24">
        <f t="shared" si="63"/>
        <v>1.6569207399753463E-4</v>
      </c>
      <c r="K1366" s="25">
        <f t="shared" si="65"/>
        <v>0.76229982108120686</v>
      </c>
      <c r="L1366" s="26" t="s">
        <v>7516</v>
      </c>
      <c r="M1366" s="28"/>
      <c r="N1366" s="28"/>
      <c r="O1366" s="20" t="s">
        <v>7530</v>
      </c>
      <c r="P1366" s="27" t="str">
        <f t="shared" si="64"/>
        <v>vermelho</v>
      </c>
    </row>
    <row r="1367" spans="1:16" ht="25.5">
      <c r="A1367" s="3" t="s">
        <v>4</v>
      </c>
      <c r="B1367" s="3" t="s">
        <v>777</v>
      </c>
      <c r="C1367" s="4">
        <v>217</v>
      </c>
      <c r="D1367" s="3" t="s">
        <v>91</v>
      </c>
      <c r="E1367" s="3" t="s">
        <v>16</v>
      </c>
      <c r="F1367" s="5">
        <v>432</v>
      </c>
      <c r="G1367" s="5">
        <v>420</v>
      </c>
      <c r="H1367" s="6">
        <v>25687.439999999999</v>
      </c>
      <c r="I1367" s="22">
        <v>23899.8</v>
      </c>
      <c r="J1367" s="24">
        <f t="shared" si="63"/>
        <v>1.6560462847868508E-4</v>
      </c>
      <c r="K1367" s="25">
        <f t="shared" si="65"/>
        <v>0.76246542570968556</v>
      </c>
      <c r="L1367" s="26" t="s">
        <v>7516</v>
      </c>
      <c r="M1367" s="28"/>
      <c r="N1367" s="28"/>
      <c r="O1367" s="20" t="s">
        <v>7530</v>
      </c>
      <c r="P1367" s="27" t="str">
        <f t="shared" si="64"/>
        <v>vermelho</v>
      </c>
    </row>
    <row r="1368" spans="1:16" ht="25.5">
      <c r="A1368" s="3" t="s">
        <v>4</v>
      </c>
      <c r="B1368" s="3" t="s">
        <v>778</v>
      </c>
      <c r="C1368" s="4">
        <v>299</v>
      </c>
      <c r="D1368" s="3" t="s">
        <v>111</v>
      </c>
      <c r="E1368" s="3" t="s">
        <v>49</v>
      </c>
      <c r="F1368" s="5">
        <v>465</v>
      </c>
      <c r="G1368" s="5">
        <v>375</v>
      </c>
      <c r="H1368" s="6">
        <v>25842.15</v>
      </c>
      <c r="I1368" s="22">
        <v>23889.21</v>
      </c>
      <c r="J1368" s="24">
        <f t="shared" si="63"/>
        <v>1.6553124907736836E-4</v>
      </c>
      <c r="K1368" s="25">
        <f t="shared" si="65"/>
        <v>0.76263095695876293</v>
      </c>
      <c r="L1368" s="26" t="s">
        <v>7516</v>
      </c>
      <c r="M1368" s="28"/>
      <c r="N1368" s="28">
        <v>4.6564010504869024E-2</v>
      </c>
      <c r="O1368" s="20">
        <v>13253.64</v>
      </c>
      <c r="P1368" s="27" t="str">
        <f t="shared" si="64"/>
        <v>laranja</v>
      </c>
    </row>
    <row r="1369" spans="1:16" ht="25.5">
      <c r="A1369" s="3" t="s">
        <v>4</v>
      </c>
      <c r="B1369" s="3" t="s">
        <v>779</v>
      </c>
      <c r="C1369" s="4">
        <v>15</v>
      </c>
      <c r="D1369" s="3" t="s">
        <v>18</v>
      </c>
      <c r="E1369" s="3" t="s">
        <v>16</v>
      </c>
      <c r="F1369" s="5">
        <v>0</v>
      </c>
      <c r="G1369" s="5">
        <v>444</v>
      </c>
      <c r="H1369" s="6">
        <v>0</v>
      </c>
      <c r="I1369" s="22">
        <v>23881.919999999998</v>
      </c>
      <c r="J1369" s="24">
        <f t="shared" si="63"/>
        <v>1.6548073577844495E-4</v>
      </c>
      <c r="K1369" s="25">
        <f t="shared" si="65"/>
        <v>0.76279643769454142</v>
      </c>
      <c r="L1369" s="26" t="s">
        <v>7516</v>
      </c>
      <c r="M1369" s="28"/>
      <c r="N1369" s="28"/>
      <c r="O1369" s="20" t="s">
        <v>7530</v>
      </c>
      <c r="P1369" s="27" t="str">
        <f t="shared" si="64"/>
        <v>vermelho</v>
      </c>
    </row>
    <row r="1370" spans="1:16" ht="38.25">
      <c r="A1370" s="3" t="s">
        <v>4</v>
      </c>
      <c r="B1370" s="3" t="s">
        <v>780</v>
      </c>
      <c r="C1370" s="4">
        <v>371</v>
      </c>
      <c r="D1370" s="3" t="s">
        <v>82</v>
      </c>
      <c r="E1370" s="3" t="s">
        <v>49</v>
      </c>
      <c r="F1370" s="5">
        <v>48</v>
      </c>
      <c r="G1370" s="5">
        <v>546</v>
      </c>
      <c r="H1370" s="6">
        <v>1680.36</v>
      </c>
      <c r="I1370" s="22">
        <v>23876.646000000001</v>
      </c>
      <c r="J1370" s="24">
        <f t="shared" si="63"/>
        <v>1.6544419158934728E-4</v>
      </c>
      <c r="K1370" s="25">
        <f t="shared" si="65"/>
        <v>0.76296188188613079</v>
      </c>
      <c r="L1370" s="26" t="s">
        <v>7516</v>
      </c>
      <c r="M1370" s="28"/>
      <c r="N1370" s="28"/>
      <c r="O1370" s="20" t="s">
        <v>7530</v>
      </c>
      <c r="P1370" s="27" t="str">
        <f t="shared" si="64"/>
        <v>vermelho</v>
      </c>
    </row>
    <row r="1371" spans="1:16" ht="38.25">
      <c r="A1371" s="3" t="s">
        <v>6191</v>
      </c>
      <c r="B1371" s="3" t="s">
        <v>6192</v>
      </c>
      <c r="C1371" s="4">
        <v>11</v>
      </c>
      <c r="D1371" s="3" t="s">
        <v>61</v>
      </c>
      <c r="E1371" s="3" t="s">
        <v>10</v>
      </c>
      <c r="F1371" s="5">
        <v>0</v>
      </c>
      <c r="G1371" s="5">
        <v>432</v>
      </c>
      <c r="H1371" s="6">
        <v>0</v>
      </c>
      <c r="I1371" s="22">
        <v>23872.44</v>
      </c>
      <c r="J1371" s="24">
        <f t="shared" si="63"/>
        <v>1.6541504770247871E-4</v>
      </c>
      <c r="K1371" s="25">
        <f t="shared" si="65"/>
        <v>0.7631272969338333</v>
      </c>
      <c r="L1371" s="26" t="s">
        <v>7516</v>
      </c>
      <c r="M1371" s="28"/>
      <c r="N1371" s="28"/>
      <c r="O1371" s="20" t="s">
        <v>7530</v>
      </c>
      <c r="P1371" s="27" t="str">
        <f t="shared" si="64"/>
        <v>vermelho</v>
      </c>
    </row>
    <row r="1372" spans="1:16" ht="38.25">
      <c r="A1372" s="3" t="s">
        <v>4</v>
      </c>
      <c r="B1372" s="3" t="s">
        <v>781</v>
      </c>
      <c r="C1372" s="4">
        <v>371</v>
      </c>
      <c r="D1372" s="3" t="s">
        <v>82</v>
      </c>
      <c r="E1372" s="3" t="s">
        <v>49</v>
      </c>
      <c r="F1372" s="5">
        <v>570</v>
      </c>
      <c r="G1372" s="5">
        <v>435</v>
      </c>
      <c r="H1372" s="6">
        <v>28409.906999999999</v>
      </c>
      <c r="I1372" s="22">
        <v>23871.894</v>
      </c>
      <c r="J1372" s="24">
        <f t="shared" si="63"/>
        <v>1.6541126440190092E-4</v>
      </c>
      <c r="K1372" s="25">
        <f t="shared" si="65"/>
        <v>0.76329270819823525</v>
      </c>
      <c r="L1372" s="26" t="s">
        <v>7516</v>
      </c>
      <c r="M1372" s="28"/>
      <c r="N1372" s="28"/>
      <c r="O1372" s="20">
        <v>3135.36</v>
      </c>
      <c r="P1372" s="27" t="str">
        <f t="shared" si="64"/>
        <v>amarelo</v>
      </c>
    </row>
    <row r="1373" spans="1:16" ht="38.25">
      <c r="A1373" s="3" t="s">
        <v>4</v>
      </c>
      <c r="B1373" s="3" t="s">
        <v>782</v>
      </c>
      <c r="C1373" s="4">
        <v>331</v>
      </c>
      <c r="D1373" s="3" t="s">
        <v>603</v>
      </c>
      <c r="E1373" s="3" t="s">
        <v>13</v>
      </c>
      <c r="F1373" s="5">
        <v>0</v>
      </c>
      <c r="G1373" s="5">
        <v>492</v>
      </c>
      <c r="H1373" s="6">
        <v>0</v>
      </c>
      <c r="I1373" s="22">
        <v>23825.232</v>
      </c>
      <c r="J1373" s="24">
        <f t="shared" si="63"/>
        <v>1.6508793771405949E-4</v>
      </c>
      <c r="K1373" s="25">
        <f t="shared" si="65"/>
        <v>0.76345779613594933</v>
      </c>
      <c r="L1373" s="26" t="s">
        <v>7516</v>
      </c>
      <c r="M1373" s="28"/>
      <c r="N1373" s="28"/>
      <c r="O1373" s="20" t="s">
        <v>7530</v>
      </c>
      <c r="P1373" s="27" t="str">
        <f t="shared" si="64"/>
        <v>vermelho</v>
      </c>
    </row>
    <row r="1374" spans="1:16" ht="38.25">
      <c r="A1374" s="3" t="s">
        <v>4</v>
      </c>
      <c r="B1374" s="3" t="s">
        <v>783</v>
      </c>
      <c r="C1374" s="4">
        <v>143</v>
      </c>
      <c r="D1374" s="3" t="s">
        <v>44</v>
      </c>
      <c r="E1374" s="3" t="s">
        <v>41</v>
      </c>
      <c r="F1374" s="5">
        <v>372</v>
      </c>
      <c r="G1374" s="5">
        <v>468</v>
      </c>
      <c r="H1374" s="6">
        <v>17002.32</v>
      </c>
      <c r="I1374" s="22">
        <v>23819.4</v>
      </c>
      <c r="J1374" s="24">
        <f t="shared" si="63"/>
        <v>1.6504752707492077E-4</v>
      </c>
      <c r="K1374" s="25">
        <f t="shared" si="65"/>
        <v>0.76362284366302424</v>
      </c>
      <c r="L1374" s="26" t="s">
        <v>7516</v>
      </c>
      <c r="M1374" s="28"/>
      <c r="N1374" s="28"/>
      <c r="O1374" s="20">
        <v>9558.36</v>
      </c>
      <c r="P1374" s="27" t="str">
        <f t="shared" si="64"/>
        <v>amarelo</v>
      </c>
    </row>
    <row r="1375" spans="1:16" ht="25.5">
      <c r="A1375" s="3" t="s">
        <v>4</v>
      </c>
      <c r="B1375" s="3" t="s">
        <v>784</v>
      </c>
      <c r="C1375" s="4">
        <v>337</v>
      </c>
      <c r="D1375" s="3" t="s">
        <v>202</v>
      </c>
      <c r="E1375" s="3" t="s">
        <v>16</v>
      </c>
      <c r="F1375" s="5">
        <v>252</v>
      </c>
      <c r="G1375" s="5">
        <v>402</v>
      </c>
      <c r="H1375" s="6">
        <v>12924.84</v>
      </c>
      <c r="I1375" s="22">
        <v>23785.74</v>
      </c>
      <c r="J1375" s="24">
        <f t="shared" si="63"/>
        <v>1.64814292830509E-4</v>
      </c>
      <c r="K1375" s="25">
        <f t="shared" si="65"/>
        <v>0.76378765795585479</v>
      </c>
      <c r="L1375" s="26" t="s">
        <v>7516</v>
      </c>
      <c r="M1375" s="28"/>
      <c r="N1375" s="28"/>
      <c r="O1375" s="20" t="s">
        <v>7530</v>
      </c>
      <c r="P1375" s="27" t="str">
        <f t="shared" si="64"/>
        <v>vermelho</v>
      </c>
    </row>
    <row r="1376" spans="1:16" ht="25.5">
      <c r="A1376" s="3" t="s">
        <v>4</v>
      </c>
      <c r="B1376" s="3" t="s">
        <v>785</v>
      </c>
      <c r="C1376" s="4">
        <v>266</v>
      </c>
      <c r="D1376" s="3" t="s">
        <v>80</v>
      </c>
      <c r="E1376" s="3" t="s">
        <v>10</v>
      </c>
      <c r="F1376" s="5">
        <v>291</v>
      </c>
      <c r="G1376" s="5">
        <v>363</v>
      </c>
      <c r="H1376" s="6">
        <v>16043.73</v>
      </c>
      <c r="I1376" s="22">
        <v>23750.43</v>
      </c>
      <c r="J1376" s="24">
        <f t="shared" si="63"/>
        <v>1.6456962553490056E-4</v>
      </c>
      <c r="K1376" s="25">
        <f t="shared" si="65"/>
        <v>0.7639522275813897</v>
      </c>
      <c r="L1376" s="26" t="s">
        <v>7516</v>
      </c>
      <c r="M1376" s="28"/>
      <c r="N1376" s="28"/>
      <c r="O1376" s="20">
        <v>25085.773000000001</v>
      </c>
      <c r="P1376" s="27" t="str">
        <f t="shared" si="64"/>
        <v>verde</v>
      </c>
    </row>
    <row r="1377" spans="1:16" ht="25.5">
      <c r="A1377" s="3" t="s">
        <v>4</v>
      </c>
      <c r="B1377" s="3" t="s">
        <v>786</v>
      </c>
      <c r="C1377" s="4">
        <v>218</v>
      </c>
      <c r="D1377" s="3" t="s">
        <v>104</v>
      </c>
      <c r="E1377" s="3" t="s">
        <v>16</v>
      </c>
      <c r="F1377" s="5">
        <v>0</v>
      </c>
      <c r="G1377" s="5">
        <v>432</v>
      </c>
      <c r="H1377" s="6">
        <v>0</v>
      </c>
      <c r="I1377" s="22">
        <v>23748.84</v>
      </c>
      <c r="J1377" s="24">
        <f t="shared" si="63"/>
        <v>1.6455860823102013E-4</v>
      </c>
      <c r="K1377" s="25">
        <f t="shared" si="65"/>
        <v>0.76411678618962076</v>
      </c>
      <c r="L1377" s="26" t="s">
        <v>7516</v>
      </c>
      <c r="M1377" s="28"/>
      <c r="N1377" s="28"/>
      <c r="O1377" s="20" t="s">
        <v>7530</v>
      </c>
      <c r="P1377" s="27" t="str">
        <f t="shared" si="64"/>
        <v>vermelho</v>
      </c>
    </row>
    <row r="1378" spans="1:16" ht="25.5">
      <c r="A1378" s="3" t="s">
        <v>4</v>
      </c>
      <c r="B1378" s="3" t="s">
        <v>787</v>
      </c>
      <c r="C1378" s="4">
        <v>297</v>
      </c>
      <c r="D1378" s="3" t="s">
        <v>115</v>
      </c>
      <c r="E1378" s="3" t="s">
        <v>41</v>
      </c>
      <c r="F1378" s="5">
        <v>228</v>
      </c>
      <c r="G1378" s="5">
        <v>420</v>
      </c>
      <c r="H1378" s="6">
        <v>12092.208000000001</v>
      </c>
      <c r="I1378" s="22">
        <v>23738.462</v>
      </c>
      <c r="J1378" s="24">
        <f t="shared" si="63"/>
        <v>1.6448669780355415E-4</v>
      </c>
      <c r="K1378" s="25">
        <f t="shared" si="65"/>
        <v>0.76428127288742431</v>
      </c>
      <c r="L1378" s="26" t="s">
        <v>7516</v>
      </c>
      <c r="M1378" s="28"/>
      <c r="N1378" s="28"/>
      <c r="O1378" s="20">
        <v>12493.55</v>
      </c>
      <c r="P1378" s="27" t="str">
        <f t="shared" si="64"/>
        <v>laranja</v>
      </c>
    </row>
    <row r="1379" spans="1:16" ht="25.5">
      <c r="A1379" s="3" t="s">
        <v>4</v>
      </c>
      <c r="B1379" s="3" t="s">
        <v>788</v>
      </c>
      <c r="C1379" s="4">
        <v>19</v>
      </c>
      <c r="D1379" s="3" t="s">
        <v>72</v>
      </c>
      <c r="E1379" s="3" t="s">
        <v>41</v>
      </c>
      <c r="F1379" s="5">
        <v>288</v>
      </c>
      <c r="G1379" s="5">
        <v>419</v>
      </c>
      <c r="H1379" s="6">
        <v>16612.080000000002</v>
      </c>
      <c r="I1379" s="22">
        <v>23725.13</v>
      </c>
      <c r="J1379" s="24">
        <f t="shared" si="63"/>
        <v>1.6439431874988518E-4</v>
      </c>
      <c r="K1379" s="25">
        <f t="shared" si="65"/>
        <v>0.76444566720617424</v>
      </c>
      <c r="L1379" s="26" t="s">
        <v>7516</v>
      </c>
      <c r="M1379" s="28"/>
      <c r="N1379" s="28">
        <v>3.483587339408423E-3</v>
      </c>
      <c r="O1379" s="20">
        <v>1798.8</v>
      </c>
      <c r="P1379" s="27" t="str">
        <f t="shared" si="64"/>
        <v>amarelo</v>
      </c>
    </row>
    <row r="1380" spans="1:16" ht="25.5">
      <c r="A1380" s="3" t="s">
        <v>4</v>
      </c>
      <c r="B1380" s="3" t="s">
        <v>789</v>
      </c>
      <c r="C1380" s="4">
        <v>218</v>
      </c>
      <c r="D1380" s="3" t="s">
        <v>104</v>
      </c>
      <c r="E1380" s="3" t="s">
        <v>16</v>
      </c>
      <c r="F1380" s="5">
        <v>84</v>
      </c>
      <c r="G1380" s="5">
        <v>396</v>
      </c>
      <c r="H1380" s="6">
        <v>3959.16</v>
      </c>
      <c r="I1380" s="22">
        <v>23713.439999999999</v>
      </c>
      <c r="J1380" s="24">
        <f t="shared" si="63"/>
        <v>1.6431331731443734E-4</v>
      </c>
      <c r="K1380" s="25">
        <f t="shared" si="65"/>
        <v>0.76460998052348872</v>
      </c>
      <c r="L1380" s="26" t="s">
        <v>7516</v>
      </c>
      <c r="M1380" s="28"/>
      <c r="N1380" s="28"/>
      <c r="O1380" s="20" t="s">
        <v>7530</v>
      </c>
      <c r="P1380" s="27" t="str">
        <f t="shared" si="64"/>
        <v>vermelho</v>
      </c>
    </row>
    <row r="1381" spans="1:16" ht="25.5">
      <c r="A1381" s="3" t="s">
        <v>4</v>
      </c>
      <c r="B1381" s="3" t="s">
        <v>790</v>
      </c>
      <c r="C1381" s="4">
        <v>218</v>
      </c>
      <c r="D1381" s="3" t="s">
        <v>104</v>
      </c>
      <c r="E1381" s="3" t="s">
        <v>16</v>
      </c>
      <c r="F1381" s="5">
        <v>417</v>
      </c>
      <c r="G1381" s="5">
        <v>438</v>
      </c>
      <c r="H1381" s="6">
        <v>20015.099999999999</v>
      </c>
      <c r="I1381" s="22">
        <v>23695.86</v>
      </c>
      <c r="J1381" s="24">
        <f t="shared" si="63"/>
        <v>1.6419150335077843E-4</v>
      </c>
      <c r="K1381" s="25">
        <f t="shared" si="65"/>
        <v>0.7647741720268395</v>
      </c>
      <c r="L1381" s="26" t="s">
        <v>7516</v>
      </c>
      <c r="M1381" s="28"/>
      <c r="N1381" s="28"/>
      <c r="O1381" s="20" t="s">
        <v>7530</v>
      </c>
      <c r="P1381" s="27" t="str">
        <f t="shared" si="64"/>
        <v>vermelho</v>
      </c>
    </row>
    <row r="1382" spans="1:16" ht="25.5">
      <c r="A1382" s="3" t="s">
        <v>4</v>
      </c>
      <c r="B1382" s="3" t="s">
        <v>791</v>
      </c>
      <c r="C1382" s="4">
        <v>31</v>
      </c>
      <c r="D1382" s="3" t="s">
        <v>194</v>
      </c>
      <c r="E1382" s="3" t="s">
        <v>16</v>
      </c>
      <c r="F1382" s="5">
        <v>1128</v>
      </c>
      <c r="G1382" s="5">
        <v>396</v>
      </c>
      <c r="H1382" s="6">
        <v>63766.92</v>
      </c>
      <c r="I1382" s="22">
        <v>23667</v>
      </c>
      <c r="J1382" s="24">
        <f t="shared" si="63"/>
        <v>1.6399152889166603E-4</v>
      </c>
      <c r="K1382" s="25">
        <f t="shared" si="65"/>
        <v>0.76493816355573119</v>
      </c>
      <c r="L1382" s="26" t="s">
        <v>7516</v>
      </c>
      <c r="M1382" s="28"/>
      <c r="N1382" s="28">
        <v>3.5741784395712253E-2</v>
      </c>
      <c r="O1382" s="20">
        <v>19555.47</v>
      </c>
      <c r="P1382" s="27" t="str">
        <f t="shared" si="64"/>
        <v>laranja</v>
      </c>
    </row>
    <row r="1383" spans="1:16" ht="25.5">
      <c r="A1383" s="3" t="s">
        <v>4</v>
      </c>
      <c r="B1383" s="3" t="s">
        <v>792</v>
      </c>
      <c r="C1383" s="4">
        <v>335</v>
      </c>
      <c r="D1383" s="3" t="s">
        <v>36</v>
      </c>
      <c r="E1383" s="3" t="s">
        <v>7</v>
      </c>
      <c r="F1383" s="5">
        <v>642</v>
      </c>
      <c r="G1383" s="5">
        <v>414</v>
      </c>
      <c r="H1383" s="6">
        <v>36113.58</v>
      </c>
      <c r="I1383" s="22">
        <v>23659.38</v>
      </c>
      <c r="J1383" s="24">
        <f t="shared" si="63"/>
        <v>1.639387289825033E-4</v>
      </c>
      <c r="K1383" s="25">
        <f t="shared" si="65"/>
        <v>0.76510210228471365</v>
      </c>
      <c r="L1383" s="26" t="s">
        <v>7516</v>
      </c>
      <c r="M1383" s="28"/>
      <c r="N1383" s="28"/>
      <c r="O1383" s="20">
        <v>7990.38</v>
      </c>
      <c r="P1383" s="27" t="str">
        <f t="shared" si="64"/>
        <v>amarelo</v>
      </c>
    </row>
    <row r="1384" spans="1:16" ht="25.5">
      <c r="A1384" s="3" t="s">
        <v>4</v>
      </c>
      <c r="B1384" s="3" t="s">
        <v>793</v>
      </c>
      <c r="C1384" s="4">
        <v>296</v>
      </c>
      <c r="D1384" s="3" t="s">
        <v>282</v>
      </c>
      <c r="E1384" s="3" t="s">
        <v>10</v>
      </c>
      <c r="F1384" s="5">
        <v>0</v>
      </c>
      <c r="G1384" s="5">
        <v>405</v>
      </c>
      <c r="H1384" s="6">
        <v>0</v>
      </c>
      <c r="I1384" s="22">
        <v>23651.261999999999</v>
      </c>
      <c r="J1384" s="24">
        <f t="shared" si="63"/>
        <v>1.6388247837061573E-4</v>
      </c>
      <c r="K1384" s="25">
        <f t="shared" si="65"/>
        <v>0.76526598476308427</v>
      </c>
      <c r="L1384" s="26" t="s">
        <v>7516</v>
      </c>
      <c r="M1384" s="28">
        <v>4.3305778956457826E-2</v>
      </c>
      <c r="N1384" s="28"/>
      <c r="O1384" s="20">
        <v>2512.1999999999998</v>
      </c>
      <c r="P1384" s="27" t="str">
        <f t="shared" si="64"/>
        <v>amarelo</v>
      </c>
    </row>
    <row r="1385" spans="1:16">
      <c r="A1385" s="3" t="s">
        <v>4</v>
      </c>
      <c r="B1385" s="3" t="s">
        <v>794</v>
      </c>
      <c r="C1385" s="4">
        <v>232</v>
      </c>
      <c r="D1385" s="3" t="s">
        <v>174</v>
      </c>
      <c r="E1385" s="3" t="s">
        <v>16</v>
      </c>
      <c r="F1385" s="5">
        <v>0</v>
      </c>
      <c r="G1385" s="5">
        <v>438</v>
      </c>
      <c r="H1385" s="6">
        <v>0</v>
      </c>
      <c r="I1385" s="22">
        <v>23559.54</v>
      </c>
      <c r="J1385" s="24">
        <f t="shared" si="63"/>
        <v>1.6324692544827655E-4</v>
      </c>
      <c r="K1385" s="25">
        <f t="shared" si="65"/>
        <v>0.7654292316885325</v>
      </c>
      <c r="L1385" s="26" t="s">
        <v>7516</v>
      </c>
      <c r="M1385" s="28"/>
      <c r="N1385" s="28"/>
      <c r="O1385" s="20" t="s">
        <v>7530</v>
      </c>
      <c r="P1385" s="27" t="str">
        <f t="shared" si="64"/>
        <v>vermelho</v>
      </c>
    </row>
    <row r="1386" spans="1:16" ht="38.25">
      <c r="A1386" s="3" t="s">
        <v>4</v>
      </c>
      <c r="B1386" s="3" t="s">
        <v>795</v>
      </c>
      <c r="C1386" s="4">
        <v>45</v>
      </c>
      <c r="D1386" s="3" t="s">
        <v>23</v>
      </c>
      <c r="E1386" s="3" t="s">
        <v>7</v>
      </c>
      <c r="F1386" s="5">
        <v>387</v>
      </c>
      <c r="G1386" s="5">
        <v>366</v>
      </c>
      <c r="H1386" s="6">
        <v>22064.61</v>
      </c>
      <c r="I1386" s="22">
        <v>23531.58</v>
      </c>
      <c r="J1386" s="24">
        <f t="shared" si="63"/>
        <v>1.630531871989078E-4</v>
      </c>
      <c r="K1386" s="25">
        <f t="shared" si="65"/>
        <v>0.76559228487573139</v>
      </c>
      <c r="L1386" s="26" t="s">
        <v>7516</v>
      </c>
      <c r="M1386" s="28"/>
      <c r="N1386" s="28"/>
      <c r="O1386" s="20">
        <v>14173.68</v>
      </c>
      <c r="P1386" s="27" t="str">
        <f t="shared" si="64"/>
        <v>laranja</v>
      </c>
    </row>
    <row r="1387" spans="1:16" ht="25.5">
      <c r="A1387" s="3" t="s">
        <v>4</v>
      </c>
      <c r="B1387" s="3" t="s">
        <v>796</v>
      </c>
      <c r="C1387" s="4">
        <v>317</v>
      </c>
      <c r="D1387" s="3" t="s">
        <v>78</v>
      </c>
      <c r="E1387" s="3" t="s">
        <v>10</v>
      </c>
      <c r="F1387" s="5">
        <v>252</v>
      </c>
      <c r="G1387" s="5">
        <v>363</v>
      </c>
      <c r="H1387" s="6">
        <v>14364.18</v>
      </c>
      <c r="I1387" s="22">
        <v>23511.09</v>
      </c>
      <c r="J1387" s="24">
        <f t="shared" si="63"/>
        <v>1.6291120949041112E-4</v>
      </c>
      <c r="K1387" s="25">
        <f t="shared" si="65"/>
        <v>0.7657551960852218</v>
      </c>
      <c r="L1387" s="26" t="s">
        <v>7516</v>
      </c>
      <c r="M1387" s="28"/>
      <c r="N1387" s="28"/>
      <c r="O1387" s="20" t="s">
        <v>7530</v>
      </c>
      <c r="P1387" s="27" t="str">
        <f t="shared" si="64"/>
        <v>vermelho</v>
      </c>
    </row>
    <row r="1388" spans="1:16" ht="25.5">
      <c r="A1388" s="3" t="s">
        <v>6193</v>
      </c>
      <c r="B1388" s="3" t="s">
        <v>6194</v>
      </c>
      <c r="C1388" s="4">
        <v>335</v>
      </c>
      <c r="D1388" s="3" t="s">
        <v>36</v>
      </c>
      <c r="E1388" s="3" t="s">
        <v>7</v>
      </c>
      <c r="F1388" s="5">
        <v>504</v>
      </c>
      <c r="G1388" s="5">
        <v>366</v>
      </c>
      <c r="H1388" s="6">
        <v>29491.439999999999</v>
      </c>
      <c r="I1388" s="22">
        <v>23491.8</v>
      </c>
      <c r="J1388" s="24">
        <f t="shared" si="63"/>
        <v>1.627775467282393E-4</v>
      </c>
      <c r="K1388" s="25">
        <f t="shared" si="65"/>
        <v>0.76591797363195002</v>
      </c>
      <c r="L1388" s="26" t="s">
        <v>7516</v>
      </c>
      <c r="M1388" s="28"/>
      <c r="N1388" s="28"/>
      <c r="O1388" s="20">
        <v>16188.353999999999</v>
      </c>
      <c r="P1388" s="27" t="str">
        <f t="shared" si="64"/>
        <v>laranja</v>
      </c>
    </row>
    <row r="1389" spans="1:16" ht="25.5">
      <c r="A1389" s="3" t="s">
        <v>4</v>
      </c>
      <c r="B1389" s="3" t="s">
        <v>797</v>
      </c>
      <c r="C1389" s="4">
        <v>74</v>
      </c>
      <c r="D1389" s="3" t="s">
        <v>6</v>
      </c>
      <c r="E1389" s="3" t="s">
        <v>7</v>
      </c>
      <c r="F1389" s="5">
        <v>0</v>
      </c>
      <c r="G1389" s="5">
        <v>363</v>
      </c>
      <c r="H1389" s="6">
        <v>0</v>
      </c>
      <c r="I1389" s="22">
        <v>23489.37</v>
      </c>
      <c r="J1389" s="24">
        <f t="shared" si="63"/>
        <v>1.627607089619315E-4</v>
      </c>
      <c r="K1389" s="25">
        <f t="shared" si="65"/>
        <v>0.76608073434091195</v>
      </c>
      <c r="L1389" s="26" t="s">
        <v>7516</v>
      </c>
      <c r="M1389" s="28"/>
      <c r="N1389" s="28"/>
      <c r="O1389" s="20">
        <v>15860.4</v>
      </c>
      <c r="P1389" s="27" t="str">
        <f t="shared" si="64"/>
        <v>laranja</v>
      </c>
    </row>
    <row r="1390" spans="1:16">
      <c r="A1390" s="3" t="s">
        <v>4</v>
      </c>
      <c r="B1390" s="3" t="s">
        <v>798</v>
      </c>
      <c r="C1390" s="4">
        <v>15</v>
      </c>
      <c r="D1390" s="3" t="s">
        <v>18</v>
      </c>
      <c r="E1390" s="3" t="s">
        <v>16</v>
      </c>
      <c r="F1390" s="5">
        <v>96</v>
      </c>
      <c r="G1390" s="5">
        <v>456</v>
      </c>
      <c r="H1390" s="6">
        <v>4933.5600000000004</v>
      </c>
      <c r="I1390" s="22">
        <v>23488.68</v>
      </c>
      <c r="J1390" s="24">
        <f t="shared" si="63"/>
        <v>1.6275592786779475E-4</v>
      </c>
      <c r="K1390" s="25">
        <f t="shared" si="65"/>
        <v>0.76624349026877969</v>
      </c>
      <c r="L1390" s="26" t="s">
        <v>7516</v>
      </c>
      <c r="M1390" s="28"/>
      <c r="N1390" s="28"/>
      <c r="O1390" s="20" t="s">
        <v>7530</v>
      </c>
      <c r="P1390" s="27" t="str">
        <f t="shared" si="64"/>
        <v>vermelho</v>
      </c>
    </row>
    <row r="1391" spans="1:16" ht="25.5">
      <c r="A1391" s="3" t="s">
        <v>4</v>
      </c>
      <c r="B1391" s="3" t="s">
        <v>799</v>
      </c>
      <c r="C1391" s="4">
        <v>315</v>
      </c>
      <c r="D1391" s="3" t="s">
        <v>63</v>
      </c>
      <c r="E1391" s="3" t="s">
        <v>7</v>
      </c>
      <c r="F1391" s="5">
        <v>138</v>
      </c>
      <c r="G1391" s="5">
        <v>405</v>
      </c>
      <c r="H1391" s="6">
        <v>7585.23</v>
      </c>
      <c r="I1391" s="22">
        <v>23478.720000000001</v>
      </c>
      <c r="J1391" s="24">
        <f t="shared" si="63"/>
        <v>1.6268691381329857E-4</v>
      </c>
      <c r="K1391" s="25">
        <f t="shared" si="65"/>
        <v>0.76640617718259296</v>
      </c>
      <c r="L1391" s="26" t="s">
        <v>7516</v>
      </c>
      <c r="M1391" s="28"/>
      <c r="N1391" s="28"/>
      <c r="O1391" s="20" t="s">
        <v>7530</v>
      </c>
      <c r="P1391" s="27" t="str">
        <f t="shared" si="64"/>
        <v>vermelho</v>
      </c>
    </row>
    <row r="1392" spans="1:16" ht="25.5">
      <c r="A1392" s="3" t="s">
        <v>4</v>
      </c>
      <c r="B1392" s="3" t="s">
        <v>800</v>
      </c>
      <c r="C1392" s="4">
        <v>217</v>
      </c>
      <c r="D1392" s="3" t="s">
        <v>91</v>
      </c>
      <c r="E1392" s="3" t="s">
        <v>16</v>
      </c>
      <c r="F1392" s="5">
        <v>264</v>
      </c>
      <c r="G1392" s="5">
        <v>435</v>
      </c>
      <c r="H1392" s="6">
        <v>13789.44</v>
      </c>
      <c r="I1392" s="22">
        <v>23445.99</v>
      </c>
      <c r="J1392" s="24">
        <f t="shared" si="63"/>
        <v>1.6246012365228854E-4</v>
      </c>
      <c r="K1392" s="25">
        <f t="shared" si="65"/>
        <v>0.76656863730624525</v>
      </c>
      <c r="L1392" s="26" t="s">
        <v>7516</v>
      </c>
      <c r="M1392" s="28"/>
      <c r="N1392" s="28"/>
      <c r="O1392" s="20" t="s">
        <v>7530</v>
      </c>
      <c r="P1392" s="27" t="str">
        <f t="shared" si="64"/>
        <v>vermelho</v>
      </c>
    </row>
    <row r="1393" spans="1:16">
      <c r="A1393" s="3" t="s">
        <v>4</v>
      </c>
      <c r="B1393" s="3" t="s">
        <v>801</v>
      </c>
      <c r="C1393" s="4">
        <v>315</v>
      </c>
      <c r="D1393" s="3" t="s">
        <v>63</v>
      </c>
      <c r="E1393" s="3" t="s">
        <v>7</v>
      </c>
      <c r="F1393" s="5">
        <v>0</v>
      </c>
      <c r="G1393" s="5">
        <v>369</v>
      </c>
      <c r="H1393" s="6">
        <v>0</v>
      </c>
      <c r="I1393" s="22">
        <v>23445.048999999999</v>
      </c>
      <c r="J1393" s="24">
        <f t="shared" si="63"/>
        <v>1.6245360334854545E-4</v>
      </c>
      <c r="K1393" s="25">
        <f t="shared" si="65"/>
        <v>0.76673109090959379</v>
      </c>
      <c r="L1393" s="26" t="s">
        <v>7516</v>
      </c>
      <c r="M1393" s="28"/>
      <c r="N1393" s="28"/>
      <c r="O1393" s="20">
        <v>4774.7700000000004</v>
      </c>
      <c r="P1393" s="27" t="str">
        <f t="shared" si="64"/>
        <v>amarelo</v>
      </c>
    </row>
    <row r="1394" spans="1:16" ht="25.5">
      <c r="A1394" s="3" t="s">
        <v>6195</v>
      </c>
      <c r="B1394" s="3" t="s">
        <v>6196</v>
      </c>
      <c r="C1394" s="4">
        <v>297</v>
      </c>
      <c r="D1394" s="3" t="s">
        <v>115</v>
      </c>
      <c r="E1394" s="3" t="s">
        <v>41</v>
      </c>
      <c r="F1394" s="5">
        <v>831</v>
      </c>
      <c r="G1394" s="5">
        <v>396</v>
      </c>
      <c r="H1394" s="6">
        <v>45480.243000000002</v>
      </c>
      <c r="I1394" s="22">
        <v>23405.33</v>
      </c>
      <c r="J1394" s="24">
        <f t="shared" si="63"/>
        <v>1.6217838555431519E-4</v>
      </c>
      <c r="K1394" s="25">
        <f t="shared" si="65"/>
        <v>0.76689326929514812</v>
      </c>
      <c r="L1394" s="26" t="s">
        <v>7516</v>
      </c>
      <c r="M1394" s="28"/>
      <c r="N1394" s="28"/>
      <c r="O1394" s="20">
        <v>20542.894</v>
      </c>
      <c r="P1394" s="27" t="str">
        <f t="shared" si="64"/>
        <v>laranja</v>
      </c>
    </row>
    <row r="1395" spans="1:16" ht="25.5">
      <c r="A1395" s="3" t="s">
        <v>4</v>
      </c>
      <c r="B1395" s="3" t="s">
        <v>802</v>
      </c>
      <c r="C1395" s="4">
        <v>93</v>
      </c>
      <c r="D1395" s="3" t="s">
        <v>20</v>
      </c>
      <c r="E1395" s="3" t="s">
        <v>7</v>
      </c>
      <c r="F1395" s="5">
        <v>369</v>
      </c>
      <c r="G1395" s="5">
        <v>387</v>
      </c>
      <c r="H1395" s="6">
        <v>19381.23</v>
      </c>
      <c r="I1395" s="22">
        <v>23399.279999999999</v>
      </c>
      <c r="J1395" s="24">
        <f t="shared" si="63"/>
        <v>1.6213646436659412E-4</v>
      </c>
      <c r="K1395" s="25">
        <f t="shared" si="65"/>
        <v>0.7670554057595147</v>
      </c>
      <c r="L1395" s="26" t="s">
        <v>7516</v>
      </c>
      <c r="M1395" s="28"/>
      <c r="N1395" s="28"/>
      <c r="O1395" s="20" t="s">
        <v>7530</v>
      </c>
      <c r="P1395" s="27" t="str">
        <f t="shared" si="64"/>
        <v>vermelho</v>
      </c>
    </row>
    <row r="1396" spans="1:16" ht="25.5">
      <c r="A1396" s="3" t="s">
        <v>4</v>
      </c>
      <c r="B1396" s="3" t="s">
        <v>803</v>
      </c>
      <c r="C1396" s="4">
        <v>31</v>
      </c>
      <c r="D1396" s="3" t="s">
        <v>194</v>
      </c>
      <c r="E1396" s="3" t="s">
        <v>16</v>
      </c>
      <c r="F1396" s="5">
        <v>0</v>
      </c>
      <c r="G1396" s="5">
        <v>441</v>
      </c>
      <c r="H1396" s="6">
        <v>0</v>
      </c>
      <c r="I1396" s="22">
        <v>23393.86</v>
      </c>
      <c r="J1396" s="24">
        <f t="shared" si="63"/>
        <v>1.6209890852569359E-4</v>
      </c>
      <c r="K1396" s="25">
        <f t="shared" si="65"/>
        <v>0.7672175046680404</v>
      </c>
      <c r="L1396" s="26" t="s">
        <v>7516</v>
      </c>
      <c r="M1396" s="28"/>
      <c r="N1396" s="28"/>
      <c r="O1396" s="20" t="s">
        <v>7530</v>
      </c>
      <c r="P1396" s="27" t="str">
        <f t="shared" si="64"/>
        <v>vermelho</v>
      </c>
    </row>
    <row r="1397" spans="1:16" ht="25.5">
      <c r="A1397" s="3" t="s">
        <v>4</v>
      </c>
      <c r="B1397" s="3" t="s">
        <v>804</v>
      </c>
      <c r="C1397" s="4">
        <v>299</v>
      </c>
      <c r="D1397" s="3" t="s">
        <v>111</v>
      </c>
      <c r="E1397" s="3" t="s">
        <v>49</v>
      </c>
      <c r="F1397" s="5">
        <v>204</v>
      </c>
      <c r="G1397" s="5">
        <v>465</v>
      </c>
      <c r="H1397" s="6">
        <v>11453.52</v>
      </c>
      <c r="I1397" s="22">
        <v>23390.55</v>
      </c>
      <c r="J1397" s="24">
        <f t="shared" si="63"/>
        <v>1.6207597313208091E-4</v>
      </c>
      <c r="K1397" s="25">
        <f t="shared" si="65"/>
        <v>0.76737958064117251</v>
      </c>
      <c r="L1397" s="26" t="s">
        <v>7516</v>
      </c>
      <c r="M1397" s="28"/>
      <c r="N1397" s="28"/>
      <c r="O1397" s="20">
        <v>18412.8</v>
      </c>
      <c r="P1397" s="27" t="str">
        <f t="shared" si="64"/>
        <v>laranja</v>
      </c>
    </row>
    <row r="1398" spans="1:16" ht="25.5">
      <c r="A1398" s="3" t="s">
        <v>4</v>
      </c>
      <c r="B1398" s="3" t="s">
        <v>805</v>
      </c>
      <c r="C1398" s="4">
        <v>208</v>
      </c>
      <c r="D1398" s="3" t="s">
        <v>15</v>
      </c>
      <c r="E1398" s="3" t="s">
        <v>16</v>
      </c>
      <c r="F1398" s="5">
        <v>444</v>
      </c>
      <c r="G1398" s="5">
        <v>372</v>
      </c>
      <c r="H1398" s="6">
        <v>23673.360000000001</v>
      </c>
      <c r="I1398" s="22">
        <v>23383.08</v>
      </c>
      <c r="J1398" s="24">
        <f t="shared" si="63"/>
        <v>1.6202421259120878E-4</v>
      </c>
      <c r="K1398" s="25">
        <f t="shared" si="65"/>
        <v>0.76754160485376377</v>
      </c>
      <c r="L1398" s="26" t="s">
        <v>7516</v>
      </c>
      <c r="M1398" s="28"/>
      <c r="N1398" s="28"/>
      <c r="O1398" s="20">
        <v>19447.2</v>
      </c>
      <c r="P1398" s="27" t="str">
        <f t="shared" si="64"/>
        <v>laranja</v>
      </c>
    </row>
    <row r="1399" spans="1:16" ht="38.25">
      <c r="A1399" s="3" t="s">
        <v>4</v>
      </c>
      <c r="B1399" s="3" t="s">
        <v>806</v>
      </c>
      <c r="C1399" s="4">
        <v>371</v>
      </c>
      <c r="D1399" s="3" t="s">
        <v>82</v>
      </c>
      <c r="E1399" s="3" t="s">
        <v>49</v>
      </c>
      <c r="F1399" s="5">
        <v>315</v>
      </c>
      <c r="G1399" s="5">
        <v>381</v>
      </c>
      <c r="H1399" s="6">
        <v>18697.48</v>
      </c>
      <c r="I1399" s="22">
        <v>23352.6</v>
      </c>
      <c r="J1399" s="24">
        <f t="shared" si="63"/>
        <v>1.618130129545578E-4</v>
      </c>
      <c r="K1399" s="25">
        <f t="shared" si="65"/>
        <v>0.76770341786671836</v>
      </c>
      <c r="L1399" s="26" t="s">
        <v>7516</v>
      </c>
      <c r="M1399" s="28"/>
      <c r="N1399" s="28"/>
      <c r="O1399" s="20">
        <v>12753.72</v>
      </c>
      <c r="P1399" s="27" t="str">
        <f t="shared" si="64"/>
        <v>laranja</v>
      </c>
    </row>
    <row r="1400" spans="1:16" ht="25.5">
      <c r="A1400" s="3" t="s">
        <v>6197</v>
      </c>
      <c r="B1400" s="3" t="s">
        <v>6198</v>
      </c>
      <c r="C1400" s="4">
        <v>31</v>
      </c>
      <c r="D1400" s="3" t="s">
        <v>194</v>
      </c>
      <c r="E1400" s="3" t="s">
        <v>16</v>
      </c>
      <c r="F1400" s="5">
        <v>420</v>
      </c>
      <c r="G1400" s="5">
        <v>408</v>
      </c>
      <c r="H1400" s="6">
        <v>23121.72</v>
      </c>
      <c r="I1400" s="22">
        <v>23338.080000000002</v>
      </c>
      <c r="J1400" s="24">
        <f t="shared" si="63"/>
        <v>1.6171240210402727E-4</v>
      </c>
      <c r="K1400" s="25">
        <f t="shared" si="65"/>
        <v>0.76786513026882242</v>
      </c>
      <c r="L1400" s="26" t="s">
        <v>7516</v>
      </c>
      <c r="M1400" s="28"/>
      <c r="N1400" s="28"/>
      <c r="O1400" s="20">
        <v>12850.56</v>
      </c>
      <c r="P1400" s="27" t="str">
        <f t="shared" si="64"/>
        <v>laranja</v>
      </c>
    </row>
    <row r="1401" spans="1:16" ht="25.5">
      <c r="A1401" s="3" t="s">
        <v>4</v>
      </c>
      <c r="B1401" s="3" t="s">
        <v>807</v>
      </c>
      <c r="C1401" s="4">
        <v>299</v>
      </c>
      <c r="D1401" s="3" t="s">
        <v>111</v>
      </c>
      <c r="E1401" s="3" t="s">
        <v>49</v>
      </c>
      <c r="F1401" s="5">
        <v>507</v>
      </c>
      <c r="G1401" s="5">
        <v>447</v>
      </c>
      <c r="H1401" s="6">
        <v>30256.080000000002</v>
      </c>
      <c r="I1401" s="22">
        <v>23323.11</v>
      </c>
      <c r="J1401" s="24">
        <f t="shared" si="63"/>
        <v>1.6160867314862488E-4</v>
      </c>
      <c r="K1401" s="25">
        <f t="shared" si="65"/>
        <v>0.76802673894197104</v>
      </c>
      <c r="L1401" s="26" t="s">
        <v>7516</v>
      </c>
      <c r="M1401" s="28">
        <v>2.1902810426301482E-2</v>
      </c>
      <c r="N1401" s="28">
        <v>4.5970702054115624E-2</v>
      </c>
      <c r="O1401" s="20">
        <v>25492.560000000001</v>
      </c>
      <c r="P1401" s="27" t="str">
        <f t="shared" si="64"/>
        <v>verde</v>
      </c>
    </row>
    <row r="1402" spans="1:16" ht="25.5">
      <c r="A1402" s="3" t="s">
        <v>4</v>
      </c>
      <c r="B1402" s="3" t="s">
        <v>808</v>
      </c>
      <c r="C1402" s="4">
        <v>266</v>
      </c>
      <c r="D1402" s="3" t="s">
        <v>80</v>
      </c>
      <c r="E1402" s="3" t="s">
        <v>10</v>
      </c>
      <c r="F1402" s="5">
        <v>0</v>
      </c>
      <c r="G1402" s="5">
        <v>396</v>
      </c>
      <c r="H1402" s="6">
        <v>0</v>
      </c>
      <c r="I1402" s="22">
        <v>23319.87</v>
      </c>
      <c r="J1402" s="24">
        <f t="shared" si="63"/>
        <v>1.6158622279354779E-4</v>
      </c>
      <c r="K1402" s="25">
        <f t="shared" si="65"/>
        <v>0.76818832516476454</v>
      </c>
      <c r="L1402" s="26" t="s">
        <v>7516</v>
      </c>
      <c r="M1402" s="28"/>
      <c r="N1402" s="28"/>
      <c r="O1402" s="20" t="s">
        <v>7530</v>
      </c>
      <c r="P1402" s="27" t="str">
        <f t="shared" si="64"/>
        <v>vermelho</v>
      </c>
    </row>
    <row r="1403" spans="1:16" ht="25.5">
      <c r="A1403" s="3" t="s">
        <v>4</v>
      </c>
      <c r="B1403" s="3" t="s">
        <v>809</v>
      </c>
      <c r="C1403" s="4">
        <v>31</v>
      </c>
      <c r="D1403" s="3" t="s">
        <v>194</v>
      </c>
      <c r="E1403" s="3" t="s">
        <v>16</v>
      </c>
      <c r="F1403" s="5">
        <v>168</v>
      </c>
      <c r="G1403" s="5">
        <v>438</v>
      </c>
      <c r="H1403" s="6">
        <v>7966.32</v>
      </c>
      <c r="I1403" s="22">
        <v>23303.61</v>
      </c>
      <c r="J1403" s="24">
        <f t="shared" si="63"/>
        <v>1.6147355527084621E-4</v>
      </c>
      <c r="K1403" s="25">
        <f t="shared" si="65"/>
        <v>0.76834979872003539</v>
      </c>
      <c r="L1403" s="26" t="s">
        <v>7516</v>
      </c>
      <c r="M1403" s="28"/>
      <c r="N1403" s="28"/>
      <c r="O1403" s="20" t="s">
        <v>7530</v>
      </c>
      <c r="P1403" s="27" t="str">
        <f t="shared" si="64"/>
        <v>vermelho</v>
      </c>
    </row>
    <row r="1404" spans="1:16" ht="25.5">
      <c r="A1404" s="3" t="s">
        <v>4</v>
      </c>
      <c r="B1404" s="3" t="s">
        <v>810</v>
      </c>
      <c r="C1404" s="4">
        <v>321</v>
      </c>
      <c r="D1404" s="3" t="s">
        <v>136</v>
      </c>
      <c r="E1404" s="3" t="s">
        <v>41</v>
      </c>
      <c r="F1404" s="5">
        <v>591</v>
      </c>
      <c r="G1404" s="5">
        <v>402</v>
      </c>
      <c r="H1404" s="6">
        <v>34998.870000000003</v>
      </c>
      <c r="I1404" s="22">
        <v>23293.26</v>
      </c>
      <c r="J1404" s="24">
        <f t="shared" si="63"/>
        <v>1.6140183885879445E-4</v>
      </c>
      <c r="K1404" s="25">
        <f t="shared" si="65"/>
        <v>0.76851120055889421</v>
      </c>
      <c r="L1404" s="26" t="s">
        <v>7516</v>
      </c>
      <c r="M1404" s="28"/>
      <c r="N1404" s="28"/>
      <c r="O1404" s="20" t="s">
        <v>7530</v>
      </c>
      <c r="P1404" s="27" t="str">
        <f t="shared" si="64"/>
        <v>vermelho</v>
      </c>
    </row>
    <row r="1405" spans="1:16" ht="25.5">
      <c r="A1405" s="3" t="s">
        <v>4</v>
      </c>
      <c r="B1405" s="3" t="s">
        <v>811</v>
      </c>
      <c r="C1405" s="4">
        <v>208</v>
      </c>
      <c r="D1405" s="3" t="s">
        <v>15</v>
      </c>
      <c r="E1405" s="3" t="s">
        <v>16</v>
      </c>
      <c r="F1405" s="5">
        <v>0</v>
      </c>
      <c r="G1405" s="5">
        <v>396</v>
      </c>
      <c r="H1405" s="6">
        <v>0</v>
      </c>
      <c r="I1405" s="22">
        <v>23288.04</v>
      </c>
      <c r="J1405" s="24">
        <f t="shared" si="63"/>
        <v>1.613656688422814E-4</v>
      </c>
      <c r="K1405" s="25">
        <f t="shared" si="65"/>
        <v>0.7686725662277365</v>
      </c>
      <c r="L1405" s="26" t="s">
        <v>7516</v>
      </c>
      <c r="M1405" s="28"/>
      <c r="N1405" s="28"/>
      <c r="O1405" s="20" t="s">
        <v>7530</v>
      </c>
      <c r="P1405" s="27" t="str">
        <f t="shared" si="64"/>
        <v>vermelho</v>
      </c>
    </row>
    <row r="1406" spans="1:16" ht="25.5">
      <c r="A1406" s="3" t="s">
        <v>4</v>
      </c>
      <c r="B1406" s="3" t="s">
        <v>812</v>
      </c>
      <c r="C1406" s="4">
        <v>74</v>
      </c>
      <c r="D1406" s="3" t="s">
        <v>6</v>
      </c>
      <c r="E1406" s="3" t="s">
        <v>7</v>
      </c>
      <c r="F1406" s="5">
        <v>0</v>
      </c>
      <c r="G1406" s="5">
        <v>333</v>
      </c>
      <c r="H1406" s="6">
        <v>0</v>
      </c>
      <c r="I1406" s="22">
        <v>23282.67</v>
      </c>
      <c r="J1406" s="24">
        <f t="shared" si="63"/>
        <v>1.6132845945747773E-4</v>
      </c>
      <c r="K1406" s="25">
        <f t="shared" si="65"/>
        <v>0.76883389468719399</v>
      </c>
      <c r="L1406" s="26" t="s">
        <v>7516</v>
      </c>
      <c r="M1406" s="28"/>
      <c r="N1406" s="28"/>
      <c r="O1406" s="20" t="s">
        <v>7530</v>
      </c>
      <c r="P1406" s="27" t="str">
        <f t="shared" si="64"/>
        <v>vermelho</v>
      </c>
    </row>
    <row r="1407" spans="1:16" ht="25.5">
      <c r="A1407" s="3" t="s">
        <v>6199</v>
      </c>
      <c r="B1407" s="3" t="s">
        <v>6200</v>
      </c>
      <c r="C1407" s="4">
        <v>218</v>
      </c>
      <c r="D1407" s="3" t="s">
        <v>104</v>
      </c>
      <c r="E1407" s="3" t="s">
        <v>16</v>
      </c>
      <c r="F1407" s="5">
        <v>0</v>
      </c>
      <c r="G1407" s="5">
        <v>471</v>
      </c>
      <c r="H1407" s="6">
        <v>0</v>
      </c>
      <c r="I1407" s="22">
        <v>23262.93</v>
      </c>
      <c r="J1407" s="24">
        <f t="shared" si="63"/>
        <v>1.6119167859043412E-4</v>
      </c>
      <c r="K1407" s="25">
        <f t="shared" si="65"/>
        <v>0.7689950863657844</v>
      </c>
      <c r="L1407" s="26" t="s">
        <v>7516</v>
      </c>
      <c r="M1407" s="28"/>
      <c r="N1407" s="28"/>
      <c r="O1407" s="20" t="s">
        <v>7530</v>
      </c>
      <c r="P1407" s="27" t="str">
        <f t="shared" si="64"/>
        <v>vermelho</v>
      </c>
    </row>
    <row r="1408" spans="1:16" ht="25.5">
      <c r="A1408" s="3" t="s">
        <v>6201</v>
      </c>
      <c r="B1408" s="3" t="s">
        <v>6202</v>
      </c>
      <c r="C1408" s="4">
        <v>197</v>
      </c>
      <c r="D1408" s="3" t="s">
        <v>66</v>
      </c>
      <c r="E1408" s="3" t="s">
        <v>41</v>
      </c>
      <c r="F1408" s="5">
        <v>630</v>
      </c>
      <c r="G1408" s="5">
        <v>390</v>
      </c>
      <c r="H1408" s="6">
        <v>38418.74</v>
      </c>
      <c r="I1408" s="22">
        <v>23251.186000000002</v>
      </c>
      <c r="J1408" s="24">
        <f t="shared" si="63"/>
        <v>1.6111030298240168E-4</v>
      </c>
      <c r="K1408" s="25">
        <f t="shared" si="65"/>
        <v>0.76915619666876678</v>
      </c>
      <c r="L1408" s="26" t="s">
        <v>7516</v>
      </c>
      <c r="M1408" s="28"/>
      <c r="N1408" s="28"/>
      <c r="O1408" s="20">
        <v>14254.72</v>
      </c>
      <c r="P1408" s="27" t="str">
        <f t="shared" si="64"/>
        <v>laranja</v>
      </c>
    </row>
    <row r="1409" spans="1:16" ht="25.5">
      <c r="A1409" s="3" t="s">
        <v>4</v>
      </c>
      <c r="B1409" s="3" t="s">
        <v>813</v>
      </c>
      <c r="C1409" s="4">
        <v>297</v>
      </c>
      <c r="D1409" s="3" t="s">
        <v>115</v>
      </c>
      <c r="E1409" s="3" t="s">
        <v>41</v>
      </c>
      <c r="F1409" s="5">
        <v>318</v>
      </c>
      <c r="G1409" s="5">
        <v>375</v>
      </c>
      <c r="H1409" s="6">
        <v>20201.016</v>
      </c>
      <c r="I1409" s="22">
        <v>23228.986000000001</v>
      </c>
      <c r="J1409" s="24">
        <f t="shared" si="63"/>
        <v>1.6095647647539215E-4</v>
      </c>
      <c r="K1409" s="25">
        <f t="shared" si="65"/>
        <v>0.76931715314524218</v>
      </c>
      <c r="L1409" s="26" t="s">
        <v>7516</v>
      </c>
      <c r="M1409" s="28"/>
      <c r="N1409" s="28"/>
      <c r="O1409" s="20">
        <v>4726.0039999999999</v>
      </c>
      <c r="P1409" s="27" t="str">
        <f t="shared" si="64"/>
        <v>amarelo</v>
      </c>
    </row>
    <row r="1410" spans="1:16" ht="25.5">
      <c r="A1410" s="3" t="s">
        <v>6203</v>
      </c>
      <c r="B1410" s="3" t="s">
        <v>6204</v>
      </c>
      <c r="C1410" s="4">
        <v>327</v>
      </c>
      <c r="D1410" s="3" t="s">
        <v>100</v>
      </c>
      <c r="E1410" s="3" t="s">
        <v>7</v>
      </c>
      <c r="F1410" s="5">
        <v>0</v>
      </c>
      <c r="G1410" s="5">
        <v>420</v>
      </c>
      <c r="H1410" s="6">
        <v>0</v>
      </c>
      <c r="I1410" s="22">
        <v>23222.880000000001</v>
      </c>
      <c r="J1410" s="24">
        <f t="shared" si="63"/>
        <v>1.6091416725684258E-4</v>
      </c>
      <c r="K1410" s="25">
        <f t="shared" si="65"/>
        <v>0.76947806731249901</v>
      </c>
      <c r="L1410" s="26" t="s">
        <v>7516</v>
      </c>
      <c r="M1410" s="28"/>
      <c r="N1410" s="28"/>
      <c r="O1410" s="20" t="s">
        <v>7530</v>
      </c>
      <c r="P1410" s="27" t="str">
        <f t="shared" si="64"/>
        <v>vermelho</v>
      </c>
    </row>
    <row r="1411" spans="1:16" ht="25.5">
      <c r="A1411" s="3" t="s">
        <v>4</v>
      </c>
      <c r="B1411" s="3" t="s">
        <v>814</v>
      </c>
      <c r="C1411" s="4">
        <v>299</v>
      </c>
      <c r="D1411" s="3" t="s">
        <v>111</v>
      </c>
      <c r="E1411" s="3" t="s">
        <v>49</v>
      </c>
      <c r="F1411" s="5">
        <v>204</v>
      </c>
      <c r="G1411" s="5">
        <v>462</v>
      </c>
      <c r="H1411" s="6">
        <v>11453.52</v>
      </c>
      <c r="I1411" s="22">
        <v>23222.76</v>
      </c>
      <c r="J1411" s="24">
        <f t="shared" ref="J1411:J1474" si="66">I1411/$I$6364</f>
        <v>1.6091333576221008E-4</v>
      </c>
      <c r="K1411" s="25">
        <f t="shared" si="65"/>
        <v>0.7696389806482612</v>
      </c>
      <c r="L1411" s="26" t="s">
        <v>7516</v>
      </c>
      <c r="M1411" s="28"/>
      <c r="N1411" s="28"/>
      <c r="O1411" s="20">
        <v>18412.8</v>
      </c>
      <c r="P1411" s="27" t="str">
        <f t="shared" ref="P1411:P1474" si="67">IF(O1411&lt;=0,"vermelho",IFERROR(IF(O1411/I1411&lt;=0.5098,"amarelo",IF(O1411/I1411&lt;1,"laranja","verde")),"vermelho"))</f>
        <v>laranja</v>
      </c>
    </row>
    <row r="1412" spans="1:16" ht="38.25">
      <c r="A1412" s="3" t="s">
        <v>6205</v>
      </c>
      <c r="B1412" s="3" t="s">
        <v>6206</v>
      </c>
      <c r="C1412" s="4">
        <v>11</v>
      </c>
      <c r="D1412" s="3" t="s">
        <v>61</v>
      </c>
      <c r="E1412" s="3" t="s">
        <v>10</v>
      </c>
      <c r="F1412" s="5">
        <v>324</v>
      </c>
      <c r="G1412" s="5">
        <v>390</v>
      </c>
      <c r="H1412" s="6">
        <v>17562.18</v>
      </c>
      <c r="I1412" s="22">
        <v>23213.7</v>
      </c>
      <c r="J1412" s="24">
        <f t="shared" si="66"/>
        <v>1.6085055791745755E-4</v>
      </c>
      <c r="K1412" s="25">
        <f t="shared" ref="K1412:K1475" si="68">J1412+K1411</f>
        <v>0.76979983120617868</v>
      </c>
      <c r="L1412" s="26" t="s">
        <v>7516</v>
      </c>
      <c r="M1412" s="28"/>
      <c r="N1412" s="28"/>
      <c r="O1412" s="20" t="s">
        <v>7530</v>
      </c>
      <c r="P1412" s="27" t="str">
        <f t="shared" si="67"/>
        <v>vermelho</v>
      </c>
    </row>
    <row r="1413" spans="1:16" ht="25.5">
      <c r="A1413" s="3" t="s">
        <v>6207</v>
      </c>
      <c r="B1413" s="3" t="s">
        <v>6208</v>
      </c>
      <c r="C1413" s="4">
        <v>178</v>
      </c>
      <c r="D1413" s="3" t="s">
        <v>74</v>
      </c>
      <c r="E1413" s="3" t="s">
        <v>7</v>
      </c>
      <c r="F1413" s="5">
        <v>276</v>
      </c>
      <c r="G1413" s="5">
        <v>387</v>
      </c>
      <c r="H1413" s="6">
        <v>15003.48</v>
      </c>
      <c r="I1413" s="22">
        <v>23210.1</v>
      </c>
      <c r="J1413" s="24">
        <f t="shared" si="66"/>
        <v>1.6082561307848302E-4</v>
      </c>
      <c r="K1413" s="25">
        <f t="shared" si="68"/>
        <v>0.76996065681925718</v>
      </c>
      <c r="L1413" s="26" t="s">
        <v>7516</v>
      </c>
      <c r="M1413" s="28"/>
      <c r="N1413" s="28"/>
      <c r="O1413" s="20">
        <v>4228.4399999999996</v>
      </c>
      <c r="P1413" s="27" t="str">
        <f t="shared" si="67"/>
        <v>amarelo</v>
      </c>
    </row>
    <row r="1414" spans="1:16" ht="25.5">
      <c r="A1414" s="3" t="s">
        <v>4</v>
      </c>
      <c r="B1414" s="3" t="s">
        <v>815</v>
      </c>
      <c r="C1414" s="4">
        <v>217</v>
      </c>
      <c r="D1414" s="3" t="s">
        <v>91</v>
      </c>
      <c r="E1414" s="3" t="s">
        <v>16</v>
      </c>
      <c r="F1414" s="5">
        <v>387</v>
      </c>
      <c r="G1414" s="5">
        <v>354</v>
      </c>
      <c r="H1414" s="6">
        <v>19961.07</v>
      </c>
      <c r="I1414" s="22">
        <v>23180.82</v>
      </c>
      <c r="J1414" s="24">
        <f t="shared" si="66"/>
        <v>1.6062272838815691E-4</v>
      </c>
      <c r="K1414" s="25">
        <f t="shared" si="68"/>
        <v>0.77012127954764531</v>
      </c>
      <c r="L1414" s="26" t="s">
        <v>7516</v>
      </c>
      <c r="M1414" s="28"/>
      <c r="N1414" s="28">
        <v>3.243237568040637E-2</v>
      </c>
      <c r="O1414" s="20">
        <v>2607.84</v>
      </c>
      <c r="P1414" s="27" t="str">
        <f t="shared" si="67"/>
        <v>amarelo</v>
      </c>
    </row>
    <row r="1415" spans="1:16" ht="25.5">
      <c r="A1415" s="3" t="s">
        <v>6209</v>
      </c>
      <c r="B1415" s="3" t="s">
        <v>6210</v>
      </c>
      <c r="C1415" s="4">
        <v>41</v>
      </c>
      <c r="D1415" s="3" t="s">
        <v>178</v>
      </c>
      <c r="E1415" s="3" t="s">
        <v>41</v>
      </c>
      <c r="F1415" s="5">
        <v>144</v>
      </c>
      <c r="G1415" s="5">
        <v>456</v>
      </c>
      <c r="H1415" s="6">
        <v>6940.32</v>
      </c>
      <c r="I1415" s="22">
        <v>23174.86</v>
      </c>
      <c r="J1415" s="24">
        <f t="shared" si="66"/>
        <v>1.605814308214102E-4</v>
      </c>
      <c r="K1415" s="25">
        <f t="shared" si="68"/>
        <v>0.77028186097846674</v>
      </c>
      <c r="L1415" s="26" t="s">
        <v>7516</v>
      </c>
      <c r="M1415" s="28"/>
      <c r="N1415" s="28"/>
      <c r="O1415" s="20" t="s">
        <v>7530</v>
      </c>
      <c r="P1415" s="27" t="str">
        <f t="shared" si="67"/>
        <v>vermelho</v>
      </c>
    </row>
    <row r="1416" spans="1:16" ht="25.5">
      <c r="A1416" s="3" t="s">
        <v>4</v>
      </c>
      <c r="B1416" s="3" t="s">
        <v>816</v>
      </c>
      <c r="C1416" s="4">
        <v>320</v>
      </c>
      <c r="D1416" s="3" t="s">
        <v>218</v>
      </c>
      <c r="E1416" s="3" t="s">
        <v>49</v>
      </c>
      <c r="F1416" s="5">
        <v>609</v>
      </c>
      <c r="G1416" s="5">
        <v>327</v>
      </c>
      <c r="H1416" s="6">
        <v>32624.91</v>
      </c>
      <c r="I1416" s="22">
        <v>23156.94</v>
      </c>
      <c r="J1416" s="24">
        <f t="shared" si="66"/>
        <v>1.6045726095629257E-4</v>
      </c>
      <c r="K1416" s="25">
        <f t="shared" si="68"/>
        <v>0.770442318239423</v>
      </c>
      <c r="L1416" s="26" t="s">
        <v>7516</v>
      </c>
      <c r="M1416" s="28"/>
      <c r="N1416" s="28"/>
      <c r="O1416" s="20" t="s">
        <v>7530</v>
      </c>
      <c r="P1416" s="27" t="str">
        <f t="shared" si="67"/>
        <v>vermelho</v>
      </c>
    </row>
    <row r="1417" spans="1:16" ht="25.5">
      <c r="A1417" s="3" t="s">
        <v>6211</v>
      </c>
      <c r="B1417" s="3" t="s">
        <v>6212</v>
      </c>
      <c r="C1417" s="4">
        <v>93</v>
      </c>
      <c r="D1417" s="3" t="s">
        <v>20</v>
      </c>
      <c r="E1417" s="3" t="s">
        <v>7</v>
      </c>
      <c r="F1417" s="5">
        <v>576</v>
      </c>
      <c r="G1417" s="5">
        <v>408</v>
      </c>
      <c r="H1417" s="6">
        <v>25803.948</v>
      </c>
      <c r="I1417" s="22">
        <v>23147.279999999999</v>
      </c>
      <c r="J1417" s="24">
        <f t="shared" si="66"/>
        <v>1.6039032563837762E-4</v>
      </c>
      <c r="K1417" s="25">
        <f t="shared" si="68"/>
        <v>0.77060270856506141</v>
      </c>
      <c r="L1417" s="26" t="s">
        <v>7516</v>
      </c>
      <c r="M1417" s="28"/>
      <c r="N1417" s="28"/>
      <c r="O1417" s="20" t="s">
        <v>7530</v>
      </c>
      <c r="P1417" s="27" t="str">
        <f t="shared" si="67"/>
        <v>vermelho</v>
      </c>
    </row>
    <row r="1418" spans="1:16" ht="38.25">
      <c r="A1418" s="3" t="s">
        <v>6213</v>
      </c>
      <c r="B1418" s="3" t="s">
        <v>6214</v>
      </c>
      <c r="C1418" s="4">
        <v>38</v>
      </c>
      <c r="D1418" s="3" t="s">
        <v>184</v>
      </c>
      <c r="E1418" s="3" t="s">
        <v>49</v>
      </c>
      <c r="F1418" s="5">
        <v>312</v>
      </c>
      <c r="G1418" s="5">
        <v>390</v>
      </c>
      <c r="H1418" s="6">
        <v>18587.784</v>
      </c>
      <c r="I1418" s="22">
        <v>23125.439999999999</v>
      </c>
      <c r="J1418" s="24">
        <f t="shared" si="66"/>
        <v>1.6023899361526552E-4</v>
      </c>
      <c r="K1418" s="25">
        <f t="shared" si="68"/>
        <v>0.77076294755867669</v>
      </c>
      <c r="L1418" s="26" t="s">
        <v>7516</v>
      </c>
      <c r="M1418" s="28"/>
      <c r="N1418" s="28"/>
      <c r="O1418" s="20" t="s">
        <v>7530</v>
      </c>
      <c r="P1418" s="27" t="str">
        <f t="shared" si="67"/>
        <v>vermelho</v>
      </c>
    </row>
    <row r="1419" spans="1:16" ht="38.25">
      <c r="A1419" s="3" t="s">
        <v>4</v>
      </c>
      <c r="B1419" s="3" t="s">
        <v>817</v>
      </c>
      <c r="C1419" s="4">
        <v>11</v>
      </c>
      <c r="D1419" s="3" t="s">
        <v>61</v>
      </c>
      <c r="E1419" s="3" t="s">
        <v>10</v>
      </c>
      <c r="F1419" s="5">
        <v>501</v>
      </c>
      <c r="G1419" s="5">
        <v>420</v>
      </c>
      <c r="H1419" s="6">
        <v>29248.99</v>
      </c>
      <c r="I1419" s="22">
        <v>23117.22</v>
      </c>
      <c r="J1419" s="24">
        <f t="shared" si="66"/>
        <v>1.6018203623294037E-4</v>
      </c>
      <c r="K1419" s="25">
        <f t="shared" si="68"/>
        <v>0.77092312959490961</v>
      </c>
      <c r="L1419" s="26" t="s">
        <v>7516</v>
      </c>
      <c r="M1419" s="28"/>
      <c r="N1419" s="28"/>
      <c r="O1419" s="20" t="s">
        <v>7530</v>
      </c>
      <c r="P1419" s="27" t="str">
        <f t="shared" si="67"/>
        <v>vermelho</v>
      </c>
    </row>
    <row r="1420" spans="1:16" ht="38.25">
      <c r="A1420" s="3" t="s">
        <v>6215</v>
      </c>
      <c r="B1420" s="3" t="s">
        <v>6216</v>
      </c>
      <c r="C1420" s="4">
        <v>34</v>
      </c>
      <c r="D1420" s="3" t="s">
        <v>54</v>
      </c>
      <c r="E1420" s="3" t="s">
        <v>49</v>
      </c>
      <c r="F1420" s="5">
        <v>180</v>
      </c>
      <c r="G1420" s="5">
        <v>312</v>
      </c>
      <c r="H1420" s="6">
        <v>11294.16</v>
      </c>
      <c r="I1420" s="22">
        <v>23092.5</v>
      </c>
      <c r="J1420" s="24">
        <f t="shared" si="66"/>
        <v>1.6001074833864865E-4</v>
      </c>
      <c r="K1420" s="25">
        <f t="shared" si="68"/>
        <v>0.77108314034324821</v>
      </c>
      <c r="L1420" s="26" t="s">
        <v>7516</v>
      </c>
      <c r="M1420" s="28"/>
      <c r="N1420" s="28"/>
      <c r="O1420" s="20" t="s">
        <v>7530</v>
      </c>
      <c r="P1420" s="27" t="str">
        <f t="shared" si="67"/>
        <v>vermelho</v>
      </c>
    </row>
    <row r="1421" spans="1:16">
      <c r="A1421" s="3" t="s">
        <v>4</v>
      </c>
      <c r="B1421" s="3" t="s">
        <v>818</v>
      </c>
      <c r="C1421" s="4">
        <v>15</v>
      </c>
      <c r="D1421" s="3" t="s">
        <v>18</v>
      </c>
      <c r="E1421" s="3" t="s">
        <v>16</v>
      </c>
      <c r="F1421" s="5">
        <v>282</v>
      </c>
      <c r="G1421" s="5">
        <v>396</v>
      </c>
      <c r="H1421" s="6">
        <v>19869.78</v>
      </c>
      <c r="I1421" s="22">
        <v>23089.8</v>
      </c>
      <c r="J1421" s="24">
        <f t="shared" si="66"/>
        <v>1.5999203970941774E-4</v>
      </c>
      <c r="K1421" s="25">
        <f t="shared" si="68"/>
        <v>0.77124313238295761</v>
      </c>
      <c r="L1421" s="26" t="s">
        <v>7516</v>
      </c>
      <c r="M1421" s="28"/>
      <c r="N1421" s="28"/>
      <c r="O1421" s="20" t="s">
        <v>7530</v>
      </c>
      <c r="P1421" s="27" t="str">
        <f t="shared" si="67"/>
        <v>vermelho</v>
      </c>
    </row>
    <row r="1422" spans="1:16" ht="25.5">
      <c r="A1422" s="3" t="s">
        <v>4</v>
      </c>
      <c r="B1422" s="3" t="s">
        <v>819</v>
      </c>
      <c r="C1422" s="4">
        <v>187</v>
      </c>
      <c r="D1422" s="3" t="s">
        <v>96</v>
      </c>
      <c r="E1422" s="3" t="s">
        <v>7</v>
      </c>
      <c r="F1422" s="5">
        <v>234</v>
      </c>
      <c r="G1422" s="5">
        <v>342</v>
      </c>
      <c r="H1422" s="6">
        <v>15701.94</v>
      </c>
      <c r="I1422" s="22">
        <v>23075.58</v>
      </c>
      <c r="J1422" s="24">
        <f t="shared" si="66"/>
        <v>1.5989350759546841E-4</v>
      </c>
      <c r="K1422" s="25">
        <f t="shared" si="68"/>
        <v>0.7714030258905531</v>
      </c>
      <c r="L1422" s="26" t="s">
        <v>7516</v>
      </c>
      <c r="M1422" s="28"/>
      <c r="N1422" s="28"/>
      <c r="O1422" s="20" t="s">
        <v>7530</v>
      </c>
      <c r="P1422" s="27" t="str">
        <f t="shared" si="67"/>
        <v>vermelho</v>
      </c>
    </row>
    <row r="1423" spans="1:16" ht="25.5">
      <c r="A1423" s="3" t="s">
        <v>4</v>
      </c>
      <c r="B1423" s="3" t="s">
        <v>820</v>
      </c>
      <c r="C1423" s="4">
        <v>317</v>
      </c>
      <c r="D1423" s="3" t="s">
        <v>78</v>
      </c>
      <c r="E1423" s="3" t="s">
        <v>10</v>
      </c>
      <c r="F1423" s="5">
        <v>165</v>
      </c>
      <c r="G1423" s="5">
        <v>354</v>
      </c>
      <c r="H1423" s="6">
        <v>9615.93</v>
      </c>
      <c r="I1423" s="22">
        <v>23074.98</v>
      </c>
      <c r="J1423" s="24">
        <f t="shared" si="66"/>
        <v>1.5988935012230598E-4</v>
      </c>
      <c r="K1423" s="25">
        <f t="shared" si="68"/>
        <v>0.77156291524067544</v>
      </c>
      <c r="L1423" s="26" t="s">
        <v>7516</v>
      </c>
      <c r="M1423" s="28"/>
      <c r="N1423" s="28"/>
      <c r="O1423" s="20">
        <v>10665.66</v>
      </c>
      <c r="P1423" s="27" t="str">
        <f t="shared" si="67"/>
        <v>amarelo</v>
      </c>
    </row>
    <row r="1424" spans="1:16" ht="25.5">
      <c r="A1424" s="3" t="s">
        <v>4</v>
      </c>
      <c r="B1424" s="3" t="s">
        <v>821</v>
      </c>
      <c r="C1424" s="4">
        <v>315</v>
      </c>
      <c r="D1424" s="3" t="s">
        <v>63</v>
      </c>
      <c r="E1424" s="3" t="s">
        <v>7</v>
      </c>
      <c r="F1424" s="5">
        <v>360</v>
      </c>
      <c r="G1424" s="5">
        <v>396</v>
      </c>
      <c r="H1424" s="6">
        <v>20036.268</v>
      </c>
      <c r="I1424" s="22">
        <v>23068.237000000001</v>
      </c>
      <c r="J1424" s="24">
        <f t="shared" si="66"/>
        <v>1.5984262705308233E-4</v>
      </c>
      <c r="K1424" s="25">
        <f t="shared" si="68"/>
        <v>0.77172275786772848</v>
      </c>
      <c r="L1424" s="26" t="s">
        <v>7516</v>
      </c>
      <c r="M1424" s="28"/>
      <c r="N1424" s="28"/>
      <c r="O1424" s="20" t="s">
        <v>7530</v>
      </c>
      <c r="P1424" s="27" t="str">
        <f t="shared" si="67"/>
        <v>vermelho</v>
      </c>
    </row>
    <row r="1425" spans="1:16" ht="25.5">
      <c r="A1425" s="3" t="s">
        <v>4</v>
      </c>
      <c r="B1425" s="3" t="s">
        <v>822</v>
      </c>
      <c r="C1425" s="4">
        <v>261</v>
      </c>
      <c r="D1425" s="3" t="s">
        <v>9</v>
      </c>
      <c r="E1425" s="3" t="s">
        <v>10</v>
      </c>
      <c r="F1425" s="5">
        <v>0</v>
      </c>
      <c r="G1425" s="5">
        <v>396</v>
      </c>
      <c r="H1425" s="6">
        <v>0</v>
      </c>
      <c r="I1425" s="22">
        <v>23063.16</v>
      </c>
      <c r="J1425" s="24">
        <f t="shared" si="66"/>
        <v>1.5980744790100631E-4</v>
      </c>
      <c r="K1425" s="25">
        <f t="shared" si="68"/>
        <v>0.77188256531562949</v>
      </c>
      <c r="L1425" s="26" t="s">
        <v>7516</v>
      </c>
      <c r="M1425" s="28"/>
      <c r="N1425" s="28"/>
      <c r="O1425" s="20" t="s">
        <v>7530</v>
      </c>
      <c r="P1425" s="27" t="str">
        <f t="shared" si="67"/>
        <v>vermelho</v>
      </c>
    </row>
    <row r="1426" spans="1:16" ht="38.25">
      <c r="A1426" s="3" t="s">
        <v>4</v>
      </c>
      <c r="B1426" s="3" t="s">
        <v>823</v>
      </c>
      <c r="C1426" s="4">
        <v>316</v>
      </c>
      <c r="D1426" s="3" t="s">
        <v>247</v>
      </c>
      <c r="E1426" s="3" t="s">
        <v>10</v>
      </c>
      <c r="F1426" s="5">
        <v>384</v>
      </c>
      <c r="G1426" s="5">
        <v>372</v>
      </c>
      <c r="H1426" s="6">
        <v>19221.66</v>
      </c>
      <c r="I1426" s="22">
        <v>23037.599999999999</v>
      </c>
      <c r="J1426" s="24">
        <f t="shared" si="66"/>
        <v>1.5963033954428718E-4</v>
      </c>
      <c r="K1426" s="25">
        <f t="shared" si="68"/>
        <v>0.77204219565517374</v>
      </c>
      <c r="L1426" s="26" t="s">
        <v>7516</v>
      </c>
      <c r="M1426" s="28"/>
      <c r="N1426" s="28"/>
      <c r="O1426" s="20" t="s">
        <v>7530</v>
      </c>
      <c r="P1426" s="27" t="str">
        <f t="shared" si="67"/>
        <v>vermelho</v>
      </c>
    </row>
    <row r="1427" spans="1:16" ht="25.5">
      <c r="A1427" s="3" t="s">
        <v>4</v>
      </c>
      <c r="B1427" s="3" t="s">
        <v>824</v>
      </c>
      <c r="C1427" s="4">
        <v>178</v>
      </c>
      <c r="D1427" s="3" t="s">
        <v>74</v>
      </c>
      <c r="E1427" s="3" t="s">
        <v>7</v>
      </c>
      <c r="F1427" s="5">
        <v>0</v>
      </c>
      <c r="G1427" s="5">
        <v>375</v>
      </c>
      <c r="H1427" s="6">
        <v>0</v>
      </c>
      <c r="I1427" s="22">
        <v>23031.24</v>
      </c>
      <c r="J1427" s="24">
        <f t="shared" si="66"/>
        <v>1.5958627032876556E-4</v>
      </c>
      <c r="K1427" s="25">
        <f t="shared" si="68"/>
        <v>0.77220178192550248</v>
      </c>
      <c r="L1427" s="26" t="s">
        <v>7516</v>
      </c>
      <c r="M1427" s="28"/>
      <c r="N1427" s="28"/>
      <c r="O1427" s="20">
        <v>9092.2199999999993</v>
      </c>
      <c r="P1427" s="27" t="str">
        <f t="shared" si="67"/>
        <v>amarelo</v>
      </c>
    </row>
    <row r="1428" spans="1:16">
      <c r="A1428" s="3" t="s">
        <v>6217</v>
      </c>
      <c r="B1428" s="3" t="s">
        <v>6218</v>
      </c>
      <c r="C1428" s="4">
        <v>315</v>
      </c>
      <c r="D1428" s="3" t="s">
        <v>63</v>
      </c>
      <c r="E1428" s="3" t="s">
        <v>7</v>
      </c>
      <c r="F1428" s="5">
        <v>0</v>
      </c>
      <c r="G1428" s="5">
        <v>411</v>
      </c>
      <c r="H1428" s="6">
        <v>0</v>
      </c>
      <c r="I1428" s="22">
        <v>23029.940999999999</v>
      </c>
      <c r="J1428" s="24">
        <f t="shared" si="66"/>
        <v>1.5957726939936891E-4</v>
      </c>
      <c r="K1428" s="25">
        <f t="shared" si="68"/>
        <v>0.7723613591949019</v>
      </c>
      <c r="L1428" s="26" t="s">
        <v>7516</v>
      </c>
      <c r="M1428" s="28"/>
      <c r="N1428" s="28"/>
      <c r="O1428" s="20">
        <v>6947.1840000000002</v>
      </c>
      <c r="P1428" s="27" t="str">
        <f t="shared" si="67"/>
        <v>amarelo</v>
      </c>
    </row>
    <row r="1429" spans="1:16">
      <c r="A1429" s="3" t="s">
        <v>4</v>
      </c>
      <c r="B1429" s="3" t="s">
        <v>825</v>
      </c>
      <c r="C1429" s="4">
        <v>15</v>
      </c>
      <c r="D1429" s="3" t="s">
        <v>18</v>
      </c>
      <c r="E1429" s="3" t="s">
        <v>16</v>
      </c>
      <c r="F1429" s="5">
        <v>216</v>
      </c>
      <c r="G1429" s="5">
        <v>438</v>
      </c>
      <c r="H1429" s="6">
        <v>13154.64</v>
      </c>
      <c r="I1429" s="22">
        <v>23021.22</v>
      </c>
      <c r="J1429" s="24">
        <f t="shared" si="66"/>
        <v>1.5951684052695314E-4</v>
      </c>
      <c r="K1429" s="25">
        <f t="shared" si="68"/>
        <v>0.77252087603542885</v>
      </c>
      <c r="L1429" s="26" t="s">
        <v>7516</v>
      </c>
      <c r="M1429" s="28"/>
      <c r="N1429" s="28"/>
      <c r="O1429" s="20" t="s">
        <v>7530</v>
      </c>
      <c r="P1429" s="27" t="str">
        <f t="shared" si="67"/>
        <v>vermelho</v>
      </c>
    </row>
    <row r="1430" spans="1:16" ht="38.25">
      <c r="A1430" s="3" t="s">
        <v>4</v>
      </c>
      <c r="B1430" s="3" t="s">
        <v>826</v>
      </c>
      <c r="C1430" s="4">
        <v>38</v>
      </c>
      <c r="D1430" s="3" t="s">
        <v>184</v>
      </c>
      <c r="E1430" s="3" t="s">
        <v>49</v>
      </c>
      <c r="F1430" s="5">
        <v>414</v>
      </c>
      <c r="G1430" s="5">
        <v>402</v>
      </c>
      <c r="H1430" s="6">
        <v>23241.75</v>
      </c>
      <c r="I1430" s="22">
        <v>23021.1</v>
      </c>
      <c r="J1430" s="24">
        <f t="shared" si="66"/>
        <v>1.5951600903232064E-4</v>
      </c>
      <c r="K1430" s="25">
        <f t="shared" si="68"/>
        <v>0.77268039204446115</v>
      </c>
      <c r="L1430" s="26" t="s">
        <v>7516</v>
      </c>
      <c r="M1430" s="28"/>
      <c r="N1430" s="28"/>
      <c r="O1430" s="20">
        <v>14971.98</v>
      </c>
      <c r="P1430" s="27" t="str">
        <f t="shared" si="67"/>
        <v>laranja</v>
      </c>
    </row>
    <row r="1431" spans="1:16" ht="25.5">
      <c r="A1431" s="3" t="s">
        <v>4</v>
      </c>
      <c r="B1431" s="3" t="s">
        <v>827</v>
      </c>
      <c r="C1431" s="4">
        <v>337</v>
      </c>
      <c r="D1431" s="3" t="s">
        <v>202</v>
      </c>
      <c r="E1431" s="3" t="s">
        <v>16</v>
      </c>
      <c r="F1431" s="5">
        <v>0</v>
      </c>
      <c r="G1431" s="5">
        <v>396</v>
      </c>
      <c r="H1431" s="6">
        <v>0</v>
      </c>
      <c r="I1431" s="22">
        <v>23019.119999999999</v>
      </c>
      <c r="J1431" s="24">
        <f t="shared" si="66"/>
        <v>1.5950228937088465E-4</v>
      </c>
      <c r="K1431" s="25">
        <f t="shared" si="68"/>
        <v>0.77283989433383204</v>
      </c>
      <c r="L1431" s="26" t="s">
        <v>7516</v>
      </c>
      <c r="M1431" s="28"/>
      <c r="N1431" s="28"/>
      <c r="O1431" s="20" t="s">
        <v>7530</v>
      </c>
      <c r="P1431" s="27" t="str">
        <f t="shared" si="67"/>
        <v>vermelho</v>
      </c>
    </row>
    <row r="1432" spans="1:16">
      <c r="A1432" s="3" t="s">
        <v>4</v>
      </c>
      <c r="B1432" s="3" t="s">
        <v>828</v>
      </c>
      <c r="C1432" s="4">
        <v>232</v>
      </c>
      <c r="D1432" s="3" t="s">
        <v>174</v>
      </c>
      <c r="E1432" s="3" t="s">
        <v>16</v>
      </c>
      <c r="F1432" s="5">
        <v>291</v>
      </c>
      <c r="G1432" s="5">
        <v>396</v>
      </c>
      <c r="H1432" s="6">
        <v>14886.66</v>
      </c>
      <c r="I1432" s="22">
        <v>23001.401999999998</v>
      </c>
      <c r="J1432" s="24">
        <f t="shared" si="66"/>
        <v>1.5937951918839838E-4</v>
      </c>
      <c r="K1432" s="25">
        <f t="shared" si="68"/>
        <v>0.77299927385302047</v>
      </c>
      <c r="L1432" s="26" t="s">
        <v>7516</v>
      </c>
      <c r="M1432" s="28">
        <v>-0.10853473613416731</v>
      </c>
      <c r="N1432" s="28"/>
      <c r="O1432" s="20">
        <v>5943.36</v>
      </c>
      <c r="P1432" s="27" t="str">
        <f t="shared" si="67"/>
        <v>amarelo</v>
      </c>
    </row>
    <row r="1433" spans="1:16" ht="25.5">
      <c r="A1433" s="3" t="s">
        <v>4</v>
      </c>
      <c r="B1433" s="3" t="s">
        <v>830</v>
      </c>
      <c r="C1433" s="4">
        <v>178</v>
      </c>
      <c r="D1433" s="3" t="s">
        <v>74</v>
      </c>
      <c r="E1433" s="3" t="s">
        <v>7</v>
      </c>
      <c r="F1433" s="5">
        <v>0</v>
      </c>
      <c r="G1433" s="5">
        <v>384</v>
      </c>
      <c r="H1433" s="6">
        <v>0</v>
      </c>
      <c r="I1433" s="22">
        <v>22985.4</v>
      </c>
      <c r="J1433" s="24">
        <f t="shared" si="66"/>
        <v>1.5926863937915664E-4</v>
      </c>
      <c r="K1433" s="25">
        <f t="shared" si="68"/>
        <v>0.77315854249239968</v>
      </c>
      <c r="L1433" s="26" t="s">
        <v>7516</v>
      </c>
      <c r="M1433" s="28"/>
      <c r="N1433" s="28"/>
      <c r="O1433" s="20">
        <v>12346.2</v>
      </c>
      <c r="P1433" s="27" t="str">
        <f t="shared" si="67"/>
        <v>laranja</v>
      </c>
    </row>
    <row r="1434" spans="1:16" ht="38.25">
      <c r="A1434" s="3" t="s">
        <v>4</v>
      </c>
      <c r="B1434" s="3" t="s">
        <v>831</v>
      </c>
      <c r="C1434" s="4">
        <v>38</v>
      </c>
      <c r="D1434" s="3" t="s">
        <v>184</v>
      </c>
      <c r="E1434" s="3" t="s">
        <v>49</v>
      </c>
      <c r="F1434" s="5">
        <v>0</v>
      </c>
      <c r="G1434" s="5">
        <v>366</v>
      </c>
      <c r="H1434" s="6">
        <v>0</v>
      </c>
      <c r="I1434" s="22">
        <v>22983.9</v>
      </c>
      <c r="J1434" s="24">
        <f t="shared" si="66"/>
        <v>1.592582456962506E-4</v>
      </c>
      <c r="K1434" s="25">
        <f t="shared" si="68"/>
        <v>0.77331780073809597</v>
      </c>
      <c r="L1434" s="26" t="s">
        <v>7516</v>
      </c>
      <c r="M1434" s="28"/>
      <c r="N1434" s="28"/>
      <c r="O1434" s="20" t="s">
        <v>7530</v>
      </c>
      <c r="P1434" s="27" t="str">
        <f t="shared" si="67"/>
        <v>vermelho</v>
      </c>
    </row>
    <row r="1435" spans="1:16" ht="38.25">
      <c r="A1435" s="3" t="s">
        <v>6219</v>
      </c>
      <c r="B1435" s="3" t="s">
        <v>6220</v>
      </c>
      <c r="C1435" s="4">
        <v>38</v>
      </c>
      <c r="D1435" s="3" t="s">
        <v>184</v>
      </c>
      <c r="E1435" s="3" t="s">
        <v>49</v>
      </c>
      <c r="F1435" s="5">
        <v>216</v>
      </c>
      <c r="G1435" s="5">
        <v>396</v>
      </c>
      <c r="H1435" s="6">
        <v>11861.04</v>
      </c>
      <c r="I1435" s="22">
        <v>22983.84</v>
      </c>
      <c r="J1435" s="24">
        <f t="shared" si="66"/>
        <v>1.5925782994893436E-4</v>
      </c>
      <c r="K1435" s="25">
        <f t="shared" si="68"/>
        <v>0.77347705856804494</v>
      </c>
      <c r="L1435" s="26" t="s">
        <v>7516</v>
      </c>
      <c r="M1435" s="28"/>
      <c r="N1435" s="28"/>
      <c r="O1435" s="20" t="s">
        <v>7530</v>
      </c>
      <c r="P1435" s="27" t="str">
        <f t="shared" si="67"/>
        <v>vermelho</v>
      </c>
    </row>
    <row r="1436" spans="1:16" ht="25.5">
      <c r="A1436" s="3" t="s">
        <v>4</v>
      </c>
      <c r="B1436" s="3" t="s">
        <v>832</v>
      </c>
      <c r="C1436" s="4">
        <v>167</v>
      </c>
      <c r="D1436" s="3" t="s">
        <v>251</v>
      </c>
      <c r="E1436" s="3" t="s">
        <v>49</v>
      </c>
      <c r="F1436" s="5">
        <v>480</v>
      </c>
      <c r="G1436" s="5">
        <v>423</v>
      </c>
      <c r="H1436" s="6">
        <v>25049.34</v>
      </c>
      <c r="I1436" s="22">
        <v>22976.6</v>
      </c>
      <c r="J1436" s="24">
        <f t="shared" si="66"/>
        <v>1.5920766310610781E-4</v>
      </c>
      <c r="K1436" s="25">
        <f t="shared" si="68"/>
        <v>0.773636266231151</v>
      </c>
      <c r="L1436" s="26" t="s">
        <v>7516</v>
      </c>
      <c r="M1436" s="28"/>
      <c r="N1436" s="28"/>
      <c r="O1436" s="20">
        <v>12346.17</v>
      </c>
      <c r="P1436" s="27" t="str">
        <f t="shared" si="67"/>
        <v>laranja</v>
      </c>
    </row>
    <row r="1437" spans="1:16" ht="25.5">
      <c r="A1437" s="3" t="s">
        <v>6221</v>
      </c>
      <c r="B1437" s="3" t="s">
        <v>6222</v>
      </c>
      <c r="C1437" s="4">
        <v>317</v>
      </c>
      <c r="D1437" s="3" t="s">
        <v>78</v>
      </c>
      <c r="E1437" s="3" t="s">
        <v>10</v>
      </c>
      <c r="F1437" s="5">
        <v>0</v>
      </c>
      <c r="G1437" s="5">
        <v>369</v>
      </c>
      <c r="H1437" s="6">
        <v>0</v>
      </c>
      <c r="I1437" s="22">
        <v>22944.66</v>
      </c>
      <c r="J1437" s="24">
        <f t="shared" si="66"/>
        <v>1.5898634695142829E-4</v>
      </c>
      <c r="K1437" s="25">
        <f t="shared" si="68"/>
        <v>0.77379525257810244</v>
      </c>
      <c r="L1437" s="26" t="s">
        <v>7516</v>
      </c>
      <c r="M1437" s="28"/>
      <c r="N1437" s="28"/>
      <c r="O1437" s="20" t="s">
        <v>7530</v>
      </c>
      <c r="P1437" s="27" t="str">
        <f t="shared" si="67"/>
        <v>vermelho</v>
      </c>
    </row>
    <row r="1438" spans="1:16" ht="38.25">
      <c r="A1438" s="3" t="s">
        <v>4</v>
      </c>
      <c r="B1438" s="3" t="s">
        <v>833</v>
      </c>
      <c r="C1438" s="4">
        <v>335</v>
      </c>
      <c r="D1438" s="3" t="s">
        <v>36</v>
      </c>
      <c r="E1438" s="3" t="s">
        <v>7</v>
      </c>
      <c r="F1438" s="5">
        <v>0</v>
      </c>
      <c r="G1438" s="5">
        <v>375</v>
      </c>
      <c r="H1438" s="6">
        <v>0</v>
      </c>
      <c r="I1438" s="22">
        <v>22902.9</v>
      </c>
      <c r="J1438" s="24">
        <f t="shared" si="66"/>
        <v>1.5869698681932387E-4</v>
      </c>
      <c r="K1438" s="25">
        <f t="shared" si="68"/>
        <v>0.77395394956492181</v>
      </c>
      <c r="L1438" s="26" t="s">
        <v>7516</v>
      </c>
      <c r="M1438" s="28"/>
      <c r="N1438" s="28"/>
      <c r="O1438" s="20">
        <v>7190.1</v>
      </c>
      <c r="P1438" s="27" t="str">
        <f t="shared" si="67"/>
        <v>amarelo</v>
      </c>
    </row>
    <row r="1439" spans="1:16" ht="38.25">
      <c r="A1439" s="3" t="s">
        <v>6223</v>
      </c>
      <c r="B1439" s="3" t="s">
        <v>6224</v>
      </c>
      <c r="C1439" s="4">
        <v>45</v>
      </c>
      <c r="D1439" s="3" t="s">
        <v>23</v>
      </c>
      <c r="E1439" s="3" t="s">
        <v>7</v>
      </c>
      <c r="F1439" s="5">
        <v>639</v>
      </c>
      <c r="G1439" s="5">
        <v>345</v>
      </c>
      <c r="H1439" s="6">
        <v>29799.981</v>
      </c>
      <c r="I1439" s="22">
        <v>22877.55</v>
      </c>
      <c r="J1439" s="24">
        <f t="shared" si="66"/>
        <v>1.5852133357821161E-4</v>
      </c>
      <c r="K1439" s="25">
        <f t="shared" si="68"/>
        <v>0.77411247089849999</v>
      </c>
      <c r="L1439" s="26" t="s">
        <v>7516</v>
      </c>
      <c r="M1439" s="28"/>
      <c r="N1439" s="28"/>
      <c r="O1439" s="20" t="s">
        <v>7530</v>
      </c>
      <c r="P1439" s="27" t="str">
        <f t="shared" si="67"/>
        <v>vermelho</v>
      </c>
    </row>
    <row r="1440" spans="1:16" ht="25.5">
      <c r="A1440" s="3" t="s">
        <v>4</v>
      </c>
      <c r="B1440" s="3" t="s">
        <v>834</v>
      </c>
      <c r="C1440" s="4">
        <v>267</v>
      </c>
      <c r="D1440" s="3" t="s">
        <v>125</v>
      </c>
      <c r="E1440" s="3" t="s">
        <v>16</v>
      </c>
      <c r="F1440" s="5">
        <v>900</v>
      </c>
      <c r="G1440" s="5">
        <v>420</v>
      </c>
      <c r="H1440" s="6">
        <v>44453.760000000002</v>
      </c>
      <c r="I1440" s="22">
        <v>22851.119999999999</v>
      </c>
      <c r="J1440" s="24">
        <f t="shared" si="66"/>
        <v>1.5833819688540699E-4</v>
      </c>
      <c r="K1440" s="25">
        <f t="shared" si="68"/>
        <v>0.77427080909538537</v>
      </c>
      <c r="L1440" s="26" t="s">
        <v>7516</v>
      </c>
      <c r="M1440" s="28"/>
      <c r="N1440" s="28"/>
      <c r="O1440" s="20" t="s">
        <v>7530</v>
      </c>
      <c r="P1440" s="27" t="str">
        <f t="shared" si="67"/>
        <v>vermelho</v>
      </c>
    </row>
    <row r="1441" spans="1:16" ht="25.5">
      <c r="A1441" s="3" t="s">
        <v>4</v>
      </c>
      <c r="B1441" s="3" t="s">
        <v>835</v>
      </c>
      <c r="C1441" s="4">
        <v>273</v>
      </c>
      <c r="D1441" s="3" t="s">
        <v>149</v>
      </c>
      <c r="E1441" s="3" t="s">
        <v>16</v>
      </c>
      <c r="F1441" s="5">
        <v>0</v>
      </c>
      <c r="G1441" s="5">
        <v>426</v>
      </c>
      <c r="H1441" s="6">
        <v>0</v>
      </c>
      <c r="I1441" s="22">
        <v>22848.66</v>
      </c>
      <c r="J1441" s="24">
        <f t="shared" si="66"/>
        <v>1.5832115124544106E-4</v>
      </c>
      <c r="K1441" s="25">
        <f t="shared" si="68"/>
        <v>0.77442913024663085</v>
      </c>
      <c r="L1441" s="26" t="s">
        <v>7516</v>
      </c>
      <c r="M1441" s="28"/>
      <c r="N1441" s="28"/>
      <c r="O1441" s="20" t="s">
        <v>7530</v>
      </c>
      <c r="P1441" s="27" t="str">
        <f t="shared" si="67"/>
        <v>vermelho</v>
      </c>
    </row>
    <row r="1442" spans="1:16" ht="25.5">
      <c r="A1442" s="3" t="s">
        <v>4</v>
      </c>
      <c r="B1442" s="3" t="s">
        <v>836</v>
      </c>
      <c r="C1442" s="4">
        <v>261</v>
      </c>
      <c r="D1442" s="3" t="s">
        <v>9</v>
      </c>
      <c r="E1442" s="3" t="s">
        <v>10</v>
      </c>
      <c r="F1442" s="5">
        <v>324</v>
      </c>
      <c r="G1442" s="5">
        <v>384</v>
      </c>
      <c r="H1442" s="6">
        <v>19364.64</v>
      </c>
      <c r="I1442" s="22">
        <v>22778.58</v>
      </c>
      <c r="J1442" s="24">
        <f t="shared" si="66"/>
        <v>1.5783555838007039E-4</v>
      </c>
      <c r="K1442" s="25">
        <f t="shared" si="68"/>
        <v>0.77458696580501096</v>
      </c>
      <c r="L1442" s="26" t="s">
        <v>7516</v>
      </c>
      <c r="M1442" s="28"/>
      <c r="N1442" s="28"/>
      <c r="O1442" s="20" t="s">
        <v>7530</v>
      </c>
      <c r="P1442" s="27" t="str">
        <f t="shared" si="67"/>
        <v>vermelho</v>
      </c>
    </row>
    <row r="1443" spans="1:16" ht="25.5">
      <c r="A1443" s="3" t="s">
        <v>4</v>
      </c>
      <c r="B1443" s="3" t="s">
        <v>837</v>
      </c>
      <c r="C1443" s="4">
        <v>297</v>
      </c>
      <c r="D1443" s="3" t="s">
        <v>115</v>
      </c>
      <c r="E1443" s="3" t="s">
        <v>41</v>
      </c>
      <c r="F1443" s="5">
        <v>585</v>
      </c>
      <c r="G1443" s="5">
        <v>387</v>
      </c>
      <c r="H1443" s="6">
        <v>32034.345000000001</v>
      </c>
      <c r="I1443" s="22">
        <v>22754.405999999999</v>
      </c>
      <c r="J1443" s="24">
        <f t="shared" si="66"/>
        <v>1.5766805378635647E-4</v>
      </c>
      <c r="K1443" s="25">
        <f t="shared" si="68"/>
        <v>0.77474463385879733</v>
      </c>
      <c r="L1443" s="26" t="s">
        <v>7516</v>
      </c>
      <c r="M1443" s="28"/>
      <c r="N1443" s="28"/>
      <c r="O1443" s="20">
        <v>16719.523000000001</v>
      </c>
      <c r="P1443" s="27" t="str">
        <f t="shared" si="67"/>
        <v>laranja</v>
      </c>
    </row>
    <row r="1444" spans="1:16" ht="25.5">
      <c r="A1444" s="3" t="s">
        <v>4</v>
      </c>
      <c r="B1444" s="3" t="s">
        <v>838</v>
      </c>
      <c r="C1444" s="4">
        <v>218</v>
      </c>
      <c r="D1444" s="3" t="s">
        <v>104</v>
      </c>
      <c r="E1444" s="3" t="s">
        <v>16</v>
      </c>
      <c r="F1444" s="5">
        <v>165</v>
      </c>
      <c r="G1444" s="5">
        <v>384</v>
      </c>
      <c r="H1444" s="6">
        <v>9703.35</v>
      </c>
      <c r="I1444" s="22">
        <v>22743.78</v>
      </c>
      <c r="J1444" s="24">
        <f t="shared" si="66"/>
        <v>1.5759442493665002E-4</v>
      </c>
      <c r="K1444" s="25">
        <f t="shared" si="68"/>
        <v>0.77490222828373401</v>
      </c>
      <c r="L1444" s="26" t="s">
        <v>7516</v>
      </c>
      <c r="M1444" s="28"/>
      <c r="N1444" s="28"/>
      <c r="O1444" s="20">
        <v>3089.16</v>
      </c>
      <c r="P1444" s="27" t="str">
        <f t="shared" si="67"/>
        <v>amarelo</v>
      </c>
    </row>
    <row r="1445" spans="1:16" ht="25.5">
      <c r="A1445" s="3" t="s">
        <v>4</v>
      </c>
      <c r="B1445" s="3" t="s">
        <v>839</v>
      </c>
      <c r="C1445" s="4">
        <v>93</v>
      </c>
      <c r="D1445" s="3" t="s">
        <v>20</v>
      </c>
      <c r="E1445" s="3" t="s">
        <v>7</v>
      </c>
      <c r="F1445" s="5">
        <v>0</v>
      </c>
      <c r="G1445" s="5">
        <v>444</v>
      </c>
      <c r="H1445" s="6">
        <v>0</v>
      </c>
      <c r="I1445" s="22">
        <v>22743.72</v>
      </c>
      <c r="J1445" s="24">
        <f t="shared" si="66"/>
        <v>1.5759400918933378E-4</v>
      </c>
      <c r="K1445" s="25">
        <f t="shared" si="68"/>
        <v>0.77505982229292336</v>
      </c>
      <c r="L1445" s="26" t="s">
        <v>7516</v>
      </c>
      <c r="M1445" s="28"/>
      <c r="N1445" s="28"/>
      <c r="O1445" s="20" t="s">
        <v>7530</v>
      </c>
      <c r="P1445" s="27" t="str">
        <f t="shared" si="67"/>
        <v>vermelho</v>
      </c>
    </row>
    <row r="1446" spans="1:16">
      <c r="A1446" s="3" t="s">
        <v>4</v>
      </c>
      <c r="B1446" s="3" t="s">
        <v>840</v>
      </c>
      <c r="C1446" s="4">
        <v>231</v>
      </c>
      <c r="D1446" s="3" t="s">
        <v>52</v>
      </c>
      <c r="E1446" s="3" t="s">
        <v>7</v>
      </c>
      <c r="F1446" s="5">
        <v>306</v>
      </c>
      <c r="G1446" s="5">
        <v>375</v>
      </c>
      <c r="H1446" s="6">
        <v>17453.64</v>
      </c>
      <c r="I1446" s="22">
        <v>22742.91</v>
      </c>
      <c r="J1446" s="24">
        <f t="shared" si="66"/>
        <v>1.5758839660056449E-4</v>
      </c>
      <c r="K1446" s="25">
        <f t="shared" si="68"/>
        <v>0.77521741068952388</v>
      </c>
      <c r="L1446" s="26" t="s">
        <v>7516</v>
      </c>
      <c r="M1446" s="28"/>
      <c r="N1446" s="28"/>
      <c r="O1446" s="20" t="s">
        <v>7530</v>
      </c>
      <c r="P1446" s="27" t="str">
        <f t="shared" si="67"/>
        <v>vermelho</v>
      </c>
    </row>
    <row r="1447" spans="1:16" ht="25.5">
      <c r="A1447" s="3" t="s">
        <v>4</v>
      </c>
      <c r="B1447" s="3" t="s">
        <v>841</v>
      </c>
      <c r="C1447" s="4">
        <v>19</v>
      </c>
      <c r="D1447" s="3" t="s">
        <v>72</v>
      </c>
      <c r="E1447" s="3" t="s">
        <v>41</v>
      </c>
      <c r="F1447" s="5">
        <v>0</v>
      </c>
      <c r="G1447" s="5">
        <v>351</v>
      </c>
      <c r="H1447" s="6">
        <v>0</v>
      </c>
      <c r="I1447" s="22">
        <v>22723.5</v>
      </c>
      <c r="J1447" s="24">
        <f t="shared" si="66"/>
        <v>1.574539023437602E-4</v>
      </c>
      <c r="K1447" s="25">
        <f t="shared" si="68"/>
        <v>0.77537486459186766</v>
      </c>
      <c r="L1447" s="26" t="s">
        <v>7516</v>
      </c>
      <c r="M1447" s="28"/>
      <c r="N1447" s="28"/>
      <c r="O1447" s="20" t="s">
        <v>7530</v>
      </c>
      <c r="P1447" s="27" t="str">
        <f t="shared" si="67"/>
        <v>vermelho</v>
      </c>
    </row>
    <row r="1448" spans="1:16" ht="25.5">
      <c r="A1448" s="3" t="s">
        <v>6225</v>
      </c>
      <c r="B1448" s="3" t="s">
        <v>6226</v>
      </c>
      <c r="C1448" s="4">
        <v>197</v>
      </c>
      <c r="D1448" s="3" t="s">
        <v>66</v>
      </c>
      <c r="E1448" s="3" t="s">
        <v>41</v>
      </c>
      <c r="F1448" s="5">
        <v>540</v>
      </c>
      <c r="G1448" s="5">
        <v>441</v>
      </c>
      <c r="H1448" s="6">
        <v>30587.397000000001</v>
      </c>
      <c r="I1448" s="22">
        <v>22689.94</v>
      </c>
      <c r="J1448" s="24">
        <f t="shared" si="66"/>
        <v>1.5722136101154217E-4</v>
      </c>
      <c r="K1448" s="25">
        <f t="shared" si="68"/>
        <v>0.77553208595287926</v>
      </c>
      <c r="L1448" s="26" t="s">
        <v>7516</v>
      </c>
      <c r="M1448" s="28"/>
      <c r="N1448" s="28"/>
      <c r="O1448" s="20" t="s">
        <v>7530</v>
      </c>
      <c r="P1448" s="27" t="str">
        <f t="shared" si="67"/>
        <v>vermelho</v>
      </c>
    </row>
    <row r="1449" spans="1:16">
      <c r="A1449" s="3" t="s">
        <v>6227</v>
      </c>
      <c r="B1449" s="3" t="s">
        <v>6228</v>
      </c>
      <c r="C1449" s="4">
        <v>240</v>
      </c>
      <c r="D1449" s="3" t="s">
        <v>69</v>
      </c>
      <c r="E1449" s="3" t="s">
        <v>16</v>
      </c>
      <c r="F1449" s="5">
        <v>168</v>
      </c>
      <c r="G1449" s="5">
        <v>360</v>
      </c>
      <c r="H1449" s="6">
        <v>11003.76</v>
      </c>
      <c r="I1449" s="22">
        <v>22684.14</v>
      </c>
      <c r="J1449" s="24">
        <f t="shared" si="66"/>
        <v>1.5718117210430544E-4</v>
      </c>
      <c r="K1449" s="25">
        <f t="shared" si="68"/>
        <v>0.77568926712498354</v>
      </c>
      <c r="L1449" s="26" t="s">
        <v>7516</v>
      </c>
      <c r="M1449" s="28"/>
      <c r="N1449" s="28"/>
      <c r="O1449" s="20">
        <v>5324.28</v>
      </c>
      <c r="P1449" s="27" t="str">
        <f t="shared" si="67"/>
        <v>amarelo</v>
      </c>
    </row>
    <row r="1450" spans="1:16" ht="25.5">
      <c r="A1450" s="3" t="s">
        <v>6229</v>
      </c>
      <c r="B1450" s="3" t="s">
        <v>6230</v>
      </c>
      <c r="C1450" s="4">
        <v>261</v>
      </c>
      <c r="D1450" s="3" t="s">
        <v>9</v>
      </c>
      <c r="E1450" s="3" t="s">
        <v>10</v>
      </c>
      <c r="F1450" s="5">
        <v>792</v>
      </c>
      <c r="G1450" s="5">
        <v>402</v>
      </c>
      <c r="H1450" s="6">
        <v>45363.9</v>
      </c>
      <c r="I1450" s="22">
        <v>22627.62</v>
      </c>
      <c r="J1450" s="24">
        <f t="shared" si="66"/>
        <v>1.5678953813240545E-4</v>
      </c>
      <c r="K1450" s="25">
        <f t="shared" si="68"/>
        <v>0.7758460566631159</v>
      </c>
      <c r="L1450" s="26" t="s">
        <v>7516</v>
      </c>
      <c r="M1450" s="28"/>
      <c r="N1450" s="28"/>
      <c r="O1450" s="20" t="s">
        <v>7530</v>
      </c>
      <c r="P1450" s="27" t="str">
        <f t="shared" si="67"/>
        <v>vermelho</v>
      </c>
    </row>
    <row r="1451" spans="1:16" ht="25.5">
      <c r="A1451" s="3" t="s">
        <v>4</v>
      </c>
      <c r="B1451" s="3" t="s">
        <v>842</v>
      </c>
      <c r="C1451" s="4">
        <v>270</v>
      </c>
      <c r="D1451" s="3" t="s">
        <v>266</v>
      </c>
      <c r="E1451" s="3" t="s">
        <v>49</v>
      </c>
      <c r="F1451" s="5">
        <v>0</v>
      </c>
      <c r="G1451" s="5">
        <v>381</v>
      </c>
      <c r="H1451" s="6">
        <v>0</v>
      </c>
      <c r="I1451" s="22">
        <v>22625.73</v>
      </c>
      <c r="J1451" s="24">
        <f t="shared" si="66"/>
        <v>1.5677644209194383E-4</v>
      </c>
      <c r="K1451" s="25">
        <f t="shared" si="68"/>
        <v>0.7760028331052079</v>
      </c>
      <c r="L1451" s="26" t="s">
        <v>7516</v>
      </c>
      <c r="M1451" s="28"/>
      <c r="N1451" s="28"/>
      <c r="O1451" s="20">
        <v>23137.439999999999</v>
      </c>
      <c r="P1451" s="27" t="str">
        <f t="shared" si="67"/>
        <v>verde</v>
      </c>
    </row>
    <row r="1452" spans="1:16" ht="25.5">
      <c r="A1452" s="3" t="s">
        <v>4</v>
      </c>
      <c r="B1452" s="3" t="s">
        <v>843</v>
      </c>
      <c r="C1452" s="4">
        <v>218</v>
      </c>
      <c r="D1452" s="3" t="s">
        <v>104</v>
      </c>
      <c r="E1452" s="3" t="s">
        <v>16</v>
      </c>
      <c r="F1452" s="5">
        <v>159</v>
      </c>
      <c r="G1452" s="5">
        <v>396</v>
      </c>
      <c r="H1452" s="6">
        <v>9461.3700000000008</v>
      </c>
      <c r="I1452" s="22">
        <v>22623.48</v>
      </c>
      <c r="J1452" s="24">
        <f t="shared" si="66"/>
        <v>1.5676085156758474E-4</v>
      </c>
      <c r="K1452" s="25">
        <f t="shared" si="68"/>
        <v>0.77615959395677547</v>
      </c>
      <c r="L1452" s="26" t="s">
        <v>7516</v>
      </c>
      <c r="M1452" s="28">
        <v>2.0916334989984586E-2</v>
      </c>
      <c r="N1452" s="28"/>
      <c r="O1452" s="20">
        <v>8136.24</v>
      </c>
      <c r="P1452" s="27" t="str">
        <f t="shared" si="67"/>
        <v>amarelo</v>
      </c>
    </row>
    <row r="1453" spans="1:16" ht="25.5">
      <c r="A1453" s="3" t="s">
        <v>4</v>
      </c>
      <c r="B1453" s="3" t="s">
        <v>844</v>
      </c>
      <c r="C1453" s="4">
        <v>327</v>
      </c>
      <c r="D1453" s="3" t="s">
        <v>100</v>
      </c>
      <c r="E1453" s="3" t="s">
        <v>7</v>
      </c>
      <c r="F1453" s="5">
        <v>105</v>
      </c>
      <c r="G1453" s="5">
        <v>348</v>
      </c>
      <c r="H1453" s="6">
        <v>6055.95</v>
      </c>
      <c r="I1453" s="22">
        <v>22598.67</v>
      </c>
      <c r="J1453" s="24">
        <f t="shared" si="66"/>
        <v>1.5658894005231866E-4</v>
      </c>
      <c r="K1453" s="25">
        <f t="shared" si="68"/>
        <v>0.7763161828968278</v>
      </c>
      <c r="L1453" s="26" t="s">
        <v>7516</v>
      </c>
      <c r="M1453" s="28"/>
      <c r="N1453" s="28"/>
      <c r="O1453" s="20">
        <v>7202.7</v>
      </c>
      <c r="P1453" s="27" t="str">
        <f t="shared" si="67"/>
        <v>amarelo</v>
      </c>
    </row>
    <row r="1454" spans="1:16" ht="38.25">
      <c r="A1454" s="3" t="s">
        <v>4</v>
      </c>
      <c r="B1454" s="3" t="s">
        <v>845</v>
      </c>
      <c r="C1454" s="4">
        <v>38</v>
      </c>
      <c r="D1454" s="3" t="s">
        <v>184</v>
      </c>
      <c r="E1454" s="3" t="s">
        <v>49</v>
      </c>
      <c r="F1454" s="5">
        <v>699</v>
      </c>
      <c r="G1454" s="5">
        <v>336</v>
      </c>
      <c r="H1454" s="6">
        <v>36546.093000000001</v>
      </c>
      <c r="I1454" s="22">
        <v>22594.560000000001</v>
      </c>
      <c r="J1454" s="24">
        <f t="shared" si="66"/>
        <v>1.565604613611561E-4</v>
      </c>
      <c r="K1454" s="25">
        <f t="shared" si="68"/>
        <v>0.77647274335818894</v>
      </c>
      <c r="L1454" s="26" t="s">
        <v>7516</v>
      </c>
      <c r="M1454" s="28"/>
      <c r="N1454" s="28"/>
      <c r="O1454" s="20">
        <v>16457.939999999999</v>
      </c>
      <c r="P1454" s="27" t="str">
        <f t="shared" si="67"/>
        <v>laranja</v>
      </c>
    </row>
    <row r="1455" spans="1:16" ht="25.5">
      <c r="A1455" s="3" t="s">
        <v>6231</v>
      </c>
      <c r="B1455" s="3" t="s">
        <v>6232</v>
      </c>
      <c r="C1455" s="4">
        <v>270</v>
      </c>
      <c r="D1455" s="3" t="s">
        <v>266</v>
      </c>
      <c r="E1455" s="3" t="s">
        <v>49</v>
      </c>
      <c r="F1455" s="5">
        <v>768</v>
      </c>
      <c r="G1455" s="5">
        <v>357</v>
      </c>
      <c r="H1455" s="6">
        <v>43672.32</v>
      </c>
      <c r="I1455" s="22">
        <v>22583.79</v>
      </c>
      <c r="J1455" s="24">
        <f t="shared" si="66"/>
        <v>1.5648583471789066E-4</v>
      </c>
      <c r="K1455" s="25">
        <f t="shared" si="68"/>
        <v>0.77662922919290689</v>
      </c>
      <c r="L1455" s="26" t="s">
        <v>7516</v>
      </c>
      <c r="M1455" s="28"/>
      <c r="N1455" s="28"/>
      <c r="O1455" s="20" t="s">
        <v>7530</v>
      </c>
      <c r="P1455" s="27" t="str">
        <f t="shared" si="67"/>
        <v>vermelho</v>
      </c>
    </row>
    <row r="1456" spans="1:16" ht="38.25">
      <c r="A1456" s="3" t="s">
        <v>4</v>
      </c>
      <c r="B1456" s="3" t="s">
        <v>846</v>
      </c>
      <c r="C1456" s="4">
        <v>292</v>
      </c>
      <c r="D1456" s="3" t="s">
        <v>57</v>
      </c>
      <c r="E1456" s="3" t="s">
        <v>49</v>
      </c>
      <c r="F1456" s="5">
        <v>150</v>
      </c>
      <c r="G1456" s="5">
        <v>420</v>
      </c>
      <c r="H1456" s="6">
        <v>9094.9680000000008</v>
      </c>
      <c r="I1456" s="22">
        <v>22572.959999999999</v>
      </c>
      <c r="J1456" s="24">
        <f t="shared" si="66"/>
        <v>1.5641079232730896E-4</v>
      </c>
      <c r="K1456" s="25">
        <f t="shared" si="68"/>
        <v>0.7767856399852342</v>
      </c>
      <c r="L1456" s="26" t="s">
        <v>7516</v>
      </c>
      <c r="M1456" s="28"/>
      <c r="N1456" s="28"/>
      <c r="O1456" s="20">
        <v>4602.24</v>
      </c>
      <c r="P1456" s="27" t="str">
        <f t="shared" si="67"/>
        <v>amarelo</v>
      </c>
    </row>
    <row r="1457" spans="1:16" ht="25.5">
      <c r="A1457" s="3" t="s">
        <v>6233</v>
      </c>
      <c r="B1457" s="3" t="s">
        <v>6234</v>
      </c>
      <c r="C1457" s="4">
        <v>53</v>
      </c>
      <c r="D1457" s="3" t="s">
        <v>34</v>
      </c>
      <c r="E1457" s="3" t="s">
        <v>16</v>
      </c>
      <c r="F1457" s="5">
        <v>0</v>
      </c>
      <c r="G1457" s="5">
        <v>408</v>
      </c>
      <c r="H1457" s="6">
        <v>0</v>
      </c>
      <c r="I1457" s="22">
        <v>22507.8</v>
      </c>
      <c r="J1457" s="24">
        <f t="shared" si="66"/>
        <v>1.5595929074187014E-4</v>
      </c>
      <c r="K1457" s="25">
        <f t="shared" si="68"/>
        <v>0.77694159927597606</v>
      </c>
      <c r="L1457" s="26" t="s">
        <v>7516</v>
      </c>
      <c r="M1457" s="28"/>
      <c r="N1457" s="28"/>
      <c r="O1457" s="20" t="s">
        <v>7530</v>
      </c>
      <c r="P1457" s="27" t="str">
        <f t="shared" si="67"/>
        <v>vermelho</v>
      </c>
    </row>
    <row r="1458" spans="1:16" ht="25.5">
      <c r="A1458" s="3" t="s">
        <v>4</v>
      </c>
      <c r="B1458" s="3" t="s">
        <v>847</v>
      </c>
      <c r="C1458" s="4">
        <v>299</v>
      </c>
      <c r="D1458" s="3" t="s">
        <v>111</v>
      </c>
      <c r="E1458" s="3" t="s">
        <v>49</v>
      </c>
      <c r="F1458" s="5">
        <v>372</v>
      </c>
      <c r="G1458" s="5">
        <v>411</v>
      </c>
      <c r="H1458" s="6">
        <v>20739.18</v>
      </c>
      <c r="I1458" s="22">
        <v>22484.73</v>
      </c>
      <c r="J1458" s="24">
        <f t="shared" si="66"/>
        <v>1.5579943589877509E-4</v>
      </c>
      <c r="K1458" s="25">
        <f t="shared" si="68"/>
        <v>0.77709739871187489</v>
      </c>
      <c r="L1458" s="26" t="s">
        <v>7516</v>
      </c>
      <c r="M1458" s="28">
        <v>-4.1244980209002816E-2</v>
      </c>
      <c r="N1458" s="28"/>
      <c r="O1458" s="20">
        <v>9572.4599999999991</v>
      </c>
      <c r="P1458" s="27" t="str">
        <f t="shared" si="67"/>
        <v>amarelo</v>
      </c>
    </row>
    <row r="1459" spans="1:16" ht="25.5">
      <c r="A1459" s="3" t="s">
        <v>6235</v>
      </c>
      <c r="B1459" s="3" t="s">
        <v>6236</v>
      </c>
      <c r="C1459" s="4">
        <v>197</v>
      </c>
      <c r="D1459" s="3" t="s">
        <v>66</v>
      </c>
      <c r="E1459" s="3" t="s">
        <v>41</v>
      </c>
      <c r="F1459" s="5">
        <v>183</v>
      </c>
      <c r="G1459" s="5">
        <v>375</v>
      </c>
      <c r="H1459" s="6">
        <v>11140.41</v>
      </c>
      <c r="I1459" s="22">
        <v>22443</v>
      </c>
      <c r="J1459" s="24">
        <f t="shared" si="66"/>
        <v>1.5551028364032876E-4</v>
      </c>
      <c r="K1459" s="25">
        <f t="shared" si="68"/>
        <v>0.77725290899551525</v>
      </c>
      <c r="L1459" s="26" t="s">
        <v>7516</v>
      </c>
      <c r="M1459" s="28"/>
      <c r="N1459" s="28"/>
      <c r="O1459" s="20">
        <v>8897.0400000000009</v>
      </c>
      <c r="P1459" s="27" t="str">
        <f t="shared" si="67"/>
        <v>amarelo</v>
      </c>
    </row>
    <row r="1460" spans="1:16" ht="38.25">
      <c r="A1460" s="3" t="s">
        <v>6237</v>
      </c>
      <c r="B1460" s="3" t="s">
        <v>6238</v>
      </c>
      <c r="C1460" s="4">
        <v>143</v>
      </c>
      <c r="D1460" s="3" t="s">
        <v>44</v>
      </c>
      <c r="E1460" s="3" t="s">
        <v>41</v>
      </c>
      <c r="F1460" s="5">
        <v>0</v>
      </c>
      <c r="G1460" s="5">
        <v>336</v>
      </c>
      <c r="H1460" s="6">
        <v>0</v>
      </c>
      <c r="I1460" s="22">
        <v>22424.16</v>
      </c>
      <c r="J1460" s="24">
        <f t="shared" si="66"/>
        <v>1.5537973898302875E-4</v>
      </c>
      <c r="K1460" s="25">
        <f t="shared" si="68"/>
        <v>0.7774082887344983</v>
      </c>
      <c r="L1460" s="26" t="s">
        <v>7516</v>
      </c>
      <c r="M1460" s="28"/>
      <c r="N1460" s="28"/>
      <c r="O1460" s="20" t="s">
        <v>7530</v>
      </c>
      <c r="P1460" s="27" t="str">
        <f t="shared" si="67"/>
        <v>vermelho</v>
      </c>
    </row>
    <row r="1461" spans="1:16" ht="25.5">
      <c r="A1461" s="3" t="s">
        <v>4</v>
      </c>
      <c r="B1461" s="3" t="s">
        <v>848</v>
      </c>
      <c r="C1461" s="4">
        <v>297</v>
      </c>
      <c r="D1461" s="3" t="s">
        <v>115</v>
      </c>
      <c r="E1461" s="3" t="s">
        <v>41</v>
      </c>
      <c r="F1461" s="5">
        <v>375</v>
      </c>
      <c r="G1461" s="5">
        <v>342</v>
      </c>
      <c r="H1461" s="6">
        <v>21747.152999999998</v>
      </c>
      <c r="I1461" s="22">
        <v>22411.57</v>
      </c>
      <c r="J1461" s="24">
        <f t="shared" si="66"/>
        <v>1.5529250133783731E-4</v>
      </c>
      <c r="K1461" s="25">
        <f t="shared" si="68"/>
        <v>0.77756358123583613</v>
      </c>
      <c r="L1461" s="26" t="s">
        <v>7516</v>
      </c>
      <c r="M1461" s="28"/>
      <c r="N1461" s="28"/>
      <c r="O1461" s="20" t="s">
        <v>7530</v>
      </c>
      <c r="P1461" s="27" t="str">
        <f t="shared" si="67"/>
        <v>vermelho</v>
      </c>
    </row>
    <row r="1462" spans="1:16" ht="25.5">
      <c r="A1462" s="3" t="s">
        <v>4</v>
      </c>
      <c r="B1462" s="3" t="s">
        <v>849</v>
      </c>
      <c r="C1462" s="4">
        <v>317</v>
      </c>
      <c r="D1462" s="3" t="s">
        <v>78</v>
      </c>
      <c r="E1462" s="3" t="s">
        <v>10</v>
      </c>
      <c r="F1462" s="5">
        <v>240</v>
      </c>
      <c r="G1462" s="5">
        <v>333</v>
      </c>
      <c r="H1462" s="6">
        <v>12612.09</v>
      </c>
      <c r="I1462" s="22">
        <v>22411.35</v>
      </c>
      <c r="J1462" s="24">
        <f t="shared" si="66"/>
        <v>1.5529097693101106E-4</v>
      </c>
      <c r="K1462" s="25">
        <f t="shared" si="68"/>
        <v>0.77771887221276714</v>
      </c>
      <c r="L1462" s="26" t="s">
        <v>7516</v>
      </c>
      <c r="M1462" s="28"/>
      <c r="N1462" s="28"/>
      <c r="O1462" s="20" t="s">
        <v>7530</v>
      </c>
      <c r="P1462" s="27" t="str">
        <f t="shared" si="67"/>
        <v>vermelho</v>
      </c>
    </row>
    <row r="1463" spans="1:16" ht="25.5">
      <c r="A1463" s="3" t="s">
        <v>4</v>
      </c>
      <c r="B1463" s="3" t="s">
        <v>850</v>
      </c>
      <c r="C1463" s="4">
        <v>232</v>
      </c>
      <c r="D1463" s="3" t="s">
        <v>174</v>
      </c>
      <c r="E1463" s="3" t="s">
        <v>16</v>
      </c>
      <c r="F1463" s="5">
        <v>0</v>
      </c>
      <c r="G1463" s="5">
        <v>444</v>
      </c>
      <c r="H1463" s="6">
        <v>0</v>
      </c>
      <c r="I1463" s="22">
        <v>22411.08</v>
      </c>
      <c r="J1463" s="24">
        <f t="shared" si="66"/>
        <v>1.5528910606808801E-4</v>
      </c>
      <c r="K1463" s="25">
        <f t="shared" si="68"/>
        <v>0.77787416131883524</v>
      </c>
      <c r="L1463" s="26" t="s">
        <v>7516</v>
      </c>
      <c r="M1463" s="28">
        <v>-1.3250853873104725E-3</v>
      </c>
      <c r="N1463" s="28"/>
      <c r="O1463" s="20">
        <v>5537.16</v>
      </c>
      <c r="P1463" s="27" t="str">
        <f t="shared" si="67"/>
        <v>amarelo</v>
      </c>
    </row>
    <row r="1464" spans="1:16">
      <c r="A1464" s="3" t="s">
        <v>4</v>
      </c>
      <c r="B1464" s="3" t="s">
        <v>851</v>
      </c>
      <c r="C1464" s="4">
        <v>232</v>
      </c>
      <c r="D1464" s="3" t="s">
        <v>174</v>
      </c>
      <c r="E1464" s="3" t="s">
        <v>16</v>
      </c>
      <c r="F1464" s="5">
        <v>228</v>
      </c>
      <c r="G1464" s="5">
        <v>444</v>
      </c>
      <c r="H1464" s="6">
        <v>10529.88</v>
      </c>
      <c r="I1464" s="22">
        <v>22411.08</v>
      </c>
      <c r="J1464" s="24">
        <f t="shared" si="66"/>
        <v>1.5528910606808801E-4</v>
      </c>
      <c r="K1464" s="25">
        <f t="shared" si="68"/>
        <v>0.77802945042490335</v>
      </c>
      <c r="L1464" s="26" t="s">
        <v>7516</v>
      </c>
      <c r="M1464" s="28">
        <v>3.2487668402743773E-2</v>
      </c>
      <c r="N1464" s="28"/>
      <c r="O1464" s="20">
        <v>5537.16</v>
      </c>
      <c r="P1464" s="27" t="str">
        <f t="shared" si="67"/>
        <v>amarelo</v>
      </c>
    </row>
    <row r="1465" spans="1:16">
      <c r="A1465" s="3" t="s">
        <v>6239</v>
      </c>
      <c r="B1465" s="3" t="s">
        <v>6240</v>
      </c>
      <c r="C1465" s="4">
        <v>315</v>
      </c>
      <c r="D1465" s="3" t="s">
        <v>63</v>
      </c>
      <c r="E1465" s="3" t="s">
        <v>7</v>
      </c>
      <c r="F1465" s="5">
        <v>0</v>
      </c>
      <c r="G1465" s="5">
        <v>372</v>
      </c>
      <c r="H1465" s="6">
        <v>0</v>
      </c>
      <c r="I1465" s="22">
        <v>22372.120999999999</v>
      </c>
      <c r="J1465" s="24">
        <f t="shared" si="66"/>
        <v>1.550191544065301E-4</v>
      </c>
      <c r="K1465" s="25">
        <f t="shared" si="68"/>
        <v>0.77818446957930987</v>
      </c>
      <c r="L1465" s="26" t="s">
        <v>7516</v>
      </c>
      <c r="M1465" s="28"/>
      <c r="N1465" s="28"/>
      <c r="O1465" s="20">
        <v>5551.2</v>
      </c>
      <c r="P1465" s="27" t="str">
        <f t="shared" si="67"/>
        <v>amarelo</v>
      </c>
    </row>
    <row r="1466" spans="1:16" ht="25.5">
      <c r="A1466" s="3" t="s">
        <v>4</v>
      </c>
      <c r="B1466" s="3" t="s">
        <v>852</v>
      </c>
      <c r="C1466" s="4">
        <v>178</v>
      </c>
      <c r="D1466" s="3" t="s">
        <v>74</v>
      </c>
      <c r="E1466" s="3" t="s">
        <v>7</v>
      </c>
      <c r="F1466" s="5">
        <v>228</v>
      </c>
      <c r="G1466" s="5">
        <v>354</v>
      </c>
      <c r="H1466" s="6">
        <v>12326.67</v>
      </c>
      <c r="I1466" s="22">
        <v>22361.73</v>
      </c>
      <c r="J1466" s="24">
        <f t="shared" si="66"/>
        <v>1.5494715390047893E-4</v>
      </c>
      <c r="K1466" s="25">
        <f t="shared" si="68"/>
        <v>0.77833941673321039</v>
      </c>
      <c r="L1466" s="26" t="s">
        <v>7516</v>
      </c>
      <c r="M1466" s="28">
        <v>-3.5445610867386866E-2</v>
      </c>
      <c r="N1466" s="28"/>
      <c r="O1466" s="20">
        <v>11438.52</v>
      </c>
      <c r="P1466" s="27" t="str">
        <f t="shared" si="67"/>
        <v>laranja</v>
      </c>
    </row>
    <row r="1467" spans="1:16" ht="25.5">
      <c r="A1467" s="3" t="s">
        <v>4</v>
      </c>
      <c r="B1467" s="3" t="s">
        <v>853</v>
      </c>
      <c r="C1467" s="4">
        <v>53</v>
      </c>
      <c r="D1467" s="3" t="s">
        <v>34</v>
      </c>
      <c r="E1467" s="3" t="s">
        <v>16</v>
      </c>
      <c r="F1467" s="5">
        <v>303</v>
      </c>
      <c r="G1467" s="5">
        <v>372</v>
      </c>
      <c r="H1467" s="6">
        <v>18230.97</v>
      </c>
      <c r="I1467" s="22">
        <v>22356.9</v>
      </c>
      <c r="J1467" s="24">
        <f t="shared" si="66"/>
        <v>1.5491368624152147E-4</v>
      </c>
      <c r="K1467" s="25">
        <f t="shared" si="68"/>
        <v>0.77849433041945193</v>
      </c>
      <c r="L1467" s="26" t="s">
        <v>7516</v>
      </c>
      <c r="M1467" s="28"/>
      <c r="N1467" s="28"/>
      <c r="O1467" s="20" t="s">
        <v>7530</v>
      </c>
      <c r="P1467" s="27" t="str">
        <f t="shared" si="67"/>
        <v>vermelho</v>
      </c>
    </row>
    <row r="1468" spans="1:16" ht="25.5">
      <c r="A1468" s="3" t="s">
        <v>4</v>
      </c>
      <c r="B1468" s="3" t="s">
        <v>854</v>
      </c>
      <c r="C1468" s="4">
        <v>23</v>
      </c>
      <c r="D1468" s="3" t="s">
        <v>87</v>
      </c>
      <c r="E1468" s="3" t="s">
        <v>7</v>
      </c>
      <c r="F1468" s="5">
        <v>273</v>
      </c>
      <c r="G1468" s="5">
        <v>351</v>
      </c>
      <c r="H1468" s="6">
        <v>15525.03</v>
      </c>
      <c r="I1468" s="22">
        <v>22353.85</v>
      </c>
      <c r="J1468" s="24">
        <f t="shared" si="66"/>
        <v>1.5489255241961248E-4</v>
      </c>
      <c r="K1468" s="25">
        <f t="shared" si="68"/>
        <v>0.77864922297187156</v>
      </c>
      <c r="L1468" s="26" t="s">
        <v>7516</v>
      </c>
      <c r="M1468" s="28"/>
      <c r="N1468" s="28"/>
      <c r="O1468" s="20">
        <v>3195.84</v>
      </c>
      <c r="P1468" s="27" t="str">
        <f t="shared" si="67"/>
        <v>amarelo</v>
      </c>
    </row>
    <row r="1469" spans="1:16" ht="38.25">
      <c r="A1469" s="3" t="s">
        <v>4</v>
      </c>
      <c r="B1469" s="3" t="s">
        <v>855</v>
      </c>
      <c r="C1469" s="4">
        <v>301</v>
      </c>
      <c r="D1469" s="3" t="s">
        <v>519</v>
      </c>
      <c r="E1469" s="3" t="s">
        <v>16</v>
      </c>
      <c r="F1469" s="5">
        <v>384</v>
      </c>
      <c r="G1469" s="5">
        <v>408</v>
      </c>
      <c r="H1469" s="6">
        <v>21349.56</v>
      </c>
      <c r="I1469" s="22">
        <v>22352.880000000001</v>
      </c>
      <c r="J1469" s="24">
        <f t="shared" si="66"/>
        <v>1.5488583117133324E-4</v>
      </c>
      <c r="K1469" s="25">
        <f t="shared" si="68"/>
        <v>0.77880410880304285</v>
      </c>
      <c r="L1469" s="26" t="s">
        <v>7516</v>
      </c>
      <c r="M1469" s="28"/>
      <c r="N1469" s="28"/>
      <c r="O1469" s="20" t="s">
        <v>7530</v>
      </c>
      <c r="P1469" s="27" t="str">
        <f t="shared" si="67"/>
        <v>vermelho</v>
      </c>
    </row>
    <row r="1470" spans="1:16" ht="25.5">
      <c r="A1470" s="3" t="s">
        <v>6241</v>
      </c>
      <c r="B1470" s="3" t="s">
        <v>6242</v>
      </c>
      <c r="C1470" s="4">
        <v>197</v>
      </c>
      <c r="D1470" s="3" t="s">
        <v>66</v>
      </c>
      <c r="E1470" s="3" t="s">
        <v>41</v>
      </c>
      <c r="F1470" s="5">
        <v>147</v>
      </c>
      <c r="G1470" s="5">
        <v>348</v>
      </c>
      <c r="H1470" s="6">
        <v>8571.81</v>
      </c>
      <c r="I1470" s="22">
        <v>22345.32</v>
      </c>
      <c r="J1470" s="24">
        <f t="shared" si="66"/>
        <v>1.5483344700948674E-4</v>
      </c>
      <c r="K1470" s="25">
        <f t="shared" si="68"/>
        <v>0.77895894225005236</v>
      </c>
      <c r="L1470" s="26" t="s">
        <v>7516</v>
      </c>
      <c r="M1470" s="28"/>
      <c r="N1470" s="28"/>
      <c r="O1470" s="20" t="s">
        <v>7530</v>
      </c>
      <c r="P1470" s="27" t="str">
        <f t="shared" si="67"/>
        <v>vermelho</v>
      </c>
    </row>
    <row r="1471" spans="1:16" ht="25.5">
      <c r="A1471" s="3" t="s">
        <v>4</v>
      </c>
      <c r="B1471" s="3" t="s">
        <v>856</v>
      </c>
      <c r="C1471" s="4">
        <v>19</v>
      </c>
      <c r="D1471" s="3" t="s">
        <v>72</v>
      </c>
      <c r="E1471" s="3" t="s">
        <v>41</v>
      </c>
      <c r="F1471" s="5">
        <v>192</v>
      </c>
      <c r="G1471" s="5">
        <v>369</v>
      </c>
      <c r="H1471" s="6">
        <v>11436.96</v>
      </c>
      <c r="I1471" s="22">
        <v>22313.91</v>
      </c>
      <c r="J1471" s="24">
        <f t="shared" si="66"/>
        <v>1.5461580328943403E-4</v>
      </c>
      <c r="K1471" s="25">
        <f t="shared" si="68"/>
        <v>0.77911355805334181</v>
      </c>
      <c r="L1471" s="26" t="s">
        <v>7516</v>
      </c>
      <c r="M1471" s="28"/>
      <c r="N1471" s="28"/>
      <c r="O1471" s="20">
        <v>11624.52</v>
      </c>
      <c r="P1471" s="27" t="str">
        <f t="shared" si="67"/>
        <v>laranja</v>
      </c>
    </row>
    <row r="1472" spans="1:16" ht="38.25">
      <c r="A1472" s="3" t="s">
        <v>6243</v>
      </c>
      <c r="B1472" s="3" t="s">
        <v>6244</v>
      </c>
      <c r="C1472" s="4">
        <v>11</v>
      </c>
      <c r="D1472" s="3" t="s">
        <v>61</v>
      </c>
      <c r="E1472" s="3" t="s">
        <v>10</v>
      </c>
      <c r="F1472" s="5">
        <v>1980</v>
      </c>
      <c r="G1472" s="5">
        <v>360</v>
      </c>
      <c r="H1472" s="6">
        <v>123139.68</v>
      </c>
      <c r="I1472" s="22">
        <v>22280.669000000002</v>
      </c>
      <c r="J1472" s="24">
        <f t="shared" si="66"/>
        <v>1.5438547234711402E-4</v>
      </c>
      <c r="K1472" s="25">
        <f t="shared" si="68"/>
        <v>0.77926794352568896</v>
      </c>
      <c r="L1472" s="26" t="s">
        <v>7516</v>
      </c>
      <c r="M1472" s="28"/>
      <c r="N1472" s="28"/>
      <c r="O1472" s="20" t="s">
        <v>7530</v>
      </c>
      <c r="P1472" s="27" t="str">
        <f t="shared" si="67"/>
        <v>vermelho</v>
      </c>
    </row>
    <row r="1473" spans="1:16" ht="25.5">
      <c r="A1473" s="3" t="s">
        <v>4</v>
      </c>
      <c r="B1473" s="3" t="s">
        <v>857</v>
      </c>
      <c r="C1473" s="4">
        <v>315</v>
      </c>
      <c r="D1473" s="3" t="s">
        <v>63</v>
      </c>
      <c r="E1473" s="3" t="s">
        <v>7</v>
      </c>
      <c r="F1473" s="5">
        <v>0</v>
      </c>
      <c r="G1473" s="5">
        <v>294</v>
      </c>
      <c r="H1473" s="6">
        <v>0</v>
      </c>
      <c r="I1473" s="22">
        <v>22250.11</v>
      </c>
      <c r="J1473" s="24">
        <f t="shared" si="66"/>
        <v>1.5417372530983003E-4</v>
      </c>
      <c r="K1473" s="25">
        <f t="shared" si="68"/>
        <v>0.77942211725099875</v>
      </c>
      <c r="L1473" s="26" t="s">
        <v>7516</v>
      </c>
      <c r="M1473" s="28">
        <v>2.9327161900242798E-2</v>
      </c>
      <c r="N1473" s="28"/>
      <c r="O1473" s="20">
        <v>13185.79</v>
      </c>
      <c r="P1473" s="27" t="str">
        <f t="shared" si="67"/>
        <v>laranja</v>
      </c>
    </row>
    <row r="1474" spans="1:16" ht="25.5">
      <c r="A1474" s="3" t="s">
        <v>4</v>
      </c>
      <c r="B1474" s="3" t="s">
        <v>858</v>
      </c>
      <c r="C1474" s="4">
        <v>74</v>
      </c>
      <c r="D1474" s="3" t="s">
        <v>6</v>
      </c>
      <c r="E1474" s="3" t="s">
        <v>7</v>
      </c>
      <c r="F1474" s="5">
        <v>339</v>
      </c>
      <c r="G1474" s="5">
        <v>381</v>
      </c>
      <c r="H1474" s="6">
        <v>17795.37</v>
      </c>
      <c r="I1474" s="22">
        <v>22238.19</v>
      </c>
      <c r="J1474" s="24">
        <f t="shared" si="66"/>
        <v>1.5409113017633659E-4</v>
      </c>
      <c r="K1474" s="25">
        <f t="shared" si="68"/>
        <v>0.77957620838117503</v>
      </c>
      <c r="L1474" s="26" t="s">
        <v>7516</v>
      </c>
      <c r="M1474" s="28"/>
      <c r="N1474" s="28"/>
      <c r="O1474" s="20">
        <v>10345.5</v>
      </c>
      <c r="P1474" s="27" t="str">
        <f t="shared" si="67"/>
        <v>amarelo</v>
      </c>
    </row>
    <row r="1475" spans="1:16" ht="25.5">
      <c r="A1475" s="3" t="s">
        <v>6245</v>
      </c>
      <c r="B1475" s="3" t="s">
        <v>6246</v>
      </c>
      <c r="C1475" s="4">
        <v>266</v>
      </c>
      <c r="D1475" s="3" t="s">
        <v>80</v>
      </c>
      <c r="E1475" s="3" t="s">
        <v>10</v>
      </c>
      <c r="F1475" s="5">
        <v>249</v>
      </c>
      <c r="G1475" s="5">
        <v>402</v>
      </c>
      <c r="H1475" s="6">
        <v>15725.94</v>
      </c>
      <c r="I1475" s="22">
        <v>22227.3</v>
      </c>
      <c r="J1475" s="24">
        <f t="shared" ref="J1475:J1538" si="69">I1475/$I$6364</f>
        <v>1.5401567203843867E-4</v>
      </c>
      <c r="K1475" s="25">
        <f t="shared" si="68"/>
        <v>0.77973022405321346</v>
      </c>
      <c r="L1475" s="26" t="s">
        <v>7516</v>
      </c>
      <c r="M1475" s="28"/>
      <c r="N1475" s="28"/>
      <c r="O1475" s="20" t="s">
        <v>7530</v>
      </c>
      <c r="P1475" s="27" t="str">
        <f t="shared" ref="P1475:P1538" si="70">IF(O1475&lt;=0,"vermelho",IFERROR(IF(O1475/I1475&lt;=0.5098,"amarelo",IF(O1475/I1475&lt;1,"laranja","verde")),"vermelho"))</f>
        <v>vermelho</v>
      </c>
    </row>
    <row r="1476" spans="1:16" ht="25.5">
      <c r="A1476" s="3" t="s">
        <v>4</v>
      </c>
      <c r="B1476" s="3" t="s">
        <v>859</v>
      </c>
      <c r="C1476" s="4">
        <v>316</v>
      </c>
      <c r="D1476" s="3" t="s">
        <v>247</v>
      </c>
      <c r="E1476" s="3" t="s">
        <v>10</v>
      </c>
      <c r="F1476" s="5">
        <v>0</v>
      </c>
      <c r="G1476" s="5">
        <v>480</v>
      </c>
      <c r="H1476" s="6">
        <v>0</v>
      </c>
      <c r="I1476" s="22">
        <v>22225.103999999999</v>
      </c>
      <c r="J1476" s="24">
        <f t="shared" si="69"/>
        <v>1.5400045568666421E-4</v>
      </c>
      <c r="K1476" s="25">
        <f t="shared" ref="K1476:K1539" si="71">J1476+K1475</f>
        <v>0.77988422450890016</v>
      </c>
      <c r="L1476" s="26" t="s">
        <v>7516</v>
      </c>
      <c r="M1476" s="28"/>
      <c r="N1476" s="28"/>
      <c r="O1476" s="20" t="s">
        <v>7530</v>
      </c>
      <c r="P1476" s="27" t="str">
        <f t="shared" si="70"/>
        <v>vermelho</v>
      </c>
    </row>
    <row r="1477" spans="1:16" ht="25.5">
      <c r="A1477" s="3" t="s">
        <v>4</v>
      </c>
      <c r="B1477" s="3" t="s">
        <v>861</v>
      </c>
      <c r="C1477" s="4">
        <v>315</v>
      </c>
      <c r="D1477" s="3" t="s">
        <v>63</v>
      </c>
      <c r="E1477" s="3" t="s">
        <v>7</v>
      </c>
      <c r="F1477" s="5">
        <v>108</v>
      </c>
      <c r="G1477" s="5">
        <v>390</v>
      </c>
      <c r="H1477" s="6">
        <v>4387.68</v>
      </c>
      <c r="I1477" s="22">
        <v>22163.1</v>
      </c>
      <c r="J1477" s="24">
        <f t="shared" si="69"/>
        <v>1.5357082241005971E-4</v>
      </c>
      <c r="K1477" s="25">
        <f t="shared" si="71"/>
        <v>0.78003779533131024</v>
      </c>
      <c r="L1477" s="26" t="s">
        <v>7516</v>
      </c>
      <c r="M1477" s="28"/>
      <c r="N1477" s="28"/>
      <c r="O1477" s="20">
        <v>7660.8</v>
      </c>
      <c r="P1477" s="27" t="str">
        <f t="shared" si="70"/>
        <v>amarelo</v>
      </c>
    </row>
    <row r="1478" spans="1:16" ht="25.5">
      <c r="A1478" s="3" t="s">
        <v>6247</v>
      </c>
      <c r="B1478" s="3" t="s">
        <v>6248</v>
      </c>
      <c r="C1478" s="4">
        <v>335</v>
      </c>
      <c r="D1478" s="3" t="s">
        <v>36</v>
      </c>
      <c r="E1478" s="3" t="s">
        <v>7</v>
      </c>
      <c r="F1478" s="5">
        <v>0</v>
      </c>
      <c r="G1478" s="5">
        <v>375</v>
      </c>
      <c r="H1478" s="6">
        <v>0</v>
      </c>
      <c r="I1478" s="22">
        <v>22125.66</v>
      </c>
      <c r="J1478" s="24">
        <f t="shared" si="69"/>
        <v>1.5331139608472469E-4</v>
      </c>
      <c r="K1478" s="25">
        <f t="shared" si="71"/>
        <v>0.780191106727395</v>
      </c>
      <c r="L1478" s="26" t="s">
        <v>7516</v>
      </c>
      <c r="M1478" s="28"/>
      <c r="N1478" s="28"/>
      <c r="O1478" s="20">
        <v>22125.66</v>
      </c>
      <c r="P1478" s="27" t="str">
        <f t="shared" si="70"/>
        <v>verde</v>
      </c>
    </row>
    <row r="1479" spans="1:16" ht="25.5">
      <c r="A1479" s="3" t="s">
        <v>4</v>
      </c>
      <c r="B1479" s="3" t="s">
        <v>862</v>
      </c>
      <c r="C1479" s="4">
        <v>299</v>
      </c>
      <c r="D1479" s="3" t="s">
        <v>111</v>
      </c>
      <c r="E1479" s="3" t="s">
        <v>49</v>
      </c>
      <c r="F1479" s="5">
        <v>324</v>
      </c>
      <c r="G1479" s="5">
        <v>372</v>
      </c>
      <c r="H1479" s="6">
        <v>18542.64</v>
      </c>
      <c r="I1479" s="22">
        <v>22108.83</v>
      </c>
      <c r="J1479" s="24">
        <f t="shared" si="69"/>
        <v>1.5319477896251881E-4</v>
      </c>
      <c r="K1479" s="25">
        <f t="shared" si="71"/>
        <v>0.78034430150635747</v>
      </c>
      <c r="L1479" s="26" t="s">
        <v>7516</v>
      </c>
      <c r="M1479" s="28"/>
      <c r="N1479" s="28"/>
      <c r="O1479" s="20" t="s">
        <v>7530</v>
      </c>
      <c r="P1479" s="27" t="str">
        <f t="shared" si="70"/>
        <v>vermelho</v>
      </c>
    </row>
    <row r="1480" spans="1:16" ht="25.5">
      <c r="A1480" s="3" t="s">
        <v>6249</v>
      </c>
      <c r="B1480" s="3" t="s">
        <v>6250</v>
      </c>
      <c r="C1480" s="4">
        <v>197</v>
      </c>
      <c r="D1480" s="3" t="s">
        <v>66</v>
      </c>
      <c r="E1480" s="3" t="s">
        <v>41</v>
      </c>
      <c r="F1480" s="5">
        <v>132</v>
      </c>
      <c r="G1480" s="5">
        <v>390</v>
      </c>
      <c r="H1480" s="6">
        <v>6867.36</v>
      </c>
      <c r="I1480" s="22">
        <v>22079.452000000001</v>
      </c>
      <c r="J1480" s="24">
        <f t="shared" si="69"/>
        <v>1.5299121521824283E-4</v>
      </c>
      <c r="K1480" s="25">
        <f t="shared" si="71"/>
        <v>0.78049729272157575</v>
      </c>
      <c r="L1480" s="26" t="s">
        <v>7516</v>
      </c>
      <c r="M1480" s="28"/>
      <c r="N1480" s="28"/>
      <c r="O1480" s="20" t="s">
        <v>7530</v>
      </c>
      <c r="P1480" s="27" t="str">
        <f t="shared" si="70"/>
        <v>vermelho</v>
      </c>
    </row>
    <row r="1481" spans="1:16" ht="38.25">
      <c r="A1481" s="3" t="s">
        <v>4</v>
      </c>
      <c r="B1481" s="3" t="s">
        <v>863</v>
      </c>
      <c r="C1481" s="4">
        <v>371</v>
      </c>
      <c r="D1481" s="3" t="s">
        <v>82</v>
      </c>
      <c r="E1481" s="3" t="s">
        <v>49</v>
      </c>
      <c r="F1481" s="5">
        <v>0</v>
      </c>
      <c r="G1481" s="5">
        <v>393</v>
      </c>
      <c r="H1481" s="6">
        <v>0</v>
      </c>
      <c r="I1481" s="22">
        <v>22075.59</v>
      </c>
      <c r="J1481" s="24">
        <f t="shared" si="69"/>
        <v>1.5296445494932074E-4</v>
      </c>
      <c r="K1481" s="25">
        <f t="shared" si="71"/>
        <v>0.78065025717652503</v>
      </c>
      <c r="L1481" s="26" t="s">
        <v>7516</v>
      </c>
      <c r="M1481" s="28"/>
      <c r="N1481" s="28"/>
      <c r="O1481" s="20">
        <v>5971.5</v>
      </c>
      <c r="P1481" s="27" t="str">
        <f t="shared" si="70"/>
        <v>amarelo</v>
      </c>
    </row>
    <row r="1482" spans="1:16" ht="25.5">
      <c r="A1482" s="3" t="s">
        <v>4</v>
      </c>
      <c r="B1482" s="3" t="s">
        <v>864</v>
      </c>
      <c r="C1482" s="4">
        <v>197</v>
      </c>
      <c r="D1482" s="3" t="s">
        <v>66</v>
      </c>
      <c r="E1482" s="3" t="s">
        <v>41</v>
      </c>
      <c r="F1482" s="5">
        <v>132</v>
      </c>
      <c r="G1482" s="5">
        <v>354</v>
      </c>
      <c r="H1482" s="6">
        <v>6753.36</v>
      </c>
      <c r="I1482" s="22">
        <v>22065.99</v>
      </c>
      <c r="J1482" s="24">
        <f t="shared" si="69"/>
        <v>1.52897935378722E-4</v>
      </c>
      <c r="K1482" s="25">
        <f t="shared" si="71"/>
        <v>0.78080315511190379</v>
      </c>
      <c r="L1482" s="26" t="s">
        <v>7516</v>
      </c>
      <c r="M1482" s="28"/>
      <c r="N1482" s="28"/>
      <c r="O1482" s="20" t="s">
        <v>7530</v>
      </c>
      <c r="P1482" s="27" t="str">
        <f t="shared" si="70"/>
        <v>vermelho</v>
      </c>
    </row>
    <row r="1483" spans="1:16" ht="38.25">
      <c r="A1483" s="3" t="s">
        <v>6251</v>
      </c>
      <c r="B1483" s="3" t="s">
        <v>6252</v>
      </c>
      <c r="C1483" s="4">
        <v>292</v>
      </c>
      <c r="D1483" s="3" t="s">
        <v>57</v>
      </c>
      <c r="E1483" s="3" t="s">
        <v>49</v>
      </c>
      <c r="F1483" s="5">
        <v>486</v>
      </c>
      <c r="G1483" s="5">
        <v>441</v>
      </c>
      <c r="H1483" s="6">
        <v>24397.592000000001</v>
      </c>
      <c r="I1483" s="22">
        <v>22062.99</v>
      </c>
      <c r="J1483" s="24">
        <f t="shared" si="69"/>
        <v>1.5287714801290992E-4</v>
      </c>
      <c r="K1483" s="25">
        <f t="shared" si="71"/>
        <v>0.78095603225991672</v>
      </c>
      <c r="L1483" s="26" t="s">
        <v>7516</v>
      </c>
      <c r="M1483" s="28"/>
      <c r="N1483" s="28"/>
      <c r="O1483" s="20">
        <v>2300.64</v>
      </c>
      <c r="P1483" s="27" t="str">
        <f t="shared" si="70"/>
        <v>amarelo</v>
      </c>
    </row>
    <row r="1484" spans="1:16" ht="25.5">
      <c r="A1484" s="3" t="s">
        <v>6253</v>
      </c>
      <c r="B1484" s="3" t="s">
        <v>6254</v>
      </c>
      <c r="C1484" s="4">
        <v>321</v>
      </c>
      <c r="D1484" s="3" t="s">
        <v>136</v>
      </c>
      <c r="E1484" s="3" t="s">
        <v>41</v>
      </c>
      <c r="F1484" s="5">
        <v>627</v>
      </c>
      <c r="G1484" s="5">
        <v>390</v>
      </c>
      <c r="H1484" s="6">
        <v>36100.436999999998</v>
      </c>
      <c r="I1484" s="22">
        <v>22005.439999999999</v>
      </c>
      <c r="J1484" s="24">
        <f t="shared" si="69"/>
        <v>1.5247837704541442E-4</v>
      </c>
      <c r="K1484" s="25">
        <f t="shared" si="71"/>
        <v>0.78110851063696218</v>
      </c>
      <c r="L1484" s="26" t="s">
        <v>7516</v>
      </c>
      <c r="M1484" s="28"/>
      <c r="N1484" s="28"/>
      <c r="O1484" s="20">
        <v>8285.52</v>
      </c>
      <c r="P1484" s="27" t="str">
        <f t="shared" si="70"/>
        <v>amarelo</v>
      </c>
    </row>
    <row r="1485" spans="1:16" ht="38.25">
      <c r="A1485" s="3" t="s">
        <v>4</v>
      </c>
      <c r="B1485" s="3" t="s">
        <v>865</v>
      </c>
      <c r="C1485" s="4">
        <v>371</v>
      </c>
      <c r="D1485" s="3" t="s">
        <v>82</v>
      </c>
      <c r="E1485" s="3" t="s">
        <v>49</v>
      </c>
      <c r="F1485" s="5">
        <v>0</v>
      </c>
      <c r="G1485" s="5">
        <v>357</v>
      </c>
      <c r="H1485" s="6">
        <v>0</v>
      </c>
      <c r="I1485" s="22">
        <v>21994.23</v>
      </c>
      <c r="J1485" s="24">
        <f t="shared" si="69"/>
        <v>1.5240070158849655E-4</v>
      </c>
      <c r="K1485" s="25">
        <f t="shared" si="71"/>
        <v>0.78126091133855069</v>
      </c>
      <c r="L1485" s="26" t="s">
        <v>7516</v>
      </c>
      <c r="M1485" s="28"/>
      <c r="N1485" s="28"/>
      <c r="O1485" s="20">
        <v>17016.03</v>
      </c>
      <c r="P1485" s="27" t="str">
        <f t="shared" si="70"/>
        <v>laranja</v>
      </c>
    </row>
    <row r="1486" spans="1:16" ht="38.25">
      <c r="A1486" s="3" t="s">
        <v>4</v>
      </c>
      <c r="B1486" s="3" t="s">
        <v>866</v>
      </c>
      <c r="C1486" s="4">
        <v>38</v>
      </c>
      <c r="D1486" s="3" t="s">
        <v>184</v>
      </c>
      <c r="E1486" s="3" t="s">
        <v>49</v>
      </c>
      <c r="F1486" s="5">
        <v>300</v>
      </c>
      <c r="G1486" s="5">
        <v>399</v>
      </c>
      <c r="H1486" s="6">
        <v>15820.92</v>
      </c>
      <c r="I1486" s="22">
        <v>21971.16</v>
      </c>
      <c r="J1486" s="24">
        <f t="shared" si="69"/>
        <v>1.5224084674540149E-4</v>
      </c>
      <c r="K1486" s="25">
        <f t="shared" si="71"/>
        <v>0.78141315218529606</v>
      </c>
      <c r="L1486" s="26" t="s">
        <v>7516</v>
      </c>
      <c r="M1486" s="28"/>
      <c r="N1486" s="28"/>
      <c r="O1486" s="20">
        <v>24114.93</v>
      </c>
      <c r="P1486" s="27" t="str">
        <f t="shared" si="70"/>
        <v>verde</v>
      </c>
    </row>
    <row r="1487" spans="1:16" ht="25.5">
      <c r="A1487" s="3" t="s">
        <v>4</v>
      </c>
      <c r="B1487" s="3" t="s">
        <v>867</v>
      </c>
      <c r="C1487" s="4">
        <v>334</v>
      </c>
      <c r="D1487" s="3" t="s">
        <v>531</v>
      </c>
      <c r="E1487" s="3" t="s">
        <v>7</v>
      </c>
      <c r="F1487" s="5">
        <v>213</v>
      </c>
      <c r="G1487" s="5">
        <v>348</v>
      </c>
      <c r="H1487" s="6">
        <v>10221.39</v>
      </c>
      <c r="I1487" s="22">
        <v>21961.263999999999</v>
      </c>
      <c r="J1487" s="24">
        <f t="shared" si="69"/>
        <v>1.5217227615470929E-4</v>
      </c>
      <c r="K1487" s="25">
        <f t="shared" si="71"/>
        <v>0.78156532446145077</v>
      </c>
      <c r="L1487" s="26" t="s">
        <v>7516</v>
      </c>
      <c r="M1487" s="28"/>
      <c r="N1487" s="28"/>
      <c r="O1487" s="20">
        <v>10258.02</v>
      </c>
      <c r="P1487" s="27" t="str">
        <f t="shared" si="70"/>
        <v>amarelo</v>
      </c>
    </row>
    <row r="1488" spans="1:16" ht="38.25">
      <c r="A1488" s="3" t="s">
        <v>4</v>
      </c>
      <c r="B1488" s="3" t="s">
        <v>868</v>
      </c>
      <c r="C1488" s="4">
        <v>301</v>
      </c>
      <c r="D1488" s="3" t="s">
        <v>519</v>
      </c>
      <c r="E1488" s="3" t="s">
        <v>16</v>
      </c>
      <c r="F1488" s="5">
        <v>372</v>
      </c>
      <c r="G1488" s="5">
        <v>387</v>
      </c>
      <c r="H1488" s="6">
        <v>19014.36</v>
      </c>
      <c r="I1488" s="22">
        <v>21958.02</v>
      </c>
      <c r="J1488" s="24">
        <f t="shared" si="69"/>
        <v>1.5214979808314449E-4</v>
      </c>
      <c r="K1488" s="25">
        <f t="shared" si="71"/>
        <v>0.78171747425953386</v>
      </c>
      <c r="L1488" s="26" t="s">
        <v>7516</v>
      </c>
      <c r="M1488" s="28">
        <v>3.4432378335957484E-2</v>
      </c>
      <c r="N1488" s="28"/>
      <c r="O1488" s="20">
        <v>3404.22</v>
      </c>
      <c r="P1488" s="27" t="str">
        <f t="shared" si="70"/>
        <v>amarelo</v>
      </c>
    </row>
    <row r="1489" spans="1:16" ht="25.5">
      <c r="A1489" s="3" t="s">
        <v>4</v>
      </c>
      <c r="B1489" s="3" t="s">
        <v>869</v>
      </c>
      <c r="C1489" s="4">
        <v>178</v>
      </c>
      <c r="D1489" s="3" t="s">
        <v>74</v>
      </c>
      <c r="E1489" s="3" t="s">
        <v>7</v>
      </c>
      <c r="F1489" s="5">
        <v>0</v>
      </c>
      <c r="G1489" s="5">
        <v>342</v>
      </c>
      <c r="H1489" s="6">
        <v>0</v>
      </c>
      <c r="I1489" s="22">
        <v>21932.04</v>
      </c>
      <c r="J1489" s="24">
        <f t="shared" si="69"/>
        <v>1.5196977949521169E-4</v>
      </c>
      <c r="K1489" s="25">
        <f t="shared" si="71"/>
        <v>0.78186944403902903</v>
      </c>
      <c r="L1489" s="26" t="s">
        <v>7516</v>
      </c>
      <c r="M1489" s="28"/>
      <c r="N1489" s="28"/>
      <c r="O1489" s="20">
        <v>5895.78</v>
      </c>
      <c r="P1489" s="27" t="str">
        <f t="shared" si="70"/>
        <v>amarelo</v>
      </c>
    </row>
    <row r="1490" spans="1:16" ht="25.5">
      <c r="A1490" s="3" t="s">
        <v>4</v>
      </c>
      <c r="B1490" s="3" t="s">
        <v>870</v>
      </c>
      <c r="C1490" s="4">
        <v>187</v>
      </c>
      <c r="D1490" s="3" t="s">
        <v>96</v>
      </c>
      <c r="E1490" s="3" t="s">
        <v>7</v>
      </c>
      <c r="F1490" s="5">
        <v>0</v>
      </c>
      <c r="G1490" s="5">
        <v>354</v>
      </c>
      <c r="H1490" s="6">
        <v>0</v>
      </c>
      <c r="I1490" s="22">
        <v>21916.74</v>
      </c>
      <c r="J1490" s="24">
        <f t="shared" si="69"/>
        <v>1.5186376392956999E-4</v>
      </c>
      <c r="K1490" s="25">
        <f t="shared" si="71"/>
        <v>0.78202130780295864</v>
      </c>
      <c r="L1490" s="26" t="s">
        <v>7516</v>
      </c>
      <c r="M1490" s="28"/>
      <c r="N1490" s="28"/>
      <c r="O1490" s="20">
        <v>9532.86</v>
      </c>
      <c r="P1490" s="27" t="str">
        <f t="shared" si="70"/>
        <v>amarelo</v>
      </c>
    </row>
    <row r="1491" spans="1:16" ht="38.25">
      <c r="A1491" s="3" t="s">
        <v>4</v>
      </c>
      <c r="B1491" s="3" t="s">
        <v>871</v>
      </c>
      <c r="C1491" s="4">
        <v>292</v>
      </c>
      <c r="D1491" s="3" t="s">
        <v>57</v>
      </c>
      <c r="E1491" s="3" t="s">
        <v>49</v>
      </c>
      <c r="F1491" s="5">
        <v>396</v>
      </c>
      <c r="G1491" s="5">
        <v>378</v>
      </c>
      <c r="H1491" s="6">
        <v>20547.263999999999</v>
      </c>
      <c r="I1491" s="22">
        <v>21855.21</v>
      </c>
      <c r="J1491" s="24">
        <f t="shared" si="69"/>
        <v>1.5143741505676376E-4</v>
      </c>
      <c r="K1491" s="25">
        <f t="shared" si="71"/>
        <v>0.78217274521801539</v>
      </c>
      <c r="L1491" s="26" t="s">
        <v>7516</v>
      </c>
      <c r="M1491" s="28"/>
      <c r="N1491" s="28"/>
      <c r="O1491" s="20" t="s">
        <v>7530</v>
      </c>
      <c r="P1491" s="27" t="str">
        <f t="shared" si="70"/>
        <v>vermelho</v>
      </c>
    </row>
    <row r="1492" spans="1:16" ht="25.5">
      <c r="A1492" s="3" t="s">
        <v>4</v>
      </c>
      <c r="B1492" s="3" t="s">
        <v>872</v>
      </c>
      <c r="C1492" s="4">
        <v>19</v>
      </c>
      <c r="D1492" s="3" t="s">
        <v>72</v>
      </c>
      <c r="E1492" s="3" t="s">
        <v>41</v>
      </c>
      <c r="F1492" s="5">
        <v>564</v>
      </c>
      <c r="G1492" s="5">
        <v>324</v>
      </c>
      <c r="H1492" s="6">
        <v>35894.400000000001</v>
      </c>
      <c r="I1492" s="22">
        <v>21838.560000000001</v>
      </c>
      <c r="J1492" s="24">
        <f t="shared" si="69"/>
        <v>1.5132204517650662E-4</v>
      </c>
      <c r="K1492" s="25">
        <f t="shared" si="71"/>
        <v>0.78232406726319192</v>
      </c>
      <c r="L1492" s="26" t="s">
        <v>7516</v>
      </c>
      <c r="M1492" s="28"/>
      <c r="N1492" s="28"/>
      <c r="O1492" s="20" t="s">
        <v>7530</v>
      </c>
      <c r="P1492" s="27" t="str">
        <f t="shared" si="70"/>
        <v>vermelho</v>
      </c>
    </row>
    <row r="1493" spans="1:16" ht="25.5">
      <c r="A1493" s="3" t="s">
        <v>4</v>
      </c>
      <c r="B1493" s="3" t="s">
        <v>873</v>
      </c>
      <c r="C1493" s="4">
        <v>316</v>
      </c>
      <c r="D1493" s="3" t="s">
        <v>247</v>
      </c>
      <c r="E1493" s="3" t="s">
        <v>10</v>
      </c>
      <c r="F1493" s="5">
        <v>0</v>
      </c>
      <c r="G1493" s="5">
        <v>354</v>
      </c>
      <c r="H1493" s="6">
        <v>0</v>
      </c>
      <c r="I1493" s="22">
        <v>21837.360000000001</v>
      </c>
      <c r="J1493" s="24">
        <f t="shared" si="69"/>
        <v>1.5131373023018178E-4</v>
      </c>
      <c r="K1493" s="25">
        <f t="shared" si="71"/>
        <v>0.78247538099342206</v>
      </c>
      <c r="L1493" s="26" t="s">
        <v>7516</v>
      </c>
      <c r="M1493" s="28"/>
      <c r="N1493" s="28"/>
      <c r="O1493" s="20" t="s">
        <v>7530</v>
      </c>
      <c r="P1493" s="27" t="str">
        <f t="shared" si="70"/>
        <v>vermelho</v>
      </c>
    </row>
    <row r="1494" spans="1:16" ht="25.5">
      <c r="A1494" s="3" t="s">
        <v>4</v>
      </c>
      <c r="B1494" s="3" t="s">
        <v>874</v>
      </c>
      <c r="C1494" s="4">
        <v>74</v>
      </c>
      <c r="D1494" s="3" t="s">
        <v>6</v>
      </c>
      <c r="E1494" s="3" t="s">
        <v>7</v>
      </c>
      <c r="F1494" s="5">
        <v>216</v>
      </c>
      <c r="G1494" s="5">
        <v>336</v>
      </c>
      <c r="H1494" s="6">
        <v>13188.6</v>
      </c>
      <c r="I1494" s="22">
        <v>21828.959999999999</v>
      </c>
      <c r="J1494" s="24">
        <f t="shared" si="69"/>
        <v>1.5125552560590788E-4</v>
      </c>
      <c r="K1494" s="25">
        <f t="shared" si="71"/>
        <v>0.78262663651902797</v>
      </c>
      <c r="L1494" s="26" t="s">
        <v>7516</v>
      </c>
      <c r="M1494" s="28"/>
      <c r="N1494" s="28"/>
      <c r="O1494" s="20" t="s">
        <v>7530</v>
      </c>
      <c r="P1494" s="27" t="str">
        <f t="shared" si="70"/>
        <v>vermelho</v>
      </c>
    </row>
    <row r="1495" spans="1:16" ht="25.5">
      <c r="A1495" s="3" t="s">
        <v>4</v>
      </c>
      <c r="B1495" s="3" t="s">
        <v>875</v>
      </c>
      <c r="C1495" s="4">
        <v>266</v>
      </c>
      <c r="D1495" s="3" t="s">
        <v>80</v>
      </c>
      <c r="E1495" s="3" t="s">
        <v>10</v>
      </c>
      <c r="F1495" s="5">
        <v>0</v>
      </c>
      <c r="G1495" s="5">
        <v>345</v>
      </c>
      <c r="H1495" s="6">
        <v>0</v>
      </c>
      <c r="I1495" s="22">
        <v>21800.07</v>
      </c>
      <c r="J1495" s="24">
        <f t="shared" si="69"/>
        <v>1.5105534327313736E-4</v>
      </c>
      <c r="K1495" s="25">
        <f t="shared" si="71"/>
        <v>0.78277769186230106</v>
      </c>
      <c r="L1495" s="26" t="s">
        <v>7516</v>
      </c>
      <c r="M1495" s="28"/>
      <c r="N1495" s="28"/>
      <c r="O1495" s="20" t="s">
        <v>7530</v>
      </c>
      <c r="P1495" s="27" t="str">
        <f t="shared" si="70"/>
        <v>vermelho</v>
      </c>
    </row>
    <row r="1496" spans="1:16" ht="38.25">
      <c r="A1496" s="3" t="s">
        <v>6255</v>
      </c>
      <c r="B1496" s="3" t="s">
        <v>6256</v>
      </c>
      <c r="C1496" s="4">
        <v>11</v>
      </c>
      <c r="D1496" s="3" t="s">
        <v>61</v>
      </c>
      <c r="E1496" s="3" t="s">
        <v>10</v>
      </c>
      <c r="F1496" s="5">
        <v>456</v>
      </c>
      <c r="G1496" s="5">
        <v>348</v>
      </c>
      <c r="H1496" s="6">
        <v>24340.799999999999</v>
      </c>
      <c r="I1496" s="22">
        <v>21790.896000000001</v>
      </c>
      <c r="J1496" s="24">
        <f t="shared" si="69"/>
        <v>1.5099177550848396E-4</v>
      </c>
      <c r="K1496" s="25">
        <f t="shared" si="71"/>
        <v>0.78292868363780954</v>
      </c>
      <c r="L1496" s="26" t="s">
        <v>7516</v>
      </c>
      <c r="M1496" s="28"/>
      <c r="N1496" s="28"/>
      <c r="O1496" s="20" t="s">
        <v>7530</v>
      </c>
      <c r="P1496" s="27" t="str">
        <f t="shared" si="70"/>
        <v>vermelho</v>
      </c>
    </row>
    <row r="1497" spans="1:16" ht="25.5">
      <c r="A1497" s="3" t="s">
        <v>4</v>
      </c>
      <c r="B1497" s="3" t="s">
        <v>876</v>
      </c>
      <c r="C1497" s="4">
        <v>317</v>
      </c>
      <c r="D1497" s="3" t="s">
        <v>78</v>
      </c>
      <c r="E1497" s="3" t="s">
        <v>10</v>
      </c>
      <c r="F1497" s="5">
        <v>0</v>
      </c>
      <c r="G1497" s="5">
        <v>360</v>
      </c>
      <c r="H1497" s="6">
        <v>0</v>
      </c>
      <c r="I1497" s="22">
        <v>21780</v>
      </c>
      <c r="J1497" s="24">
        <f t="shared" si="69"/>
        <v>1.5091627579585441E-4</v>
      </c>
      <c r="K1497" s="25">
        <f t="shared" si="71"/>
        <v>0.78307959991360543</v>
      </c>
      <c r="L1497" s="26" t="s">
        <v>7516</v>
      </c>
      <c r="M1497" s="28"/>
      <c r="N1497" s="28"/>
      <c r="O1497" s="20" t="s">
        <v>7530</v>
      </c>
      <c r="P1497" s="27" t="str">
        <f t="shared" si="70"/>
        <v>vermelho</v>
      </c>
    </row>
    <row r="1498" spans="1:16" ht="25.5">
      <c r="A1498" s="3" t="s">
        <v>6257</v>
      </c>
      <c r="B1498" s="3" t="s">
        <v>6258</v>
      </c>
      <c r="C1498" s="4">
        <v>61</v>
      </c>
      <c r="D1498" s="3" t="s">
        <v>48</v>
      </c>
      <c r="E1498" s="3" t="s">
        <v>49</v>
      </c>
      <c r="F1498" s="5">
        <v>0</v>
      </c>
      <c r="G1498" s="5">
        <v>336</v>
      </c>
      <c r="H1498" s="6">
        <v>0</v>
      </c>
      <c r="I1498" s="22">
        <v>21763.439999999999</v>
      </c>
      <c r="J1498" s="24">
        <f t="shared" si="69"/>
        <v>1.508015295365716E-4</v>
      </c>
      <c r="K1498" s="25">
        <f t="shared" si="71"/>
        <v>0.78323040144314204</v>
      </c>
      <c r="L1498" s="26" t="s">
        <v>7516</v>
      </c>
      <c r="M1498" s="28"/>
      <c r="N1498" s="28"/>
      <c r="O1498" s="20" t="s">
        <v>7530</v>
      </c>
      <c r="P1498" s="27" t="str">
        <f t="shared" si="70"/>
        <v>vermelho</v>
      </c>
    </row>
    <row r="1499" spans="1:16" ht="25.5">
      <c r="A1499" s="3" t="s">
        <v>4</v>
      </c>
      <c r="B1499" s="3" t="s">
        <v>877</v>
      </c>
      <c r="C1499" s="4">
        <v>15</v>
      </c>
      <c r="D1499" s="3" t="s">
        <v>18</v>
      </c>
      <c r="E1499" s="3" t="s">
        <v>16</v>
      </c>
      <c r="F1499" s="5">
        <v>156</v>
      </c>
      <c r="G1499" s="5">
        <v>354</v>
      </c>
      <c r="H1499" s="6">
        <v>10482.959999999999</v>
      </c>
      <c r="I1499" s="22">
        <v>21759.03</v>
      </c>
      <c r="J1499" s="24">
        <f t="shared" si="69"/>
        <v>1.5077097210882781E-4</v>
      </c>
      <c r="K1499" s="25">
        <f t="shared" si="71"/>
        <v>0.78338117241525085</v>
      </c>
      <c r="L1499" s="26" t="s">
        <v>7516</v>
      </c>
      <c r="M1499" s="28"/>
      <c r="N1499" s="28"/>
      <c r="O1499" s="20" t="s">
        <v>7530</v>
      </c>
      <c r="P1499" s="27" t="str">
        <f t="shared" si="70"/>
        <v>vermelho</v>
      </c>
    </row>
    <row r="1500" spans="1:16" ht="25.5">
      <c r="A1500" s="3" t="s">
        <v>4</v>
      </c>
      <c r="B1500" s="3" t="s">
        <v>878</v>
      </c>
      <c r="C1500" s="4">
        <v>297</v>
      </c>
      <c r="D1500" s="3" t="s">
        <v>115</v>
      </c>
      <c r="E1500" s="3" t="s">
        <v>41</v>
      </c>
      <c r="F1500" s="5">
        <v>492</v>
      </c>
      <c r="G1500" s="5">
        <v>378</v>
      </c>
      <c r="H1500" s="6">
        <v>26868.260999999999</v>
      </c>
      <c r="I1500" s="22">
        <v>21758.46</v>
      </c>
      <c r="J1500" s="24">
        <f t="shared" si="69"/>
        <v>1.5076702250932351E-4</v>
      </c>
      <c r="K1500" s="25">
        <f t="shared" si="71"/>
        <v>0.78353193943776012</v>
      </c>
      <c r="L1500" s="26" t="s">
        <v>7516</v>
      </c>
      <c r="M1500" s="28"/>
      <c r="N1500" s="28"/>
      <c r="O1500" s="20">
        <v>16060.46</v>
      </c>
      <c r="P1500" s="27" t="str">
        <f t="shared" si="70"/>
        <v>laranja</v>
      </c>
    </row>
    <row r="1501" spans="1:16" ht="25.5">
      <c r="A1501" s="3" t="s">
        <v>4</v>
      </c>
      <c r="B1501" s="3" t="s">
        <v>879</v>
      </c>
      <c r="C1501" s="4">
        <v>261</v>
      </c>
      <c r="D1501" s="3" t="s">
        <v>9</v>
      </c>
      <c r="E1501" s="3" t="s">
        <v>10</v>
      </c>
      <c r="F1501" s="5">
        <v>564</v>
      </c>
      <c r="G1501" s="5">
        <v>396</v>
      </c>
      <c r="H1501" s="6">
        <v>27707.16</v>
      </c>
      <c r="I1501" s="22">
        <v>21732.6</v>
      </c>
      <c r="J1501" s="24">
        <f t="shared" si="69"/>
        <v>1.5058783541602318E-4</v>
      </c>
      <c r="K1501" s="25">
        <f t="shared" si="71"/>
        <v>0.78368252727317611</v>
      </c>
      <c r="L1501" s="26" t="s">
        <v>7516</v>
      </c>
      <c r="M1501" s="28"/>
      <c r="N1501" s="28"/>
      <c r="O1501" s="20">
        <v>29016.54</v>
      </c>
      <c r="P1501" s="27" t="str">
        <f t="shared" si="70"/>
        <v>verde</v>
      </c>
    </row>
    <row r="1502" spans="1:16" ht="38.25">
      <c r="A1502" s="3" t="s">
        <v>6259</v>
      </c>
      <c r="B1502" s="3" t="s">
        <v>6260</v>
      </c>
      <c r="C1502" s="4">
        <v>301</v>
      </c>
      <c r="D1502" s="3" t="s">
        <v>519</v>
      </c>
      <c r="E1502" s="3" t="s">
        <v>16</v>
      </c>
      <c r="F1502" s="5">
        <v>0</v>
      </c>
      <c r="G1502" s="5">
        <v>348</v>
      </c>
      <c r="H1502" s="6">
        <v>0</v>
      </c>
      <c r="I1502" s="22">
        <v>21650.46</v>
      </c>
      <c r="J1502" s="24">
        <f t="shared" si="69"/>
        <v>1.5001867734008785E-4</v>
      </c>
      <c r="K1502" s="25">
        <f t="shared" si="71"/>
        <v>0.78383254595051621</v>
      </c>
      <c r="L1502" s="26" t="s">
        <v>7516</v>
      </c>
      <c r="M1502" s="28"/>
      <c r="N1502" s="28"/>
      <c r="O1502" s="20">
        <v>14370.78</v>
      </c>
      <c r="P1502" s="27" t="str">
        <f t="shared" si="70"/>
        <v>laranja</v>
      </c>
    </row>
    <row r="1503" spans="1:16" ht="38.25">
      <c r="A1503" s="3" t="s">
        <v>4</v>
      </c>
      <c r="B1503" s="3" t="s">
        <v>880</v>
      </c>
      <c r="C1503" s="4">
        <v>11</v>
      </c>
      <c r="D1503" s="3" t="s">
        <v>61</v>
      </c>
      <c r="E1503" s="3" t="s">
        <v>10</v>
      </c>
      <c r="F1503" s="5">
        <v>231</v>
      </c>
      <c r="G1503" s="5">
        <v>372</v>
      </c>
      <c r="H1503" s="6">
        <v>14244.69</v>
      </c>
      <c r="I1503" s="22">
        <v>21634.833999999999</v>
      </c>
      <c r="J1503" s="24">
        <f t="shared" si="69"/>
        <v>1.4991040288069455E-4</v>
      </c>
      <c r="K1503" s="25">
        <f t="shared" si="71"/>
        <v>0.78398245635339692</v>
      </c>
      <c r="L1503" s="26" t="s">
        <v>7516</v>
      </c>
      <c r="M1503" s="28"/>
      <c r="N1503" s="28"/>
      <c r="O1503" s="20" t="s">
        <v>7530</v>
      </c>
      <c r="P1503" s="27" t="str">
        <f t="shared" si="70"/>
        <v>vermelho</v>
      </c>
    </row>
    <row r="1504" spans="1:16">
      <c r="A1504" s="3" t="s">
        <v>4</v>
      </c>
      <c r="B1504" s="3" t="s">
        <v>881</v>
      </c>
      <c r="C1504" s="4">
        <v>15</v>
      </c>
      <c r="D1504" s="3" t="s">
        <v>18</v>
      </c>
      <c r="E1504" s="3" t="s">
        <v>16</v>
      </c>
      <c r="F1504" s="5">
        <v>5364</v>
      </c>
      <c r="G1504" s="5">
        <v>408</v>
      </c>
      <c r="H1504" s="6">
        <v>329877.24</v>
      </c>
      <c r="I1504" s="22">
        <v>21623.64</v>
      </c>
      <c r="J1504" s="24">
        <f t="shared" si="69"/>
        <v>1.4983283828972767E-4</v>
      </c>
      <c r="K1504" s="25">
        <f t="shared" si="71"/>
        <v>0.78413228919168665</v>
      </c>
      <c r="L1504" s="26" t="s">
        <v>7516</v>
      </c>
      <c r="M1504" s="28"/>
      <c r="N1504" s="28"/>
      <c r="O1504" s="20" t="s">
        <v>7530</v>
      </c>
      <c r="P1504" s="27" t="str">
        <f t="shared" si="70"/>
        <v>vermelho</v>
      </c>
    </row>
    <row r="1505" spans="1:16" ht="25.5">
      <c r="A1505" s="3" t="s">
        <v>4</v>
      </c>
      <c r="B1505" s="3" t="s">
        <v>882</v>
      </c>
      <c r="C1505" s="4">
        <v>187</v>
      </c>
      <c r="D1505" s="3" t="s">
        <v>96</v>
      </c>
      <c r="E1505" s="3" t="s">
        <v>7</v>
      </c>
      <c r="F1505" s="5">
        <v>0</v>
      </c>
      <c r="G1505" s="5">
        <v>378</v>
      </c>
      <c r="H1505" s="6">
        <v>0</v>
      </c>
      <c r="I1505" s="22">
        <v>21590.91</v>
      </c>
      <c r="J1505" s="24">
        <f t="shared" si="69"/>
        <v>1.4960604812871766E-4</v>
      </c>
      <c r="K1505" s="25">
        <f t="shared" si="71"/>
        <v>0.7842818952398154</v>
      </c>
      <c r="L1505" s="26" t="s">
        <v>7516</v>
      </c>
      <c r="M1505" s="28"/>
      <c r="N1505" s="28"/>
      <c r="O1505" s="20" t="s">
        <v>7530</v>
      </c>
      <c r="P1505" s="27" t="str">
        <f t="shared" si="70"/>
        <v>vermelho</v>
      </c>
    </row>
    <row r="1506" spans="1:16" ht="38.25">
      <c r="A1506" s="3" t="s">
        <v>4</v>
      </c>
      <c r="B1506" s="3" t="s">
        <v>883</v>
      </c>
      <c r="C1506" s="4">
        <v>143</v>
      </c>
      <c r="D1506" s="3" t="s">
        <v>44</v>
      </c>
      <c r="E1506" s="3" t="s">
        <v>41</v>
      </c>
      <c r="F1506" s="5">
        <v>288</v>
      </c>
      <c r="G1506" s="5">
        <v>360</v>
      </c>
      <c r="H1506" s="6">
        <v>17433</v>
      </c>
      <c r="I1506" s="22">
        <v>21589.040000000001</v>
      </c>
      <c r="J1506" s="24">
        <f t="shared" si="69"/>
        <v>1.4959309067069478E-4</v>
      </c>
      <c r="K1506" s="25">
        <f t="shared" si="71"/>
        <v>0.78443148833048604</v>
      </c>
      <c r="L1506" s="26" t="s">
        <v>7516</v>
      </c>
      <c r="M1506" s="28"/>
      <c r="N1506" s="28"/>
      <c r="O1506" s="20">
        <v>10236.48</v>
      </c>
      <c r="P1506" s="27" t="str">
        <f t="shared" si="70"/>
        <v>amarelo</v>
      </c>
    </row>
    <row r="1507" spans="1:16" ht="25.5">
      <c r="A1507" s="3" t="s">
        <v>6261</v>
      </c>
      <c r="B1507" s="3" t="s">
        <v>6262</v>
      </c>
      <c r="C1507" s="4">
        <v>93</v>
      </c>
      <c r="D1507" s="3" t="s">
        <v>20</v>
      </c>
      <c r="E1507" s="3" t="s">
        <v>7</v>
      </c>
      <c r="F1507" s="5">
        <v>108</v>
      </c>
      <c r="G1507" s="5">
        <v>396</v>
      </c>
      <c r="H1507" s="6">
        <v>4828.2479999999996</v>
      </c>
      <c r="I1507" s="22">
        <v>21588.720000000001</v>
      </c>
      <c r="J1507" s="24">
        <f t="shared" si="69"/>
        <v>1.4959087335167484E-4</v>
      </c>
      <c r="K1507" s="25">
        <f t="shared" si="71"/>
        <v>0.78458107920383768</v>
      </c>
      <c r="L1507" s="26" t="s">
        <v>7516</v>
      </c>
      <c r="M1507" s="28"/>
      <c r="N1507" s="28"/>
      <c r="O1507" s="20" t="s">
        <v>7530</v>
      </c>
      <c r="P1507" s="27" t="str">
        <f t="shared" si="70"/>
        <v>vermelho</v>
      </c>
    </row>
    <row r="1508" spans="1:16" ht="25.5">
      <c r="A1508" s="3" t="s">
        <v>4</v>
      </c>
      <c r="B1508" s="3" t="s">
        <v>884</v>
      </c>
      <c r="C1508" s="4">
        <v>217</v>
      </c>
      <c r="D1508" s="3" t="s">
        <v>91</v>
      </c>
      <c r="E1508" s="3" t="s">
        <v>16</v>
      </c>
      <c r="F1508" s="5">
        <v>552</v>
      </c>
      <c r="G1508" s="5">
        <v>360</v>
      </c>
      <c r="H1508" s="6">
        <v>25247.4</v>
      </c>
      <c r="I1508" s="22">
        <v>21581.88</v>
      </c>
      <c r="J1508" s="24">
        <f t="shared" si="69"/>
        <v>1.4954347815762325E-4</v>
      </c>
      <c r="K1508" s="25">
        <f t="shared" si="71"/>
        <v>0.78473062268199534</v>
      </c>
      <c r="L1508" s="26" t="s">
        <v>7516</v>
      </c>
      <c r="M1508" s="28"/>
      <c r="N1508" s="28"/>
      <c r="O1508" s="20" t="s">
        <v>7530</v>
      </c>
      <c r="P1508" s="27" t="str">
        <f t="shared" si="70"/>
        <v>vermelho</v>
      </c>
    </row>
    <row r="1509" spans="1:16" ht="38.25">
      <c r="A1509" s="3" t="s">
        <v>4</v>
      </c>
      <c r="B1509" s="3" t="s">
        <v>885</v>
      </c>
      <c r="C1509" s="4">
        <v>143</v>
      </c>
      <c r="D1509" s="3" t="s">
        <v>44</v>
      </c>
      <c r="E1509" s="3" t="s">
        <v>41</v>
      </c>
      <c r="F1509" s="5">
        <v>345</v>
      </c>
      <c r="G1509" s="5">
        <v>372</v>
      </c>
      <c r="H1509" s="6">
        <v>18827.55</v>
      </c>
      <c r="I1509" s="22">
        <v>21572.04</v>
      </c>
      <c r="J1509" s="24">
        <f t="shared" si="69"/>
        <v>1.4947529559775955E-4</v>
      </c>
      <c r="K1509" s="25">
        <f t="shared" si="71"/>
        <v>0.78488009797759306</v>
      </c>
      <c r="L1509" s="26" t="s">
        <v>7516</v>
      </c>
      <c r="M1509" s="28"/>
      <c r="N1509" s="28"/>
      <c r="O1509" s="20">
        <v>6452.76</v>
      </c>
      <c r="P1509" s="27" t="str">
        <f t="shared" si="70"/>
        <v>amarelo</v>
      </c>
    </row>
    <row r="1510" spans="1:16" ht="38.25">
      <c r="A1510" s="3" t="s">
        <v>4</v>
      </c>
      <c r="B1510" s="3" t="s">
        <v>886</v>
      </c>
      <c r="C1510" s="4">
        <v>371</v>
      </c>
      <c r="D1510" s="3" t="s">
        <v>82</v>
      </c>
      <c r="E1510" s="3" t="s">
        <v>49</v>
      </c>
      <c r="F1510" s="5">
        <v>330</v>
      </c>
      <c r="G1510" s="5">
        <v>360</v>
      </c>
      <c r="H1510" s="6">
        <v>18463.98</v>
      </c>
      <c r="I1510" s="22">
        <v>21570.738000000001</v>
      </c>
      <c r="J1510" s="24">
        <f t="shared" si="69"/>
        <v>1.494662738809971E-4</v>
      </c>
      <c r="K1510" s="25">
        <f t="shared" si="71"/>
        <v>0.78502956425147408</v>
      </c>
      <c r="L1510" s="26" t="s">
        <v>7516</v>
      </c>
      <c r="M1510" s="28"/>
      <c r="N1510" s="28"/>
      <c r="O1510" s="20">
        <v>4059.84</v>
      </c>
      <c r="P1510" s="27" t="str">
        <f t="shared" si="70"/>
        <v>amarelo</v>
      </c>
    </row>
    <row r="1511" spans="1:16">
      <c r="A1511" s="3" t="s">
        <v>4</v>
      </c>
      <c r="B1511" s="3" t="s">
        <v>887</v>
      </c>
      <c r="C1511" s="4">
        <v>15</v>
      </c>
      <c r="D1511" s="3" t="s">
        <v>18</v>
      </c>
      <c r="E1511" s="3" t="s">
        <v>16</v>
      </c>
      <c r="F1511" s="5">
        <v>0</v>
      </c>
      <c r="G1511" s="5">
        <v>372</v>
      </c>
      <c r="H1511" s="6">
        <v>0</v>
      </c>
      <c r="I1511" s="22">
        <v>21543.599999999999</v>
      </c>
      <c r="J1511" s="24">
        <f t="shared" si="69"/>
        <v>1.4927823136986083E-4</v>
      </c>
      <c r="K1511" s="25">
        <f t="shared" si="71"/>
        <v>0.78517884248284397</v>
      </c>
      <c r="L1511" s="26" t="s">
        <v>7516</v>
      </c>
      <c r="M1511" s="28"/>
      <c r="N1511" s="28"/>
      <c r="O1511" s="20" t="s">
        <v>7530</v>
      </c>
      <c r="P1511" s="27" t="str">
        <f t="shared" si="70"/>
        <v>vermelho</v>
      </c>
    </row>
    <row r="1512" spans="1:16" ht="25.5">
      <c r="A1512" s="3" t="s">
        <v>4</v>
      </c>
      <c r="B1512" s="3" t="s">
        <v>888</v>
      </c>
      <c r="C1512" s="4">
        <v>267</v>
      </c>
      <c r="D1512" s="3" t="s">
        <v>125</v>
      </c>
      <c r="E1512" s="3" t="s">
        <v>16</v>
      </c>
      <c r="F1512" s="5">
        <v>480</v>
      </c>
      <c r="G1512" s="5">
        <v>396</v>
      </c>
      <c r="H1512" s="6">
        <v>29634.3</v>
      </c>
      <c r="I1512" s="22">
        <v>21513.42</v>
      </c>
      <c r="J1512" s="24">
        <f t="shared" si="69"/>
        <v>1.4906911046979108E-4</v>
      </c>
      <c r="K1512" s="25">
        <f t="shared" si="71"/>
        <v>0.78532791159331372</v>
      </c>
      <c r="L1512" s="26" t="s">
        <v>7516</v>
      </c>
      <c r="M1512" s="28"/>
      <c r="N1512" s="28"/>
      <c r="O1512" s="20" t="s">
        <v>7530</v>
      </c>
      <c r="P1512" s="27" t="str">
        <f t="shared" si="70"/>
        <v>vermelho</v>
      </c>
    </row>
    <row r="1513" spans="1:16" ht="25.5">
      <c r="A1513" s="3" t="s">
        <v>4</v>
      </c>
      <c r="B1513" s="3" t="s">
        <v>889</v>
      </c>
      <c r="C1513" s="4">
        <v>297</v>
      </c>
      <c r="D1513" s="3" t="s">
        <v>115</v>
      </c>
      <c r="E1513" s="3" t="s">
        <v>41</v>
      </c>
      <c r="F1513" s="5">
        <v>384</v>
      </c>
      <c r="G1513" s="5">
        <v>360</v>
      </c>
      <c r="H1513" s="6">
        <v>23313.599999999999</v>
      </c>
      <c r="I1513" s="22">
        <v>21500.19</v>
      </c>
      <c r="J1513" s="24">
        <f t="shared" si="69"/>
        <v>1.4897743818655972E-4</v>
      </c>
      <c r="K1513" s="25">
        <f t="shared" si="71"/>
        <v>0.78547688903150026</v>
      </c>
      <c r="L1513" s="26" t="s">
        <v>7516</v>
      </c>
      <c r="M1513" s="28"/>
      <c r="N1513" s="28"/>
      <c r="O1513" s="20" t="s">
        <v>7530</v>
      </c>
      <c r="P1513" s="27" t="str">
        <f t="shared" si="70"/>
        <v>vermelho</v>
      </c>
    </row>
    <row r="1514" spans="1:16" ht="25.5">
      <c r="A1514" s="3" t="s">
        <v>6263</v>
      </c>
      <c r="B1514" s="3" t="s">
        <v>6264</v>
      </c>
      <c r="C1514" s="4">
        <v>316</v>
      </c>
      <c r="D1514" s="3" t="s">
        <v>247</v>
      </c>
      <c r="E1514" s="3" t="s">
        <v>10</v>
      </c>
      <c r="F1514" s="5">
        <v>372</v>
      </c>
      <c r="G1514" s="5">
        <v>357</v>
      </c>
      <c r="H1514" s="6">
        <v>16308</v>
      </c>
      <c r="I1514" s="22">
        <v>21479.279999999999</v>
      </c>
      <c r="J1514" s="24">
        <f t="shared" si="69"/>
        <v>1.4883255024684936E-4</v>
      </c>
      <c r="K1514" s="25">
        <f t="shared" si="71"/>
        <v>0.78562572158174715</v>
      </c>
      <c r="L1514" s="26" t="s">
        <v>7516</v>
      </c>
      <c r="M1514" s="28"/>
      <c r="N1514" s="28"/>
      <c r="O1514" s="20" t="s">
        <v>7530</v>
      </c>
      <c r="P1514" s="27" t="str">
        <f t="shared" si="70"/>
        <v>vermelho</v>
      </c>
    </row>
    <row r="1515" spans="1:16" ht="25.5">
      <c r="A1515" s="3" t="s">
        <v>4</v>
      </c>
      <c r="B1515" s="3" t="s">
        <v>890</v>
      </c>
      <c r="C1515" s="4">
        <v>74</v>
      </c>
      <c r="D1515" s="3" t="s">
        <v>6</v>
      </c>
      <c r="E1515" s="3" t="s">
        <v>7</v>
      </c>
      <c r="F1515" s="5">
        <v>294</v>
      </c>
      <c r="G1515" s="5">
        <v>360</v>
      </c>
      <c r="H1515" s="6">
        <v>16612.169999999998</v>
      </c>
      <c r="I1515" s="22">
        <v>21460.86</v>
      </c>
      <c r="J1515" s="24">
        <f t="shared" si="69"/>
        <v>1.4870491582076308E-4</v>
      </c>
      <c r="K1515" s="25">
        <f t="shared" si="71"/>
        <v>0.7857744264975679</v>
      </c>
      <c r="L1515" s="26" t="s">
        <v>7516</v>
      </c>
      <c r="M1515" s="28"/>
      <c r="N1515" s="28"/>
      <c r="O1515" s="20">
        <v>12406.08</v>
      </c>
      <c r="P1515" s="27" t="str">
        <f t="shared" si="70"/>
        <v>laranja</v>
      </c>
    </row>
    <row r="1516" spans="1:16" ht="25.5">
      <c r="A1516" s="3" t="s">
        <v>4</v>
      </c>
      <c r="B1516" s="3" t="s">
        <v>891</v>
      </c>
      <c r="C1516" s="4">
        <v>31</v>
      </c>
      <c r="D1516" s="3" t="s">
        <v>194</v>
      </c>
      <c r="E1516" s="3" t="s">
        <v>16</v>
      </c>
      <c r="F1516" s="5">
        <v>204</v>
      </c>
      <c r="G1516" s="5">
        <v>372</v>
      </c>
      <c r="H1516" s="6">
        <v>9526.92</v>
      </c>
      <c r="I1516" s="22">
        <v>21457.14</v>
      </c>
      <c r="J1516" s="24">
        <f t="shared" si="69"/>
        <v>1.4867913948715607E-4</v>
      </c>
      <c r="K1516" s="25">
        <f t="shared" si="71"/>
        <v>0.78592310563705503</v>
      </c>
      <c r="L1516" s="26" t="s">
        <v>7516</v>
      </c>
      <c r="M1516" s="28"/>
      <c r="N1516" s="28">
        <v>8.4019929923631081E-2</v>
      </c>
      <c r="O1516" s="20">
        <v>8362.7800000000007</v>
      </c>
      <c r="P1516" s="27" t="str">
        <f t="shared" si="70"/>
        <v>amarelo</v>
      </c>
    </row>
    <row r="1517" spans="1:16" ht="25.5">
      <c r="A1517" s="3" t="s">
        <v>4</v>
      </c>
      <c r="B1517" s="3" t="s">
        <v>892</v>
      </c>
      <c r="C1517" s="4">
        <v>19</v>
      </c>
      <c r="D1517" s="3" t="s">
        <v>72</v>
      </c>
      <c r="E1517" s="3" t="s">
        <v>41</v>
      </c>
      <c r="F1517" s="5">
        <v>222</v>
      </c>
      <c r="G1517" s="5">
        <v>348</v>
      </c>
      <c r="H1517" s="6">
        <v>12306.66</v>
      </c>
      <c r="I1517" s="22">
        <v>21439.1</v>
      </c>
      <c r="J1517" s="24">
        <f t="shared" si="69"/>
        <v>1.4855413812740596E-4</v>
      </c>
      <c r="K1517" s="25">
        <f t="shared" si="71"/>
        <v>0.78607165977518245</v>
      </c>
      <c r="L1517" s="26" t="s">
        <v>7516</v>
      </c>
      <c r="M1517" s="28"/>
      <c r="N1517" s="28"/>
      <c r="O1517" s="20">
        <v>6053.49</v>
      </c>
      <c r="P1517" s="27" t="str">
        <f t="shared" si="70"/>
        <v>amarelo</v>
      </c>
    </row>
    <row r="1518" spans="1:16" ht="25.5">
      <c r="A1518" s="3" t="s">
        <v>4</v>
      </c>
      <c r="B1518" s="3" t="s">
        <v>893</v>
      </c>
      <c r="C1518" s="4">
        <v>218</v>
      </c>
      <c r="D1518" s="3" t="s">
        <v>104</v>
      </c>
      <c r="E1518" s="3" t="s">
        <v>16</v>
      </c>
      <c r="F1518" s="5">
        <v>480</v>
      </c>
      <c r="G1518" s="5">
        <v>360</v>
      </c>
      <c r="H1518" s="6">
        <v>23060.28</v>
      </c>
      <c r="I1518" s="22">
        <v>21428.28</v>
      </c>
      <c r="J1518" s="24">
        <f t="shared" si="69"/>
        <v>1.4847916502804364E-4</v>
      </c>
      <c r="K1518" s="25">
        <f t="shared" si="71"/>
        <v>0.78622013894021048</v>
      </c>
      <c r="L1518" s="26" t="s">
        <v>7516</v>
      </c>
      <c r="M1518" s="28"/>
      <c r="N1518" s="28"/>
      <c r="O1518" s="20" t="s">
        <v>7530</v>
      </c>
      <c r="P1518" s="27" t="str">
        <f t="shared" si="70"/>
        <v>vermelho</v>
      </c>
    </row>
    <row r="1519" spans="1:16" ht="25.5">
      <c r="A1519" s="3" t="s">
        <v>4</v>
      </c>
      <c r="B1519" s="3" t="s">
        <v>894</v>
      </c>
      <c r="C1519" s="4">
        <v>53</v>
      </c>
      <c r="D1519" s="3" t="s">
        <v>34</v>
      </c>
      <c r="E1519" s="3" t="s">
        <v>16</v>
      </c>
      <c r="F1519" s="5">
        <v>0</v>
      </c>
      <c r="G1519" s="5">
        <v>360</v>
      </c>
      <c r="H1519" s="6">
        <v>0</v>
      </c>
      <c r="I1519" s="22">
        <v>21394.44</v>
      </c>
      <c r="J1519" s="24">
        <f t="shared" si="69"/>
        <v>1.4824468354168315E-4</v>
      </c>
      <c r="K1519" s="25">
        <f t="shared" si="71"/>
        <v>0.78636838362375217</v>
      </c>
      <c r="L1519" s="26" t="s">
        <v>7516</v>
      </c>
      <c r="M1519" s="28"/>
      <c r="N1519" s="28"/>
      <c r="O1519" s="20" t="s">
        <v>7530</v>
      </c>
      <c r="P1519" s="27" t="str">
        <f t="shared" si="70"/>
        <v>vermelho</v>
      </c>
    </row>
    <row r="1520" spans="1:16" ht="25.5">
      <c r="A1520" s="3" t="s">
        <v>4</v>
      </c>
      <c r="B1520" s="3" t="s">
        <v>895</v>
      </c>
      <c r="C1520" s="4">
        <v>297</v>
      </c>
      <c r="D1520" s="3" t="s">
        <v>115</v>
      </c>
      <c r="E1520" s="3" t="s">
        <v>41</v>
      </c>
      <c r="F1520" s="5">
        <v>78</v>
      </c>
      <c r="G1520" s="5">
        <v>318</v>
      </c>
      <c r="H1520" s="6">
        <v>4667.616</v>
      </c>
      <c r="I1520" s="22">
        <v>21383.346000000001</v>
      </c>
      <c r="J1520" s="24">
        <f t="shared" si="69"/>
        <v>1.4816781186291001E-4</v>
      </c>
      <c r="K1520" s="25">
        <f t="shared" si="71"/>
        <v>0.78651655143561505</v>
      </c>
      <c r="L1520" s="26" t="s">
        <v>7516</v>
      </c>
      <c r="M1520" s="28"/>
      <c r="N1520" s="28"/>
      <c r="O1520" s="20" t="s">
        <v>7530</v>
      </c>
      <c r="P1520" s="27" t="str">
        <f t="shared" si="70"/>
        <v>vermelho</v>
      </c>
    </row>
    <row r="1521" spans="1:16" ht="25.5">
      <c r="A1521" s="3" t="s">
        <v>4</v>
      </c>
      <c r="B1521" s="3" t="s">
        <v>896</v>
      </c>
      <c r="C1521" s="4">
        <v>261</v>
      </c>
      <c r="D1521" s="3" t="s">
        <v>9</v>
      </c>
      <c r="E1521" s="3" t="s">
        <v>10</v>
      </c>
      <c r="F1521" s="5">
        <v>0</v>
      </c>
      <c r="G1521" s="5">
        <v>372</v>
      </c>
      <c r="H1521" s="6">
        <v>0</v>
      </c>
      <c r="I1521" s="22">
        <v>21372.3</v>
      </c>
      <c r="J1521" s="24">
        <f t="shared" si="69"/>
        <v>1.4809127278198986E-4</v>
      </c>
      <c r="K1521" s="25">
        <f t="shared" si="71"/>
        <v>0.78666464270839709</v>
      </c>
      <c r="L1521" s="26" t="s">
        <v>7516</v>
      </c>
      <c r="M1521" s="28"/>
      <c r="N1521" s="28"/>
      <c r="O1521" s="20" t="s">
        <v>7530</v>
      </c>
      <c r="P1521" s="27" t="str">
        <f t="shared" si="70"/>
        <v>vermelho</v>
      </c>
    </row>
    <row r="1522" spans="1:16" ht="38.25">
      <c r="A1522" s="3" t="s">
        <v>4</v>
      </c>
      <c r="B1522" s="3" t="s">
        <v>897</v>
      </c>
      <c r="C1522" s="4">
        <v>143</v>
      </c>
      <c r="D1522" s="3" t="s">
        <v>44</v>
      </c>
      <c r="E1522" s="3" t="s">
        <v>41</v>
      </c>
      <c r="F1522" s="5">
        <v>312</v>
      </c>
      <c r="G1522" s="5">
        <v>348</v>
      </c>
      <c r="H1522" s="6">
        <v>17096.88</v>
      </c>
      <c r="I1522" s="22">
        <v>21351.84</v>
      </c>
      <c r="J1522" s="24">
        <f t="shared" si="69"/>
        <v>1.4794950294715132E-4</v>
      </c>
      <c r="K1522" s="25">
        <f t="shared" si="71"/>
        <v>0.78681259221134425</v>
      </c>
      <c r="L1522" s="26" t="s">
        <v>7516</v>
      </c>
      <c r="M1522" s="28"/>
      <c r="N1522" s="28">
        <v>-7.9428489878476359E-3</v>
      </c>
      <c r="O1522" s="20">
        <v>5781.24</v>
      </c>
      <c r="P1522" s="27" t="str">
        <f t="shared" si="70"/>
        <v>amarelo</v>
      </c>
    </row>
    <row r="1523" spans="1:16" ht="25.5">
      <c r="A1523" s="3" t="s">
        <v>4</v>
      </c>
      <c r="B1523" s="3" t="s">
        <v>898</v>
      </c>
      <c r="C1523" s="4">
        <v>321</v>
      </c>
      <c r="D1523" s="3" t="s">
        <v>136</v>
      </c>
      <c r="E1523" s="3" t="s">
        <v>41</v>
      </c>
      <c r="F1523" s="5">
        <v>0</v>
      </c>
      <c r="G1523" s="5">
        <v>342</v>
      </c>
      <c r="H1523" s="6">
        <v>0</v>
      </c>
      <c r="I1523" s="22">
        <v>21346.86</v>
      </c>
      <c r="J1523" s="24">
        <f t="shared" si="69"/>
        <v>1.4791499591990323E-4</v>
      </c>
      <c r="K1523" s="25">
        <f t="shared" si="71"/>
        <v>0.78696050720726418</v>
      </c>
      <c r="L1523" s="26" t="s">
        <v>7516</v>
      </c>
      <c r="M1523" s="28"/>
      <c r="N1523" s="28"/>
      <c r="O1523" s="20" t="s">
        <v>7530</v>
      </c>
      <c r="P1523" s="27" t="str">
        <f t="shared" si="70"/>
        <v>vermelho</v>
      </c>
    </row>
    <row r="1524" spans="1:16" ht="38.25">
      <c r="A1524" s="3" t="s">
        <v>4</v>
      </c>
      <c r="B1524" s="3" t="s">
        <v>899</v>
      </c>
      <c r="C1524" s="4">
        <v>38</v>
      </c>
      <c r="D1524" s="3" t="s">
        <v>184</v>
      </c>
      <c r="E1524" s="3" t="s">
        <v>49</v>
      </c>
      <c r="F1524" s="5">
        <v>177</v>
      </c>
      <c r="G1524" s="5">
        <v>408</v>
      </c>
      <c r="H1524" s="6">
        <v>7921.17</v>
      </c>
      <c r="I1524" s="22">
        <v>21344.28</v>
      </c>
      <c r="J1524" s="24">
        <f t="shared" si="69"/>
        <v>1.478971187853048E-4</v>
      </c>
      <c r="K1524" s="25">
        <f t="shared" si="71"/>
        <v>0.78710840432604945</v>
      </c>
      <c r="L1524" s="26" t="s">
        <v>7516</v>
      </c>
      <c r="M1524" s="28"/>
      <c r="N1524" s="28"/>
      <c r="O1524" s="20">
        <v>2403.2399999999998</v>
      </c>
      <c r="P1524" s="27" t="str">
        <f t="shared" si="70"/>
        <v>amarelo</v>
      </c>
    </row>
    <row r="1525" spans="1:16" ht="25.5">
      <c r="A1525" s="3" t="s">
        <v>4</v>
      </c>
      <c r="B1525" s="3" t="s">
        <v>900</v>
      </c>
      <c r="C1525" s="4">
        <v>61</v>
      </c>
      <c r="D1525" s="3" t="s">
        <v>48</v>
      </c>
      <c r="E1525" s="3" t="s">
        <v>49</v>
      </c>
      <c r="F1525" s="5">
        <v>396</v>
      </c>
      <c r="G1525" s="5">
        <v>330</v>
      </c>
      <c r="H1525" s="6">
        <v>22029.38</v>
      </c>
      <c r="I1525" s="22">
        <v>21339.3</v>
      </c>
      <c r="J1525" s="24">
        <f t="shared" si="69"/>
        <v>1.4786261175805674E-4</v>
      </c>
      <c r="K1525" s="25">
        <f t="shared" si="71"/>
        <v>0.78725626693780748</v>
      </c>
      <c r="L1525" s="26" t="s">
        <v>7516</v>
      </c>
      <c r="M1525" s="28">
        <v>3.0820513100168756E-2</v>
      </c>
      <c r="N1525" s="28"/>
      <c r="O1525" s="20">
        <v>21969</v>
      </c>
      <c r="P1525" s="27" t="str">
        <f t="shared" si="70"/>
        <v>verde</v>
      </c>
    </row>
    <row r="1526" spans="1:16" ht="25.5">
      <c r="A1526" s="3" t="s">
        <v>4</v>
      </c>
      <c r="B1526" s="3" t="s">
        <v>901</v>
      </c>
      <c r="C1526" s="4">
        <v>178</v>
      </c>
      <c r="D1526" s="3" t="s">
        <v>74</v>
      </c>
      <c r="E1526" s="3" t="s">
        <v>7</v>
      </c>
      <c r="F1526" s="5">
        <v>219</v>
      </c>
      <c r="G1526" s="5">
        <v>312</v>
      </c>
      <c r="H1526" s="6">
        <v>14139.12</v>
      </c>
      <c r="I1526" s="22">
        <v>21325.439999999999</v>
      </c>
      <c r="J1526" s="24">
        <f t="shared" si="69"/>
        <v>1.4776657412800482E-4</v>
      </c>
      <c r="K1526" s="25">
        <f t="shared" si="71"/>
        <v>0.78740403351193544</v>
      </c>
      <c r="L1526" s="26" t="s">
        <v>7516</v>
      </c>
      <c r="M1526" s="28"/>
      <c r="N1526" s="28"/>
      <c r="O1526" s="20">
        <v>6572.64</v>
      </c>
      <c r="P1526" s="27" t="str">
        <f t="shared" si="70"/>
        <v>amarelo</v>
      </c>
    </row>
    <row r="1527" spans="1:16" ht="25.5">
      <c r="A1527" s="3" t="s">
        <v>4</v>
      </c>
      <c r="B1527" s="3" t="s">
        <v>902</v>
      </c>
      <c r="C1527" s="4">
        <v>167</v>
      </c>
      <c r="D1527" s="3" t="s">
        <v>251</v>
      </c>
      <c r="E1527" s="3" t="s">
        <v>49</v>
      </c>
      <c r="F1527" s="5">
        <v>420</v>
      </c>
      <c r="G1527" s="5">
        <v>357</v>
      </c>
      <c r="H1527" s="6">
        <v>24065.07</v>
      </c>
      <c r="I1527" s="22">
        <v>21323.73</v>
      </c>
      <c r="J1527" s="24">
        <f t="shared" si="69"/>
        <v>1.4775472532949194E-4</v>
      </c>
      <c r="K1527" s="25">
        <f t="shared" si="71"/>
        <v>0.7875517882372649</v>
      </c>
      <c r="L1527" s="26" t="s">
        <v>7516</v>
      </c>
      <c r="M1527" s="28"/>
      <c r="N1527" s="28"/>
      <c r="O1527" s="20">
        <v>12762.84</v>
      </c>
      <c r="P1527" s="27" t="str">
        <f t="shared" si="70"/>
        <v>laranja</v>
      </c>
    </row>
    <row r="1528" spans="1:16" ht="25.5">
      <c r="A1528" s="3" t="s">
        <v>4</v>
      </c>
      <c r="B1528" s="3" t="s">
        <v>903</v>
      </c>
      <c r="C1528" s="4">
        <v>23</v>
      </c>
      <c r="D1528" s="3" t="s">
        <v>87</v>
      </c>
      <c r="E1528" s="3" t="s">
        <v>7</v>
      </c>
      <c r="F1528" s="5">
        <v>171</v>
      </c>
      <c r="G1528" s="5">
        <v>357</v>
      </c>
      <c r="H1528" s="6">
        <v>10191.297</v>
      </c>
      <c r="I1528" s="22">
        <v>21318.829000000002</v>
      </c>
      <c r="J1528" s="24">
        <f t="shared" si="69"/>
        <v>1.4772076570287692E-4</v>
      </c>
      <c r="K1528" s="25">
        <f t="shared" si="71"/>
        <v>0.78769950900296781</v>
      </c>
      <c r="L1528" s="26" t="s">
        <v>7516</v>
      </c>
      <c r="M1528" s="28"/>
      <c r="N1528" s="28">
        <v>5.3743812919155552E-2</v>
      </c>
      <c r="O1528" s="20">
        <v>5535.96</v>
      </c>
      <c r="P1528" s="27" t="str">
        <f t="shared" si="70"/>
        <v>amarelo</v>
      </c>
    </row>
    <row r="1529" spans="1:16" ht="25.5">
      <c r="A1529" s="3" t="s">
        <v>4</v>
      </c>
      <c r="B1529" s="3" t="s">
        <v>904</v>
      </c>
      <c r="C1529" s="4">
        <v>19</v>
      </c>
      <c r="D1529" s="3" t="s">
        <v>72</v>
      </c>
      <c r="E1529" s="3" t="s">
        <v>41</v>
      </c>
      <c r="F1529" s="5">
        <v>129</v>
      </c>
      <c r="G1529" s="5">
        <v>375</v>
      </c>
      <c r="H1529" s="6">
        <v>5791.2</v>
      </c>
      <c r="I1529" s="22">
        <v>21313.68</v>
      </c>
      <c r="J1529" s="24">
        <f t="shared" si="69"/>
        <v>1.476850876540214E-4</v>
      </c>
      <c r="K1529" s="25">
        <f t="shared" si="71"/>
        <v>0.78784719409062187</v>
      </c>
      <c r="L1529" s="26" t="s">
        <v>7516</v>
      </c>
      <c r="M1529" s="28"/>
      <c r="N1529" s="28"/>
      <c r="O1529" s="20">
        <v>10519</v>
      </c>
      <c r="P1529" s="27" t="str">
        <f t="shared" si="70"/>
        <v>amarelo</v>
      </c>
    </row>
    <row r="1530" spans="1:16">
      <c r="A1530" s="3" t="s">
        <v>4</v>
      </c>
      <c r="B1530" s="3" t="s">
        <v>905</v>
      </c>
      <c r="C1530" s="4">
        <v>232</v>
      </c>
      <c r="D1530" s="3" t="s">
        <v>174</v>
      </c>
      <c r="E1530" s="3" t="s">
        <v>16</v>
      </c>
      <c r="F1530" s="5">
        <v>348</v>
      </c>
      <c r="G1530" s="5">
        <v>348</v>
      </c>
      <c r="H1530" s="6">
        <v>19640.580000000002</v>
      </c>
      <c r="I1530" s="22">
        <v>21310.2</v>
      </c>
      <c r="J1530" s="24">
        <f t="shared" si="69"/>
        <v>1.4766097430967936E-4</v>
      </c>
      <c r="K1530" s="25">
        <f t="shared" si="71"/>
        <v>0.7879948550649315</v>
      </c>
      <c r="L1530" s="26" t="s">
        <v>7516</v>
      </c>
      <c r="M1530" s="28"/>
      <c r="N1530" s="28"/>
      <c r="O1530" s="20" t="s">
        <v>7530</v>
      </c>
      <c r="P1530" s="27" t="str">
        <f t="shared" si="70"/>
        <v>vermelho</v>
      </c>
    </row>
    <row r="1531" spans="1:16" ht="38.25">
      <c r="A1531" s="3" t="s">
        <v>4</v>
      </c>
      <c r="B1531" s="3" t="s">
        <v>906</v>
      </c>
      <c r="C1531" s="4">
        <v>327</v>
      </c>
      <c r="D1531" s="3" t="s">
        <v>100</v>
      </c>
      <c r="E1531" s="3" t="s">
        <v>7</v>
      </c>
      <c r="F1531" s="5">
        <v>519</v>
      </c>
      <c r="G1531" s="5">
        <v>324</v>
      </c>
      <c r="H1531" s="6">
        <v>30196.77</v>
      </c>
      <c r="I1531" s="22">
        <v>21298.62</v>
      </c>
      <c r="J1531" s="24">
        <f t="shared" si="69"/>
        <v>1.4758073507764463E-4</v>
      </c>
      <c r="K1531" s="25">
        <f t="shared" si="71"/>
        <v>0.78814243580000909</v>
      </c>
      <c r="L1531" s="26" t="s">
        <v>7516</v>
      </c>
      <c r="M1531" s="28"/>
      <c r="N1531" s="28"/>
      <c r="O1531" s="20" t="s">
        <v>7530</v>
      </c>
      <c r="P1531" s="27" t="str">
        <f t="shared" si="70"/>
        <v>vermelho</v>
      </c>
    </row>
    <row r="1532" spans="1:16" ht="25.5">
      <c r="A1532" s="3" t="s">
        <v>4</v>
      </c>
      <c r="B1532" s="3" t="s">
        <v>907</v>
      </c>
      <c r="C1532" s="4">
        <v>217</v>
      </c>
      <c r="D1532" s="3" t="s">
        <v>91</v>
      </c>
      <c r="E1532" s="3" t="s">
        <v>16</v>
      </c>
      <c r="F1532" s="5">
        <v>300</v>
      </c>
      <c r="G1532" s="5">
        <v>372</v>
      </c>
      <c r="H1532" s="6">
        <v>14727.48</v>
      </c>
      <c r="I1532" s="22">
        <v>21291.99</v>
      </c>
      <c r="J1532" s="24">
        <f t="shared" si="69"/>
        <v>1.4753479499919991E-4</v>
      </c>
      <c r="K1532" s="25">
        <f t="shared" si="71"/>
        <v>0.78828997059500827</v>
      </c>
      <c r="L1532" s="26" t="s">
        <v>7516</v>
      </c>
      <c r="M1532" s="28"/>
      <c r="N1532" s="28"/>
      <c r="O1532" s="20">
        <v>7622.28</v>
      </c>
      <c r="P1532" s="27" t="str">
        <f t="shared" si="70"/>
        <v>amarelo</v>
      </c>
    </row>
    <row r="1533" spans="1:16" ht="25.5">
      <c r="A1533" s="3" t="s">
        <v>4</v>
      </c>
      <c r="B1533" s="3" t="s">
        <v>908</v>
      </c>
      <c r="C1533" s="4">
        <v>178</v>
      </c>
      <c r="D1533" s="3" t="s">
        <v>74</v>
      </c>
      <c r="E1533" s="3" t="s">
        <v>7</v>
      </c>
      <c r="F1533" s="5">
        <v>249</v>
      </c>
      <c r="G1533" s="5">
        <v>321</v>
      </c>
      <c r="H1533" s="6">
        <v>13872.51</v>
      </c>
      <c r="I1533" s="22">
        <v>21272.73</v>
      </c>
      <c r="J1533" s="24">
        <f t="shared" si="69"/>
        <v>1.4740134011068622E-4</v>
      </c>
      <c r="K1533" s="25">
        <f t="shared" si="71"/>
        <v>0.78843737193511898</v>
      </c>
      <c r="L1533" s="26" t="s">
        <v>7516</v>
      </c>
      <c r="M1533" s="28">
        <v>-0.11008557220171868</v>
      </c>
      <c r="N1533" s="28"/>
      <c r="O1533" s="20">
        <v>3116.04</v>
      </c>
      <c r="P1533" s="27" t="str">
        <f t="shared" si="70"/>
        <v>amarelo</v>
      </c>
    </row>
    <row r="1534" spans="1:16" ht="25.5">
      <c r="A1534" s="3" t="s">
        <v>4</v>
      </c>
      <c r="B1534" s="3" t="s">
        <v>909</v>
      </c>
      <c r="C1534" s="4">
        <v>321</v>
      </c>
      <c r="D1534" s="3" t="s">
        <v>136</v>
      </c>
      <c r="E1534" s="3" t="s">
        <v>41</v>
      </c>
      <c r="F1534" s="5">
        <v>591</v>
      </c>
      <c r="G1534" s="5">
        <v>399</v>
      </c>
      <c r="H1534" s="6">
        <v>29057.402999999998</v>
      </c>
      <c r="I1534" s="22">
        <v>21248.988000000001</v>
      </c>
      <c r="J1534" s="24">
        <f t="shared" si="69"/>
        <v>1.4723682889764925E-4</v>
      </c>
      <c r="K1534" s="25">
        <f t="shared" si="71"/>
        <v>0.78858460876401659</v>
      </c>
      <c r="L1534" s="26" t="s">
        <v>7516</v>
      </c>
      <c r="M1534" s="28"/>
      <c r="N1534" s="28"/>
      <c r="O1534" s="20">
        <v>15309.55</v>
      </c>
      <c r="P1534" s="27" t="str">
        <f t="shared" si="70"/>
        <v>laranja</v>
      </c>
    </row>
    <row r="1535" spans="1:16" ht="38.25">
      <c r="A1535" s="3" t="s">
        <v>4</v>
      </c>
      <c r="B1535" s="3" t="s">
        <v>910</v>
      </c>
      <c r="C1535" s="4">
        <v>38</v>
      </c>
      <c r="D1535" s="3" t="s">
        <v>184</v>
      </c>
      <c r="E1535" s="3" t="s">
        <v>49</v>
      </c>
      <c r="F1535" s="5">
        <v>156</v>
      </c>
      <c r="G1535" s="5">
        <v>321</v>
      </c>
      <c r="H1535" s="6">
        <v>9390.66</v>
      </c>
      <c r="I1535" s="22">
        <v>21239.01</v>
      </c>
      <c r="J1535" s="24">
        <f t="shared" si="69"/>
        <v>1.4716769011895818E-4</v>
      </c>
      <c r="K1535" s="25">
        <f t="shared" si="71"/>
        <v>0.7887317764541355</v>
      </c>
      <c r="L1535" s="26" t="s">
        <v>7516</v>
      </c>
      <c r="M1535" s="28"/>
      <c r="N1535" s="28"/>
      <c r="O1535" s="20" t="s">
        <v>7530</v>
      </c>
      <c r="P1535" s="27" t="str">
        <f t="shared" si="70"/>
        <v>vermelho</v>
      </c>
    </row>
    <row r="1536" spans="1:16" ht="25.5">
      <c r="A1536" s="3" t="s">
        <v>4</v>
      </c>
      <c r="B1536" s="3" t="s">
        <v>911</v>
      </c>
      <c r="C1536" s="4">
        <v>218</v>
      </c>
      <c r="D1536" s="3" t="s">
        <v>104</v>
      </c>
      <c r="E1536" s="3" t="s">
        <v>16</v>
      </c>
      <c r="F1536" s="5">
        <v>210</v>
      </c>
      <c r="G1536" s="5">
        <v>375</v>
      </c>
      <c r="H1536" s="6">
        <v>10717.86</v>
      </c>
      <c r="I1536" s="22">
        <v>21202.86</v>
      </c>
      <c r="J1536" s="24">
        <f t="shared" si="69"/>
        <v>1.4691720236092239E-4</v>
      </c>
      <c r="K1536" s="25">
        <f t="shared" si="71"/>
        <v>0.78887869365649643</v>
      </c>
      <c r="L1536" s="26" t="s">
        <v>7516</v>
      </c>
      <c r="M1536" s="28"/>
      <c r="N1536" s="28"/>
      <c r="O1536" s="20" t="s">
        <v>7530</v>
      </c>
      <c r="P1536" s="27" t="str">
        <f t="shared" si="70"/>
        <v>vermelho</v>
      </c>
    </row>
    <row r="1537" spans="1:16" ht="25.5">
      <c r="A1537" s="3" t="s">
        <v>6265</v>
      </c>
      <c r="B1537" s="3" t="s">
        <v>6266</v>
      </c>
      <c r="C1537" s="4">
        <v>39</v>
      </c>
      <c r="D1537" s="3" t="s">
        <v>26</v>
      </c>
      <c r="E1537" s="3" t="s">
        <v>13</v>
      </c>
      <c r="F1537" s="5">
        <v>0</v>
      </c>
      <c r="G1537" s="5">
        <v>345</v>
      </c>
      <c r="H1537" s="6">
        <v>0</v>
      </c>
      <c r="I1537" s="22">
        <v>21188.25</v>
      </c>
      <c r="J1537" s="24">
        <f t="shared" si="69"/>
        <v>1.4681596788941744E-4</v>
      </c>
      <c r="K1537" s="25">
        <f t="shared" si="71"/>
        <v>0.78902550962438589</v>
      </c>
      <c r="L1537" s="26" t="s">
        <v>7516</v>
      </c>
      <c r="M1537" s="28"/>
      <c r="N1537" s="28"/>
      <c r="O1537" s="20" t="s">
        <v>7530</v>
      </c>
      <c r="P1537" s="27" t="str">
        <f t="shared" si="70"/>
        <v>vermelho</v>
      </c>
    </row>
    <row r="1538" spans="1:16" ht="25.5">
      <c r="A1538" s="3" t="s">
        <v>6267</v>
      </c>
      <c r="B1538" s="3" t="s">
        <v>6268</v>
      </c>
      <c r="C1538" s="4">
        <v>208</v>
      </c>
      <c r="D1538" s="3" t="s">
        <v>15</v>
      </c>
      <c r="E1538" s="3" t="s">
        <v>16</v>
      </c>
      <c r="F1538" s="5">
        <v>444</v>
      </c>
      <c r="G1538" s="5">
        <v>360</v>
      </c>
      <c r="H1538" s="6">
        <v>23217.119999999999</v>
      </c>
      <c r="I1538" s="22">
        <v>21175.32</v>
      </c>
      <c r="J1538" s="24">
        <f t="shared" si="69"/>
        <v>1.4672637434276728E-4</v>
      </c>
      <c r="K1538" s="25">
        <f t="shared" si="71"/>
        <v>0.78917223599872866</v>
      </c>
      <c r="L1538" s="26" t="s">
        <v>7516</v>
      </c>
      <c r="M1538" s="28"/>
      <c r="N1538" s="28"/>
      <c r="O1538" s="20">
        <v>9839.0400000000009</v>
      </c>
      <c r="P1538" s="27" t="str">
        <f t="shared" si="70"/>
        <v>amarelo</v>
      </c>
    </row>
    <row r="1539" spans="1:16" ht="25.5">
      <c r="A1539" s="3" t="s">
        <v>6269</v>
      </c>
      <c r="B1539" s="3" t="s">
        <v>6270</v>
      </c>
      <c r="C1539" s="4">
        <v>178</v>
      </c>
      <c r="D1539" s="3" t="s">
        <v>74</v>
      </c>
      <c r="E1539" s="3" t="s">
        <v>7</v>
      </c>
      <c r="F1539" s="5">
        <v>0</v>
      </c>
      <c r="G1539" s="5">
        <v>540</v>
      </c>
      <c r="H1539" s="6">
        <v>0</v>
      </c>
      <c r="I1539" s="22">
        <v>21174.6</v>
      </c>
      <c r="J1539" s="24">
        <f t="shared" ref="J1539:J1602" si="72">I1539/$I$6364</f>
        <v>1.4672138537497238E-4</v>
      </c>
      <c r="K1539" s="25">
        <f t="shared" si="71"/>
        <v>0.78931895738410363</v>
      </c>
      <c r="L1539" s="26" t="s">
        <v>7516</v>
      </c>
      <c r="M1539" s="28"/>
      <c r="N1539" s="28"/>
      <c r="O1539" s="20" t="s">
        <v>7530</v>
      </c>
      <c r="P1539" s="27" t="str">
        <f t="shared" ref="P1539:P1602" si="73">IF(O1539&lt;=0,"vermelho",IFERROR(IF(O1539/I1539&lt;=0.5098,"amarelo",IF(O1539/I1539&lt;1,"laranja","verde")),"vermelho"))</f>
        <v>vermelho</v>
      </c>
    </row>
    <row r="1540" spans="1:16" ht="25.5">
      <c r="A1540" s="3" t="s">
        <v>6271</v>
      </c>
      <c r="B1540" s="3" t="s">
        <v>6272</v>
      </c>
      <c r="C1540" s="4">
        <v>74</v>
      </c>
      <c r="D1540" s="3" t="s">
        <v>6</v>
      </c>
      <c r="E1540" s="3" t="s">
        <v>7</v>
      </c>
      <c r="F1540" s="5">
        <v>1875</v>
      </c>
      <c r="G1540" s="5">
        <v>282</v>
      </c>
      <c r="H1540" s="6">
        <v>122619.81</v>
      </c>
      <c r="I1540" s="22">
        <v>21171</v>
      </c>
      <c r="J1540" s="24">
        <f t="shared" si="72"/>
        <v>1.4669644053599785E-4</v>
      </c>
      <c r="K1540" s="25">
        <f t="shared" ref="K1540:K1603" si="74">J1540+K1539</f>
        <v>0.78946565382463962</v>
      </c>
      <c r="L1540" s="26" t="s">
        <v>7516</v>
      </c>
      <c r="M1540" s="28"/>
      <c r="N1540" s="28"/>
      <c r="O1540" s="20">
        <v>21171</v>
      </c>
      <c r="P1540" s="27" t="str">
        <f t="shared" si="73"/>
        <v>verde</v>
      </c>
    </row>
    <row r="1541" spans="1:16">
      <c r="A1541" s="3" t="s">
        <v>4</v>
      </c>
      <c r="B1541" s="3" t="s">
        <v>912</v>
      </c>
      <c r="C1541" s="4">
        <v>232</v>
      </c>
      <c r="D1541" s="3" t="s">
        <v>174</v>
      </c>
      <c r="E1541" s="3" t="s">
        <v>16</v>
      </c>
      <c r="F1541" s="5">
        <v>180</v>
      </c>
      <c r="G1541" s="5">
        <v>369</v>
      </c>
      <c r="H1541" s="6">
        <v>10192.92</v>
      </c>
      <c r="I1541" s="22">
        <v>21168.81</v>
      </c>
      <c r="J1541" s="24">
        <f t="shared" si="72"/>
        <v>1.4668126575895503E-4</v>
      </c>
      <c r="K1541" s="25">
        <f t="shared" si="74"/>
        <v>0.78961233509039863</v>
      </c>
      <c r="L1541" s="26" t="s">
        <v>7516</v>
      </c>
      <c r="M1541" s="28"/>
      <c r="N1541" s="28"/>
      <c r="O1541" s="20">
        <v>13217.31</v>
      </c>
      <c r="P1541" s="27" t="str">
        <f t="shared" si="73"/>
        <v>laranja</v>
      </c>
    </row>
    <row r="1542" spans="1:16" ht="25.5">
      <c r="A1542" s="3" t="s">
        <v>4</v>
      </c>
      <c r="B1542" s="3" t="s">
        <v>913</v>
      </c>
      <c r="C1542" s="4">
        <v>194</v>
      </c>
      <c r="D1542" s="3" t="s">
        <v>145</v>
      </c>
      <c r="E1542" s="3" t="s">
        <v>16</v>
      </c>
      <c r="F1542" s="5">
        <v>246</v>
      </c>
      <c r="G1542" s="5">
        <v>336</v>
      </c>
      <c r="H1542" s="6">
        <v>14626.65</v>
      </c>
      <c r="I1542" s="22">
        <v>21151.98</v>
      </c>
      <c r="J1542" s="24">
        <f t="shared" si="72"/>
        <v>1.4656464863674914E-4</v>
      </c>
      <c r="K1542" s="25">
        <f t="shared" si="74"/>
        <v>0.78975889973903535</v>
      </c>
      <c r="L1542" s="26" t="s">
        <v>7516</v>
      </c>
      <c r="M1542" s="28"/>
      <c r="N1542" s="28"/>
      <c r="O1542" s="20">
        <v>6254.22</v>
      </c>
      <c r="P1542" s="27" t="str">
        <f t="shared" si="73"/>
        <v>amarelo</v>
      </c>
    </row>
    <row r="1543" spans="1:16" ht="25.5">
      <c r="A1543" s="3" t="s">
        <v>6273</v>
      </c>
      <c r="B1543" s="3" t="s">
        <v>6274</v>
      </c>
      <c r="C1543" s="4">
        <v>320</v>
      </c>
      <c r="D1543" s="3" t="s">
        <v>218</v>
      </c>
      <c r="E1543" s="3" t="s">
        <v>49</v>
      </c>
      <c r="F1543" s="5">
        <v>0</v>
      </c>
      <c r="G1543" s="5">
        <v>324</v>
      </c>
      <c r="H1543" s="6">
        <v>0</v>
      </c>
      <c r="I1543" s="22">
        <v>21146.16</v>
      </c>
      <c r="J1543" s="24">
        <f t="shared" si="72"/>
        <v>1.4652432114707365E-4</v>
      </c>
      <c r="K1543" s="25">
        <f t="shared" si="74"/>
        <v>0.78990542406018238</v>
      </c>
      <c r="L1543" s="26" t="s">
        <v>7516</v>
      </c>
      <c r="M1543" s="28"/>
      <c r="N1543" s="28"/>
      <c r="O1543" s="20" t="s">
        <v>7530</v>
      </c>
      <c r="P1543" s="27" t="str">
        <f t="shared" si="73"/>
        <v>vermelho</v>
      </c>
    </row>
    <row r="1544" spans="1:16" ht="25.5">
      <c r="A1544" s="3" t="s">
        <v>4</v>
      </c>
      <c r="B1544" s="3" t="s">
        <v>914</v>
      </c>
      <c r="C1544" s="4">
        <v>337</v>
      </c>
      <c r="D1544" s="3" t="s">
        <v>202</v>
      </c>
      <c r="E1544" s="3" t="s">
        <v>16</v>
      </c>
      <c r="F1544" s="5">
        <v>480</v>
      </c>
      <c r="G1544" s="5">
        <v>456</v>
      </c>
      <c r="H1544" s="6">
        <v>21537.599999999999</v>
      </c>
      <c r="I1544" s="22">
        <v>21106.799999999999</v>
      </c>
      <c r="J1544" s="24">
        <f t="shared" si="72"/>
        <v>1.4625159090761889E-4</v>
      </c>
      <c r="K1544" s="25">
        <f t="shared" si="74"/>
        <v>0.79005167565109002</v>
      </c>
      <c r="L1544" s="26" t="s">
        <v>7516</v>
      </c>
      <c r="M1544" s="28"/>
      <c r="N1544" s="28"/>
      <c r="O1544" s="20">
        <v>23107.183000000001</v>
      </c>
      <c r="P1544" s="27" t="str">
        <f t="shared" si="73"/>
        <v>verde</v>
      </c>
    </row>
    <row r="1545" spans="1:16" ht="25.5">
      <c r="A1545" s="3" t="s">
        <v>4</v>
      </c>
      <c r="B1545" s="3" t="s">
        <v>915</v>
      </c>
      <c r="C1545" s="4">
        <v>299</v>
      </c>
      <c r="D1545" s="3" t="s">
        <v>111</v>
      </c>
      <c r="E1545" s="3" t="s">
        <v>49</v>
      </c>
      <c r="F1545" s="5">
        <v>327</v>
      </c>
      <c r="G1545" s="5">
        <v>327</v>
      </c>
      <c r="H1545" s="6">
        <v>19952.238000000001</v>
      </c>
      <c r="I1545" s="22">
        <v>21105.06</v>
      </c>
      <c r="J1545" s="24">
        <f t="shared" si="72"/>
        <v>1.4623953423544789E-4</v>
      </c>
      <c r="K1545" s="25">
        <f t="shared" si="74"/>
        <v>0.79019791518532545</v>
      </c>
      <c r="L1545" s="26" t="s">
        <v>7516</v>
      </c>
      <c r="M1545" s="28"/>
      <c r="N1545" s="28"/>
      <c r="O1545" s="20">
        <v>4854.24</v>
      </c>
      <c r="P1545" s="27" t="str">
        <f t="shared" si="73"/>
        <v>amarelo</v>
      </c>
    </row>
    <row r="1546" spans="1:16" ht="38.25">
      <c r="A1546" s="3" t="s">
        <v>4</v>
      </c>
      <c r="B1546" s="3" t="s">
        <v>916</v>
      </c>
      <c r="C1546" s="4">
        <v>45</v>
      </c>
      <c r="D1546" s="3" t="s">
        <v>23</v>
      </c>
      <c r="E1546" s="3" t="s">
        <v>7</v>
      </c>
      <c r="F1546" s="5">
        <v>921</v>
      </c>
      <c r="G1546" s="5">
        <v>336</v>
      </c>
      <c r="H1546" s="6">
        <v>57643.697999999997</v>
      </c>
      <c r="I1546" s="22">
        <v>21093</v>
      </c>
      <c r="J1546" s="24">
        <f t="shared" si="72"/>
        <v>1.4615596902488323E-4</v>
      </c>
      <c r="K1546" s="25">
        <f t="shared" si="74"/>
        <v>0.79034407115435035</v>
      </c>
      <c r="L1546" s="26" t="s">
        <v>7516</v>
      </c>
      <c r="M1546" s="28"/>
      <c r="N1546" s="28"/>
      <c r="O1546" s="20">
        <v>24074.22</v>
      </c>
      <c r="P1546" s="27" t="str">
        <f t="shared" si="73"/>
        <v>verde</v>
      </c>
    </row>
    <row r="1547" spans="1:16" ht="25.5">
      <c r="A1547" s="3" t="s">
        <v>4</v>
      </c>
      <c r="B1547" s="3" t="s">
        <v>917</v>
      </c>
      <c r="C1547" s="4">
        <v>266</v>
      </c>
      <c r="D1547" s="3" t="s">
        <v>80</v>
      </c>
      <c r="E1547" s="3" t="s">
        <v>10</v>
      </c>
      <c r="F1547" s="5">
        <v>0</v>
      </c>
      <c r="G1547" s="5">
        <v>351</v>
      </c>
      <c r="H1547" s="6">
        <v>0</v>
      </c>
      <c r="I1547" s="22">
        <v>21076.080000000002</v>
      </c>
      <c r="J1547" s="24">
        <f t="shared" si="72"/>
        <v>1.4603872828170298E-4</v>
      </c>
      <c r="K1547" s="25">
        <f t="shared" si="74"/>
        <v>0.79049010988263202</v>
      </c>
      <c r="L1547" s="26" t="s">
        <v>7516</v>
      </c>
      <c r="M1547" s="28"/>
      <c r="N1547" s="28"/>
      <c r="O1547" s="20" t="s">
        <v>7530</v>
      </c>
      <c r="P1547" s="27" t="str">
        <f t="shared" si="73"/>
        <v>vermelho</v>
      </c>
    </row>
    <row r="1548" spans="1:16" ht="25.5">
      <c r="A1548" s="3" t="s">
        <v>6275</v>
      </c>
      <c r="B1548" s="3" t="s">
        <v>6276</v>
      </c>
      <c r="C1548" s="4">
        <v>23</v>
      </c>
      <c r="D1548" s="3" t="s">
        <v>87</v>
      </c>
      <c r="E1548" s="3" t="s">
        <v>7</v>
      </c>
      <c r="F1548" s="5">
        <v>618</v>
      </c>
      <c r="G1548" s="5">
        <v>327</v>
      </c>
      <c r="H1548" s="6">
        <v>34417.74</v>
      </c>
      <c r="I1548" s="22">
        <v>21059.73</v>
      </c>
      <c r="J1548" s="24">
        <f t="shared" si="72"/>
        <v>1.4592543713802704E-4</v>
      </c>
      <c r="K1548" s="25">
        <f t="shared" si="74"/>
        <v>0.79063603531977</v>
      </c>
      <c r="L1548" s="26" t="s">
        <v>7516</v>
      </c>
      <c r="M1548" s="28"/>
      <c r="N1548" s="28"/>
      <c r="O1548" s="20">
        <v>9054</v>
      </c>
      <c r="P1548" s="27" t="str">
        <f t="shared" si="73"/>
        <v>amarelo</v>
      </c>
    </row>
    <row r="1549" spans="1:16" ht="25.5">
      <c r="A1549" s="3" t="s">
        <v>4</v>
      </c>
      <c r="B1549" s="3" t="s">
        <v>918</v>
      </c>
      <c r="C1549" s="4">
        <v>217</v>
      </c>
      <c r="D1549" s="3" t="s">
        <v>91</v>
      </c>
      <c r="E1549" s="3" t="s">
        <v>16</v>
      </c>
      <c r="F1549" s="5">
        <v>372</v>
      </c>
      <c r="G1549" s="5">
        <v>390</v>
      </c>
      <c r="H1549" s="6">
        <v>16204.74</v>
      </c>
      <c r="I1549" s="22">
        <v>21054.42</v>
      </c>
      <c r="J1549" s="24">
        <f t="shared" si="72"/>
        <v>1.4588864350053961E-4</v>
      </c>
      <c r="K1549" s="25">
        <f t="shared" si="74"/>
        <v>0.79078192396327052</v>
      </c>
      <c r="L1549" s="26" t="s">
        <v>7516</v>
      </c>
      <c r="M1549" s="28"/>
      <c r="N1549" s="28"/>
      <c r="O1549" s="20" t="s">
        <v>7530</v>
      </c>
      <c r="P1549" s="27" t="str">
        <f t="shared" si="73"/>
        <v>vermelho</v>
      </c>
    </row>
    <row r="1550" spans="1:16" ht="25.5">
      <c r="A1550" s="3" t="s">
        <v>4</v>
      </c>
      <c r="B1550" s="3" t="s">
        <v>919</v>
      </c>
      <c r="C1550" s="4">
        <v>15</v>
      </c>
      <c r="D1550" s="3" t="s">
        <v>18</v>
      </c>
      <c r="E1550" s="3" t="s">
        <v>16</v>
      </c>
      <c r="F1550" s="5">
        <v>312</v>
      </c>
      <c r="G1550" s="5">
        <v>333</v>
      </c>
      <c r="H1550" s="6">
        <v>18697.5</v>
      </c>
      <c r="I1550" s="22">
        <v>21050.94</v>
      </c>
      <c r="J1550" s="24">
        <f t="shared" si="72"/>
        <v>1.4586453015619756E-4</v>
      </c>
      <c r="K1550" s="25">
        <f t="shared" si="74"/>
        <v>0.79092778849342671</v>
      </c>
      <c r="L1550" s="26" t="s">
        <v>7516</v>
      </c>
      <c r="M1550" s="28"/>
      <c r="N1550" s="28"/>
      <c r="O1550" s="20" t="s">
        <v>7530</v>
      </c>
      <c r="P1550" s="27" t="str">
        <f t="shared" si="73"/>
        <v>vermelho</v>
      </c>
    </row>
    <row r="1551" spans="1:16" ht="25.5">
      <c r="A1551" s="3" t="s">
        <v>4</v>
      </c>
      <c r="B1551" s="3" t="s">
        <v>920</v>
      </c>
      <c r="C1551" s="4">
        <v>240</v>
      </c>
      <c r="D1551" s="3" t="s">
        <v>69</v>
      </c>
      <c r="E1551" s="3" t="s">
        <v>16</v>
      </c>
      <c r="F1551" s="5">
        <v>186</v>
      </c>
      <c r="G1551" s="5">
        <v>366</v>
      </c>
      <c r="H1551" s="6">
        <v>9733.5</v>
      </c>
      <c r="I1551" s="22">
        <v>21045.39</v>
      </c>
      <c r="J1551" s="24">
        <f t="shared" si="72"/>
        <v>1.4582607352944517E-4</v>
      </c>
      <c r="K1551" s="25">
        <f t="shared" si="74"/>
        <v>0.79107361456695613</v>
      </c>
      <c r="L1551" s="26" t="s">
        <v>7516</v>
      </c>
      <c r="M1551" s="28"/>
      <c r="N1551" s="28"/>
      <c r="O1551" s="20" t="s">
        <v>7530</v>
      </c>
      <c r="P1551" s="27" t="str">
        <f t="shared" si="73"/>
        <v>vermelho</v>
      </c>
    </row>
    <row r="1552" spans="1:16">
      <c r="A1552" s="3" t="s">
        <v>6277</v>
      </c>
      <c r="B1552" s="3" t="s">
        <v>6278</v>
      </c>
      <c r="C1552" s="4">
        <v>231</v>
      </c>
      <c r="D1552" s="3" t="s">
        <v>52</v>
      </c>
      <c r="E1552" s="3" t="s">
        <v>7</v>
      </c>
      <c r="F1552" s="5">
        <v>0</v>
      </c>
      <c r="G1552" s="5">
        <v>300</v>
      </c>
      <c r="H1552" s="6">
        <v>0</v>
      </c>
      <c r="I1552" s="22">
        <v>21027</v>
      </c>
      <c r="J1552" s="24">
        <f t="shared" si="72"/>
        <v>1.45698646977017E-4</v>
      </c>
      <c r="K1552" s="25">
        <f t="shared" si="74"/>
        <v>0.79121931321393313</v>
      </c>
      <c r="L1552" s="26" t="s">
        <v>7516</v>
      </c>
      <c r="M1552" s="28"/>
      <c r="N1552" s="28"/>
      <c r="O1552" s="20" t="s">
        <v>7530</v>
      </c>
      <c r="P1552" s="27" t="str">
        <f t="shared" si="73"/>
        <v>vermelho</v>
      </c>
    </row>
    <row r="1553" spans="1:16" ht="25.5">
      <c r="A1553" s="3" t="s">
        <v>4</v>
      </c>
      <c r="B1553" s="3" t="s">
        <v>921</v>
      </c>
      <c r="C1553" s="4">
        <v>320</v>
      </c>
      <c r="D1553" s="3" t="s">
        <v>218</v>
      </c>
      <c r="E1553" s="3" t="s">
        <v>49</v>
      </c>
      <c r="F1553" s="5">
        <v>144</v>
      </c>
      <c r="G1553" s="5">
        <v>342</v>
      </c>
      <c r="H1553" s="6">
        <v>8054.28</v>
      </c>
      <c r="I1553" s="22">
        <v>20972.94</v>
      </c>
      <c r="J1553" s="24">
        <f t="shared" si="72"/>
        <v>1.4532405864508294E-4</v>
      </c>
      <c r="K1553" s="25">
        <f t="shared" si="74"/>
        <v>0.79136463727257822</v>
      </c>
      <c r="L1553" s="26" t="s">
        <v>7516</v>
      </c>
      <c r="M1553" s="28"/>
      <c r="N1553" s="28"/>
      <c r="O1553" s="20" t="s">
        <v>7530</v>
      </c>
      <c r="P1553" s="27" t="str">
        <f t="shared" si="73"/>
        <v>vermelho</v>
      </c>
    </row>
    <row r="1554" spans="1:16" ht="25.5">
      <c r="A1554" s="3" t="s">
        <v>4</v>
      </c>
      <c r="B1554" s="3" t="s">
        <v>922</v>
      </c>
      <c r="C1554" s="4">
        <v>197</v>
      </c>
      <c r="D1554" s="3" t="s">
        <v>66</v>
      </c>
      <c r="E1554" s="3" t="s">
        <v>41</v>
      </c>
      <c r="F1554" s="5">
        <v>228</v>
      </c>
      <c r="G1554" s="5">
        <v>297</v>
      </c>
      <c r="H1554" s="6">
        <v>14387.58</v>
      </c>
      <c r="I1554" s="22">
        <v>20971.080000000002</v>
      </c>
      <c r="J1554" s="24">
        <f t="shared" si="72"/>
        <v>1.4531117047827946E-4</v>
      </c>
      <c r="K1554" s="25">
        <f t="shared" si="74"/>
        <v>0.79150994844305655</v>
      </c>
      <c r="L1554" s="26" t="s">
        <v>7516</v>
      </c>
      <c r="M1554" s="28"/>
      <c r="N1554" s="28"/>
      <c r="O1554" s="20" t="s">
        <v>7530</v>
      </c>
      <c r="P1554" s="27" t="str">
        <f t="shared" si="73"/>
        <v>vermelho</v>
      </c>
    </row>
    <row r="1555" spans="1:16">
      <c r="A1555" s="3" t="s">
        <v>6279</v>
      </c>
      <c r="B1555" s="3" t="s">
        <v>6280</v>
      </c>
      <c r="C1555" s="4">
        <v>240</v>
      </c>
      <c r="D1555" s="3" t="s">
        <v>69</v>
      </c>
      <c r="E1555" s="3" t="s">
        <v>16</v>
      </c>
      <c r="F1555" s="5">
        <v>300</v>
      </c>
      <c r="G1555" s="5">
        <v>369</v>
      </c>
      <c r="H1555" s="6">
        <v>15261.84</v>
      </c>
      <c r="I1555" s="22">
        <v>20967.36</v>
      </c>
      <c r="J1555" s="24">
        <f t="shared" si="72"/>
        <v>1.4528539414467243E-4</v>
      </c>
      <c r="K1555" s="25">
        <f t="shared" si="74"/>
        <v>0.79165523383720127</v>
      </c>
      <c r="L1555" s="26" t="s">
        <v>7516</v>
      </c>
      <c r="M1555" s="28"/>
      <c r="N1555" s="28"/>
      <c r="O1555" s="20" t="s">
        <v>7530</v>
      </c>
      <c r="P1555" s="27" t="str">
        <f t="shared" si="73"/>
        <v>vermelho</v>
      </c>
    </row>
    <row r="1556" spans="1:16" ht="38.25">
      <c r="A1556" s="3" t="s">
        <v>4</v>
      </c>
      <c r="B1556" s="3" t="s">
        <v>923</v>
      </c>
      <c r="C1556" s="4">
        <v>38</v>
      </c>
      <c r="D1556" s="3" t="s">
        <v>184</v>
      </c>
      <c r="E1556" s="3" t="s">
        <v>49</v>
      </c>
      <c r="F1556" s="5">
        <v>402</v>
      </c>
      <c r="G1556" s="5">
        <v>372</v>
      </c>
      <c r="H1556" s="6">
        <v>24888.5</v>
      </c>
      <c r="I1556" s="22">
        <v>20967.03</v>
      </c>
      <c r="J1556" s="24">
        <f t="shared" si="72"/>
        <v>1.4528310753443308E-4</v>
      </c>
      <c r="K1556" s="25">
        <f t="shared" si="74"/>
        <v>0.79180051694473574</v>
      </c>
      <c r="L1556" s="26" t="s">
        <v>7516</v>
      </c>
      <c r="M1556" s="28"/>
      <c r="N1556" s="28"/>
      <c r="O1556" s="20" t="s">
        <v>7530</v>
      </c>
      <c r="P1556" s="27" t="str">
        <f t="shared" si="73"/>
        <v>vermelho</v>
      </c>
    </row>
    <row r="1557" spans="1:16" ht="25.5">
      <c r="A1557" s="3" t="s">
        <v>4</v>
      </c>
      <c r="B1557" s="3" t="s">
        <v>924</v>
      </c>
      <c r="C1557" s="4">
        <v>194</v>
      </c>
      <c r="D1557" s="3" t="s">
        <v>145</v>
      </c>
      <c r="E1557" s="3" t="s">
        <v>16</v>
      </c>
      <c r="F1557" s="5">
        <v>621</v>
      </c>
      <c r="G1557" s="5">
        <v>348</v>
      </c>
      <c r="H1557" s="6">
        <v>34074.870000000003</v>
      </c>
      <c r="I1557" s="22">
        <v>20937.12</v>
      </c>
      <c r="J1557" s="24">
        <f t="shared" si="72"/>
        <v>1.4507585749728644E-4</v>
      </c>
      <c r="K1557" s="25">
        <f t="shared" si="74"/>
        <v>0.79194559280223298</v>
      </c>
      <c r="L1557" s="26" t="s">
        <v>7516</v>
      </c>
      <c r="M1557" s="28"/>
      <c r="N1557" s="28"/>
      <c r="O1557" s="20">
        <v>10393.620000000001</v>
      </c>
      <c r="P1557" s="27" t="str">
        <f t="shared" si="73"/>
        <v>amarelo</v>
      </c>
    </row>
    <row r="1558" spans="1:16" ht="25.5">
      <c r="A1558" s="3" t="s">
        <v>6281</v>
      </c>
      <c r="B1558" s="3" t="s">
        <v>6282</v>
      </c>
      <c r="C1558" s="4">
        <v>93</v>
      </c>
      <c r="D1558" s="3" t="s">
        <v>20</v>
      </c>
      <c r="E1558" s="3" t="s">
        <v>7</v>
      </c>
      <c r="F1558" s="5">
        <v>438</v>
      </c>
      <c r="G1558" s="5">
        <v>348</v>
      </c>
      <c r="H1558" s="6">
        <v>24720.984</v>
      </c>
      <c r="I1558" s="22">
        <v>20936.25</v>
      </c>
      <c r="J1558" s="24">
        <f t="shared" si="72"/>
        <v>1.4506982916120094E-4</v>
      </c>
      <c r="K1558" s="25">
        <f t="shared" si="74"/>
        <v>0.79209066263139416</v>
      </c>
      <c r="L1558" s="26" t="s">
        <v>7516</v>
      </c>
      <c r="M1558" s="28"/>
      <c r="N1558" s="28"/>
      <c r="O1558" s="20">
        <v>10652.07</v>
      </c>
      <c r="P1558" s="27" t="str">
        <f t="shared" si="73"/>
        <v>amarelo</v>
      </c>
    </row>
    <row r="1559" spans="1:16" ht="25.5">
      <c r="A1559" s="3" t="s">
        <v>4</v>
      </c>
      <c r="B1559" s="3" t="s">
        <v>925</v>
      </c>
      <c r="C1559" s="4">
        <v>315</v>
      </c>
      <c r="D1559" s="3" t="s">
        <v>63</v>
      </c>
      <c r="E1559" s="3" t="s">
        <v>7</v>
      </c>
      <c r="F1559" s="5">
        <v>51</v>
      </c>
      <c r="G1559" s="5">
        <v>342</v>
      </c>
      <c r="H1559" s="6">
        <v>2883.03</v>
      </c>
      <c r="I1559" s="22">
        <v>20926.223000000002</v>
      </c>
      <c r="J1559" s="24">
        <f t="shared" si="72"/>
        <v>1.4500035085553497E-4</v>
      </c>
      <c r="K1559" s="25">
        <f t="shared" si="74"/>
        <v>0.79223566298224968</v>
      </c>
      <c r="L1559" s="26" t="s">
        <v>7516</v>
      </c>
      <c r="M1559" s="28"/>
      <c r="N1559" s="28"/>
      <c r="O1559" s="20">
        <v>12911.172</v>
      </c>
      <c r="P1559" s="27" t="str">
        <f t="shared" si="73"/>
        <v>laranja</v>
      </c>
    </row>
    <row r="1560" spans="1:16" ht="25.5">
      <c r="A1560" s="3" t="s">
        <v>4</v>
      </c>
      <c r="B1560" s="3" t="s">
        <v>926</v>
      </c>
      <c r="C1560" s="4">
        <v>273</v>
      </c>
      <c r="D1560" s="3" t="s">
        <v>149</v>
      </c>
      <c r="E1560" s="3" t="s">
        <v>16</v>
      </c>
      <c r="F1560" s="5">
        <v>156</v>
      </c>
      <c r="G1560" s="5">
        <v>387</v>
      </c>
      <c r="H1560" s="6">
        <v>9019.32</v>
      </c>
      <c r="I1560" s="22">
        <v>20875.867999999999</v>
      </c>
      <c r="J1560" s="24">
        <f t="shared" si="72"/>
        <v>1.4465143492037883E-4</v>
      </c>
      <c r="K1560" s="25">
        <f t="shared" si="74"/>
        <v>0.79238031441717005</v>
      </c>
      <c r="L1560" s="26" t="s">
        <v>7516</v>
      </c>
      <c r="M1560" s="28"/>
      <c r="N1560" s="28"/>
      <c r="O1560" s="20">
        <v>5741.9539999999997</v>
      </c>
      <c r="P1560" s="27" t="str">
        <f t="shared" si="73"/>
        <v>amarelo</v>
      </c>
    </row>
    <row r="1561" spans="1:16" ht="25.5">
      <c r="A1561" s="3" t="s">
        <v>6283</v>
      </c>
      <c r="B1561" s="3" t="s">
        <v>6284</v>
      </c>
      <c r="C1561" s="4">
        <v>317</v>
      </c>
      <c r="D1561" s="3" t="s">
        <v>78</v>
      </c>
      <c r="E1561" s="3" t="s">
        <v>10</v>
      </c>
      <c r="F1561" s="5">
        <v>1470</v>
      </c>
      <c r="G1561" s="5">
        <v>462</v>
      </c>
      <c r="H1561" s="6">
        <v>73659.3</v>
      </c>
      <c r="I1561" s="22">
        <v>20853.78</v>
      </c>
      <c r="J1561" s="24">
        <f t="shared" si="72"/>
        <v>1.4449838447502629E-4</v>
      </c>
      <c r="K1561" s="25">
        <f t="shared" si="74"/>
        <v>0.79252481280164511</v>
      </c>
      <c r="L1561" s="26" t="s">
        <v>7516</v>
      </c>
      <c r="M1561" s="28"/>
      <c r="N1561" s="28"/>
      <c r="O1561" s="20" t="s">
        <v>7530</v>
      </c>
      <c r="P1561" s="27" t="str">
        <f t="shared" si="73"/>
        <v>vermelho</v>
      </c>
    </row>
    <row r="1562" spans="1:16" ht="25.5">
      <c r="A1562" s="3" t="s">
        <v>4</v>
      </c>
      <c r="B1562" s="3" t="s">
        <v>927</v>
      </c>
      <c r="C1562" s="4">
        <v>261</v>
      </c>
      <c r="D1562" s="3" t="s">
        <v>9</v>
      </c>
      <c r="E1562" s="3" t="s">
        <v>10</v>
      </c>
      <c r="F1562" s="5">
        <v>324</v>
      </c>
      <c r="G1562" s="5">
        <v>384</v>
      </c>
      <c r="H1562" s="6">
        <v>18477.57</v>
      </c>
      <c r="I1562" s="22">
        <v>20848.560000000001</v>
      </c>
      <c r="J1562" s="24">
        <f t="shared" si="72"/>
        <v>1.4446221445851324E-4</v>
      </c>
      <c r="K1562" s="25">
        <f t="shared" si="74"/>
        <v>0.79266927501610362</v>
      </c>
      <c r="L1562" s="26" t="s">
        <v>7516</v>
      </c>
      <c r="M1562" s="28"/>
      <c r="N1562" s="28"/>
      <c r="O1562" s="20">
        <v>8890.44</v>
      </c>
      <c r="P1562" s="27" t="str">
        <f t="shared" si="73"/>
        <v>amarelo</v>
      </c>
    </row>
    <row r="1563" spans="1:16" ht="25.5">
      <c r="A1563" s="3" t="s">
        <v>4</v>
      </c>
      <c r="B1563" s="3" t="s">
        <v>928</v>
      </c>
      <c r="C1563" s="4">
        <v>317</v>
      </c>
      <c r="D1563" s="3" t="s">
        <v>78</v>
      </c>
      <c r="E1563" s="3" t="s">
        <v>10</v>
      </c>
      <c r="F1563" s="5">
        <v>207</v>
      </c>
      <c r="G1563" s="5">
        <v>324</v>
      </c>
      <c r="H1563" s="6">
        <v>13475.22</v>
      </c>
      <c r="I1563" s="22">
        <v>20834.28</v>
      </c>
      <c r="J1563" s="24">
        <f t="shared" si="72"/>
        <v>1.4436326659724761E-4</v>
      </c>
      <c r="K1563" s="25">
        <f t="shared" si="74"/>
        <v>0.79281363828270091</v>
      </c>
      <c r="L1563" s="26" t="s">
        <v>7516</v>
      </c>
      <c r="M1563" s="28"/>
      <c r="N1563" s="28"/>
      <c r="O1563" s="20">
        <v>7121.16</v>
      </c>
      <c r="P1563" s="27" t="str">
        <f t="shared" si="73"/>
        <v>amarelo</v>
      </c>
    </row>
    <row r="1564" spans="1:16" ht="25.5">
      <c r="A1564" s="3" t="s">
        <v>4</v>
      </c>
      <c r="B1564" s="3" t="s">
        <v>929</v>
      </c>
      <c r="C1564" s="4">
        <v>299</v>
      </c>
      <c r="D1564" s="3" t="s">
        <v>111</v>
      </c>
      <c r="E1564" s="3" t="s">
        <v>49</v>
      </c>
      <c r="F1564" s="5">
        <v>198</v>
      </c>
      <c r="G1564" s="5">
        <v>312</v>
      </c>
      <c r="H1564" s="6">
        <v>11187.78</v>
      </c>
      <c r="I1564" s="22">
        <v>20829.330000000002</v>
      </c>
      <c r="J1564" s="24">
        <f t="shared" si="72"/>
        <v>1.4432896744365767E-4</v>
      </c>
      <c r="K1564" s="25">
        <f t="shared" si="74"/>
        <v>0.79295796725014456</v>
      </c>
      <c r="L1564" s="26" t="s">
        <v>7516</v>
      </c>
      <c r="M1564" s="28"/>
      <c r="N1564" s="28"/>
      <c r="O1564" s="20" t="s">
        <v>7530</v>
      </c>
      <c r="P1564" s="27" t="str">
        <f t="shared" si="73"/>
        <v>vermelho</v>
      </c>
    </row>
    <row r="1565" spans="1:16" ht="25.5">
      <c r="A1565" s="3" t="s">
        <v>6285</v>
      </c>
      <c r="B1565" s="3" t="s">
        <v>6286</v>
      </c>
      <c r="C1565" s="4">
        <v>320</v>
      </c>
      <c r="D1565" s="3" t="s">
        <v>218</v>
      </c>
      <c r="E1565" s="3" t="s">
        <v>49</v>
      </c>
      <c r="F1565" s="5">
        <v>300</v>
      </c>
      <c r="G1565" s="5">
        <v>372</v>
      </c>
      <c r="H1565" s="6">
        <v>16214.573</v>
      </c>
      <c r="I1565" s="22">
        <v>20826.240000000002</v>
      </c>
      <c r="J1565" s="24">
        <f t="shared" si="72"/>
        <v>1.4430755645687121E-4</v>
      </c>
      <c r="K1565" s="25">
        <f t="shared" si="74"/>
        <v>0.79310227480660145</v>
      </c>
      <c r="L1565" s="26" t="s">
        <v>7516</v>
      </c>
      <c r="M1565" s="28"/>
      <c r="N1565" s="28"/>
      <c r="O1565" s="20" t="s">
        <v>7530</v>
      </c>
      <c r="P1565" s="27" t="str">
        <f t="shared" si="73"/>
        <v>vermelho</v>
      </c>
    </row>
    <row r="1566" spans="1:16" ht="25.5">
      <c r="A1566" s="3" t="s">
        <v>6287</v>
      </c>
      <c r="B1566" s="3" t="s">
        <v>6288</v>
      </c>
      <c r="C1566" s="4">
        <v>328</v>
      </c>
      <c r="D1566" s="3" t="s">
        <v>215</v>
      </c>
      <c r="E1566" s="3" t="s">
        <v>41</v>
      </c>
      <c r="F1566" s="5">
        <v>147</v>
      </c>
      <c r="G1566" s="5">
        <v>351</v>
      </c>
      <c r="H1566" s="6">
        <v>6713.9549999999999</v>
      </c>
      <c r="I1566" s="22">
        <v>20821.11</v>
      </c>
      <c r="J1566" s="24">
        <f t="shared" si="72"/>
        <v>1.4427201006133249E-4</v>
      </c>
      <c r="K1566" s="25">
        <f t="shared" si="74"/>
        <v>0.79324654681666273</v>
      </c>
      <c r="L1566" s="26" t="s">
        <v>7516</v>
      </c>
      <c r="M1566" s="28"/>
      <c r="N1566" s="28"/>
      <c r="O1566" s="20" t="s">
        <v>7530</v>
      </c>
      <c r="P1566" s="27" t="str">
        <f t="shared" si="73"/>
        <v>vermelho</v>
      </c>
    </row>
    <row r="1567" spans="1:16" ht="25.5">
      <c r="A1567" s="3" t="s">
        <v>4</v>
      </c>
      <c r="B1567" s="3" t="s">
        <v>931</v>
      </c>
      <c r="C1567" s="4">
        <v>23</v>
      </c>
      <c r="D1567" s="3" t="s">
        <v>87</v>
      </c>
      <c r="E1567" s="3" t="s">
        <v>7</v>
      </c>
      <c r="F1567" s="5">
        <v>348</v>
      </c>
      <c r="G1567" s="5">
        <v>348</v>
      </c>
      <c r="H1567" s="6">
        <v>20923.955999999998</v>
      </c>
      <c r="I1567" s="22">
        <v>20752.439999999999</v>
      </c>
      <c r="J1567" s="24">
        <f t="shared" si="72"/>
        <v>1.4379618725789351E-4</v>
      </c>
      <c r="K1567" s="25">
        <f t="shared" si="74"/>
        <v>0.79339034300392064</v>
      </c>
      <c r="L1567" s="26" t="s">
        <v>7516</v>
      </c>
      <c r="M1567" s="28"/>
      <c r="N1567" s="28"/>
      <c r="O1567" s="20">
        <v>12880.14</v>
      </c>
      <c r="P1567" s="27" t="str">
        <f t="shared" si="73"/>
        <v>laranja</v>
      </c>
    </row>
    <row r="1568" spans="1:16" ht="25.5">
      <c r="A1568" s="3" t="s">
        <v>4</v>
      </c>
      <c r="B1568" s="3" t="s">
        <v>932</v>
      </c>
      <c r="C1568" s="4">
        <v>74</v>
      </c>
      <c r="D1568" s="3" t="s">
        <v>6</v>
      </c>
      <c r="E1568" s="3" t="s">
        <v>7</v>
      </c>
      <c r="F1568" s="5">
        <v>492</v>
      </c>
      <c r="G1568" s="5">
        <v>312</v>
      </c>
      <c r="H1568" s="6">
        <v>28520.880000000001</v>
      </c>
      <c r="I1568" s="22">
        <v>20749.32</v>
      </c>
      <c r="J1568" s="24">
        <f t="shared" si="72"/>
        <v>1.4377456839744892E-4</v>
      </c>
      <c r="K1568" s="25">
        <f t="shared" si="74"/>
        <v>0.79353411757231807</v>
      </c>
      <c r="L1568" s="26" t="s">
        <v>7516</v>
      </c>
      <c r="M1568" s="28"/>
      <c r="N1568" s="28"/>
      <c r="O1568" s="20" t="s">
        <v>7530</v>
      </c>
      <c r="P1568" s="27" t="str">
        <f t="shared" si="73"/>
        <v>vermelho</v>
      </c>
    </row>
    <row r="1569" spans="1:16" ht="25.5">
      <c r="A1569" s="3" t="s">
        <v>4</v>
      </c>
      <c r="B1569" s="3" t="s">
        <v>933</v>
      </c>
      <c r="C1569" s="4">
        <v>267</v>
      </c>
      <c r="D1569" s="3" t="s">
        <v>125</v>
      </c>
      <c r="E1569" s="3" t="s">
        <v>16</v>
      </c>
      <c r="F1569" s="5">
        <v>216</v>
      </c>
      <c r="G1569" s="5">
        <v>444</v>
      </c>
      <c r="H1569" s="6">
        <v>9089.2800000000007</v>
      </c>
      <c r="I1569" s="22">
        <v>20735.939999999999</v>
      </c>
      <c r="J1569" s="24">
        <f t="shared" si="72"/>
        <v>1.4368185674592694E-4</v>
      </c>
      <c r="K1569" s="25">
        <f t="shared" si="74"/>
        <v>0.79367779942906402</v>
      </c>
      <c r="L1569" s="26" t="s">
        <v>7516</v>
      </c>
      <c r="M1569" s="28"/>
      <c r="N1569" s="28"/>
      <c r="O1569" s="20">
        <v>4781.76</v>
      </c>
      <c r="P1569" s="27" t="str">
        <f t="shared" si="73"/>
        <v>amarelo</v>
      </c>
    </row>
    <row r="1570" spans="1:16" ht="25.5">
      <c r="A1570" s="3" t="s">
        <v>4</v>
      </c>
      <c r="B1570" s="3" t="s">
        <v>934</v>
      </c>
      <c r="C1570" s="4">
        <v>299</v>
      </c>
      <c r="D1570" s="3" t="s">
        <v>111</v>
      </c>
      <c r="E1570" s="3" t="s">
        <v>49</v>
      </c>
      <c r="F1570" s="5">
        <v>84</v>
      </c>
      <c r="G1570" s="5">
        <v>339</v>
      </c>
      <c r="H1570" s="6">
        <v>4487.3999999999996</v>
      </c>
      <c r="I1570" s="22">
        <v>20731.32</v>
      </c>
      <c r="J1570" s="24">
        <f t="shared" si="72"/>
        <v>1.4364984420257631E-4</v>
      </c>
      <c r="K1570" s="25">
        <f t="shared" si="74"/>
        <v>0.79382144927326659</v>
      </c>
      <c r="L1570" s="26" t="s">
        <v>7516</v>
      </c>
      <c r="M1570" s="28"/>
      <c r="N1570" s="28"/>
      <c r="O1570" s="20" t="s">
        <v>7530</v>
      </c>
      <c r="P1570" s="27" t="str">
        <f t="shared" si="73"/>
        <v>vermelho</v>
      </c>
    </row>
    <row r="1571" spans="1:16" ht="25.5">
      <c r="A1571" s="3" t="s">
        <v>4</v>
      </c>
      <c r="B1571" s="3" t="s">
        <v>935</v>
      </c>
      <c r="C1571" s="4">
        <v>31</v>
      </c>
      <c r="D1571" s="3" t="s">
        <v>194</v>
      </c>
      <c r="E1571" s="3" t="s">
        <v>16</v>
      </c>
      <c r="F1571" s="5">
        <v>192</v>
      </c>
      <c r="G1571" s="5">
        <v>354</v>
      </c>
      <c r="H1571" s="6">
        <v>10857.36</v>
      </c>
      <c r="I1571" s="22">
        <v>20725.740000000002</v>
      </c>
      <c r="J1571" s="24">
        <f t="shared" si="72"/>
        <v>1.4361117970216583E-4</v>
      </c>
      <c r="K1571" s="25">
        <f t="shared" si="74"/>
        <v>0.79396506045296877</v>
      </c>
      <c r="L1571" s="26" t="s">
        <v>7516</v>
      </c>
      <c r="M1571" s="28"/>
      <c r="N1571" s="28"/>
      <c r="O1571" s="20">
        <v>12316.56</v>
      </c>
      <c r="P1571" s="27" t="str">
        <f t="shared" si="73"/>
        <v>laranja</v>
      </c>
    </row>
    <row r="1572" spans="1:16" ht="38.25">
      <c r="A1572" s="3" t="s">
        <v>4</v>
      </c>
      <c r="B1572" s="3" t="s">
        <v>936</v>
      </c>
      <c r="C1572" s="4">
        <v>335</v>
      </c>
      <c r="D1572" s="3" t="s">
        <v>36</v>
      </c>
      <c r="E1572" s="3" t="s">
        <v>7</v>
      </c>
      <c r="F1572" s="5">
        <v>0</v>
      </c>
      <c r="G1572" s="5">
        <v>318</v>
      </c>
      <c r="H1572" s="6">
        <v>0</v>
      </c>
      <c r="I1572" s="22">
        <v>20720.400000000001</v>
      </c>
      <c r="J1572" s="24">
        <f t="shared" si="72"/>
        <v>1.4357417819102028E-4</v>
      </c>
      <c r="K1572" s="25">
        <f t="shared" si="74"/>
        <v>0.79410863463115977</v>
      </c>
      <c r="L1572" s="26" t="s">
        <v>7516</v>
      </c>
      <c r="M1572" s="28"/>
      <c r="N1572" s="28"/>
      <c r="O1572" s="20">
        <v>20720.400000000001</v>
      </c>
      <c r="P1572" s="27" t="str">
        <f t="shared" si="73"/>
        <v>verde</v>
      </c>
    </row>
    <row r="1573" spans="1:16" ht="25.5">
      <c r="A1573" s="3" t="s">
        <v>4</v>
      </c>
      <c r="B1573" s="3" t="s">
        <v>937</v>
      </c>
      <c r="C1573" s="4">
        <v>334</v>
      </c>
      <c r="D1573" s="3" t="s">
        <v>531</v>
      </c>
      <c r="E1573" s="3" t="s">
        <v>7</v>
      </c>
      <c r="F1573" s="5">
        <v>0</v>
      </c>
      <c r="G1573" s="5">
        <v>350</v>
      </c>
      <c r="H1573" s="6">
        <v>0</v>
      </c>
      <c r="I1573" s="22">
        <v>20667.087</v>
      </c>
      <c r="J1573" s="24">
        <f t="shared" si="72"/>
        <v>1.4320476591317343E-4</v>
      </c>
      <c r="K1573" s="25">
        <f t="shared" si="74"/>
        <v>0.79425183939707289</v>
      </c>
      <c r="L1573" s="26" t="s">
        <v>7516</v>
      </c>
      <c r="M1573" s="28"/>
      <c r="N1573" s="28"/>
      <c r="O1573" s="20">
        <v>11622.36</v>
      </c>
      <c r="P1573" s="27" t="str">
        <f t="shared" si="73"/>
        <v>laranja</v>
      </c>
    </row>
    <row r="1574" spans="1:16" ht="38.25">
      <c r="A1574" s="3" t="s">
        <v>6289</v>
      </c>
      <c r="B1574" s="3" t="s">
        <v>6290</v>
      </c>
      <c r="C1574" s="4">
        <v>371</v>
      </c>
      <c r="D1574" s="3" t="s">
        <v>82</v>
      </c>
      <c r="E1574" s="3" t="s">
        <v>49</v>
      </c>
      <c r="F1574" s="5">
        <v>516</v>
      </c>
      <c r="G1574" s="5">
        <v>378</v>
      </c>
      <c r="H1574" s="6">
        <v>26712.45</v>
      </c>
      <c r="I1574" s="22">
        <v>20661.101999999999</v>
      </c>
      <c r="J1574" s="24">
        <f t="shared" si="72"/>
        <v>1.4316329511837827E-4</v>
      </c>
      <c r="K1574" s="25">
        <f t="shared" si="74"/>
        <v>0.79439500269219132</v>
      </c>
      <c r="L1574" s="26" t="s">
        <v>7516</v>
      </c>
      <c r="M1574" s="28"/>
      <c r="N1574" s="28"/>
      <c r="O1574" s="20" t="s">
        <v>7530</v>
      </c>
      <c r="P1574" s="27" t="str">
        <f t="shared" si="73"/>
        <v>vermelho</v>
      </c>
    </row>
    <row r="1575" spans="1:16" ht="25.5">
      <c r="A1575" s="3" t="s">
        <v>6291</v>
      </c>
      <c r="B1575" s="3" t="s">
        <v>6292</v>
      </c>
      <c r="C1575" s="4">
        <v>317</v>
      </c>
      <c r="D1575" s="3" t="s">
        <v>78</v>
      </c>
      <c r="E1575" s="3" t="s">
        <v>10</v>
      </c>
      <c r="F1575" s="5">
        <v>0</v>
      </c>
      <c r="G1575" s="5">
        <v>372</v>
      </c>
      <c r="H1575" s="6">
        <v>0</v>
      </c>
      <c r="I1575" s="22">
        <v>20660.28</v>
      </c>
      <c r="J1575" s="24">
        <f t="shared" si="72"/>
        <v>1.4315759938014576E-4</v>
      </c>
      <c r="K1575" s="25">
        <f t="shared" si="74"/>
        <v>0.79453816029157143</v>
      </c>
      <c r="L1575" s="26" t="s">
        <v>7516</v>
      </c>
      <c r="M1575" s="28"/>
      <c r="N1575" s="28"/>
      <c r="O1575" s="20" t="s">
        <v>7530</v>
      </c>
      <c r="P1575" s="27" t="str">
        <f t="shared" si="73"/>
        <v>vermelho</v>
      </c>
    </row>
    <row r="1576" spans="1:16" ht="25.5">
      <c r="A1576" s="3" t="s">
        <v>4</v>
      </c>
      <c r="B1576" s="3" t="s">
        <v>938</v>
      </c>
      <c r="C1576" s="4">
        <v>23</v>
      </c>
      <c r="D1576" s="3" t="s">
        <v>87</v>
      </c>
      <c r="E1576" s="3" t="s">
        <v>7</v>
      </c>
      <c r="F1576" s="5">
        <v>444</v>
      </c>
      <c r="G1576" s="5">
        <v>318</v>
      </c>
      <c r="H1576" s="6">
        <v>26861.22</v>
      </c>
      <c r="I1576" s="22">
        <v>20626.8</v>
      </c>
      <c r="J1576" s="24">
        <f t="shared" si="72"/>
        <v>1.4292561237768271E-4</v>
      </c>
      <c r="K1576" s="25">
        <f t="shared" si="74"/>
        <v>0.79468108590394915</v>
      </c>
      <c r="L1576" s="26" t="s">
        <v>7516</v>
      </c>
      <c r="M1576" s="28"/>
      <c r="N1576" s="28"/>
      <c r="O1576" s="20" t="s">
        <v>7530</v>
      </c>
      <c r="P1576" s="27" t="str">
        <f t="shared" si="73"/>
        <v>vermelho</v>
      </c>
    </row>
    <row r="1577" spans="1:16" ht="25.5">
      <c r="A1577" s="3" t="s">
        <v>6293</v>
      </c>
      <c r="B1577" s="3" t="s">
        <v>6294</v>
      </c>
      <c r="C1577" s="4">
        <v>327</v>
      </c>
      <c r="D1577" s="3" t="s">
        <v>100</v>
      </c>
      <c r="E1577" s="3" t="s">
        <v>7</v>
      </c>
      <c r="F1577" s="5">
        <v>639</v>
      </c>
      <c r="G1577" s="5">
        <v>396</v>
      </c>
      <c r="H1577" s="6">
        <v>26951.82</v>
      </c>
      <c r="I1577" s="22">
        <v>20612.52</v>
      </c>
      <c r="J1577" s="24">
        <f t="shared" si="72"/>
        <v>1.428266645164171E-4</v>
      </c>
      <c r="K1577" s="25">
        <f t="shared" si="74"/>
        <v>0.79482391256846552</v>
      </c>
      <c r="L1577" s="26" t="s">
        <v>7516</v>
      </c>
      <c r="M1577" s="28"/>
      <c r="N1577" s="28"/>
      <c r="O1577" s="20">
        <v>6299.88</v>
      </c>
      <c r="P1577" s="27" t="str">
        <f t="shared" si="73"/>
        <v>amarelo</v>
      </c>
    </row>
    <row r="1578" spans="1:16" ht="25.5">
      <c r="A1578" s="3" t="s">
        <v>4</v>
      </c>
      <c r="B1578" s="3" t="s">
        <v>939</v>
      </c>
      <c r="C1578" s="4">
        <v>266</v>
      </c>
      <c r="D1578" s="3" t="s">
        <v>80</v>
      </c>
      <c r="E1578" s="3" t="s">
        <v>10</v>
      </c>
      <c r="F1578" s="5">
        <v>204</v>
      </c>
      <c r="G1578" s="5">
        <v>315</v>
      </c>
      <c r="H1578" s="6">
        <v>10476.299999999999</v>
      </c>
      <c r="I1578" s="22">
        <v>20573.939999999999</v>
      </c>
      <c r="J1578" s="24">
        <f t="shared" si="72"/>
        <v>1.4255933899207348E-4</v>
      </c>
      <c r="K1578" s="25">
        <f t="shared" si="74"/>
        <v>0.79496647190745762</v>
      </c>
      <c r="L1578" s="26" t="s">
        <v>7516</v>
      </c>
      <c r="M1578" s="28">
        <v>-3.5786305468391982E-2</v>
      </c>
      <c r="N1578" s="28"/>
      <c r="O1578" s="20" t="s">
        <v>7530</v>
      </c>
      <c r="P1578" s="27" t="str">
        <f t="shared" si="73"/>
        <v>vermelho</v>
      </c>
    </row>
    <row r="1579" spans="1:16" ht="25.5">
      <c r="A1579" s="3" t="s">
        <v>4</v>
      </c>
      <c r="B1579" s="3" t="s">
        <v>940</v>
      </c>
      <c r="C1579" s="4">
        <v>270</v>
      </c>
      <c r="D1579" s="3" t="s">
        <v>266</v>
      </c>
      <c r="E1579" s="3" t="s">
        <v>49</v>
      </c>
      <c r="F1579" s="5">
        <v>183</v>
      </c>
      <c r="G1579" s="5">
        <v>342</v>
      </c>
      <c r="H1579" s="6">
        <v>11140.17</v>
      </c>
      <c r="I1579" s="22">
        <v>20561.46</v>
      </c>
      <c r="J1579" s="24">
        <f t="shared" si="72"/>
        <v>1.4247286355029514E-4</v>
      </c>
      <c r="K1579" s="25">
        <f t="shared" si="74"/>
        <v>0.79510894477100791</v>
      </c>
      <c r="L1579" s="26" t="s">
        <v>7516</v>
      </c>
      <c r="M1579" s="28"/>
      <c r="N1579" s="28"/>
      <c r="O1579" s="20" t="s">
        <v>7530</v>
      </c>
      <c r="P1579" s="27" t="str">
        <f t="shared" si="73"/>
        <v>vermelho</v>
      </c>
    </row>
    <row r="1580" spans="1:16" ht="25.5">
      <c r="A1580" s="3" t="s">
        <v>4</v>
      </c>
      <c r="B1580" s="3" t="s">
        <v>941</v>
      </c>
      <c r="C1580" s="4">
        <v>19</v>
      </c>
      <c r="D1580" s="3" t="s">
        <v>72</v>
      </c>
      <c r="E1580" s="3" t="s">
        <v>41</v>
      </c>
      <c r="F1580" s="5">
        <v>0</v>
      </c>
      <c r="G1580" s="5">
        <v>309</v>
      </c>
      <c r="H1580" s="6">
        <v>0</v>
      </c>
      <c r="I1580" s="22">
        <v>20558.16</v>
      </c>
      <c r="J1580" s="24">
        <f t="shared" si="72"/>
        <v>1.4244999744790184E-4</v>
      </c>
      <c r="K1580" s="25">
        <f t="shared" si="74"/>
        <v>0.79525139476845585</v>
      </c>
      <c r="L1580" s="26" t="s">
        <v>7516</v>
      </c>
      <c r="M1580" s="28"/>
      <c r="N1580" s="28"/>
      <c r="O1580" s="20" t="s">
        <v>7530</v>
      </c>
      <c r="P1580" s="27" t="str">
        <f t="shared" si="73"/>
        <v>vermelho</v>
      </c>
    </row>
    <row r="1581" spans="1:16" ht="25.5">
      <c r="A1581" s="3" t="s">
        <v>6295</v>
      </c>
      <c r="B1581" s="3" t="s">
        <v>6296</v>
      </c>
      <c r="C1581" s="4">
        <v>335</v>
      </c>
      <c r="D1581" s="3" t="s">
        <v>36</v>
      </c>
      <c r="E1581" s="3" t="s">
        <v>7</v>
      </c>
      <c r="F1581" s="5">
        <v>699</v>
      </c>
      <c r="G1581" s="5">
        <v>327</v>
      </c>
      <c r="H1581" s="6">
        <v>45671.43</v>
      </c>
      <c r="I1581" s="22">
        <v>20544.27</v>
      </c>
      <c r="J1581" s="24">
        <f t="shared" si="72"/>
        <v>1.4235375194419182E-4</v>
      </c>
      <c r="K1581" s="25">
        <f t="shared" si="74"/>
        <v>0.79539374852040001</v>
      </c>
      <c r="L1581" s="26" t="s">
        <v>7516</v>
      </c>
      <c r="M1581" s="28"/>
      <c r="N1581" s="28"/>
      <c r="O1581" s="20" t="s">
        <v>7530</v>
      </c>
      <c r="P1581" s="27" t="str">
        <f t="shared" si="73"/>
        <v>vermelho</v>
      </c>
    </row>
    <row r="1582" spans="1:16" ht="25.5">
      <c r="A1582" s="3" t="s">
        <v>4</v>
      </c>
      <c r="B1582" s="3" t="s">
        <v>942</v>
      </c>
      <c r="C1582" s="4">
        <v>197</v>
      </c>
      <c r="D1582" s="3" t="s">
        <v>66</v>
      </c>
      <c r="E1582" s="3" t="s">
        <v>41</v>
      </c>
      <c r="F1582" s="5">
        <v>0</v>
      </c>
      <c r="G1582" s="5">
        <v>324</v>
      </c>
      <c r="H1582" s="6">
        <v>0</v>
      </c>
      <c r="I1582" s="22">
        <v>20516.16</v>
      </c>
      <c r="J1582" s="24">
        <f t="shared" si="72"/>
        <v>1.4215897432653241E-4</v>
      </c>
      <c r="K1582" s="25">
        <f t="shared" si="74"/>
        <v>0.79553590749472658</v>
      </c>
      <c r="L1582" s="26" t="s">
        <v>7516</v>
      </c>
      <c r="M1582" s="28"/>
      <c r="N1582" s="28"/>
      <c r="O1582" s="20" t="s">
        <v>7530</v>
      </c>
      <c r="P1582" s="27" t="str">
        <f t="shared" si="73"/>
        <v>vermelho</v>
      </c>
    </row>
    <row r="1583" spans="1:16" ht="25.5">
      <c r="A1583" s="3" t="s">
        <v>4</v>
      </c>
      <c r="B1583" s="3" t="s">
        <v>943</v>
      </c>
      <c r="C1583" s="4">
        <v>266</v>
      </c>
      <c r="D1583" s="3" t="s">
        <v>80</v>
      </c>
      <c r="E1583" s="3" t="s">
        <v>10</v>
      </c>
      <c r="F1583" s="5">
        <v>546</v>
      </c>
      <c r="G1583" s="5">
        <v>336</v>
      </c>
      <c r="H1583" s="6">
        <v>29377.38</v>
      </c>
      <c r="I1583" s="22">
        <v>20500.98</v>
      </c>
      <c r="J1583" s="24">
        <f t="shared" si="72"/>
        <v>1.4205379025552319E-4</v>
      </c>
      <c r="K1583" s="25">
        <f t="shared" si="74"/>
        <v>0.79567796128498214</v>
      </c>
      <c r="L1583" s="26" t="s">
        <v>7516</v>
      </c>
      <c r="M1583" s="28"/>
      <c r="N1583" s="28"/>
      <c r="O1583" s="20" t="s">
        <v>7530</v>
      </c>
      <c r="P1583" s="27" t="str">
        <f t="shared" si="73"/>
        <v>vermelho</v>
      </c>
    </row>
    <row r="1584" spans="1:16" ht="51">
      <c r="A1584" s="3" t="s">
        <v>4</v>
      </c>
      <c r="B1584" s="3" t="s">
        <v>944</v>
      </c>
      <c r="C1584" s="4">
        <v>282</v>
      </c>
      <c r="D1584" s="3" t="s">
        <v>12</v>
      </c>
      <c r="E1584" s="3" t="s">
        <v>13</v>
      </c>
      <c r="F1584" s="5">
        <v>162</v>
      </c>
      <c r="G1584" s="5">
        <v>300</v>
      </c>
      <c r="H1584" s="6">
        <v>10474.379999999999</v>
      </c>
      <c r="I1584" s="22">
        <v>20498.759999999998</v>
      </c>
      <c r="J1584" s="24">
        <f t="shared" si="72"/>
        <v>1.4203840760482222E-4</v>
      </c>
      <c r="K1584" s="25">
        <f t="shared" si="74"/>
        <v>0.79581999969258699</v>
      </c>
      <c r="L1584" s="26" t="s">
        <v>7516</v>
      </c>
      <c r="M1584" s="28"/>
      <c r="N1584" s="28"/>
      <c r="O1584" s="20" t="s">
        <v>7530</v>
      </c>
      <c r="P1584" s="27" t="str">
        <f t="shared" si="73"/>
        <v>vermelho</v>
      </c>
    </row>
    <row r="1585" spans="1:16" ht="38.25">
      <c r="A1585" s="3" t="s">
        <v>4</v>
      </c>
      <c r="B1585" s="3" t="s">
        <v>945</v>
      </c>
      <c r="C1585" s="4">
        <v>143</v>
      </c>
      <c r="D1585" s="3" t="s">
        <v>44</v>
      </c>
      <c r="E1585" s="3" t="s">
        <v>41</v>
      </c>
      <c r="F1585" s="5">
        <v>0</v>
      </c>
      <c r="G1585" s="5">
        <v>390</v>
      </c>
      <c r="H1585" s="6">
        <v>0</v>
      </c>
      <c r="I1585" s="22">
        <v>20487.96</v>
      </c>
      <c r="J1585" s="24">
        <f t="shared" si="72"/>
        <v>1.4196357308789867E-4</v>
      </c>
      <c r="K1585" s="25">
        <f t="shared" si="74"/>
        <v>0.79596196326567492</v>
      </c>
      <c r="L1585" s="26" t="s">
        <v>7516</v>
      </c>
      <c r="M1585" s="28"/>
      <c r="N1585" s="28"/>
      <c r="O1585" s="20" t="s">
        <v>7530</v>
      </c>
      <c r="P1585" s="27" t="str">
        <f t="shared" si="73"/>
        <v>vermelho</v>
      </c>
    </row>
    <row r="1586" spans="1:16" ht="38.25">
      <c r="A1586" s="3" t="s">
        <v>4</v>
      </c>
      <c r="B1586" s="3" t="s">
        <v>946</v>
      </c>
      <c r="C1586" s="4">
        <v>38</v>
      </c>
      <c r="D1586" s="3" t="s">
        <v>184</v>
      </c>
      <c r="E1586" s="3" t="s">
        <v>49</v>
      </c>
      <c r="F1586" s="5">
        <v>435</v>
      </c>
      <c r="G1586" s="5">
        <v>366</v>
      </c>
      <c r="H1586" s="6">
        <v>23813.838</v>
      </c>
      <c r="I1586" s="22">
        <v>20479.740000000002</v>
      </c>
      <c r="J1586" s="24">
        <f t="shared" si="72"/>
        <v>1.4190661570557351E-4</v>
      </c>
      <c r="K1586" s="25">
        <f t="shared" si="74"/>
        <v>0.79610386988138049</v>
      </c>
      <c r="L1586" s="26" t="s">
        <v>7516</v>
      </c>
      <c r="M1586" s="28"/>
      <c r="N1586" s="28"/>
      <c r="O1586" s="20" t="s">
        <v>7530</v>
      </c>
      <c r="P1586" s="27" t="str">
        <f t="shared" si="73"/>
        <v>vermelho</v>
      </c>
    </row>
    <row r="1587" spans="1:16" ht="25.5">
      <c r="A1587" s="3" t="s">
        <v>4</v>
      </c>
      <c r="B1587" s="3" t="s">
        <v>947</v>
      </c>
      <c r="C1587" s="4">
        <v>23</v>
      </c>
      <c r="D1587" s="3" t="s">
        <v>87</v>
      </c>
      <c r="E1587" s="3" t="s">
        <v>7</v>
      </c>
      <c r="F1587" s="5">
        <v>441</v>
      </c>
      <c r="G1587" s="5">
        <v>300</v>
      </c>
      <c r="H1587" s="6">
        <v>24666.99</v>
      </c>
      <c r="I1587" s="22">
        <v>20464.560000000001</v>
      </c>
      <c r="J1587" s="24">
        <f t="shared" si="72"/>
        <v>1.4180143163456429E-4</v>
      </c>
      <c r="K1587" s="25">
        <f t="shared" si="74"/>
        <v>0.79624567131301505</v>
      </c>
      <c r="L1587" s="26" t="s">
        <v>7516</v>
      </c>
      <c r="M1587" s="28"/>
      <c r="N1587" s="28"/>
      <c r="O1587" s="20">
        <v>7635.72</v>
      </c>
      <c r="P1587" s="27" t="str">
        <f t="shared" si="73"/>
        <v>amarelo</v>
      </c>
    </row>
    <row r="1588" spans="1:16" ht="25.5">
      <c r="A1588" s="3" t="s">
        <v>4</v>
      </c>
      <c r="B1588" s="3" t="s">
        <v>948</v>
      </c>
      <c r="C1588" s="4">
        <v>194</v>
      </c>
      <c r="D1588" s="3" t="s">
        <v>145</v>
      </c>
      <c r="E1588" s="3" t="s">
        <v>16</v>
      </c>
      <c r="F1588" s="5">
        <v>0</v>
      </c>
      <c r="G1588" s="5">
        <v>294</v>
      </c>
      <c r="H1588" s="6">
        <v>0</v>
      </c>
      <c r="I1588" s="22">
        <v>20447.04</v>
      </c>
      <c r="J1588" s="24">
        <f t="shared" si="72"/>
        <v>1.4168003341822163E-4</v>
      </c>
      <c r="K1588" s="25">
        <f t="shared" si="74"/>
        <v>0.79638735134643324</v>
      </c>
      <c r="L1588" s="26" t="s">
        <v>7516</v>
      </c>
      <c r="M1588" s="28"/>
      <c r="N1588" s="28"/>
      <c r="O1588" s="20" t="s">
        <v>7530</v>
      </c>
      <c r="P1588" s="27" t="str">
        <f t="shared" si="73"/>
        <v>vermelho</v>
      </c>
    </row>
    <row r="1589" spans="1:16" ht="25.5">
      <c r="A1589" s="3" t="s">
        <v>6297</v>
      </c>
      <c r="B1589" s="3" t="s">
        <v>6298</v>
      </c>
      <c r="C1589" s="4">
        <v>31</v>
      </c>
      <c r="D1589" s="3" t="s">
        <v>194</v>
      </c>
      <c r="E1589" s="3" t="s">
        <v>16</v>
      </c>
      <c r="F1589" s="5">
        <v>0</v>
      </c>
      <c r="G1589" s="5">
        <v>351</v>
      </c>
      <c r="H1589" s="6">
        <v>0</v>
      </c>
      <c r="I1589" s="22">
        <v>20432.490000000002</v>
      </c>
      <c r="J1589" s="24">
        <f t="shared" si="72"/>
        <v>1.4157921469403292E-4</v>
      </c>
      <c r="K1589" s="25">
        <f t="shared" si="74"/>
        <v>0.79652893056112728</v>
      </c>
      <c r="L1589" s="26" t="s">
        <v>7516</v>
      </c>
      <c r="M1589" s="28"/>
      <c r="N1589" s="28"/>
      <c r="O1589" s="20" t="s">
        <v>7530</v>
      </c>
      <c r="P1589" s="27" t="str">
        <f t="shared" si="73"/>
        <v>vermelho</v>
      </c>
    </row>
    <row r="1590" spans="1:16" ht="38.25">
      <c r="A1590" s="3" t="s">
        <v>4</v>
      </c>
      <c r="B1590" s="3" t="s">
        <v>949</v>
      </c>
      <c r="C1590" s="4">
        <v>31</v>
      </c>
      <c r="D1590" s="3" t="s">
        <v>194</v>
      </c>
      <c r="E1590" s="3" t="s">
        <v>16</v>
      </c>
      <c r="F1590" s="5">
        <v>162</v>
      </c>
      <c r="G1590" s="5">
        <v>363</v>
      </c>
      <c r="H1590" s="6">
        <v>8984.16</v>
      </c>
      <c r="I1590" s="22">
        <v>20413.54</v>
      </c>
      <c r="J1590" s="24">
        <f t="shared" si="72"/>
        <v>1.4144790783331983E-4</v>
      </c>
      <c r="K1590" s="25">
        <f t="shared" si="74"/>
        <v>0.7966703784689606</v>
      </c>
      <c r="L1590" s="26" t="s">
        <v>7516</v>
      </c>
      <c r="M1590" s="28"/>
      <c r="N1590" s="28"/>
      <c r="O1590" s="20">
        <v>12222.21</v>
      </c>
      <c r="P1590" s="27" t="str">
        <f t="shared" si="73"/>
        <v>laranja</v>
      </c>
    </row>
    <row r="1591" spans="1:16" ht="25.5">
      <c r="A1591" s="3" t="s">
        <v>4</v>
      </c>
      <c r="B1591" s="3" t="s">
        <v>950</v>
      </c>
      <c r="C1591" s="4">
        <v>273</v>
      </c>
      <c r="D1591" s="3" t="s">
        <v>149</v>
      </c>
      <c r="E1591" s="3" t="s">
        <v>16</v>
      </c>
      <c r="F1591" s="5">
        <v>279</v>
      </c>
      <c r="G1591" s="5">
        <v>384</v>
      </c>
      <c r="H1591" s="6">
        <v>12506.25</v>
      </c>
      <c r="I1591" s="22">
        <v>20388.784</v>
      </c>
      <c r="J1591" s="24">
        <f t="shared" si="72"/>
        <v>1.4127637049063835E-4</v>
      </c>
      <c r="K1591" s="25">
        <f t="shared" si="74"/>
        <v>0.79681165483945127</v>
      </c>
      <c r="L1591" s="26" t="s">
        <v>7516</v>
      </c>
      <c r="M1591" s="28"/>
      <c r="N1591" s="28"/>
      <c r="O1591" s="20">
        <v>9435.7199999999993</v>
      </c>
      <c r="P1591" s="27" t="str">
        <f t="shared" si="73"/>
        <v>amarelo</v>
      </c>
    </row>
    <row r="1592" spans="1:16">
      <c r="A1592" s="3" t="s">
        <v>4</v>
      </c>
      <c r="B1592" s="3" t="s">
        <v>951</v>
      </c>
      <c r="C1592" s="4">
        <v>232</v>
      </c>
      <c r="D1592" s="3" t="s">
        <v>174</v>
      </c>
      <c r="E1592" s="3" t="s">
        <v>16</v>
      </c>
      <c r="F1592" s="5">
        <v>360</v>
      </c>
      <c r="G1592" s="5">
        <v>330</v>
      </c>
      <c r="H1592" s="6">
        <v>22497.360000000001</v>
      </c>
      <c r="I1592" s="22">
        <v>20386.41</v>
      </c>
      <c r="J1592" s="24">
        <f t="shared" si="72"/>
        <v>1.4125992075515904E-4</v>
      </c>
      <c r="K1592" s="25">
        <f t="shared" si="74"/>
        <v>0.79695291476020647</v>
      </c>
      <c r="L1592" s="26" t="s">
        <v>7516</v>
      </c>
      <c r="M1592" s="28"/>
      <c r="N1592" s="28"/>
      <c r="O1592" s="20" t="s">
        <v>7530</v>
      </c>
      <c r="P1592" s="27" t="str">
        <f t="shared" si="73"/>
        <v>vermelho</v>
      </c>
    </row>
    <row r="1593" spans="1:16" ht="25.5">
      <c r="A1593" s="3" t="s">
        <v>4</v>
      </c>
      <c r="B1593" s="3" t="s">
        <v>952</v>
      </c>
      <c r="C1593" s="4">
        <v>315</v>
      </c>
      <c r="D1593" s="3" t="s">
        <v>63</v>
      </c>
      <c r="E1593" s="3" t="s">
        <v>7</v>
      </c>
      <c r="F1593" s="5">
        <v>0</v>
      </c>
      <c r="G1593" s="5">
        <v>309</v>
      </c>
      <c r="H1593" s="6">
        <v>0</v>
      </c>
      <c r="I1593" s="22">
        <v>20378.91</v>
      </c>
      <c r="J1593" s="24">
        <f t="shared" si="72"/>
        <v>1.4120795234062879E-4</v>
      </c>
      <c r="K1593" s="25">
        <f t="shared" si="74"/>
        <v>0.79709412271254709</v>
      </c>
      <c r="L1593" s="26" t="s">
        <v>7516</v>
      </c>
      <c r="M1593" s="28"/>
      <c r="N1593" s="28"/>
      <c r="O1593" s="20" t="s">
        <v>7530</v>
      </c>
      <c r="P1593" s="27" t="str">
        <f t="shared" si="73"/>
        <v>vermelho</v>
      </c>
    </row>
    <row r="1594" spans="1:16" ht="25.5">
      <c r="A1594" s="3" t="s">
        <v>4</v>
      </c>
      <c r="B1594" s="3" t="s">
        <v>953</v>
      </c>
      <c r="C1594" s="4">
        <v>194</v>
      </c>
      <c r="D1594" s="3" t="s">
        <v>145</v>
      </c>
      <c r="E1594" s="3" t="s">
        <v>16</v>
      </c>
      <c r="F1594" s="5">
        <v>108</v>
      </c>
      <c r="G1594" s="5">
        <v>345</v>
      </c>
      <c r="H1594" s="6">
        <v>7199.28</v>
      </c>
      <c r="I1594" s="22">
        <v>20355.75</v>
      </c>
      <c r="J1594" s="24">
        <f t="shared" si="72"/>
        <v>1.4104747387655938E-4</v>
      </c>
      <c r="K1594" s="25">
        <f t="shared" si="74"/>
        <v>0.79723517018642365</v>
      </c>
      <c r="L1594" s="26" t="s">
        <v>7516</v>
      </c>
      <c r="M1594" s="28"/>
      <c r="N1594" s="28"/>
      <c r="O1594" s="20">
        <v>6825.15</v>
      </c>
      <c r="P1594" s="27" t="str">
        <f t="shared" si="73"/>
        <v>amarelo</v>
      </c>
    </row>
    <row r="1595" spans="1:16" ht="38.25">
      <c r="A1595" s="3" t="s">
        <v>4</v>
      </c>
      <c r="B1595" s="3" t="s">
        <v>954</v>
      </c>
      <c r="C1595" s="4">
        <v>143</v>
      </c>
      <c r="D1595" s="3" t="s">
        <v>44</v>
      </c>
      <c r="E1595" s="3" t="s">
        <v>41</v>
      </c>
      <c r="F1595" s="5">
        <v>366</v>
      </c>
      <c r="G1595" s="5">
        <v>312</v>
      </c>
      <c r="H1595" s="6">
        <v>20977.98</v>
      </c>
      <c r="I1595" s="22">
        <v>20345.759999999998</v>
      </c>
      <c r="J1595" s="24">
        <f t="shared" si="72"/>
        <v>1.4097825194840506E-4</v>
      </c>
      <c r="K1595" s="25">
        <f t="shared" si="74"/>
        <v>0.79737614843837201</v>
      </c>
      <c r="L1595" s="26" t="s">
        <v>7516</v>
      </c>
      <c r="M1595" s="28"/>
      <c r="N1595" s="28"/>
      <c r="O1595" s="20" t="s">
        <v>7530</v>
      </c>
      <c r="P1595" s="27" t="str">
        <f t="shared" si="73"/>
        <v>vermelho</v>
      </c>
    </row>
    <row r="1596" spans="1:16" ht="25.5">
      <c r="A1596" s="3" t="s">
        <v>4</v>
      </c>
      <c r="B1596" s="3" t="s">
        <v>955</v>
      </c>
      <c r="C1596" s="4">
        <v>178</v>
      </c>
      <c r="D1596" s="3" t="s">
        <v>74</v>
      </c>
      <c r="E1596" s="3" t="s">
        <v>7</v>
      </c>
      <c r="F1596" s="5">
        <v>0</v>
      </c>
      <c r="G1596" s="5">
        <v>324</v>
      </c>
      <c r="H1596" s="6">
        <v>0</v>
      </c>
      <c r="I1596" s="22">
        <v>20341.919999999998</v>
      </c>
      <c r="J1596" s="24">
        <f t="shared" si="72"/>
        <v>1.4095164412016557E-4</v>
      </c>
      <c r="K1596" s="25">
        <f t="shared" si="74"/>
        <v>0.79751710008249221</v>
      </c>
      <c r="L1596" s="26" t="s">
        <v>7516</v>
      </c>
      <c r="M1596" s="28"/>
      <c r="N1596" s="28"/>
      <c r="O1596" s="20">
        <v>4324.7700000000004</v>
      </c>
      <c r="P1596" s="27" t="str">
        <f t="shared" si="73"/>
        <v>amarelo</v>
      </c>
    </row>
    <row r="1597" spans="1:16" ht="25.5">
      <c r="A1597" s="3" t="s">
        <v>6299</v>
      </c>
      <c r="B1597" s="3" t="s">
        <v>6300</v>
      </c>
      <c r="C1597" s="4">
        <v>302</v>
      </c>
      <c r="D1597" s="3" t="s">
        <v>293</v>
      </c>
      <c r="E1597" s="3" t="s">
        <v>49</v>
      </c>
      <c r="F1597" s="5">
        <v>714</v>
      </c>
      <c r="G1597" s="5">
        <v>306</v>
      </c>
      <c r="H1597" s="6">
        <v>42822.33</v>
      </c>
      <c r="I1597" s="22">
        <v>20323.919999999998</v>
      </c>
      <c r="J1597" s="24">
        <f t="shared" si="72"/>
        <v>1.4082691992529296E-4</v>
      </c>
      <c r="K1597" s="25">
        <f t="shared" si="74"/>
        <v>0.79765792700241755</v>
      </c>
      <c r="L1597" s="26" t="s">
        <v>7516</v>
      </c>
      <c r="M1597" s="28"/>
      <c r="N1597" s="28"/>
      <c r="O1597" s="20" t="s">
        <v>7530</v>
      </c>
      <c r="P1597" s="27" t="str">
        <f t="shared" si="73"/>
        <v>vermelho</v>
      </c>
    </row>
    <row r="1598" spans="1:16" ht="25.5">
      <c r="A1598" s="3" t="s">
        <v>4</v>
      </c>
      <c r="B1598" s="3" t="s">
        <v>956</v>
      </c>
      <c r="C1598" s="4">
        <v>23</v>
      </c>
      <c r="D1598" s="3" t="s">
        <v>87</v>
      </c>
      <c r="E1598" s="3" t="s">
        <v>7</v>
      </c>
      <c r="F1598" s="5">
        <v>485</v>
      </c>
      <c r="G1598" s="5">
        <v>366</v>
      </c>
      <c r="H1598" s="6">
        <v>25361.762999999999</v>
      </c>
      <c r="I1598" s="22">
        <v>20309.987000000001</v>
      </c>
      <c r="J1598" s="24">
        <f t="shared" si="72"/>
        <v>1.4073037646933966E-4</v>
      </c>
      <c r="K1598" s="25">
        <f t="shared" si="74"/>
        <v>0.79779865737888689</v>
      </c>
      <c r="L1598" s="26" t="s">
        <v>7516</v>
      </c>
      <c r="M1598" s="28">
        <v>3.5246643854154318E-2</v>
      </c>
      <c r="N1598" s="28"/>
      <c r="O1598" s="20">
        <v>13160.88</v>
      </c>
      <c r="P1598" s="27" t="str">
        <f t="shared" si="73"/>
        <v>laranja</v>
      </c>
    </row>
    <row r="1599" spans="1:16">
      <c r="A1599" s="3" t="s">
        <v>4</v>
      </c>
      <c r="B1599" s="3" t="s">
        <v>957</v>
      </c>
      <c r="C1599" s="4">
        <v>15</v>
      </c>
      <c r="D1599" s="3" t="s">
        <v>18</v>
      </c>
      <c r="E1599" s="3" t="s">
        <v>16</v>
      </c>
      <c r="F1599" s="5">
        <v>684</v>
      </c>
      <c r="G1599" s="5">
        <v>288</v>
      </c>
      <c r="H1599" s="6">
        <v>37095.480000000003</v>
      </c>
      <c r="I1599" s="22">
        <v>20298</v>
      </c>
      <c r="J1599" s="24">
        <f t="shared" si="72"/>
        <v>1.4064731708467642E-4</v>
      </c>
      <c r="K1599" s="25">
        <f t="shared" si="74"/>
        <v>0.79793930469597152</v>
      </c>
      <c r="L1599" s="26" t="s">
        <v>7516</v>
      </c>
      <c r="M1599" s="28"/>
      <c r="N1599" s="28"/>
      <c r="O1599" s="20" t="s">
        <v>7530</v>
      </c>
      <c r="P1599" s="27" t="str">
        <f t="shared" si="73"/>
        <v>vermelho</v>
      </c>
    </row>
    <row r="1600" spans="1:16" ht="25.5">
      <c r="A1600" s="3" t="s">
        <v>4</v>
      </c>
      <c r="B1600" s="3" t="s">
        <v>958</v>
      </c>
      <c r="C1600" s="4">
        <v>317</v>
      </c>
      <c r="D1600" s="3" t="s">
        <v>78</v>
      </c>
      <c r="E1600" s="3" t="s">
        <v>10</v>
      </c>
      <c r="F1600" s="5">
        <v>735</v>
      </c>
      <c r="G1600" s="5">
        <v>270</v>
      </c>
      <c r="H1600" s="6">
        <v>44447.97</v>
      </c>
      <c r="I1600" s="22">
        <v>20272.86</v>
      </c>
      <c r="J1600" s="24">
        <f t="shared" si="72"/>
        <v>1.4047311895917103E-4</v>
      </c>
      <c r="K1600" s="25">
        <f t="shared" si="74"/>
        <v>0.79807977781493067</v>
      </c>
      <c r="L1600" s="26" t="s">
        <v>7516</v>
      </c>
      <c r="M1600" s="28"/>
      <c r="N1600" s="28"/>
      <c r="O1600" s="20" t="s">
        <v>7530</v>
      </c>
      <c r="P1600" s="27" t="str">
        <f t="shared" si="73"/>
        <v>vermelho</v>
      </c>
    </row>
    <row r="1601" spans="1:16" ht="38.25">
      <c r="A1601" s="3" t="s">
        <v>4</v>
      </c>
      <c r="B1601" s="3" t="s">
        <v>959</v>
      </c>
      <c r="C1601" s="4">
        <v>11</v>
      </c>
      <c r="D1601" s="3" t="s">
        <v>61</v>
      </c>
      <c r="E1601" s="3" t="s">
        <v>10</v>
      </c>
      <c r="F1601" s="5">
        <v>330</v>
      </c>
      <c r="G1601" s="5">
        <v>288</v>
      </c>
      <c r="H1601" s="6">
        <v>19659.060000000001</v>
      </c>
      <c r="I1601" s="22">
        <v>20265.12</v>
      </c>
      <c r="J1601" s="24">
        <f t="shared" si="72"/>
        <v>1.4041948755537579E-4</v>
      </c>
      <c r="K1601" s="25">
        <f t="shared" si="74"/>
        <v>0.79822019730248606</v>
      </c>
      <c r="L1601" s="26" t="s">
        <v>7516</v>
      </c>
      <c r="M1601" s="28"/>
      <c r="N1601" s="28"/>
      <c r="O1601" s="20" t="s">
        <v>7530</v>
      </c>
      <c r="P1601" s="27" t="str">
        <f t="shared" si="73"/>
        <v>vermelho</v>
      </c>
    </row>
    <row r="1602" spans="1:16" ht="38.25">
      <c r="A1602" s="3" t="s">
        <v>4</v>
      </c>
      <c r="B1602" s="3" t="s">
        <v>960</v>
      </c>
      <c r="C1602" s="4">
        <v>143</v>
      </c>
      <c r="D1602" s="3" t="s">
        <v>44</v>
      </c>
      <c r="E1602" s="3" t="s">
        <v>41</v>
      </c>
      <c r="F1602" s="5">
        <v>120</v>
      </c>
      <c r="G1602" s="5">
        <v>300</v>
      </c>
      <c r="H1602" s="6">
        <v>6853.56</v>
      </c>
      <c r="I1602" s="22">
        <v>20253.36</v>
      </c>
      <c r="J1602" s="24">
        <f t="shared" si="72"/>
        <v>1.4033800108139235E-4</v>
      </c>
      <c r="K1602" s="25">
        <f t="shared" si="74"/>
        <v>0.79836053530356743</v>
      </c>
      <c r="L1602" s="26" t="s">
        <v>7516</v>
      </c>
      <c r="M1602" s="28"/>
      <c r="N1602" s="28"/>
      <c r="O1602" s="20" t="s">
        <v>7530</v>
      </c>
      <c r="P1602" s="27" t="str">
        <f t="shared" si="73"/>
        <v>vermelho</v>
      </c>
    </row>
    <row r="1603" spans="1:16" ht="25.5">
      <c r="A1603" s="3" t="s">
        <v>4</v>
      </c>
      <c r="B1603" s="3" t="s">
        <v>961</v>
      </c>
      <c r="C1603" s="4">
        <v>321</v>
      </c>
      <c r="D1603" s="3" t="s">
        <v>136</v>
      </c>
      <c r="E1603" s="3" t="s">
        <v>41</v>
      </c>
      <c r="F1603" s="5">
        <v>201</v>
      </c>
      <c r="G1603" s="5">
        <v>324</v>
      </c>
      <c r="H1603" s="6">
        <v>9997.9500000000007</v>
      </c>
      <c r="I1603" s="22">
        <v>20244.87</v>
      </c>
      <c r="J1603" s="24">
        <f t="shared" ref="J1603:J1666" si="75">I1603/$I$6364</f>
        <v>1.402791728361441E-4</v>
      </c>
      <c r="K1603" s="25">
        <f t="shared" si="74"/>
        <v>0.79850081447640353</v>
      </c>
      <c r="L1603" s="26" t="s">
        <v>7516</v>
      </c>
      <c r="M1603" s="28"/>
      <c r="N1603" s="28"/>
      <c r="O1603" s="20">
        <v>13280.97</v>
      </c>
      <c r="P1603" s="27" t="str">
        <f t="shared" ref="P1603:P1666" si="76">IF(O1603&lt;=0,"vermelho",IFERROR(IF(O1603/I1603&lt;=0.5098,"amarelo",IF(O1603/I1603&lt;1,"laranja","verde")),"vermelho"))</f>
        <v>laranja</v>
      </c>
    </row>
    <row r="1604" spans="1:16">
      <c r="A1604" s="3" t="s">
        <v>4</v>
      </c>
      <c r="B1604" s="3" t="s">
        <v>962</v>
      </c>
      <c r="C1604" s="4">
        <v>167</v>
      </c>
      <c r="D1604" s="3" t="s">
        <v>251</v>
      </c>
      <c r="E1604" s="3" t="s">
        <v>49</v>
      </c>
      <c r="F1604" s="5">
        <v>342</v>
      </c>
      <c r="G1604" s="5">
        <v>387</v>
      </c>
      <c r="H1604" s="6">
        <v>17584.5</v>
      </c>
      <c r="I1604" s="22">
        <v>20230.95</v>
      </c>
      <c r="J1604" s="24">
        <f t="shared" si="75"/>
        <v>1.4018271945877598E-4</v>
      </c>
      <c r="K1604" s="25">
        <f t="shared" ref="K1604:K1667" si="77">J1604+K1603</f>
        <v>0.79864099719586235</v>
      </c>
      <c r="L1604" s="26" t="s">
        <v>7516</v>
      </c>
      <c r="M1604" s="28"/>
      <c r="N1604" s="28"/>
      <c r="O1604" s="20">
        <v>2343.84</v>
      </c>
      <c r="P1604" s="27" t="str">
        <f t="shared" si="76"/>
        <v>amarelo</v>
      </c>
    </row>
    <row r="1605" spans="1:16" ht="25.5">
      <c r="A1605" s="3" t="s">
        <v>6301</v>
      </c>
      <c r="B1605" s="3" t="s">
        <v>6302</v>
      </c>
      <c r="C1605" s="4">
        <v>74</v>
      </c>
      <c r="D1605" s="3" t="s">
        <v>6</v>
      </c>
      <c r="E1605" s="3" t="s">
        <v>7</v>
      </c>
      <c r="F1605" s="5">
        <v>348</v>
      </c>
      <c r="G1605" s="5">
        <v>300</v>
      </c>
      <c r="H1605" s="6">
        <v>22162.32</v>
      </c>
      <c r="I1605" s="22">
        <v>20227.080000000002</v>
      </c>
      <c r="J1605" s="24">
        <f t="shared" si="75"/>
        <v>1.4015590375687838E-4</v>
      </c>
      <c r="K1605" s="25">
        <f t="shared" si="77"/>
        <v>0.79878115309961928</v>
      </c>
      <c r="L1605" s="26" t="s">
        <v>7516</v>
      </c>
      <c r="M1605" s="28"/>
      <c r="N1605" s="28"/>
      <c r="O1605" s="20" t="s">
        <v>7530</v>
      </c>
      <c r="P1605" s="27" t="str">
        <f t="shared" si="76"/>
        <v>vermelho</v>
      </c>
    </row>
    <row r="1606" spans="1:16">
      <c r="A1606" s="3" t="s">
        <v>6303</v>
      </c>
      <c r="B1606" s="3" t="s">
        <v>6304</v>
      </c>
      <c r="C1606" s="4">
        <v>315</v>
      </c>
      <c r="D1606" s="3" t="s">
        <v>63</v>
      </c>
      <c r="E1606" s="3" t="s">
        <v>7</v>
      </c>
      <c r="F1606" s="5">
        <v>210</v>
      </c>
      <c r="G1606" s="5">
        <v>342</v>
      </c>
      <c r="H1606" s="6">
        <v>12770.91</v>
      </c>
      <c r="I1606" s="22">
        <v>20224.89</v>
      </c>
      <c r="J1606" s="24">
        <f t="shared" si="75"/>
        <v>1.401407289798355E-4</v>
      </c>
      <c r="K1606" s="25">
        <f t="shared" si="77"/>
        <v>0.79892129382859911</v>
      </c>
      <c r="L1606" s="26" t="s">
        <v>7516</v>
      </c>
      <c r="M1606" s="28"/>
      <c r="N1606" s="28"/>
      <c r="O1606" s="20">
        <v>9789.7260000000006</v>
      </c>
      <c r="P1606" s="27" t="str">
        <f t="shared" si="76"/>
        <v>amarelo</v>
      </c>
    </row>
    <row r="1607" spans="1:16">
      <c r="A1607" s="3" t="s">
        <v>4</v>
      </c>
      <c r="B1607" s="3" t="s">
        <v>963</v>
      </c>
      <c r="C1607" s="4">
        <v>315</v>
      </c>
      <c r="D1607" s="3" t="s">
        <v>63</v>
      </c>
      <c r="E1607" s="3" t="s">
        <v>7</v>
      </c>
      <c r="F1607" s="5">
        <v>201</v>
      </c>
      <c r="G1607" s="5">
        <v>423</v>
      </c>
      <c r="H1607" s="6">
        <v>6995.86</v>
      </c>
      <c r="I1607" s="22">
        <v>20220.328000000001</v>
      </c>
      <c r="J1607" s="24">
        <f t="shared" si="75"/>
        <v>1.4010911832555725E-4</v>
      </c>
      <c r="K1607" s="25">
        <f t="shared" si="77"/>
        <v>0.79906140294692463</v>
      </c>
      <c r="L1607" s="26" t="s">
        <v>7516</v>
      </c>
      <c r="M1607" s="28">
        <v>-6.8556678969254062E-2</v>
      </c>
      <c r="N1607" s="28"/>
      <c r="O1607" s="20">
        <v>4774.3559999999998</v>
      </c>
      <c r="P1607" s="27" t="str">
        <f t="shared" si="76"/>
        <v>amarelo</v>
      </c>
    </row>
    <row r="1608" spans="1:16">
      <c r="A1608" s="3" t="s">
        <v>6305</v>
      </c>
      <c r="B1608" s="3" t="s">
        <v>6306</v>
      </c>
      <c r="C1608" s="4">
        <v>15</v>
      </c>
      <c r="D1608" s="3" t="s">
        <v>18</v>
      </c>
      <c r="E1608" s="3" t="s">
        <v>16</v>
      </c>
      <c r="F1608" s="5">
        <v>3288</v>
      </c>
      <c r="G1608" s="5">
        <v>372</v>
      </c>
      <c r="H1608" s="6">
        <v>155760.95999999999</v>
      </c>
      <c r="I1608" s="22">
        <v>20210.759999999998</v>
      </c>
      <c r="J1608" s="24">
        <f t="shared" si="75"/>
        <v>1.400428204868605E-4</v>
      </c>
      <c r="K1608" s="25">
        <f t="shared" si="77"/>
        <v>0.79920144576741148</v>
      </c>
      <c r="L1608" s="26" t="s">
        <v>7516</v>
      </c>
      <c r="M1608" s="28"/>
      <c r="N1608" s="28"/>
      <c r="O1608" s="20">
        <v>50201.16</v>
      </c>
      <c r="P1608" s="27" t="str">
        <f t="shared" si="76"/>
        <v>verde</v>
      </c>
    </row>
    <row r="1609" spans="1:16" ht="25.5">
      <c r="A1609" s="3" t="s">
        <v>6307</v>
      </c>
      <c r="B1609" s="3" t="s">
        <v>6308</v>
      </c>
      <c r="C1609" s="4">
        <v>74</v>
      </c>
      <c r="D1609" s="3" t="s">
        <v>6</v>
      </c>
      <c r="E1609" s="3" t="s">
        <v>7</v>
      </c>
      <c r="F1609" s="5">
        <v>0</v>
      </c>
      <c r="G1609" s="5">
        <v>498</v>
      </c>
      <c r="H1609" s="6">
        <v>0</v>
      </c>
      <c r="I1609" s="22">
        <v>20204.34</v>
      </c>
      <c r="J1609" s="24">
        <f t="shared" si="75"/>
        <v>1.3999833552402264E-4</v>
      </c>
      <c r="K1609" s="25">
        <f t="shared" si="77"/>
        <v>0.79934144410293551</v>
      </c>
      <c r="L1609" s="26" t="s">
        <v>7516</v>
      </c>
      <c r="M1609" s="28"/>
      <c r="N1609" s="28"/>
      <c r="O1609" s="20" t="s">
        <v>7530</v>
      </c>
      <c r="P1609" s="27" t="str">
        <f t="shared" si="76"/>
        <v>vermelho</v>
      </c>
    </row>
    <row r="1610" spans="1:16" ht="38.25">
      <c r="A1610" s="3" t="s">
        <v>4</v>
      </c>
      <c r="B1610" s="3" t="s">
        <v>964</v>
      </c>
      <c r="C1610" s="4">
        <v>45</v>
      </c>
      <c r="D1610" s="3" t="s">
        <v>23</v>
      </c>
      <c r="E1610" s="3" t="s">
        <v>7</v>
      </c>
      <c r="F1610" s="5">
        <v>186</v>
      </c>
      <c r="G1610" s="5">
        <v>324</v>
      </c>
      <c r="H1610" s="6">
        <v>10863.96</v>
      </c>
      <c r="I1610" s="22">
        <v>20160.54</v>
      </c>
      <c r="J1610" s="24">
        <f t="shared" si="75"/>
        <v>1.3969483998316594E-4</v>
      </c>
      <c r="K1610" s="25">
        <f t="shared" si="77"/>
        <v>0.79948113894291872</v>
      </c>
      <c r="L1610" s="26" t="s">
        <v>7516</v>
      </c>
      <c r="M1610" s="28"/>
      <c r="N1610" s="28"/>
      <c r="O1610" s="20" t="s">
        <v>7530</v>
      </c>
      <c r="P1610" s="27" t="str">
        <f t="shared" si="76"/>
        <v>vermelho</v>
      </c>
    </row>
    <row r="1611" spans="1:16">
      <c r="A1611" s="3" t="s">
        <v>6309</v>
      </c>
      <c r="B1611" s="3" t="s">
        <v>6310</v>
      </c>
      <c r="C1611" s="4">
        <v>240</v>
      </c>
      <c r="D1611" s="3" t="s">
        <v>69</v>
      </c>
      <c r="E1611" s="3" t="s">
        <v>16</v>
      </c>
      <c r="F1611" s="5">
        <v>315</v>
      </c>
      <c r="G1611" s="5">
        <v>357</v>
      </c>
      <c r="H1611" s="6">
        <v>16101.093999999999</v>
      </c>
      <c r="I1611" s="22">
        <v>20160.330000000002</v>
      </c>
      <c r="J1611" s="24">
        <f t="shared" si="75"/>
        <v>1.3969338486755911E-4</v>
      </c>
      <c r="K1611" s="25">
        <f t="shared" si="77"/>
        <v>0.79962083232778625</v>
      </c>
      <c r="L1611" s="26" t="s">
        <v>7517</v>
      </c>
      <c r="M1611" s="28"/>
      <c r="N1611" s="28"/>
      <c r="O1611" s="20" t="s">
        <v>7530</v>
      </c>
      <c r="P1611" s="27" t="str">
        <f t="shared" si="76"/>
        <v>vermelho</v>
      </c>
    </row>
    <row r="1612" spans="1:16" ht="38.25">
      <c r="A1612" s="3" t="s">
        <v>4</v>
      </c>
      <c r="B1612" s="3" t="s">
        <v>965</v>
      </c>
      <c r="C1612" s="4">
        <v>45</v>
      </c>
      <c r="D1612" s="3" t="s">
        <v>23</v>
      </c>
      <c r="E1612" s="3" t="s">
        <v>7</v>
      </c>
      <c r="F1612" s="5">
        <v>594</v>
      </c>
      <c r="G1612" s="5">
        <v>333</v>
      </c>
      <c r="H1612" s="6">
        <v>32492.016</v>
      </c>
      <c r="I1612" s="22">
        <v>20159.189999999999</v>
      </c>
      <c r="J1612" s="24">
        <f t="shared" si="75"/>
        <v>1.396854856685505E-4</v>
      </c>
      <c r="K1612" s="25">
        <f t="shared" si="77"/>
        <v>0.79976051781345481</v>
      </c>
      <c r="L1612" s="26" t="s">
        <v>7517</v>
      </c>
      <c r="M1612" s="28"/>
      <c r="N1612" s="28"/>
      <c r="O1612" s="20">
        <v>6366.69</v>
      </c>
      <c r="P1612" s="27" t="str">
        <f t="shared" si="76"/>
        <v>amarelo</v>
      </c>
    </row>
    <row r="1613" spans="1:16">
      <c r="A1613" s="3" t="s">
        <v>4</v>
      </c>
      <c r="B1613" s="3" t="s">
        <v>966</v>
      </c>
      <c r="C1613" s="4">
        <v>231</v>
      </c>
      <c r="D1613" s="3" t="s">
        <v>52</v>
      </c>
      <c r="E1613" s="3" t="s">
        <v>7</v>
      </c>
      <c r="F1613" s="5">
        <v>285</v>
      </c>
      <c r="G1613" s="5">
        <v>351</v>
      </c>
      <c r="H1613" s="6">
        <v>16112.19</v>
      </c>
      <c r="I1613" s="22">
        <v>20145.18</v>
      </c>
      <c r="J1613" s="24">
        <f t="shared" si="75"/>
        <v>1.39588408670208E-4</v>
      </c>
      <c r="K1613" s="25">
        <f t="shared" si="77"/>
        <v>0.79990010622212504</v>
      </c>
      <c r="L1613" s="26" t="s">
        <v>7517</v>
      </c>
      <c r="M1613" s="28"/>
      <c r="N1613" s="28"/>
      <c r="O1613" s="20" t="s">
        <v>7530</v>
      </c>
      <c r="P1613" s="27" t="str">
        <f t="shared" si="76"/>
        <v>vermelho</v>
      </c>
    </row>
    <row r="1614" spans="1:16" ht="25.5">
      <c r="A1614" s="3" t="s">
        <v>4</v>
      </c>
      <c r="B1614" s="3" t="s">
        <v>967</v>
      </c>
      <c r="C1614" s="4">
        <v>194</v>
      </c>
      <c r="D1614" s="3" t="s">
        <v>145</v>
      </c>
      <c r="E1614" s="3" t="s">
        <v>16</v>
      </c>
      <c r="F1614" s="5">
        <v>0</v>
      </c>
      <c r="G1614" s="5">
        <v>324</v>
      </c>
      <c r="H1614" s="6">
        <v>0</v>
      </c>
      <c r="I1614" s="22">
        <v>20136.87</v>
      </c>
      <c r="J1614" s="24">
        <f t="shared" si="75"/>
        <v>1.3953082766690847E-4</v>
      </c>
      <c r="K1614" s="25">
        <f t="shared" si="77"/>
        <v>0.80003963704979197</v>
      </c>
      <c r="L1614" s="26" t="s">
        <v>7517</v>
      </c>
      <c r="M1614" s="28"/>
      <c r="N1614" s="28"/>
      <c r="O1614" s="20" t="s">
        <v>7530</v>
      </c>
      <c r="P1614" s="27" t="str">
        <f t="shared" si="76"/>
        <v>vermelho</v>
      </c>
    </row>
    <row r="1615" spans="1:16" ht="25.5">
      <c r="A1615" s="3" t="s">
        <v>4</v>
      </c>
      <c r="B1615" s="3" t="s">
        <v>968</v>
      </c>
      <c r="C1615" s="4">
        <v>335</v>
      </c>
      <c r="D1615" s="3" t="s">
        <v>36</v>
      </c>
      <c r="E1615" s="3" t="s">
        <v>7</v>
      </c>
      <c r="F1615" s="5">
        <v>0</v>
      </c>
      <c r="G1615" s="5">
        <v>306</v>
      </c>
      <c r="H1615" s="6">
        <v>0</v>
      </c>
      <c r="I1615" s="22">
        <v>20134.439999999999</v>
      </c>
      <c r="J1615" s="24">
        <f t="shared" si="75"/>
        <v>1.3951398990060066E-4</v>
      </c>
      <c r="K1615" s="25">
        <f t="shared" si="77"/>
        <v>0.80017915103969262</v>
      </c>
      <c r="L1615" s="26" t="s">
        <v>7517</v>
      </c>
      <c r="M1615" s="28"/>
      <c r="N1615" s="28"/>
      <c r="O1615" s="20">
        <v>20134.439999999999</v>
      </c>
      <c r="P1615" s="27" t="str">
        <f t="shared" si="76"/>
        <v>verde</v>
      </c>
    </row>
    <row r="1616" spans="1:16" ht="25.5">
      <c r="A1616" s="3" t="s">
        <v>4</v>
      </c>
      <c r="B1616" s="3" t="s">
        <v>969</v>
      </c>
      <c r="C1616" s="4">
        <v>266</v>
      </c>
      <c r="D1616" s="3" t="s">
        <v>80</v>
      </c>
      <c r="E1616" s="3" t="s">
        <v>10</v>
      </c>
      <c r="F1616" s="5">
        <v>0</v>
      </c>
      <c r="G1616" s="5">
        <v>354</v>
      </c>
      <c r="H1616" s="6">
        <v>0</v>
      </c>
      <c r="I1616" s="22">
        <v>20110.560000000001</v>
      </c>
      <c r="J1616" s="24">
        <f t="shared" si="75"/>
        <v>1.3934852246873635E-4</v>
      </c>
      <c r="K1616" s="25">
        <f t="shared" si="77"/>
        <v>0.80031849956216139</v>
      </c>
      <c r="L1616" s="26" t="s">
        <v>7517</v>
      </c>
      <c r="M1616" s="28"/>
      <c r="N1616" s="28"/>
      <c r="O1616" s="20" t="s">
        <v>7530</v>
      </c>
      <c r="P1616" s="27" t="str">
        <f t="shared" si="76"/>
        <v>vermelho</v>
      </c>
    </row>
    <row r="1617" spans="1:16">
      <c r="A1617" s="3" t="s">
        <v>4</v>
      </c>
      <c r="B1617" s="3" t="s">
        <v>970</v>
      </c>
      <c r="C1617" s="4">
        <v>231</v>
      </c>
      <c r="D1617" s="3" t="s">
        <v>52</v>
      </c>
      <c r="E1617" s="3" t="s">
        <v>7</v>
      </c>
      <c r="F1617" s="5">
        <v>594</v>
      </c>
      <c r="G1617" s="5">
        <v>375</v>
      </c>
      <c r="H1617" s="6">
        <v>36004.47</v>
      </c>
      <c r="I1617" s="22">
        <v>20098.59</v>
      </c>
      <c r="J1617" s="24">
        <f t="shared" si="75"/>
        <v>1.3926558087914607E-4</v>
      </c>
      <c r="K1617" s="25">
        <f t="shared" si="77"/>
        <v>0.80045776514304057</v>
      </c>
      <c r="L1617" s="26" t="s">
        <v>7517</v>
      </c>
      <c r="M1617" s="28"/>
      <c r="N1617" s="28">
        <v>7.1174856194864466E-2</v>
      </c>
      <c r="O1617" s="20">
        <v>25625.040000000001</v>
      </c>
      <c r="P1617" s="27" t="str">
        <f t="shared" si="76"/>
        <v>verde</v>
      </c>
    </row>
    <row r="1618" spans="1:16" ht="25.5">
      <c r="A1618" s="3" t="s">
        <v>4</v>
      </c>
      <c r="B1618" s="3" t="s">
        <v>971</v>
      </c>
      <c r="C1618" s="4">
        <v>270</v>
      </c>
      <c r="D1618" s="3" t="s">
        <v>266</v>
      </c>
      <c r="E1618" s="3" t="s">
        <v>49</v>
      </c>
      <c r="F1618" s="5">
        <v>300</v>
      </c>
      <c r="G1618" s="5">
        <v>330</v>
      </c>
      <c r="H1618" s="6">
        <v>16644.72</v>
      </c>
      <c r="I1618" s="22">
        <v>20077.439999999999</v>
      </c>
      <c r="J1618" s="24">
        <f t="shared" si="75"/>
        <v>1.3911902995017073E-4</v>
      </c>
      <c r="K1618" s="25">
        <f t="shared" si="77"/>
        <v>0.80059688417299069</v>
      </c>
      <c r="L1618" s="26" t="s">
        <v>7517</v>
      </c>
      <c r="M1618" s="28"/>
      <c r="N1618" s="28">
        <v>4.9311498990452757E-2</v>
      </c>
      <c r="O1618" s="20">
        <v>15203.7</v>
      </c>
      <c r="P1618" s="27" t="str">
        <f t="shared" si="76"/>
        <v>laranja</v>
      </c>
    </row>
    <row r="1619" spans="1:16" ht="38.25">
      <c r="A1619" s="3" t="s">
        <v>6311</v>
      </c>
      <c r="B1619" s="3" t="s">
        <v>6312</v>
      </c>
      <c r="C1619" s="4">
        <v>45</v>
      </c>
      <c r="D1619" s="3" t="s">
        <v>23</v>
      </c>
      <c r="E1619" s="3" t="s">
        <v>7</v>
      </c>
      <c r="F1619" s="5">
        <v>0</v>
      </c>
      <c r="G1619" s="5">
        <v>324</v>
      </c>
      <c r="H1619" s="6">
        <v>0</v>
      </c>
      <c r="I1619" s="22">
        <v>20031.810000000001</v>
      </c>
      <c r="J1619" s="24">
        <f t="shared" si="75"/>
        <v>1.388028541161687E-4</v>
      </c>
      <c r="K1619" s="25">
        <f t="shared" si="77"/>
        <v>0.80073568702710685</v>
      </c>
      <c r="L1619" s="26" t="s">
        <v>7517</v>
      </c>
      <c r="M1619" s="28"/>
      <c r="N1619" s="28"/>
      <c r="O1619" s="20">
        <v>22869.84</v>
      </c>
      <c r="P1619" s="27" t="str">
        <f t="shared" si="76"/>
        <v>verde</v>
      </c>
    </row>
    <row r="1620" spans="1:16" ht="25.5">
      <c r="A1620" s="3" t="s">
        <v>4</v>
      </c>
      <c r="B1620" s="3" t="s">
        <v>972</v>
      </c>
      <c r="C1620" s="4">
        <v>61</v>
      </c>
      <c r="D1620" s="3" t="s">
        <v>48</v>
      </c>
      <c r="E1620" s="3" t="s">
        <v>49</v>
      </c>
      <c r="F1620" s="5">
        <v>552</v>
      </c>
      <c r="G1620" s="5">
        <v>339</v>
      </c>
      <c r="H1620" s="6">
        <v>32029.48</v>
      </c>
      <c r="I1620" s="22">
        <v>20027.37</v>
      </c>
      <c r="J1620" s="24">
        <f t="shared" si="75"/>
        <v>1.3877208881476677E-4</v>
      </c>
      <c r="K1620" s="25">
        <f t="shared" si="77"/>
        <v>0.80087445911592159</v>
      </c>
      <c r="L1620" s="26" t="s">
        <v>7517</v>
      </c>
      <c r="M1620" s="28"/>
      <c r="N1620" s="28"/>
      <c r="O1620" s="20">
        <v>19054.2</v>
      </c>
      <c r="P1620" s="27" t="str">
        <f t="shared" si="76"/>
        <v>laranja</v>
      </c>
    </row>
    <row r="1621" spans="1:16" ht="51">
      <c r="A1621" s="3" t="s">
        <v>6313</v>
      </c>
      <c r="B1621" s="3" t="s">
        <v>6314</v>
      </c>
      <c r="C1621" s="4">
        <v>282</v>
      </c>
      <c r="D1621" s="3" t="s">
        <v>12</v>
      </c>
      <c r="E1621" s="3" t="s">
        <v>13</v>
      </c>
      <c r="F1621" s="5">
        <v>0</v>
      </c>
      <c r="G1621" s="5">
        <v>336</v>
      </c>
      <c r="H1621" s="6">
        <v>0</v>
      </c>
      <c r="I1621" s="22">
        <v>20027.330000000002</v>
      </c>
      <c r="J1621" s="24">
        <f t="shared" si="75"/>
        <v>1.387718116498893E-4</v>
      </c>
      <c r="K1621" s="25">
        <f t="shared" si="77"/>
        <v>0.80101323092757148</v>
      </c>
      <c r="L1621" s="26" t="s">
        <v>7517</v>
      </c>
      <c r="M1621" s="28"/>
      <c r="N1621" s="28"/>
      <c r="O1621" s="20" t="s">
        <v>7530</v>
      </c>
      <c r="P1621" s="27" t="str">
        <f t="shared" si="76"/>
        <v>vermelho</v>
      </c>
    </row>
    <row r="1622" spans="1:16" ht="25.5">
      <c r="A1622" s="3" t="s">
        <v>4</v>
      </c>
      <c r="B1622" s="3" t="s">
        <v>973</v>
      </c>
      <c r="C1622" s="4">
        <v>270</v>
      </c>
      <c r="D1622" s="3" t="s">
        <v>266</v>
      </c>
      <c r="E1622" s="3" t="s">
        <v>49</v>
      </c>
      <c r="F1622" s="5">
        <v>0</v>
      </c>
      <c r="G1622" s="5">
        <v>306</v>
      </c>
      <c r="H1622" s="6">
        <v>0</v>
      </c>
      <c r="I1622" s="22">
        <v>20006.310000000001</v>
      </c>
      <c r="J1622" s="24">
        <f t="shared" si="75"/>
        <v>1.3862616150676584E-4</v>
      </c>
      <c r="K1622" s="25">
        <f t="shared" si="77"/>
        <v>0.80115185708907821</v>
      </c>
      <c r="L1622" s="26" t="s">
        <v>7517</v>
      </c>
      <c r="M1622" s="28">
        <v>3.5859847077463532E-3</v>
      </c>
      <c r="N1622" s="28"/>
      <c r="O1622" s="20">
        <v>20006.310000000001</v>
      </c>
      <c r="P1622" s="27" t="str">
        <f t="shared" si="76"/>
        <v>verde</v>
      </c>
    </row>
    <row r="1623" spans="1:16" ht="38.25">
      <c r="A1623" s="3" t="s">
        <v>4</v>
      </c>
      <c r="B1623" s="3" t="s">
        <v>974</v>
      </c>
      <c r="C1623" s="4">
        <v>143</v>
      </c>
      <c r="D1623" s="3" t="s">
        <v>44</v>
      </c>
      <c r="E1623" s="3" t="s">
        <v>41</v>
      </c>
      <c r="F1623" s="5">
        <v>144</v>
      </c>
      <c r="G1623" s="5">
        <v>348</v>
      </c>
      <c r="H1623" s="6">
        <v>9262.2000000000007</v>
      </c>
      <c r="I1623" s="22">
        <v>20005.560000000001</v>
      </c>
      <c r="J1623" s="24">
        <f t="shared" si="75"/>
        <v>1.3862096466531282E-4</v>
      </c>
      <c r="K1623" s="25">
        <f t="shared" si="77"/>
        <v>0.80129047805374354</v>
      </c>
      <c r="L1623" s="26" t="s">
        <v>7517</v>
      </c>
      <c r="M1623" s="28"/>
      <c r="N1623" s="28">
        <v>-1.5397996261125878E-2</v>
      </c>
      <c r="O1623" s="20">
        <v>9762.9599999999991</v>
      </c>
      <c r="P1623" s="27" t="str">
        <f t="shared" si="76"/>
        <v>amarelo</v>
      </c>
    </row>
    <row r="1624" spans="1:16" ht="25.5">
      <c r="A1624" s="3" t="s">
        <v>4</v>
      </c>
      <c r="B1624" s="3" t="s">
        <v>975</v>
      </c>
      <c r="C1624" s="4">
        <v>337</v>
      </c>
      <c r="D1624" s="3" t="s">
        <v>202</v>
      </c>
      <c r="E1624" s="3" t="s">
        <v>16</v>
      </c>
      <c r="F1624" s="5">
        <v>0</v>
      </c>
      <c r="G1624" s="5">
        <v>342</v>
      </c>
      <c r="H1624" s="6">
        <v>0</v>
      </c>
      <c r="I1624" s="22">
        <v>20003.22</v>
      </c>
      <c r="J1624" s="24">
        <f t="shared" si="75"/>
        <v>1.3860475051997938E-4</v>
      </c>
      <c r="K1624" s="25">
        <f t="shared" si="77"/>
        <v>0.8014290828042635</v>
      </c>
      <c r="L1624" s="26" t="s">
        <v>7517</v>
      </c>
      <c r="M1624" s="28"/>
      <c r="N1624" s="28"/>
      <c r="O1624" s="20" t="s">
        <v>7530</v>
      </c>
      <c r="P1624" s="27" t="str">
        <f t="shared" si="76"/>
        <v>vermelho</v>
      </c>
    </row>
    <row r="1625" spans="1:16" ht="25.5">
      <c r="A1625" s="3" t="s">
        <v>4</v>
      </c>
      <c r="B1625" s="3" t="s">
        <v>976</v>
      </c>
      <c r="C1625" s="4">
        <v>15</v>
      </c>
      <c r="D1625" s="3" t="s">
        <v>18</v>
      </c>
      <c r="E1625" s="3" t="s">
        <v>16</v>
      </c>
      <c r="F1625" s="5">
        <v>0</v>
      </c>
      <c r="G1625" s="5">
        <v>348</v>
      </c>
      <c r="H1625" s="6">
        <v>0</v>
      </c>
      <c r="I1625" s="22">
        <v>19983.36</v>
      </c>
      <c r="J1625" s="24">
        <f t="shared" si="75"/>
        <v>1.3846713815830327E-4</v>
      </c>
      <c r="K1625" s="25">
        <f t="shared" si="77"/>
        <v>0.80156754994242185</v>
      </c>
      <c r="L1625" s="26" t="s">
        <v>7517</v>
      </c>
      <c r="M1625" s="28"/>
      <c r="N1625" s="28"/>
      <c r="O1625" s="20" t="s">
        <v>7530</v>
      </c>
      <c r="P1625" s="27" t="str">
        <f t="shared" si="76"/>
        <v>vermelho</v>
      </c>
    </row>
    <row r="1626" spans="1:16" ht="25.5">
      <c r="A1626" s="3" t="s">
        <v>6315</v>
      </c>
      <c r="B1626" s="3" t="s">
        <v>5715</v>
      </c>
      <c r="C1626" s="4">
        <v>194</v>
      </c>
      <c r="D1626" s="3" t="s">
        <v>145</v>
      </c>
      <c r="E1626" s="3" t="s">
        <v>16</v>
      </c>
      <c r="F1626" s="5">
        <v>600</v>
      </c>
      <c r="G1626" s="5">
        <v>393</v>
      </c>
      <c r="H1626" s="6">
        <v>31097.4</v>
      </c>
      <c r="I1626" s="22">
        <v>19980.93</v>
      </c>
      <c r="J1626" s="24">
        <f t="shared" si="75"/>
        <v>1.3845030039199546E-4</v>
      </c>
      <c r="K1626" s="25">
        <f t="shared" si="77"/>
        <v>0.8017060002428138</v>
      </c>
      <c r="L1626" s="26" t="s">
        <v>7517</v>
      </c>
      <c r="M1626" s="28"/>
      <c r="N1626" s="28"/>
      <c r="O1626" s="20">
        <v>17059.68</v>
      </c>
      <c r="P1626" s="27" t="str">
        <f t="shared" si="76"/>
        <v>laranja</v>
      </c>
    </row>
    <row r="1627" spans="1:16">
      <c r="A1627" s="3" t="s">
        <v>4</v>
      </c>
      <c r="B1627" s="3" t="s">
        <v>977</v>
      </c>
      <c r="C1627" s="4">
        <v>232</v>
      </c>
      <c r="D1627" s="3" t="s">
        <v>174</v>
      </c>
      <c r="E1627" s="3" t="s">
        <v>16</v>
      </c>
      <c r="F1627" s="5">
        <v>0</v>
      </c>
      <c r="G1627" s="5">
        <v>348</v>
      </c>
      <c r="H1627" s="6">
        <v>0</v>
      </c>
      <c r="I1627" s="22">
        <v>19956</v>
      </c>
      <c r="J1627" s="24">
        <f t="shared" si="75"/>
        <v>1.382775573820969E-4</v>
      </c>
      <c r="K1627" s="25">
        <f t="shared" si="77"/>
        <v>0.80184427780019585</v>
      </c>
      <c r="L1627" s="26" t="s">
        <v>7517</v>
      </c>
      <c r="M1627" s="28"/>
      <c r="N1627" s="28">
        <v>2.6542590176760458E-2</v>
      </c>
      <c r="O1627" s="20">
        <v>3259.68</v>
      </c>
      <c r="P1627" s="27" t="str">
        <f t="shared" si="76"/>
        <v>amarelo</v>
      </c>
    </row>
    <row r="1628" spans="1:16" ht="25.5">
      <c r="A1628" s="3" t="s">
        <v>4</v>
      </c>
      <c r="B1628" s="3" t="s">
        <v>978</v>
      </c>
      <c r="C1628" s="4">
        <v>273</v>
      </c>
      <c r="D1628" s="3" t="s">
        <v>149</v>
      </c>
      <c r="E1628" s="3" t="s">
        <v>16</v>
      </c>
      <c r="F1628" s="5">
        <v>96</v>
      </c>
      <c r="G1628" s="5">
        <v>387</v>
      </c>
      <c r="H1628" s="6">
        <v>4907.04</v>
      </c>
      <c r="I1628" s="22">
        <v>19910.484</v>
      </c>
      <c r="J1628" s="24">
        <f t="shared" si="75"/>
        <v>1.3796217146799569E-4</v>
      </c>
      <c r="K1628" s="25">
        <f t="shared" si="77"/>
        <v>0.80198223997166385</v>
      </c>
      <c r="L1628" s="26" t="s">
        <v>7517</v>
      </c>
      <c r="M1628" s="28"/>
      <c r="N1628" s="28"/>
      <c r="O1628" s="20" t="s">
        <v>7530</v>
      </c>
      <c r="P1628" s="27" t="str">
        <f t="shared" si="76"/>
        <v>vermelho</v>
      </c>
    </row>
    <row r="1629" spans="1:16" ht="38.25">
      <c r="A1629" s="3" t="s">
        <v>4</v>
      </c>
      <c r="B1629" s="3" t="s">
        <v>979</v>
      </c>
      <c r="C1629" s="4">
        <v>53</v>
      </c>
      <c r="D1629" s="3" t="s">
        <v>34</v>
      </c>
      <c r="E1629" s="3" t="s">
        <v>16</v>
      </c>
      <c r="F1629" s="5">
        <v>324</v>
      </c>
      <c r="G1629" s="5">
        <v>312</v>
      </c>
      <c r="H1629" s="6">
        <v>17082.36</v>
      </c>
      <c r="I1629" s="22">
        <v>19889.52</v>
      </c>
      <c r="J1629" s="24">
        <f t="shared" si="75"/>
        <v>1.3781690935570074E-4</v>
      </c>
      <c r="K1629" s="25">
        <f t="shared" si="77"/>
        <v>0.80212005688101951</v>
      </c>
      <c r="L1629" s="26" t="s">
        <v>7517</v>
      </c>
      <c r="M1629" s="28"/>
      <c r="N1629" s="28"/>
      <c r="O1629" s="20">
        <v>5379.12</v>
      </c>
      <c r="P1629" s="27" t="str">
        <f t="shared" si="76"/>
        <v>amarelo</v>
      </c>
    </row>
    <row r="1630" spans="1:16" ht="25.5">
      <c r="A1630" s="3" t="s">
        <v>4</v>
      </c>
      <c r="B1630" s="3" t="s">
        <v>980</v>
      </c>
      <c r="C1630" s="4">
        <v>61</v>
      </c>
      <c r="D1630" s="3" t="s">
        <v>48</v>
      </c>
      <c r="E1630" s="3" t="s">
        <v>49</v>
      </c>
      <c r="F1630" s="5">
        <v>60</v>
      </c>
      <c r="G1630" s="5">
        <v>312</v>
      </c>
      <c r="H1630" s="6">
        <v>3612.15</v>
      </c>
      <c r="I1630" s="22">
        <v>19884.39</v>
      </c>
      <c r="J1630" s="24">
        <f t="shared" si="75"/>
        <v>1.3778136296016202E-4</v>
      </c>
      <c r="K1630" s="25">
        <f t="shared" si="77"/>
        <v>0.80225783824397967</v>
      </c>
      <c r="L1630" s="26" t="s">
        <v>7517</v>
      </c>
      <c r="M1630" s="28"/>
      <c r="N1630" s="28"/>
      <c r="O1630" s="20">
        <v>15700.83</v>
      </c>
      <c r="P1630" s="27" t="str">
        <f t="shared" si="76"/>
        <v>laranja</v>
      </c>
    </row>
    <row r="1631" spans="1:16" ht="25.5">
      <c r="A1631" s="3" t="s">
        <v>6316</v>
      </c>
      <c r="B1631" s="3" t="s">
        <v>6317</v>
      </c>
      <c r="C1631" s="4">
        <v>317</v>
      </c>
      <c r="D1631" s="3" t="s">
        <v>78</v>
      </c>
      <c r="E1631" s="3" t="s">
        <v>10</v>
      </c>
      <c r="F1631" s="5">
        <v>510</v>
      </c>
      <c r="G1631" s="5">
        <v>309</v>
      </c>
      <c r="H1631" s="6">
        <v>27690.78</v>
      </c>
      <c r="I1631" s="22">
        <v>19877.37</v>
      </c>
      <c r="J1631" s="24">
        <f t="shared" si="75"/>
        <v>1.3773272052416171E-4</v>
      </c>
      <c r="K1631" s="25">
        <f t="shared" si="77"/>
        <v>0.80239557096450387</v>
      </c>
      <c r="L1631" s="26" t="s">
        <v>7517</v>
      </c>
      <c r="M1631" s="28"/>
      <c r="N1631" s="28"/>
      <c r="O1631" s="20" t="s">
        <v>7530</v>
      </c>
      <c r="P1631" s="27" t="str">
        <f t="shared" si="76"/>
        <v>vermelho</v>
      </c>
    </row>
    <row r="1632" spans="1:16" ht="25.5">
      <c r="A1632" s="3" t="s">
        <v>4</v>
      </c>
      <c r="B1632" s="3" t="s">
        <v>981</v>
      </c>
      <c r="C1632" s="4">
        <v>53</v>
      </c>
      <c r="D1632" s="3" t="s">
        <v>34</v>
      </c>
      <c r="E1632" s="3" t="s">
        <v>16</v>
      </c>
      <c r="F1632" s="5">
        <v>552</v>
      </c>
      <c r="G1632" s="5">
        <v>336</v>
      </c>
      <c r="H1632" s="6">
        <v>30182.52</v>
      </c>
      <c r="I1632" s="22">
        <v>19833.599999999999</v>
      </c>
      <c r="J1632" s="24">
        <f t="shared" si="75"/>
        <v>1.3742943285696317E-4</v>
      </c>
      <c r="K1632" s="25">
        <f t="shared" si="77"/>
        <v>0.80253300039736086</v>
      </c>
      <c r="L1632" s="26" t="s">
        <v>7517</v>
      </c>
      <c r="M1632" s="28"/>
      <c r="N1632" s="28"/>
      <c r="O1632" s="20" t="s">
        <v>7530</v>
      </c>
      <c r="P1632" s="27" t="str">
        <f t="shared" si="76"/>
        <v>vermelho</v>
      </c>
    </row>
    <row r="1633" spans="1:16" ht="25.5">
      <c r="A1633" s="3" t="s">
        <v>6318</v>
      </c>
      <c r="B1633" s="3" t="s">
        <v>6319</v>
      </c>
      <c r="C1633" s="4">
        <v>61</v>
      </c>
      <c r="D1633" s="3" t="s">
        <v>48</v>
      </c>
      <c r="E1633" s="3" t="s">
        <v>49</v>
      </c>
      <c r="F1633" s="5">
        <v>0</v>
      </c>
      <c r="G1633" s="5">
        <v>312</v>
      </c>
      <c r="H1633" s="6">
        <v>0</v>
      </c>
      <c r="I1633" s="22">
        <v>19814.759999999998</v>
      </c>
      <c r="J1633" s="24">
        <f t="shared" si="75"/>
        <v>1.3729888819966315E-4</v>
      </c>
      <c r="K1633" s="25">
        <f t="shared" si="77"/>
        <v>0.80267029928556055</v>
      </c>
      <c r="L1633" s="26" t="s">
        <v>7517</v>
      </c>
      <c r="M1633" s="28"/>
      <c r="N1633" s="28"/>
      <c r="O1633" s="20">
        <v>4602.1499999999996</v>
      </c>
      <c r="P1633" s="27" t="str">
        <f t="shared" si="76"/>
        <v>amarelo</v>
      </c>
    </row>
    <row r="1634" spans="1:16" ht="25.5">
      <c r="A1634" s="3" t="s">
        <v>4</v>
      </c>
      <c r="B1634" s="3" t="s">
        <v>982</v>
      </c>
      <c r="C1634" s="4">
        <v>31</v>
      </c>
      <c r="D1634" s="3" t="s">
        <v>194</v>
      </c>
      <c r="E1634" s="3" t="s">
        <v>16</v>
      </c>
      <c r="F1634" s="5">
        <v>522</v>
      </c>
      <c r="G1634" s="5">
        <v>372</v>
      </c>
      <c r="H1634" s="6">
        <v>27807.42</v>
      </c>
      <c r="I1634" s="22">
        <v>19813.439999999999</v>
      </c>
      <c r="J1634" s="24">
        <f t="shared" si="75"/>
        <v>1.3728974175870583E-4</v>
      </c>
      <c r="K1634" s="25">
        <f t="shared" si="77"/>
        <v>0.8028075890273193</v>
      </c>
      <c r="L1634" s="26" t="s">
        <v>7517</v>
      </c>
      <c r="M1634" s="28"/>
      <c r="N1634" s="28"/>
      <c r="O1634" s="20" t="s">
        <v>7530</v>
      </c>
      <c r="P1634" s="27" t="str">
        <f t="shared" si="76"/>
        <v>vermelho</v>
      </c>
    </row>
    <row r="1635" spans="1:16">
      <c r="A1635" s="3" t="s">
        <v>4</v>
      </c>
      <c r="B1635" s="3" t="s">
        <v>983</v>
      </c>
      <c r="C1635" s="4">
        <v>232</v>
      </c>
      <c r="D1635" s="3" t="s">
        <v>174</v>
      </c>
      <c r="E1635" s="3" t="s">
        <v>16</v>
      </c>
      <c r="F1635" s="5">
        <v>0</v>
      </c>
      <c r="G1635" s="5">
        <v>348</v>
      </c>
      <c r="H1635" s="6">
        <v>0</v>
      </c>
      <c r="I1635" s="22">
        <v>19794.96</v>
      </c>
      <c r="J1635" s="24">
        <f t="shared" si="75"/>
        <v>1.371616915853033E-4</v>
      </c>
      <c r="K1635" s="25">
        <f t="shared" si="77"/>
        <v>0.80294475071890459</v>
      </c>
      <c r="L1635" s="26" t="s">
        <v>7517</v>
      </c>
      <c r="M1635" s="28"/>
      <c r="N1635" s="28"/>
      <c r="O1635" s="20" t="s">
        <v>7530</v>
      </c>
      <c r="P1635" s="27" t="str">
        <f t="shared" si="76"/>
        <v>vermelho</v>
      </c>
    </row>
    <row r="1636" spans="1:16" ht="25.5">
      <c r="A1636" s="3" t="s">
        <v>4</v>
      </c>
      <c r="B1636" s="3" t="s">
        <v>984</v>
      </c>
      <c r="C1636" s="4">
        <v>23</v>
      </c>
      <c r="D1636" s="3" t="s">
        <v>87</v>
      </c>
      <c r="E1636" s="3" t="s">
        <v>7</v>
      </c>
      <c r="F1636" s="5">
        <v>120</v>
      </c>
      <c r="G1636" s="5">
        <v>324</v>
      </c>
      <c r="H1636" s="6">
        <v>5866.8</v>
      </c>
      <c r="I1636" s="22">
        <v>19790.88</v>
      </c>
      <c r="J1636" s="24">
        <f t="shared" si="75"/>
        <v>1.3713342076779886E-4</v>
      </c>
      <c r="K1636" s="25">
        <f t="shared" si="77"/>
        <v>0.80308188413967241</v>
      </c>
      <c r="L1636" s="26" t="s">
        <v>7517</v>
      </c>
      <c r="M1636" s="28"/>
      <c r="N1636" s="28"/>
      <c r="O1636" s="20">
        <v>12348.15</v>
      </c>
      <c r="P1636" s="27" t="str">
        <f t="shared" si="76"/>
        <v>laranja</v>
      </c>
    </row>
    <row r="1637" spans="1:16" ht="25.5">
      <c r="A1637" s="3" t="s">
        <v>4</v>
      </c>
      <c r="B1637" s="3" t="s">
        <v>985</v>
      </c>
      <c r="C1637" s="4">
        <v>61</v>
      </c>
      <c r="D1637" s="3" t="s">
        <v>48</v>
      </c>
      <c r="E1637" s="3" t="s">
        <v>49</v>
      </c>
      <c r="F1637" s="5">
        <v>324</v>
      </c>
      <c r="G1637" s="5">
        <v>318</v>
      </c>
      <c r="H1637" s="6">
        <v>18879.84</v>
      </c>
      <c r="I1637" s="22">
        <v>19784.759999999998</v>
      </c>
      <c r="J1637" s="24">
        <f t="shared" si="75"/>
        <v>1.3709101454154214E-4</v>
      </c>
      <c r="K1637" s="25">
        <f t="shared" si="77"/>
        <v>0.80321897515421392</v>
      </c>
      <c r="L1637" s="26" t="s">
        <v>7517</v>
      </c>
      <c r="M1637" s="28"/>
      <c r="N1637" s="28"/>
      <c r="O1637" s="20">
        <v>19627.439999999999</v>
      </c>
      <c r="P1637" s="27" t="str">
        <f t="shared" si="76"/>
        <v>laranja</v>
      </c>
    </row>
    <row r="1638" spans="1:16" ht="25.5">
      <c r="A1638" s="3" t="s">
        <v>6320</v>
      </c>
      <c r="B1638" s="3" t="s">
        <v>6321</v>
      </c>
      <c r="C1638" s="4">
        <v>23</v>
      </c>
      <c r="D1638" s="3" t="s">
        <v>87</v>
      </c>
      <c r="E1638" s="3" t="s">
        <v>7</v>
      </c>
      <c r="F1638" s="5">
        <v>279</v>
      </c>
      <c r="G1638" s="5">
        <v>303</v>
      </c>
      <c r="H1638" s="6">
        <v>17794.080000000002</v>
      </c>
      <c r="I1638" s="22">
        <v>19784.37</v>
      </c>
      <c r="J1638" s="24">
        <f t="shared" si="75"/>
        <v>1.3708831218398659E-4</v>
      </c>
      <c r="K1638" s="25">
        <f t="shared" si="77"/>
        <v>0.80335606346639787</v>
      </c>
      <c r="L1638" s="26" t="s">
        <v>7517</v>
      </c>
      <c r="M1638" s="28"/>
      <c r="N1638" s="28"/>
      <c r="O1638" s="20" t="s">
        <v>7530</v>
      </c>
      <c r="P1638" s="27" t="str">
        <f t="shared" si="76"/>
        <v>vermelho</v>
      </c>
    </row>
    <row r="1639" spans="1:16" ht="25.5">
      <c r="A1639" s="3" t="s">
        <v>6322</v>
      </c>
      <c r="B1639" s="3" t="s">
        <v>6323</v>
      </c>
      <c r="C1639" s="4">
        <v>337</v>
      </c>
      <c r="D1639" s="3" t="s">
        <v>202</v>
      </c>
      <c r="E1639" s="3" t="s">
        <v>16</v>
      </c>
      <c r="F1639" s="5">
        <v>183</v>
      </c>
      <c r="G1639" s="5">
        <v>348</v>
      </c>
      <c r="H1639" s="6">
        <v>10163.94</v>
      </c>
      <c r="I1639" s="22">
        <v>19776.240000000002</v>
      </c>
      <c r="J1639" s="24">
        <f t="shared" si="75"/>
        <v>1.3703197842263579E-4</v>
      </c>
      <c r="K1639" s="25">
        <f t="shared" si="77"/>
        <v>0.8034930954448205</v>
      </c>
      <c r="L1639" s="26" t="s">
        <v>7517</v>
      </c>
      <c r="M1639" s="28"/>
      <c r="N1639" s="28"/>
      <c r="O1639" s="20" t="s">
        <v>7530</v>
      </c>
      <c r="P1639" s="27" t="str">
        <f t="shared" si="76"/>
        <v>vermelho</v>
      </c>
    </row>
    <row r="1640" spans="1:16" ht="38.25">
      <c r="A1640" s="3" t="s">
        <v>4</v>
      </c>
      <c r="B1640" s="3" t="s">
        <v>986</v>
      </c>
      <c r="C1640" s="4">
        <v>34</v>
      </c>
      <c r="D1640" s="3" t="s">
        <v>54</v>
      </c>
      <c r="E1640" s="3" t="s">
        <v>49</v>
      </c>
      <c r="F1640" s="5">
        <v>132</v>
      </c>
      <c r="G1640" s="5">
        <v>324</v>
      </c>
      <c r="H1640" s="6">
        <v>7138.68</v>
      </c>
      <c r="I1640" s="22">
        <v>19773.84</v>
      </c>
      <c r="J1640" s="24">
        <f t="shared" si="75"/>
        <v>1.3701534852998611E-4</v>
      </c>
      <c r="K1640" s="25">
        <f t="shared" si="77"/>
        <v>0.80363011079335045</v>
      </c>
      <c r="L1640" s="26" t="s">
        <v>7517</v>
      </c>
      <c r="M1640" s="28"/>
      <c r="N1640" s="28"/>
      <c r="O1640" s="20">
        <v>9644.64</v>
      </c>
      <c r="P1640" s="27" t="str">
        <f t="shared" si="76"/>
        <v>amarelo</v>
      </c>
    </row>
    <row r="1641" spans="1:16" ht="25.5">
      <c r="A1641" s="3" t="s">
        <v>4</v>
      </c>
      <c r="B1641" s="3" t="s">
        <v>987</v>
      </c>
      <c r="C1641" s="4">
        <v>187</v>
      </c>
      <c r="D1641" s="3" t="s">
        <v>96</v>
      </c>
      <c r="E1641" s="3" t="s">
        <v>7</v>
      </c>
      <c r="F1641" s="5">
        <v>327</v>
      </c>
      <c r="G1641" s="5">
        <v>303</v>
      </c>
      <c r="H1641" s="6">
        <v>19525.169999999998</v>
      </c>
      <c r="I1641" s="22">
        <v>19766.97</v>
      </c>
      <c r="J1641" s="24">
        <f t="shared" si="75"/>
        <v>1.369677454622764E-4</v>
      </c>
      <c r="K1641" s="25">
        <f t="shared" si="77"/>
        <v>0.80376707853881268</v>
      </c>
      <c r="L1641" s="26" t="s">
        <v>7517</v>
      </c>
      <c r="M1641" s="28"/>
      <c r="N1641" s="28"/>
      <c r="O1641" s="20" t="s">
        <v>7530</v>
      </c>
      <c r="P1641" s="27" t="str">
        <f t="shared" si="76"/>
        <v>vermelho</v>
      </c>
    </row>
    <row r="1642" spans="1:16" ht="25.5">
      <c r="A1642" s="3" t="s">
        <v>6324</v>
      </c>
      <c r="B1642" s="3" t="s">
        <v>6325</v>
      </c>
      <c r="C1642" s="4">
        <v>31</v>
      </c>
      <c r="D1642" s="3" t="s">
        <v>194</v>
      </c>
      <c r="E1642" s="3" t="s">
        <v>16</v>
      </c>
      <c r="F1642" s="5">
        <v>723</v>
      </c>
      <c r="G1642" s="5">
        <v>354</v>
      </c>
      <c r="H1642" s="6">
        <v>38747.129999999997</v>
      </c>
      <c r="I1642" s="22">
        <v>19765.02</v>
      </c>
      <c r="J1642" s="24">
        <f t="shared" si="75"/>
        <v>1.3695423367449854E-4</v>
      </c>
      <c r="K1642" s="25">
        <f t="shared" si="77"/>
        <v>0.80390403277248723</v>
      </c>
      <c r="L1642" s="26" t="s">
        <v>7517</v>
      </c>
      <c r="M1642" s="28"/>
      <c r="N1642" s="28"/>
      <c r="O1642" s="20">
        <v>19187.04</v>
      </c>
      <c r="P1642" s="27" t="str">
        <f t="shared" si="76"/>
        <v>laranja</v>
      </c>
    </row>
    <row r="1643" spans="1:16" ht="38.25">
      <c r="A1643" s="3" t="s">
        <v>4</v>
      </c>
      <c r="B1643" s="3" t="s">
        <v>988</v>
      </c>
      <c r="C1643" s="4">
        <v>11</v>
      </c>
      <c r="D1643" s="3" t="s">
        <v>61</v>
      </c>
      <c r="E1643" s="3" t="s">
        <v>10</v>
      </c>
      <c r="F1643" s="5">
        <v>132</v>
      </c>
      <c r="G1643" s="5">
        <v>351</v>
      </c>
      <c r="H1643" s="6">
        <v>8419.7999999999993</v>
      </c>
      <c r="I1643" s="22">
        <v>19764.66</v>
      </c>
      <c r="J1643" s="24">
        <f t="shared" si="75"/>
        <v>1.3695173919060107E-4</v>
      </c>
      <c r="K1643" s="25">
        <f t="shared" si="77"/>
        <v>0.80404098451167783</v>
      </c>
      <c r="L1643" s="26" t="s">
        <v>7517</v>
      </c>
      <c r="M1643" s="28"/>
      <c r="N1643" s="28"/>
      <c r="O1643" s="20" t="s">
        <v>7530</v>
      </c>
      <c r="P1643" s="27" t="str">
        <f t="shared" si="76"/>
        <v>vermelho</v>
      </c>
    </row>
    <row r="1644" spans="1:16" ht="25.5">
      <c r="A1644" s="3" t="s">
        <v>4</v>
      </c>
      <c r="B1644" s="3" t="s">
        <v>989</v>
      </c>
      <c r="C1644" s="4">
        <v>267</v>
      </c>
      <c r="D1644" s="3" t="s">
        <v>125</v>
      </c>
      <c r="E1644" s="3" t="s">
        <v>16</v>
      </c>
      <c r="F1644" s="5">
        <v>0</v>
      </c>
      <c r="G1644" s="5">
        <v>330</v>
      </c>
      <c r="H1644" s="6">
        <v>0</v>
      </c>
      <c r="I1644" s="22">
        <v>19761.54</v>
      </c>
      <c r="J1644" s="24">
        <f t="shared" si="75"/>
        <v>1.3693012033015649E-4</v>
      </c>
      <c r="K1644" s="25">
        <f t="shared" si="77"/>
        <v>0.80417791463200794</v>
      </c>
      <c r="L1644" s="26" t="s">
        <v>7517</v>
      </c>
      <c r="M1644" s="28"/>
      <c r="N1644" s="28"/>
      <c r="O1644" s="20">
        <v>5063.3999999999996</v>
      </c>
      <c r="P1644" s="27" t="str">
        <f t="shared" si="76"/>
        <v>amarelo</v>
      </c>
    </row>
    <row r="1645" spans="1:16" ht="25.5">
      <c r="A1645" s="3" t="s">
        <v>4</v>
      </c>
      <c r="B1645" s="3" t="s">
        <v>990</v>
      </c>
      <c r="C1645" s="4">
        <v>315</v>
      </c>
      <c r="D1645" s="3" t="s">
        <v>63</v>
      </c>
      <c r="E1645" s="3" t="s">
        <v>7</v>
      </c>
      <c r="F1645" s="5">
        <v>402</v>
      </c>
      <c r="G1645" s="5">
        <v>411</v>
      </c>
      <c r="H1645" s="6">
        <v>21508.26</v>
      </c>
      <c r="I1645" s="22">
        <v>19721.754000000001</v>
      </c>
      <c r="J1645" s="24">
        <f t="shared" si="75"/>
        <v>1.3665443828475641E-4</v>
      </c>
      <c r="K1645" s="25">
        <f t="shared" si="77"/>
        <v>0.80431456907029275</v>
      </c>
      <c r="L1645" s="26" t="s">
        <v>7517</v>
      </c>
      <c r="M1645" s="28"/>
      <c r="N1645" s="28"/>
      <c r="O1645" s="20">
        <v>2205</v>
      </c>
      <c r="P1645" s="27" t="str">
        <f t="shared" si="76"/>
        <v>amarelo</v>
      </c>
    </row>
    <row r="1646" spans="1:16" ht="38.25">
      <c r="A1646" s="3" t="s">
        <v>4</v>
      </c>
      <c r="B1646" s="3" t="s">
        <v>991</v>
      </c>
      <c r="C1646" s="4">
        <v>38</v>
      </c>
      <c r="D1646" s="3" t="s">
        <v>184</v>
      </c>
      <c r="E1646" s="3" t="s">
        <v>49</v>
      </c>
      <c r="F1646" s="5">
        <v>258</v>
      </c>
      <c r="G1646" s="5">
        <v>363</v>
      </c>
      <c r="H1646" s="6">
        <v>13203.378000000001</v>
      </c>
      <c r="I1646" s="22">
        <v>19706.82</v>
      </c>
      <c r="J1646" s="24">
        <f t="shared" si="75"/>
        <v>1.3655095877774376E-4</v>
      </c>
      <c r="K1646" s="25">
        <f t="shared" si="77"/>
        <v>0.80445112002907049</v>
      </c>
      <c r="L1646" s="26" t="s">
        <v>7517</v>
      </c>
      <c r="M1646" s="28"/>
      <c r="N1646" s="28"/>
      <c r="O1646" s="20">
        <v>19382.759999999998</v>
      </c>
      <c r="P1646" s="27" t="str">
        <f t="shared" si="76"/>
        <v>laranja</v>
      </c>
    </row>
    <row r="1647" spans="1:16" ht="25.5">
      <c r="A1647" s="3" t="s">
        <v>4</v>
      </c>
      <c r="B1647" s="3" t="s">
        <v>992</v>
      </c>
      <c r="C1647" s="4">
        <v>208</v>
      </c>
      <c r="D1647" s="3" t="s">
        <v>15</v>
      </c>
      <c r="E1647" s="3" t="s">
        <v>16</v>
      </c>
      <c r="F1647" s="5">
        <v>324</v>
      </c>
      <c r="G1647" s="5">
        <v>300</v>
      </c>
      <c r="H1647" s="6">
        <v>18616.68</v>
      </c>
      <c r="I1647" s="22">
        <v>19677</v>
      </c>
      <c r="J1647" s="24">
        <f t="shared" si="75"/>
        <v>1.3634433236157147E-4</v>
      </c>
      <c r="K1647" s="25">
        <f t="shared" si="77"/>
        <v>0.80458746436143203</v>
      </c>
      <c r="L1647" s="26" t="s">
        <v>7517</v>
      </c>
      <c r="M1647" s="28"/>
      <c r="N1647" s="28"/>
      <c r="O1647" s="20" t="s">
        <v>7530</v>
      </c>
      <c r="P1647" s="27" t="str">
        <f t="shared" si="76"/>
        <v>vermelho</v>
      </c>
    </row>
    <row r="1648" spans="1:16">
      <c r="A1648" s="3" t="s">
        <v>4</v>
      </c>
      <c r="B1648" s="3" t="s">
        <v>993</v>
      </c>
      <c r="C1648" s="4">
        <v>167</v>
      </c>
      <c r="D1648" s="3" t="s">
        <v>251</v>
      </c>
      <c r="E1648" s="3" t="s">
        <v>49</v>
      </c>
      <c r="F1648" s="5">
        <v>357</v>
      </c>
      <c r="G1648" s="5">
        <v>360</v>
      </c>
      <c r="H1648" s="6">
        <v>19348.86</v>
      </c>
      <c r="I1648" s="22">
        <v>19653.240000000002</v>
      </c>
      <c r="J1648" s="24">
        <f t="shared" si="75"/>
        <v>1.3617969642433966E-4</v>
      </c>
      <c r="K1648" s="25">
        <f t="shared" si="77"/>
        <v>0.80472364405785635</v>
      </c>
      <c r="L1648" s="26" t="s">
        <v>7517</v>
      </c>
      <c r="M1648" s="28"/>
      <c r="N1648" s="28"/>
      <c r="O1648" s="20" t="s">
        <v>7530</v>
      </c>
      <c r="P1648" s="27" t="str">
        <f t="shared" si="76"/>
        <v>vermelho</v>
      </c>
    </row>
    <row r="1649" spans="1:16" ht="25.5">
      <c r="A1649" s="3" t="s">
        <v>4</v>
      </c>
      <c r="B1649" s="3" t="s">
        <v>994</v>
      </c>
      <c r="C1649" s="4">
        <v>261</v>
      </c>
      <c r="D1649" s="3" t="s">
        <v>9</v>
      </c>
      <c r="E1649" s="3" t="s">
        <v>10</v>
      </c>
      <c r="F1649" s="5">
        <v>252</v>
      </c>
      <c r="G1649" s="5">
        <v>327</v>
      </c>
      <c r="H1649" s="6">
        <v>14593.44</v>
      </c>
      <c r="I1649" s="22">
        <v>19643.97</v>
      </c>
      <c r="J1649" s="24">
        <f t="shared" si="75"/>
        <v>1.3611546346398027E-4</v>
      </c>
      <c r="K1649" s="25">
        <f t="shared" si="77"/>
        <v>0.80485975952132027</v>
      </c>
      <c r="L1649" s="26" t="s">
        <v>7517</v>
      </c>
      <c r="M1649" s="28"/>
      <c r="N1649" s="28"/>
      <c r="O1649" s="20">
        <v>9381.2099999999991</v>
      </c>
      <c r="P1649" s="27" t="str">
        <f t="shared" si="76"/>
        <v>amarelo</v>
      </c>
    </row>
    <row r="1650" spans="1:16" ht="25.5">
      <c r="A1650" s="3" t="s">
        <v>4</v>
      </c>
      <c r="B1650" s="3" t="s">
        <v>995</v>
      </c>
      <c r="C1650" s="4">
        <v>270</v>
      </c>
      <c r="D1650" s="3" t="s">
        <v>266</v>
      </c>
      <c r="E1650" s="3" t="s">
        <v>49</v>
      </c>
      <c r="F1650" s="5">
        <v>234</v>
      </c>
      <c r="G1650" s="5">
        <v>354</v>
      </c>
      <c r="H1650" s="6">
        <v>11431.907999999999</v>
      </c>
      <c r="I1650" s="22">
        <v>19628.400000000001</v>
      </c>
      <c r="J1650" s="24">
        <f t="shared" si="75"/>
        <v>1.3600757703541546E-4</v>
      </c>
      <c r="K1650" s="25">
        <f t="shared" si="77"/>
        <v>0.80499576709835574</v>
      </c>
      <c r="L1650" s="26" t="s">
        <v>7517</v>
      </c>
      <c r="M1650" s="28"/>
      <c r="N1650" s="28"/>
      <c r="O1650" s="20">
        <v>5181.4799999999996</v>
      </c>
      <c r="P1650" s="27" t="str">
        <f t="shared" si="76"/>
        <v>amarelo</v>
      </c>
    </row>
    <row r="1651" spans="1:16" ht="25.5">
      <c r="A1651" s="3" t="s">
        <v>4</v>
      </c>
      <c r="B1651" s="3" t="s">
        <v>996</v>
      </c>
      <c r="C1651" s="4">
        <v>19</v>
      </c>
      <c r="D1651" s="3" t="s">
        <v>72</v>
      </c>
      <c r="E1651" s="3" t="s">
        <v>41</v>
      </c>
      <c r="F1651" s="5">
        <v>288</v>
      </c>
      <c r="G1651" s="5">
        <v>306</v>
      </c>
      <c r="H1651" s="6">
        <v>17096.009999999998</v>
      </c>
      <c r="I1651" s="22">
        <v>19626.54</v>
      </c>
      <c r="J1651" s="24">
        <f t="shared" si="75"/>
        <v>1.3599468886861196E-4</v>
      </c>
      <c r="K1651" s="25">
        <f t="shared" si="77"/>
        <v>0.80513176178722434</v>
      </c>
      <c r="L1651" s="26" t="s">
        <v>7517</v>
      </c>
      <c r="M1651" s="28"/>
      <c r="N1651" s="28"/>
      <c r="O1651" s="20" t="s">
        <v>7530</v>
      </c>
      <c r="P1651" s="27" t="str">
        <f t="shared" si="76"/>
        <v>vermelho</v>
      </c>
    </row>
    <row r="1652" spans="1:16" ht="25.5">
      <c r="A1652" s="3" t="s">
        <v>6326</v>
      </c>
      <c r="B1652" s="3" t="s">
        <v>6327</v>
      </c>
      <c r="C1652" s="4">
        <v>316</v>
      </c>
      <c r="D1652" s="3" t="s">
        <v>247</v>
      </c>
      <c r="E1652" s="3" t="s">
        <v>10</v>
      </c>
      <c r="F1652" s="5">
        <v>48</v>
      </c>
      <c r="G1652" s="5">
        <v>468</v>
      </c>
      <c r="H1652" s="6">
        <v>2003.52</v>
      </c>
      <c r="I1652" s="22">
        <v>19603.32</v>
      </c>
      <c r="J1652" s="24">
        <f t="shared" si="75"/>
        <v>1.3583379465722628E-4</v>
      </c>
      <c r="K1652" s="25">
        <f t="shared" si="77"/>
        <v>0.80526759558188155</v>
      </c>
      <c r="L1652" s="26" t="s">
        <v>7517</v>
      </c>
      <c r="M1652" s="28"/>
      <c r="N1652" s="28"/>
      <c r="O1652" s="20" t="s">
        <v>7530</v>
      </c>
      <c r="P1652" s="27" t="str">
        <f t="shared" si="76"/>
        <v>vermelho</v>
      </c>
    </row>
    <row r="1653" spans="1:16" ht="25.5">
      <c r="A1653" s="3" t="s">
        <v>4</v>
      </c>
      <c r="B1653" s="3" t="s">
        <v>997</v>
      </c>
      <c r="C1653" s="4">
        <v>296</v>
      </c>
      <c r="D1653" s="3" t="s">
        <v>282</v>
      </c>
      <c r="E1653" s="3" t="s">
        <v>10</v>
      </c>
      <c r="F1653" s="5">
        <v>0</v>
      </c>
      <c r="G1653" s="5">
        <v>354</v>
      </c>
      <c r="H1653" s="6">
        <v>0</v>
      </c>
      <c r="I1653" s="22">
        <v>19599.838</v>
      </c>
      <c r="J1653" s="24">
        <f t="shared" si="75"/>
        <v>1.3580966745464036E-4</v>
      </c>
      <c r="K1653" s="25">
        <f t="shared" si="77"/>
        <v>0.80540340524933618</v>
      </c>
      <c r="L1653" s="26" t="s">
        <v>7517</v>
      </c>
      <c r="M1653" s="28"/>
      <c r="N1653" s="28"/>
      <c r="O1653" s="20">
        <v>7957.73</v>
      </c>
      <c r="P1653" s="27" t="str">
        <f t="shared" si="76"/>
        <v>amarelo</v>
      </c>
    </row>
    <row r="1654" spans="1:16" ht="25.5">
      <c r="A1654" s="3" t="s">
        <v>4</v>
      </c>
      <c r="B1654" s="3" t="s">
        <v>998</v>
      </c>
      <c r="C1654" s="4">
        <v>187</v>
      </c>
      <c r="D1654" s="3" t="s">
        <v>96</v>
      </c>
      <c r="E1654" s="3" t="s">
        <v>7</v>
      </c>
      <c r="F1654" s="5">
        <v>0</v>
      </c>
      <c r="G1654" s="5">
        <v>333</v>
      </c>
      <c r="H1654" s="6">
        <v>0</v>
      </c>
      <c r="I1654" s="22">
        <v>19583.939999999999</v>
      </c>
      <c r="J1654" s="24">
        <f t="shared" si="75"/>
        <v>1.3569950827408011E-4</v>
      </c>
      <c r="K1654" s="25">
        <f t="shared" si="77"/>
        <v>0.80553910475761026</v>
      </c>
      <c r="L1654" s="26" t="s">
        <v>7517</v>
      </c>
      <c r="M1654" s="28"/>
      <c r="N1654" s="28"/>
      <c r="O1654" s="20">
        <v>5088.78</v>
      </c>
      <c r="P1654" s="27" t="str">
        <f t="shared" si="76"/>
        <v>amarelo</v>
      </c>
    </row>
    <row r="1655" spans="1:16" ht="51">
      <c r="A1655" s="3" t="s">
        <v>4</v>
      </c>
      <c r="B1655" s="3" t="s">
        <v>999</v>
      </c>
      <c r="C1655" s="4">
        <v>282</v>
      </c>
      <c r="D1655" s="3" t="s">
        <v>12</v>
      </c>
      <c r="E1655" s="3" t="s">
        <v>13</v>
      </c>
      <c r="F1655" s="5">
        <v>365</v>
      </c>
      <c r="G1655" s="5">
        <v>336</v>
      </c>
      <c r="H1655" s="6">
        <v>20756.89</v>
      </c>
      <c r="I1655" s="22">
        <v>19559.88</v>
      </c>
      <c r="J1655" s="24">
        <f t="shared" si="75"/>
        <v>1.3553279360026707E-4</v>
      </c>
      <c r="K1655" s="25">
        <f t="shared" si="77"/>
        <v>0.80567463755121049</v>
      </c>
      <c r="L1655" s="26" t="s">
        <v>7517</v>
      </c>
      <c r="M1655" s="28"/>
      <c r="N1655" s="28"/>
      <c r="O1655" s="20">
        <v>12884.31</v>
      </c>
      <c r="P1655" s="27" t="str">
        <f t="shared" si="76"/>
        <v>laranja</v>
      </c>
    </row>
    <row r="1656" spans="1:16" ht="25.5">
      <c r="A1656" s="3" t="s">
        <v>4</v>
      </c>
      <c r="B1656" s="3" t="s">
        <v>1000</v>
      </c>
      <c r="C1656" s="4">
        <v>15</v>
      </c>
      <c r="D1656" s="3" t="s">
        <v>18</v>
      </c>
      <c r="E1656" s="3" t="s">
        <v>16</v>
      </c>
      <c r="F1656" s="5">
        <v>426</v>
      </c>
      <c r="G1656" s="5">
        <v>336</v>
      </c>
      <c r="H1656" s="6">
        <v>23822.76</v>
      </c>
      <c r="I1656" s="22">
        <v>19559.28</v>
      </c>
      <c r="J1656" s="24">
        <f t="shared" si="75"/>
        <v>1.3552863612710463E-4</v>
      </c>
      <c r="K1656" s="25">
        <f t="shared" si="77"/>
        <v>0.80581016618733758</v>
      </c>
      <c r="L1656" s="26" t="s">
        <v>7517</v>
      </c>
      <c r="M1656" s="28"/>
      <c r="N1656" s="28"/>
      <c r="O1656" s="20" t="s">
        <v>7530</v>
      </c>
      <c r="P1656" s="27" t="str">
        <f t="shared" si="76"/>
        <v>vermelho</v>
      </c>
    </row>
    <row r="1657" spans="1:16">
      <c r="A1657" s="3" t="s">
        <v>4</v>
      </c>
      <c r="B1657" s="3" t="s">
        <v>1001</v>
      </c>
      <c r="C1657" s="4">
        <v>15</v>
      </c>
      <c r="D1657" s="3" t="s">
        <v>18</v>
      </c>
      <c r="E1657" s="3" t="s">
        <v>16</v>
      </c>
      <c r="F1657" s="5">
        <v>0</v>
      </c>
      <c r="G1657" s="5">
        <v>360</v>
      </c>
      <c r="H1657" s="6">
        <v>0</v>
      </c>
      <c r="I1657" s="22">
        <v>19558.8</v>
      </c>
      <c r="J1657" s="24">
        <f t="shared" si="75"/>
        <v>1.3552531014857468E-4</v>
      </c>
      <c r="K1657" s="25">
        <f t="shared" si="77"/>
        <v>0.80594569149748618</v>
      </c>
      <c r="L1657" s="26" t="s">
        <v>7517</v>
      </c>
      <c r="M1657" s="28"/>
      <c r="N1657" s="28"/>
      <c r="O1657" s="20" t="s">
        <v>7530</v>
      </c>
      <c r="P1657" s="27" t="str">
        <f t="shared" si="76"/>
        <v>vermelho</v>
      </c>
    </row>
    <row r="1658" spans="1:16" ht="25.5">
      <c r="A1658" s="3" t="s">
        <v>4</v>
      </c>
      <c r="B1658" s="3" t="s">
        <v>110</v>
      </c>
      <c r="C1658" s="4">
        <v>299</v>
      </c>
      <c r="D1658" s="3" t="s">
        <v>111</v>
      </c>
      <c r="E1658" s="3" t="s">
        <v>49</v>
      </c>
      <c r="F1658" s="5">
        <v>300</v>
      </c>
      <c r="G1658" s="5">
        <v>330</v>
      </c>
      <c r="H1658" s="6">
        <v>11931.972</v>
      </c>
      <c r="I1658" s="22">
        <v>19529.16</v>
      </c>
      <c r="J1658" s="24">
        <f t="shared" si="75"/>
        <v>1.3531993097435114E-4</v>
      </c>
      <c r="K1658" s="25">
        <f t="shared" si="77"/>
        <v>0.80608101142846056</v>
      </c>
      <c r="L1658" s="26" t="s">
        <v>7517</v>
      </c>
      <c r="M1658" s="28"/>
      <c r="N1658" s="28"/>
      <c r="O1658" s="20" t="s">
        <v>7530</v>
      </c>
      <c r="P1658" s="27" t="str">
        <f t="shared" si="76"/>
        <v>vermelho</v>
      </c>
    </row>
    <row r="1659" spans="1:16" ht="25.5">
      <c r="A1659" s="3" t="s">
        <v>4</v>
      </c>
      <c r="B1659" s="3" t="s">
        <v>1002</v>
      </c>
      <c r="C1659" s="4">
        <v>217</v>
      </c>
      <c r="D1659" s="3" t="s">
        <v>91</v>
      </c>
      <c r="E1659" s="3" t="s">
        <v>16</v>
      </c>
      <c r="F1659" s="5">
        <v>60</v>
      </c>
      <c r="G1659" s="5">
        <v>321</v>
      </c>
      <c r="H1659" s="6">
        <v>2680.2</v>
      </c>
      <c r="I1659" s="22">
        <v>19523.43</v>
      </c>
      <c r="J1659" s="24">
        <f t="shared" si="75"/>
        <v>1.3528022710565003E-4</v>
      </c>
      <c r="K1659" s="25">
        <f t="shared" si="77"/>
        <v>0.80621629165556619</v>
      </c>
      <c r="L1659" s="26" t="s">
        <v>7517</v>
      </c>
      <c r="M1659" s="28"/>
      <c r="N1659" s="28"/>
      <c r="O1659" s="20">
        <v>8700.56</v>
      </c>
      <c r="P1659" s="27" t="str">
        <f t="shared" si="76"/>
        <v>amarelo</v>
      </c>
    </row>
    <row r="1660" spans="1:16" ht="25.5">
      <c r="A1660" s="3" t="s">
        <v>6328</v>
      </c>
      <c r="B1660" s="3" t="s">
        <v>6329</v>
      </c>
      <c r="C1660" s="4">
        <v>328</v>
      </c>
      <c r="D1660" s="3" t="s">
        <v>215</v>
      </c>
      <c r="E1660" s="3" t="s">
        <v>41</v>
      </c>
      <c r="F1660" s="5">
        <v>108</v>
      </c>
      <c r="G1660" s="5">
        <v>351</v>
      </c>
      <c r="H1660" s="6">
        <v>6694.2</v>
      </c>
      <c r="I1660" s="22">
        <v>19522.952000000001</v>
      </c>
      <c r="J1660" s="24">
        <f t="shared" si="75"/>
        <v>1.3527691498536396E-4</v>
      </c>
      <c r="K1660" s="25">
        <f t="shared" si="77"/>
        <v>0.80635156857055157</v>
      </c>
      <c r="L1660" s="26" t="s">
        <v>7517</v>
      </c>
      <c r="M1660" s="28"/>
      <c r="N1660" s="28"/>
      <c r="O1660" s="20">
        <v>5071.1180000000004</v>
      </c>
      <c r="P1660" s="27" t="str">
        <f t="shared" si="76"/>
        <v>amarelo</v>
      </c>
    </row>
    <row r="1661" spans="1:16" ht="25.5">
      <c r="A1661" s="3" t="s">
        <v>4</v>
      </c>
      <c r="B1661" s="3" t="s">
        <v>1003</v>
      </c>
      <c r="C1661" s="4">
        <v>74</v>
      </c>
      <c r="D1661" s="3" t="s">
        <v>6</v>
      </c>
      <c r="E1661" s="3" t="s">
        <v>7</v>
      </c>
      <c r="F1661" s="5">
        <v>276</v>
      </c>
      <c r="G1661" s="5">
        <v>327</v>
      </c>
      <c r="H1661" s="6">
        <v>17651.64</v>
      </c>
      <c r="I1661" s="22">
        <v>19521.03</v>
      </c>
      <c r="J1661" s="24">
        <f t="shared" si="75"/>
        <v>1.3526359721300035E-4</v>
      </c>
      <c r="K1661" s="25">
        <f t="shared" si="77"/>
        <v>0.80648683216776462</v>
      </c>
      <c r="L1661" s="26" t="s">
        <v>7517</v>
      </c>
      <c r="M1661" s="28"/>
      <c r="N1661" s="28"/>
      <c r="O1661" s="20" t="s">
        <v>7530</v>
      </c>
      <c r="P1661" s="27" t="str">
        <f t="shared" si="76"/>
        <v>vermelho</v>
      </c>
    </row>
    <row r="1662" spans="1:16" ht="25.5">
      <c r="A1662" s="3" t="s">
        <v>4</v>
      </c>
      <c r="B1662" s="3" t="s">
        <v>1004</v>
      </c>
      <c r="C1662" s="4">
        <v>208</v>
      </c>
      <c r="D1662" s="3" t="s">
        <v>15</v>
      </c>
      <c r="E1662" s="3" t="s">
        <v>16</v>
      </c>
      <c r="F1662" s="5">
        <v>456</v>
      </c>
      <c r="G1662" s="5">
        <v>336</v>
      </c>
      <c r="H1662" s="6">
        <v>24416.639999999999</v>
      </c>
      <c r="I1662" s="22">
        <v>19512.84</v>
      </c>
      <c r="J1662" s="24">
        <f t="shared" si="75"/>
        <v>1.3520684770433332E-4</v>
      </c>
      <c r="K1662" s="25">
        <f t="shared" si="77"/>
        <v>0.80662203901546892</v>
      </c>
      <c r="L1662" s="26" t="s">
        <v>7517</v>
      </c>
      <c r="M1662" s="28"/>
      <c r="N1662" s="28"/>
      <c r="O1662" s="20">
        <v>14056.56</v>
      </c>
      <c r="P1662" s="27" t="str">
        <f t="shared" si="76"/>
        <v>laranja</v>
      </c>
    </row>
    <row r="1663" spans="1:16" ht="38.25">
      <c r="A1663" s="3" t="s">
        <v>4</v>
      </c>
      <c r="B1663" s="3" t="s">
        <v>1005</v>
      </c>
      <c r="C1663" s="4">
        <v>371</v>
      </c>
      <c r="D1663" s="3" t="s">
        <v>82</v>
      </c>
      <c r="E1663" s="3" t="s">
        <v>49</v>
      </c>
      <c r="F1663" s="5">
        <v>417</v>
      </c>
      <c r="G1663" s="5">
        <v>363</v>
      </c>
      <c r="H1663" s="6">
        <v>18753.350999999999</v>
      </c>
      <c r="I1663" s="22">
        <v>19510.169999999998</v>
      </c>
      <c r="J1663" s="24">
        <f t="shared" si="75"/>
        <v>1.3518834694876053E-4</v>
      </c>
      <c r="K1663" s="25">
        <f t="shared" si="77"/>
        <v>0.80675722736241773</v>
      </c>
      <c r="L1663" s="26" t="s">
        <v>7517</v>
      </c>
      <c r="M1663" s="28"/>
      <c r="N1663" s="28"/>
      <c r="O1663" s="20">
        <v>14896.71</v>
      </c>
      <c r="P1663" s="27" t="str">
        <f t="shared" si="76"/>
        <v>laranja</v>
      </c>
    </row>
    <row r="1664" spans="1:16" ht="25.5">
      <c r="A1664" s="3" t="s">
        <v>6330</v>
      </c>
      <c r="B1664" s="3" t="s">
        <v>6331</v>
      </c>
      <c r="C1664" s="4">
        <v>218</v>
      </c>
      <c r="D1664" s="3" t="s">
        <v>104</v>
      </c>
      <c r="E1664" s="3" t="s">
        <v>16</v>
      </c>
      <c r="F1664" s="5">
        <v>132</v>
      </c>
      <c r="G1664" s="5">
        <v>360</v>
      </c>
      <c r="H1664" s="6">
        <v>6570.48</v>
      </c>
      <c r="I1664" s="22">
        <v>19486.32</v>
      </c>
      <c r="J1664" s="24">
        <f t="shared" si="75"/>
        <v>1.3502308739055433E-4</v>
      </c>
      <c r="K1664" s="25">
        <f t="shared" si="77"/>
        <v>0.80689225044980828</v>
      </c>
      <c r="L1664" s="26" t="s">
        <v>7517</v>
      </c>
      <c r="M1664" s="28"/>
      <c r="N1664" s="28"/>
      <c r="O1664" s="20">
        <v>9587.64</v>
      </c>
      <c r="P1664" s="27" t="str">
        <f t="shared" si="76"/>
        <v>amarelo</v>
      </c>
    </row>
    <row r="1665" spans="1:16" ht="25.5">
      <c r="A1665" s="3" t="s">
        <v>4</v>
      </c>
      <c r="B1665" s="3" t="s">
        <v>1006</v>
      </c>
      <c r="C1665" s="4">
        <v>31</v>
      </c>
      <c r="D1665" s="3" t="s">
        <v>194</v>
      </c>
      <c r="E1665" s="3" t="s">
        <v>16</v>
      </c>
      <c r="F1665" s="5">
        <v>336</v>
      </c>
      <c r="G1665" s="5">
        <v>348</v>
      </c>
      <c r="H1665" s="6">
        <v>17582.52</v>
      </c>
      <c r="I1665" s="22">
        <v>19460.52</v>
      </c>
      <c r="J1665" s="24">
        <f t="shared" si="75"/>
        <v>1.3484431604457027E-4</v>
      </c>
      <c r="K1665" s="25">
        <f t="shared" si="77"/>
        <v>0.80702709476585288</v>
      </c>
      <c r="L1665" s="26" t="s">
        <v>7517</v>
      </c>
      <c r="M1665" s="28"/>
      <c r="N1665" s="28"/>
      <c r="O1665" s="20">
        <v>9687.24</v>
      </c>
      <c r="P1665" s="27" t="str">
        <f t="shared" si="76"/>
        <v>amarelo</v>
      </c>
    </row>
    <row r="1666" spans="1:16">
      <c r="A1666" s="3" t="s">
        <v>4</v>
      </c>
      <c r="B1666" s="3" t="s">
        <v>449</v>
      </c>
      <c r="C1666" s="4">
        <v>264</v>
      </c>
      <c r="D1666" s="3" t="s">
        <v>40</v>
      </c>
      <c r="E1666" s="3" t="s">
        <v>41</v>
      </c>
      <c r="F1666" s="5">
        <v>0</v>
      </c>
      <c r="G1666" s="5">
        <v>399</v>
      </c>
      <c r="H1666" s="6">
        <v>0</v>
      </c>
      <c r="I1666" s="22">
        <v>19427.198</v>
      </c>
      <c r="J1666" s="24">
        <f t="shared" si="75"/>
        <v>1.3461342384337333E-4</v>
      </c>
      <c r="K1666" s="25">
        <f t="shared" si="77"/>
        <v>0.80716170818969624</v>
      </c>
      <c r="L1666" s="26" t="s">
        <v>7517</v>
      </c>
      <c r="M1666" s="28"/>
      <c r="N1666" s="28"/>
      <c r="O1666" s="20" t="s">
        <v>7530</v>
      </c>
      <c r="P1666" s="27" t="str">
        <f t="shared" si="76"/>
        <v>vermelho</v>
      </c>
    </row>
    <row r="1667" spans="1:16" ht="25.5">
      <c r="A1667" s="3" t="s">
        <v>6332</v>
      </c>
      <c r="B1667" s="3" t="s">
        <v>6333</v>
      </c>
      <c r="C1667" s="4">
        <v>261</v>
      </c>
      <c r="D1667" s="3" t="s">
        <v>9</v>
      </c>
      <c r="E1667" s="3" t="s">
        <v>10</v>
      </c>
      <c r="F1667" s="5">
        <v>483</v>
      </c>
      <c r="G1667" s="5">
        <v>324</v>
      </c>
      <c r="H1667" s="6">
        <v>28360.799999999999</v>
      </c>
      <c r="I1667" s="22">
        <v>19423.169999999998</v>
      </c>
      <c r="J1667" s="24">
        <f t="shared" ref="J1667:J1730" si="78">I1667/$I$6364</f>
        <v>1.3458551334020959E-4</v>
      </c>
      <c r="K1667" s="25">
        <f t="shared" si="77"/>
        <v>0.80729629370303646</v>
      </c>
      <c r="L1667" s="26" t="s">
        <v>7517</v>
      </c>
      <c r="M1667" s="28"/>
      <c r="N1667" s="28"/>
      <c r="O1667" s="20" t="s">
        <v>7530</v>
      </c>
      <c r="P1667" s="27" t="str">
        <f t="shared" ref="P1667:P1730" si="79">IF(O1667&lt;=0,"vermelho",IFERROR(IF(O1667/I1667&lt;=0.5098,"amarelo",IF(O1667/I1667&lt;1,"laranja","verde")),"vermelho"))</f>
        <v>vermelho</v>
      </c>
    </row>
    <row r="1668" spans="1:16" ht="25.5">
      <c r="A1668" s="3" t="s">
        <v>6334</v>
      </c>
      <c r="B1668" s="3" t="s">
        <v>6335</v>
      </c>
      <c r="C1668" s="4">
        <v>296</v>
      </c>
      <c r="D1668" s="3" t="s">
        <v>282</v>
      </c>
      <c r="E1668" s="3" t="s">
        <v>10</v>
      </c>
      <c r="F1668" s="5">
        <v>0</v>
      </c>
      <c r="G1668" s="5">
        <v>330</v>
      </c>
      <c r="H1668" s="6">
        <v>0</v>
      </c>
      <c r="I1668" s="22">
        <v>19423.109</v>
      </c>
      <c r="J1668" s="24">
        <f t="shared" si="78"/>
        <v>1.3458509066377144E-4</v>
      </c>
      <c r="K1668" s="25">
        <f t="shared" ref="K1668:K1731" si="80">J1668+K1667</f>
        <v>0.80743087879370024</v>
      </c>
      <c r="L1668" s="26" t="s">
        <v>7517</v>
      </c>
      <c r="M1668" s="28"/>
      <c r="N1668" s="28"/>
      <c r="O1668" s="20">
        <v>10824.996999999999</v>
      </c>
      <c r="P1668" s="27" t="str">
        <f t="shared" si="79"/>
        <v>laranja</v>
      </c>
    </row>
    <row r="1669" spans="1:16" ht="25.5">
      <c r="A1669" s="3" t="s">
        <v>6336</v>
      </c>
      <c r="B1669" s="3" t="s">
        <v>6337</v>
      </c>
      <c r="C1669" s="4">
        <v>266</v>
      </c>
      <c r="D1669" s="3" t="s">
        <v>80</v>
      </c>
      <c r="E1669" s="3" t="s">
        <v>10</v>
      </c>
      <c r="F1669" s="5">
        <v>0</v>
      </c>
      <c r="G1669" s="5">
        <v>324</v>
      </c>
      <c r="H1669" s="6">
        <v>0</v>
      </c>
      <c r="I1669" s="22">
        <v>19421.153999999999</v>
      </c>
      <c r="J1669" s="24">
        <f t="shared" si="78"/>
        <v>1.3457154423038387E-4</v>
      </c>
      <c r="K1669" s="25">
        <f t="shared" si="80"/>
        <v>0.80756545033793059</v>
      </c>
      <c r="L1669" s="26" t="s">
        <v>7517</v>
      </c>
      <c r="M1669" s="28"/>
      <c r="N1669" s="28"/>
      <c r="O1669" s="20" t="s">
        <v>7530</v>
      </c>
      <c r="P1669" s="27" t="str">
        <f t="shared" si="79"/>
        <v>vermelho</v>
      </c>
    </row>
    <row r="1670" spans="1:16">
      <c r="A1670" s="3" t="s">
        <v>4</v>
      </c>
      <c r="B1670" s="3" t="s">
        <v>1007</v>
      </c>
      <c r="C1670" s="4">
        <v>240</v>
      </c>
      <c r="D1670" s="3" t="s">
        <v>69</v>
      </c>
      <c r="E1670" s="3" t="s">
        <v>16</v>
      </c>
      <c r="F1670" s="5">
        <v>348</v>
      </c>
      <c r="G1670" s="5">
        <v>345</v>
      </c>
      <c r="H1670" s="6">
        <v>20348.939999999999</v>
      </c>
      <c r="I1670" s="22">
        <v>19410.710999999999</v>
      </c>
      <c r="J1670" s="24">
        <f t="shared" si="78"/>
        <v>1.3449918340999195E-4</v>
      </c>
      <c r="K1670" s="25">
        <f t="shared" si="80"/>
        <v>0.80769994952134061</v>
      </c>
      <c r="L1670" s="26" t="s">
        <v>7517</v>
      </c>
      <c r="M1670" s="28"/>
      <c r="N1670" s="28"/>
      <c r="O1670" s="20">
        <v>8855.34</v>
      </c>
      <c r="P1670" s="27" t="str">
        <f t="shared" si="79"/>
        <v>amarelo</v>
      </c>
    </row>
    <row r="1671" spans="1:16" ht="25.5">
      <c r="A1671" s="3" t="s">
        <v>4</v>
      </c>
      <c r="B1671" s="3" t="s">
        <v>1008</v>
      </c>
      <c r="C1671" s="4">
        <v>273</v>
      </c>
      <c r="D1671" s="3" t="s">
        <v>149</v>
      </c>
      <c r="E1671" s="3" t="s">
        <v>16</v>
      </c>
      <c r="F1671" s="5">
        <v>351</v>
      </c>
      <c r="G1671" s="5">
        <v>345</v>
      </c>
      <c r="H1671" s="6">
        <v>16384.169999999998</v>
      </c>
      <c r="I1671" s="22">
        <v>19400.421999999999</v>
      </c>
      <c r="J1671" s="24">
        <f t="shared" si="78"/>
        <v>1.3442788967437836E-4</v>
      </c>
      <c r="K1671" s="25">
        <f t="shared" si="80"/>
        <v>0.80783437741101494</v>
      </c>
      <c r="L1671" s="26" t="s">
        <v>7517</v>
      </c>
      <c r="M1671" s="28"/>
      <c r="N1671" s="28"/>
      <c r="O1671" s="20">
        <v>3524.64</v>
      </c>
      <c r="P1671" s="27" t="str">
        <f t="shared" si="79"/>
        <v>amarelo</v>
      </c>
    </row>
    <row r="1672" spans="1:16" ht="38.25">
      <c r="A1672" s="3" t="s">
        <v>4</v>
      </c>
      <c r="B1672" s="3" t="s">
        <v>1009</v>
      </c>
      <c r="C1672" s="4">
        <v>208</v>
      </c>
      <c r="D1672" s="3" t="s">
        <v>15</v>
      </c>
      <c r="E1672" s="3" t="s">
        <v>16</v>
      </c>
      <c r="F1672" s="5">
        <v>0</v>
      </c>
      <c r="G1672" s="5">
        <v>360</v>
      </c>
      <c r="H1672" s="6">
        <v>0</v>
      </c>
      <c r="I1672" s="22">
        <v>19371.599999999999</v>
      </c>
      <c r="J1672" s="24">
        <f t="shared" si="78"/>
        <v>1.3422817852189959E-4</v>
      </c>
      <c r="K1672" s="25">
        <f t="shared" si="80"/>
        <v>0.80796860558953687</v>
      </c>
      <c r="L1672" s="26" t="s">
        <v>7517</v>
      </c>
      <c r="M1672" s="28"/>
      <c r="N1672" s="28"/>
      <c r="O1672" s="20" t="s">
        <v>7530</v>
      </c>
      <c r="P1672" s="27" t="str">
        <f t="shared" si="79"/>
        <v>vermelho</v>
      </c>
    </row>
    <row r="1673" spans="1:16" ht="38.25">
      <c r="A1673" s="3" t="s">
        <v>4</v>
      </c>
      <c r="B1673" s="3" t="s">
        <v>1010</v>
      </c>
      <c r="C1673" s="4">
        <v>38</v>
      </c>
      <c r="D1673" s="3" t="s">
        <v>184</v>
      </c>
      <c r="E1673" s="3" t="s">
        <v>49</v>
      </c>
      <c r="F1673" s="5">
        <v>0</v>
      </c>
      <c r="G1673" s="5">
        <v>333</v>
      </c>
      <c r="H1673" s="6">
        <v>0</v>
      </c>
      <c r="I1673" s="22">
        <v>19351.62</v>
      </c>
      <c r="J1673" s="24">
        <f t="shared" si="78"/>
        <v>1.34089734665591E-4</v>
      </c>
      <c r="K1673" s="25">
        <f t="shared" si="80"/>
        <v>0.80810269532420242</v>
      </c>
      <c r="L1673" s="26" t="s">
        <v>7517</v>
      </c>
      <c r="M1673" s="28"/>
      <c r="N1673" s="28"/>
      <c r="O1673" s="20" t="s">
        <v>7530</v>
      </c>
      <c r="P1673" s="27" t="str">
        <f t="shared" si="79"/>
        <v>vermelho</v>
      </c>
    </row>
    <row r="1674" spans="1:16" ht="25.5">
      <c r="A1674" s="3" t="s">
        <v>4</v>
      </c>
      <c r="B1674" s="3" t="s">
        <v>1011</v>
      </c>
      <c r="C1674" s="4">
        <v>53</v>
      </c>
      <c r="D1674" s="3" t="s">
        <v>34</v>
      </c>
      <c r="E1674" s="3" t="s">
        <v>16</v>
      </c>
      <c r="F1674" s="5">
        <v>180</v>
      </c>
      <c r="G1674" s="5">
        <v>312</v>
      </c>
      <c r="H1674" s="6">
        <v>8115.12</v>
      </c>
      <c r="I1674" s="22">
        <v>19340.64</v>
      </c>
      <c r="J1674" s="24">
        <f t="shared" si="78"/>
        <v>1.340136529067187E-4</v>
      </c>
      <c r="K1674" s="25">
        <f t="shared" si="80"/>
        <v>0.8082367089771092</v>
      </c>
      <c r="L1674" s="26" t="s">
        <v>7517</v>
      </c>
      <c r="M1674" s="28"/>
      <c r="N1674" s="28"/>
      <c r="O1674" s="20" t="s">
        <v>7530</v>
      </c>
      <c r="P1674" s="27" t="str">
        <f t="shared" si="79"/>
        <v>vermelho</v>
      </c>
    </row>
    <row r="1675" spans="1:16" ht="38.25">
      <c r="A1675" s="3" t="s">
        <v>4</v>
      </c>
      <c r="B1675" s="3" t="s">
        <v>1012</v>
      </c>
      <c r="C1675" s="4">
        <v>143</v>
      </c>
      <c r="D1675" s="3" t="s">
        <v>44</v>
      </c>
      <c r="E1675" s="3" t="s">
        <v>41</v>
      </c>
      <c r="F1675" s="5">
        <v>108</v>
      </c>
      <c r="G1675" s="5">
        <v>336</v>
      </c>
      <c r="H1675" s="6">
        <v>6048</v>
      </c>
      <c r="I1675" s="22">
        <v>19338.12</v>
      </c>
      <c r="J1675" s="24">
        <f t="shared" si="78"/>
        <v>1.3399619151943654E-4</v>
      </c>
      <c r="K1675" s="25">
        <f t="shared" si="80"/>
        <v>0.80837070516862863</v>
      </c>
      <c r="L1675" s="26" t="s">
        <v>7517</v>
      </c>
      <c r="M1675" s="28">
        <v>-1.2315792077277579E-2</v>
      </c>
      <c r="N1675" s="28"/>
      <c r="O1675" s="20">
        <v>4367.5200000000004</v>
      </c>
      <c r="P1675" s="27" t="str">
        <f t="shared" si="79"/>
        <v>amarelo</v>
      </c>
    </row>
    <row r="1676" spans="1:16" ht="25.5">
      <c r="A1676" s="3" t="s">
        <v>6338</v>
      </c>
      <c r="B1676" s="3" t="s">
        <v>6339</v>
      </c>
      <c r="C1676" s="4">
        <v>41</v>
      </c>
      <c r="D1676" s="3" t="s">
        <v>178</v>
      </c>
      <c r="E1676" s="3" t="s">
        <v>41</v>
      </c>
      <c r="F1676" s="5">
        <v>468</v>
      </c>
      <c r="G1676" s="5">
        <v>312</v>
      </c>
      <c r="H1676" s="6">
        <v>25869.119999999999</v>
      </c>
      <c r="I1676" s="22">
        <v>19308.45</v>
      </c>
      <c r="J1676" s="24">
        <f t="shared" si="78"/>
        <v>1.3379060447155487E-4</v>
      </c>
      <c r="K1676" s="25">
        <f t="shared" si="80"/>
        <v>0.80850449577310024</v>
      </c>
      <c r="L1676" s="26" t="s">
        <v>7517</v>
      </c>
      <c r="M1676" s="28"/>
      <c r="N1676" s="28"/>
      <c r="O1676" s="20" t="s">
        <v>7530</v>
      </c>
      <c r="P1676" s="27" t="str">
        <f t="shared" si="79"/>
        <v>vermelho</v>
      </c>
    </row>
    <row r="1677" spans="1:16">
      <c r="A1677" s="3" t="s">
        <v>4</v>
      </c>
      <c r="B1677" s="3" t="s">
        <v>1013</v>
      </c>
      <c r="C1677" s="4">
        <v>315</v>
      </c>
      <c r="D1677" s="3" t="s">
        <v>63</v>
      </c>
      <c r="E1677" s="3" t="s">
        <v>7</v>
      </c>
      <c r="F1677" s="5">
        <v>321</v>
      </c>
      <c r="G1677" s="5">
        <v>318</v>
      </c>
      <c r="H1677" s="6">
        <v>16435.830000000002</v>
      </c>
      <c r="I1677" s="22">
        <v>19305.833999999999</v>
      </c>
      <c r="J1677" s="24">
        <f t="shared" si="78"/>
        <v>1.3377247788856671E-4</v>
      </c>
      <c r="K1677" s="25">
        <f t="shared" si="80"/>
        <v>0.80863826825098883</v>
      </c>
      <c r="L1677" s="26" t="s">
        <v>7517</v>
      </c>
      <c r="M1677" s="28"/>
      <c r="N1677" s="28"/>
      <c r="O1677" s="20">
        <v>6173.58</v>
      </c>
      <c r="P1677" s="27" t="str">
        <f t="shared" si="79"/>
        <v>amarelo</v>
      </c>
    </row>
    <row r="1678" spans="1:16">
      <c r="A1678" s="3" t="s">
        <v>4</v>
      </c>
      <c r="B1678" s="3" t="s">
        <v>1014</v>
      </c>
      <c r="C1678" s="4">
        <v>315</v>
      </c>
      <c r="D1678" s="3" t="s">
        <v>63</v>
      </c>
      <c r="E1678" s="3" t="s">
        <v>7</v>
      </c>
      <c r="F1678" s="5">
        <v>191</v>
      </c>
      <c r="G1678" s="5">
        <v>333</v>
      </c>
      <c r="H1678" s="6">
        <v>10622.84</v>
      </c>
      <c r="I1678" s="22">
        <v>19305.330000000002</v>
      </c>
      <c r="J1678" s="24">
        <f t="shared" si="78"/>
        <v>1.3376898561111029E-4</v>
      </c>
      <c r="K1678" s="25">
        <f t="shared" si="80"/>
        <v>0.80877203723659996</v>
      </c>
      <c r="L1678" s="26" t="s">
        <v>7517</v>
      </c>
      <c r="M1678" s="28"/>
      <c r="N1678" s="28"/>
      <c r="O1678" s="20" t="s">
        <v>7530</v>
      </c>
      <c r="P1678" s="27" t="str">
        <f t="shared" si="79"/>
        <v>vermelho</v>
      </c>
    </row>
    <row r="1679" spans="1:16" ht="25.5">
      <c r="A1679" s="3" t="s">
        <v>4</v>
      </c>
      <c r="B1679" s="3" t="s">
        <v>1015</v>
      </c>
      <c r="C1679" s="4">
        <v>19</v>
      </c>
      <c r="D1679" s="3" t="s">
        <v>72</v>
      </c>
      <c r="E1679" s="3" t="s">
        <v>41</v>
      </c>
      <c r="F1679" s="5">
        <v>279</v>
      </c>
      <c r="G1679" s="5">
        <v>300</v>
      </c>
      <c r="H1679" s="6">
        <v>17369.490000000002</v>
      </c>
      <c r="I1679" s="22">
        <v>19265</v>
      </c>
      <c r="J1679" s="24">
        <f t="shared" si="78"/>
        <v>1.3348953412337626E-4</v>
      </c>
      <c r="K1679" s="25">
        <f t="shared" si="80"/>
        <v>0.80890552677072336</v>
      </c>
      <c r="L1679" s="26" t="s">
        <v>7517</v>
      </c>
      <c r="M1679" s="28"/>
      <c r="N1679" s="28"/>
      <c r="O1679" s="20" t="s">
        <v>7530</v>
      </c>
      <c r="P1679" s="27" t="str">
        <f t="shared" si="79"/>
        <v>vermelho</v>
      </c>
    </row>
    <row r="1680" spans="1:16" ht="25.5">
      <c r="A1680" s="3" t="s">
        <v>4</v>
      </c>
      <c r="B1680" s="3" t="s">
        <v>1016</v>
      </c>
      <c r="C1680" s="4">
        <v>31</v>
      </c>
      <c r="D1680" s="3" t="s">
        <v>194</v>
      </c>
      <c r="E1680" s="3" t="s">
        <v>16</v>
      </c>
      <c r="F1680" s="5">
        <v>204</v>
      </c>
      <c r="G1680" s="5">
        <v>312</v>
      </c>
      <c r="H1680" s="6">
        <v>9594.9599999999991</v>
      </c>
      <c r="I1680" s="22">
        <v>19251.72</v>
      </c>
      <c r="J1680" s="24">
        <f t="shared" si="78"/>
        <v>1.3339751538404804E-4</v>
      </c>
      <c r="K1680" s="25">
        <f t="shared" si="80"/>
        <v>0.80903892428610735</v>
      </c>
      <c r="L1680" s="26" t="s">
        <v>7517</v>
      </c>
      <c r="M1680" s="28"/>
      <c r="N1680" s="28"/>
      <c r="O1680" s="20" t="s">
        <v>7530</v>
      </c>
      <c r="P1680" s="27" t="str">
        <f t="shared" si="79"/>
        <v>vermelho</v>
      </c>
    </row>
    <row r="1681" spans="1:16" ht="25.5">
      <c r="A1681" s="3" t="s">
        <v>4</v>
      </c>
      <c r="B1681" s="3" t="s">
        <v>1017</v>
      </c>
      <c r="C1681" s="4">
        <v>194</v>
      </c>
      <c r="D1681" s="3" t="s">
        <v>145</v>
      </c>
      <c r="E1681" s="3" t="s">
        <v>16</v>
      </c>
      <c r="F1681" s="5">
        <v>0</v>
      </c>
      <c r="G1681" s="5">
        <v>321</v>
      </c>
      <c r="H1681" s="6">
        <v>0</v>
      </c>
      <c r="I1681" s="22">
        <v>19232.07</v>
      </c>
      <c r="J1681" s="24">
        <f t="shared" si="78"/>
        <v>1.3326135813797877E-4</v>
      </c>
      <c r="K1681" s="25">
        <f t="shared" si="80"/>
        <v>0.80917218564424531</v>
      </c>
      <c r="L1681" s="26" t="s">
        <v>7517</v>
      </c>
      <c r="M1681" s="28"/>
      <c r="N1681" s="28"/>
      <c r="O1681" s="20">
        <v>15759.3</v>
      </c>
      <c r="P1681" s="27" t="str">
        <f t="shared" si="79"/>
        <v>laranja</v>
      </c>
    </row>
    <row r="1682" spans="1:16" ht="25.5">
      <c r="A1682" s="3" t="s">
        <v>4</v>
      </c>
      <c r="B1682" s="3" t="s">
        <v>1018</v>
      </c>
      <c r="C1682" s="4">
        <v>218</v>
      </c>
      <c r="D1682" s="3" t="s">
        <v>104</v>
      </c>
      <c r="E1682" s="3" t="s">
        <v>16</v>
      </c>
      <c r="F1682" s="5">
        <v>384</v>
      </c>
      <c r="G1682" s="5">
        <v>312</v>
      </c>
      <c r="H1682" s="6">
        <v>21320.16</v>
      </c>
      <c r="I1682" s="22">
        <v>19167.599999999999</v>
      </c>
      <c r="J1682" s="24">
        <f t="shared" si="78"/>
        <v>1.328146376466767E-4</v>
      </c>
      <c r="K1682" s="25">
        <f t="shared" si="80"/>
        <v>0.80930500028189201</v>
      </c>
      <c r="L1682" s="26" t="s">
        <v>7517</v>
      </c>
      <c r="M1682" s="28"/>
      <c r="N1682" s="28"/>
      <c r="O1682" s="20" t="s">
        <v>7530</v>
      </c>
      <c r="P1682" s="27" t="str">
        <f t="shared" si="79"/>
        <v>vermelho</v>
      </c>
    </row>
    <row r="1683" spans="1:16" ht="25.5">
      <c r="A1683" s="3" t="s">
        <v>4</v>
      </c>
      <c r="B1683" s="3" t="s">
        <v>1019</v>
      </c>
      <c r="C1683" s="4">
        <v>261</v>
      </c>
      <c r="D1683" s="3" t="s">
        <v>9</v>
      </c>
      <c r="E1683" s="3" t="s">
        <v>10</v>
      </c>
      <c r="F1683" s="5">
        <v>0</v>
      </c>
      <c r="G1683" s="5">
        <v>336</v>
      </c>
      <c r="H1683" s="6">
        <v>0</v>
      </c>
      <c r="I1683" s="22">
        <v>19155.96</v>
      </c>
      <c r="J1683" s="24">
        <f t="shared" si="78"/>
        <v>1.3273398266732574E-4</v>
      </c>
      <c r="K1683" s="25">
        <f t="shared" si="80"/>
        <v>0.80943773426455934</v>
      </c>
      <c r="L1683" s="26" t="s">
        <v>7517</v>
      </c>
      <c r="M1683" s="28"/>
      <c r="N1683" s="28"/>
      <c r="O1683" s="20">
        <v>10226.61</v>
      </c>
      <c r="P1683" s="27" t="str">
        <f t="shared" si="79"/>
        <v>laranja</v>
      </c>
    </row>
    <row r="1684" spans="1:16" ht="38.25">
      <c r="A1684" s="3" t="s">
        <v>4</v>
      </c>
      <c r="B1684" s="3" t="s">
        <v>1020</v>
      </c>
      <c r="C1684" s="4">
        <v>143</v>
      </c>
      <c r="D1684" s="3" t="s">
        <v>44</v>
      </c>
      <c r="E1684" s="3" t="s">
        <v>41</v>
      </c>
      <c r="F1684" s="5">
        <v>276</v>
      </c>
      <c r="G1684" s="5">
        <v>342</v>
      </c>
      <c r="H1684" s="6">
        <v>15723.216</v>
      </c>
      <c r="I1684" s="22">
        <v>19122.153999999999</v>
      </c>
      <c r="J1684" s="24">
        <f t="shared" si="78"/>
        <v>1.3249973677111111E-4</v>
      </c>
      <c r="K1684" s="25">
        <f t="shared" si="80"/>
        <v>0.80957023400133044</v>
      </c>
      <c r="L1684" s="26" t="s">
        <v>7517</v>
      </c>
      <c r="M1684" s="28">
        <v>-1.3269128519587463E-2</v>
      </c>
      <c r="N1684" s="28"/>
      <c r="O1684" s="20">
        <v>14895.38</v>
      </c>
      <c r="P1684" s="27" t="str">
        <f t="shared" si="79"/>
        <v>laranja</v>
      </c>
    </row>
    <row r="1685" spans="1:16" ht="25.5">
      <c r="A1685" s="3" t="s">
        <v>4</v>
      </c>
      <c r="B1685" s="3" t="s">
        <v>1021</v>
      </c>
      <c r="C1685" s="4">
        <v>208</v>
      </c>
      <c r="D1685" s="3" t="s">
        <v>15</v>
      </c>
      <c r="E1685" s="3" t="s">
        <v>16</v>
      </c>
      <c r="F1685" s="5">
        <v>459</v>
      </c>
      <c r="G1685" s="5">
        <v>315</v>
      </c>
      <c r="H1685" s="6">
        <v>26032.77</v>
      </c>
      <c r="I1685" s="22">
        <v>19110.330000000002</v>
      </c>
      <c r="J1685" s="24">
        <f t="shared" si="78"/>
        <v>1.3241780683332372E-4</v>
      </c>
      <c r="K1685" s="25">
        <f t="shared" si="80"/>
        <v>0.80970265180816381</v>
      </c>
      <c r="L1685" s="26" t="s">
        <v>7517</v>
      </c>
      <c r="M1685" s="28"/>
      <c r="N1685" s="28"/>
      <c r="O1685" s="20" t="s">
        <v>7530</v>
      </c>
      <c r="P1685" s="27" t="str">
        <f t="shared" si="79"/>
        <v>vermelho</v>
      </c>
    </row>
    <row r="1686" spans="1:16" ht="25.5">
      <c r="A1686" s="3" t="s">
        <v>4</v>
      </c>
      <c r="B1686" s="3" t="s">
        <v>1022</v>
      </c>
      <c r="C1686" s="4">
        <v>299</v>
      </c>
      <c r="D1686" s="3" t="s">
        <v>111</v>
      </c>
      <c r="E1686" s="3" t="s">
        <v>49</v>
      </c>
      <c r="F1686" s="5">
        <v>60</v>
      </c>
      <c r="G1686" s="5">
        <v>315</v>
      </c>
      <c r="H1686" s="6">
        <v>3250.92</v>
      </c>
      <c r="I1686" s="22">
        <v>19080.09</v>
      </c>
      <c r="J1686" s="24">
        <f t="shared" si="78"/>
        <v>1.3220827018593773E-4</v>
      </c>
      <c r="K1686" s="25">
        <f t="shared" si="80"/>
        <v>0.80983486007834971</v>
      </c>
      <c r="L1686" s="26" t="s">
        <v>7517</v>
      </c>
      <c r="M1686" s="28"/>
      <c r="N1686" s="28"/>
      <c r="O1686" s="20" t="s">
        <v>7530</v>
      </c>
      <c r="P1686" s="27" t="str">
        <f t="shared" si="79"/>
        <v>vermelho</v>
      </c>
    </row>
    <row r="1687" spans="1:16" ht="25.5">
      <c r="A1687" s="3" t="s">
        <v>4</v>
      </c>
      <c r="B1687" s="3" t="s">
        <v>1023</v>
      </c>
      <c r="C1687" s="4">
        <v>261</v>
      </c>
      <c r="D1687" s="3" t="s">
        <v>9</v>
      </c>
      <c r="E1687" s="3" t="s">
        <v>10</v>
      </c>
      <c r="F1687" s="5">
        <v>0</v>
      </c>
      <c r="G1687" s="5">
        <v>321</v>
      </c>
      <c r="H1687" s="6">
        <v>0</v>
      </c>
      <c r="I1687" s="22">
        <v>19078.5</v>
      </c>
      <c r="J1687" s="24">
        <f t="shared" si="78"/>
        <v>1.321972528820573E-4</v>
      </c>
      <c r="K1687" s="25">
        <f t="shared" si="80"/>
        <v>0.80996705733123175</v>
      </c>
      <c r="L1687" s="26" t="s">
        <v>7517</v>
      </c>
      <c r="M1687" s="28"/>
      <c r="N1687" s="28"/>
      <c r="O1687" s="20">
        <v>10635.66</v>
      </c>
      <c r="P1687" s="27" t="str">
        <f t="shared" si="79"/>
        <v>laranja</v>
      </c>
    </row>
    <row r="1688" spans="1:16" ht="25.5">
      <c r="A1688" s="3" t="s">
        <v>4</v>
      </c>
      <c r="B1688" s="3" t="s">
        <v>1024</v>
      </c>
      <c r="C1688" s="4">
        <v>317</v>
      </c>
      <c r="D1688" s="3" t="s">
        <v>78</v>
      </c>
      <c r="E1688" s="3" t="s">
        <v>10</v>
      </c>
      <c r="F1688" s="5">
        <v>468</v>
      </c>
      <c r="G1688" s="5">
        <v>357</v>
      </c>
      <c r="H1688" s="6">
        <v>24099.81</v>
      </c>
      <c r="I1688" s="22">
        <v>19067.28</v>
      </c>
      <c r="J1688" s="24">
        <f t="shared" si="78"/>
        <v>1.3211950813392005E-4</v>
      </c>
      <c r="K1688" s="25">
        <f t="shared" si="80"/>
        <v>0.81009917683936572</v>
      </c>
      <c r="L1688" s="26" t="s">
        <v>7517</v>
      </c>
      <c r="M1688" s="28"/>
      <c r="N1688" s="28"/>
      <c r="O1688" s="20" t="s">
        <v>7530</v>
      </c>
      <c r="P1688" s="27" t="str">
        <f t="shared" si="79"/>
        <v>vermelho</v>
      </c>
    </row>
    <row r="1689" spans="1:16" ht="25.5">
      <c r="A1689" s="3" t="s">
        <v>4</v>
      </c>
      <c r="B1689" s="3" t="s">
        <v>1025</v>
      </c>
      <c r="C1689" s="4">
        <v>53</v>
      </c>
      <c r="D1689" s="3" t="s">
        <v>34</v>
      </c>
      <c r="E1689" s="3" t="s">
        <v>16</v>
      </c>
      <c r="F1689" s="5">
        <v>0</v>
      </c>
      <c r="G1689" s="5">
        <v>342</v>
      </c>
      <c r="H1689" s="6">
        <v>0</v>
      </c>
      <c r="I1689" s="22">
        <v>19053.3</v>
      </c>
      <c r="J1689" s="24">
        <f t="shared" si="78"/>
        <v>1.3202263900923564E-4</v>
      </c>
      <c r="K1689" s="25">
        <f t="shared" si="80"/>
        <v>0.81023119947837496</v>
      </c>
      <c r="L1689" s="26" t="s">
        <v>7517</v>
      </c>
      <c r="M1689" s="28"/>
      <c r="N1689" s="28"/>
      <c r="O1689" s="20" t="s">
        <v>7530</v>
      </c>
      <c r="P1689" s="27" t="str">
        <f t="shared" si="79"/>
        <v>vermelho</v>
      </c>
    </row>
    <row r="1690" spans="1:16" ht="25.5">
      <c r="A1690" s="3" t="s">
        <v>4</v>
      </c>
      <c r="B1690" s="3" t="s">
        <v>1026</v>
      </c>
      <c r="C1690" s="4">
        <v>31</v>
      </c>
      <c r="D1690" s="3" t="s">
        <v>194</v>
      </c>
      <c r="E1690" s="3" t="s">
        <v>16</v>
      </c>
      <c r="F1690" s="5">
        <v>306</v>
      </c>
      <c r="G1690" s="5">
        <v>330</v>
      </c>
      <c r="H1690" s="6">
        <v>16114.5</v>
      </c>
      <c r="I1690" s="22">
        <v>19023.96</v>
      </c>
      <c r="J1690" s="24">
        <f t="shared" si="78"/>
        <v>1.3181933857159329E-4</v>
      </c>
      <c r="K1690" s="25">
        <f t="shared" si="80"/>
        <v>0.81036301881694661</v>
      </c>
      <c r="L1690" s="26" t="s">
        <v>7517</v>
      </c>
      <c r="M1690" s="28"/>
      <c r="N1690" s="28"/>
      <c r="O1690" s="20" t="s">
        <v>7530</v>
      </c>
      <c r="P1690" s="27" t="str">
        <f t="shared" si="79"/>
        <v>vermelho</v>
      </c>
    </row>
    <row r="1691" spans="1:16" ht="38.25">
      <c r="A1691" s="3" t="s">
        <v>6340</v>
      </c>
      <c r="B1691" s="3" t="s">
        <v>6341</v>
      </c>
      <c r="C1691" s="4">
        <v>371</v>
      </c>
      <c r="D1691" s="3" t="s">
        <v>82</v>
      </c>
      <c r="E1691" s="3" t="s">
        <v>49</v>
      </c>
      <c r="F1691" s="5">
        <v>624</v>
      </c>
      <c r="G1691" s="5">
        <v>426</v>
      </c>
      <c r="H1691" s="6">
        <v>31437.84</v>
      </c>
      <c r="I1691" s="22">
        <v>19010.826000000001</v>
      </c>
      <c r="J1691" s="24">
        <f t="shared" si="78"/>
        <v>1.3172833148406793E-4</v>
      </c>
      <c r="K1691" s="25">
        <f t="shared" si="80"/>
        <v>0.81049474714843073</v>
      </c>
      <c r="L1691" s="26" t="s">
        <v>7517</v>
      </c>
      <c r="M1691" s="28"/>
      <c r="N1691" s="28"/>
      <c r="O1691" s="20">
        <v>8619.4719999999998</v>
      </c>
      <c r="P1691" s="27" t="str">
        <f t="shared" si="79"/>
        <v>amarelo</v>
      </c>
    </row>
    <row r="1692" spans="1:16" ht="25.5">
      <c r="A1692" s="3" t="s">
        <v>4</v>
      </c>
      <c r="B1692" s="3" t="s">
        <v>1027</v>
      </c>
      <c r="C1692" s="4">
        <v>267</v>
      </c>
      <c r="D1692" s="3" t="s">
        <v>125</v>
      </c>
      <c r="E1692" s="3" t="s">
        <v>16</v>
      </c>
      <c r="F1692" s="5">
        <v>339</v>
      </c>
      <c r="G1692" s="5">
        <v>342</v>
      </c>
      <c r="H1692" s="6">
        <v>17877.93</v>
      </c>
      <c r="I1692" s="22">
        <v>19007.099999999999</v>
      </c>
      <c r="J1692" s="24">
        <f t="shared" si="78"/>
        <v>1.3170251357572929E-4</v>
      </c>
      <c r="K1692" s="25">
        <f t="shared" si="80"/>
        <v>0.81062644966200648</v>
      </c>
      <c r="L1692" s="26" t="s">
        <v>7517</v>
      </c>
      <c r="M1692" s="28"/>
      <c r="N1692" s="28">
        <v>3.8338154861648197E-2</v>
      </c>
      <c r="O1692" s="20">
        <v>12702.96</v>
      </c>
      <c r="P1692" s="27" t="str">
        <f t="shared" si="79"/>
        <v>laranja</v>
      </c>
    </row>
    <row r="1693" spans="1:16" ht="25.5">
      <c r="A1693" s="3" t="s">
        <v>4</v>
      </c>
      <c r="B1693" s="3" t="s">
        <v>1028</v>
      </c>
      <c r="C1693" s="4">
        <v>334</v>
      </c>
      <c r="D1693" s="3" t="s">
        <v>531</v>
      </c>
      <c r="E1693" s="3" t="s">
        <v>7</v>
      </c>
      <c r="F1693" s="5">
        <v>120</v>
      </c>
      <c r="G1693" s="5">
        <v>381</v>
      </c>
      <c r="H1693" s="6">
        <v>6784.32</v>
      </c>
      <c r="I1693" s="22">
        <v>18990.599999999999</v>
      </c>
      <c r="J1693" s="24">
        <f t="shared" si="78"/>
        <v>1.3158818306376272E-4</v>
      </c>
      <c r="K1693" s="25">
        <f t="shared" si="80"/>
        <v>0.81075803784507028</v>
      </c>
      <c r="L1693" s="26" t="s">
        <v>7517</v>
      </c>
      <c r="M1693" s="28"/>
      <c r="N1693" s="28"/>
      <c r="O1693" s="20" t="s">
        <v>7530</v>
      </c>
      <c r="P1693" s="27" t="str">
        <f t="shared" si="79"/>
        <v>vermelho</v>
      </c>
    </row>
    <row r="1694" spans="1:16" ht="25.5">
      <c r="A1694" s="3" t="s">
        <v>4</v>
      </c>
      <c r="B1694" s="3" t="s">
        <v>1029</v>
      </c>
      <c r="C1694" s="4">
        <v>266</v>
      </c>
      <c r="D1694" s="3" t="s">
        <v>80</v>
      </c>
      <c r="E1694" s="3" t="s">
        <v>10</v>
      </c>
      <c r="F1694" s="5">
        <v>318</v>
      </c>
      <c r="G1694" s="5">
        <v>318</v>
      </c>
      <c r="H1694" s="6">
        <v>16708.830000000002</v>
      </c>
      <c r="I1694" s="22">
        <v>18986.939999999999</v>
      </c>
      <c r="J1694" s="24">
        <f t="shared" si="78"/>
        <v>1.3156282247747198E-4</v>
      </c>
      <c r="K1694" s="25">
        <f t="shared" si="80"/>
        <v>0.81088960066754778</v>
      </c>
      <c r="L1694" s="26" t="s">
        <v>7517</v>
      </c>
      <c r="M1694" s="28"/>
      <c r="N1694" s="28"/>
      <c r="O1694" s="20" t="s">
        <v>7530</v>
      </c>
      <c r="P1694" s="27" t="str">
        <f t="shared" si="79"/>
        <v>vermelho</v>
      </c>
    </row>
    <row r="1695" spans="1:16" ht="25.5">
      <c r="A1695" s="3" t="s">
        <v>4</v>
      </c>
      <c r="B1695" s="3" t="s">
        <v>1030</v>
      </c>
      <c r="C1695" s="4">
        <v>327</v>
      </c>
      <c r="D1695" s="3" t="s">
        <v>100</v>
      </c>
      <c r="E1695" s="3" t="s">
        <v>7</v>
      </c>
      <c r="F1695" s="5">
        <v>264</v>
      </c>
      <c r="G1695" s="5">
        <v>267</v>
      </c>
      <c r="H1695" s="6">
        <v>16946.52</v>
      </c>
      <c r="I1695" s="22">
        <v>18983.28</v>
      </c>
      <c r="J1695" s="24">
        <f t="shared" si="78"/>
        <v>1.3153746189118121E-4</v>
      </c>
      <c r="K1695" s="25">
        <f t="shared" si="80"/>
        <v>0.81102113812943899</v>
      </c>
      <c r="L1695" s="26" t="s">
        <v>7517</v>
      </c>
      <c r="M1695" s="28"/>
      <c r="N1695" s="28"/>
      <c r="O1695" s="20" t="s">
        <v>7530</v>
      </c>
      <c r="P1695" s="27" t="str">
        <f t="shared" si="79"/>
        <v>vermelho</v>
      </c>
    </row>
    <row r="1696" spans="1:16" ht="25.5">
      <c r="A1696" s="3" t="s">
        <v>4</v>
      </c>
      <c r="B1696" s="3" t="s">
        <v>1031</v>
      </c>
      <c r="C1696" s="4">
        <v>194</v>
      </c>
      <c r="D1696" s="3" t="s">
        <v>145</v>
      </c>
      <c r="E1696" s="3" t="s">
        <v>16</v>
      </c>
      <c r="F1696" s="5">
        <v>0</v>
      </c>
      <c r="G1696" s="5">
        <v>300</v>
      </c>
      <c r="H1696" s="6">
        <v>0</v>
      </c>
      <c r="I1696" s="22">
        <v>18981.240000000002</v>
      </c>
      <c r="J1696" s="24">
        <f t="shared" si="78"/>
        <v>1.3152332648242899E-4</v>
      </c>
      <c r="K1696" s="25">
        <f t="shared" si="80"/>
        <v>0.81115266145592146</v>
      </c>
      <c r="L1696" s="26" t="s">
        <v>7517</v>
      </c>
      <c r="M1696" s="28"/>
      <c r="N1696" s="28"/>
      <c r="O1696" s="20" t="s">
        <v>7530</v>
      </c>
      <c r="P1696" s="27" t="str">
        <f t="shared" si="79"/>
        <v>vermelho</v>
      </c>
    </row>
    <row r="1697" spans="1:16" ht="25.5">
      <c r="A1697" s="3" t="s">
        <v>4</v>
      </c>
      <c r="B1697" s="3" t="s">
        <v>1032</v>
      </c>
      <c r="C1697" s="4">
        <v>266</v>
      </c>
      <c r="D1697" s="3" t="s">
        <v>80</v>
      </c>
      <c r="E1697" s="3" t="s">
        <v>10</v>
      </c>
      <c r="F1697" s="5">
        <v>348</v>
      </c>
      <c r="G1697" s="5">
        <v>306</v>
      </c>
      <c r="H1697" s="6">
        <v>22154.13</v>
      </c>
      <c r="I1697" s="22">
        <v>18955.62</v>
      </c>
      <c r="J1697" s="24">
        <f t="shared" si="78"/>
        <v>1.3134580237839362E-4</v>
      </c>
      <c r="K1697" s="25">
        <f t="shared" si="80"/>
        <v>0.81128400725829986</v>
      </c>
      <c r="L1697" s="26" t="s">
        <v>7517</v>
      </c>
      <c r="M1697" s="28"/>
      <c r="N1697" s="28"/>
      <c r="O1697" s="20" t="s">
        <v>7530</v>
      </c>
      <c r="P1697" s="27" t="str">
        <f t="shared" si="79"/>
        <v>vermelho</v>
      </c>
    </row>
    <row r="1698" spans="1:16" ht="38.25">
      <c r="A1698" s="3" t="s">
        <v>4</v>
      </c>
      <c r="B1698" s="3" t="s">
        <v>1033</v>
      </c>
      <c r="C1698" s="4">
        <v>292</v>
      </c>
      <c r="D1698" s="3" t="s">
        <v>57</v>
      </c>
      <c r="E1698" s="3" t="s">
        <v>49</v>
      </c>
      <c r="F1698" s="5">
        <v>285</v>
      </c>
      <c r="G1698" s="5">
        <v>300</v>
      </c>
      <c r="H1698" s="6">
        <v>15397.388999999999</v>
      </c>
      <c r="I1698" s="22">
        <v>18916.68</v>
      </c>
      <c r="J1698" s="24">
        <f t="shared" si="78"/>
        <v>1.3107598237015257E-4</v>
      </c>
      <c r="K1698" s="25">
        <f t="shared" si="80"/>
        <v>0.81141508324067002</v>
      </c>
      <c r="L1698" s="26" t="s">
        <v>7517</v>
      </c>
      <c r="M1698" s="28"/>
      <c r="N1698" s="28"/>
      <c r="O1698" s="20" t="s">
        <v>7530</v>
      </c>
      <c r="P1698" s="27" t="str">
        <f t="shared" si="79"/>
        <v>vermelho</v>
      </c>
    </row>
    <row r="1699" spans="1:16" ht="25.5">
      <c r="A1699" s="3" t="s">
        <v>4</v>
      </c>
      <c r="B1699" s="3" t="s">
        <v>1034</v>
      </c>
      <c r="C1699" s="4">
        <v>315</v>
      </c>
      <c r="D1699" s="3" t="s">
        <v>63</v>
      </c>
      <c r="E1699" s="3" t="s">
        <v>7</v>
      </c>
      <c r="F1699" s="5">
        <v>120</v>
      </c>
      <c r="G1699" s="5">
        <v>276</v>
      </c>
      <c r="H1699" s="6">
        <v>6334.8</v>
      </c>
      <c r="I1699" s="22">
        <v>18910.297999999999</v>
      </c>
      <c r="J1699" s="24">
        <f t="shared" si="78"/>
        <v>1.3103176071394828E-4</v>
      </c>
      <c r="K1699" s="25">
        <f t="shared" si="80"/>
        <v>0.81154611500138396</v>
      </c>
      <c r="L1699" s="26" t="s">
        <v>7517</v>
      </c>
      <c r="M1699" s="28"/>
      <c r="N1699" s="28"/>
      <c r="O1699" s="20">
        <v>7517.0550000000003</v>
      </c>
      <c r="P1699" s="27" t="str">
        <f t="shared" si="79"/>
        <v>amarelo</v>
      </c>
    </row>
    <row r="1700" spans="1:16" ht="25.5">
      <c r="A1700" s="3" t="s">
        <v>4</v>
      </c>
      <c r="B1700" s="3" t="s">
        <v>829</v>
      </c>
      <c r="C1700" s="4">
        <v>264</v>
      </c>
      <c r="D1700" s="3" t="s">
        <v>40</v>
      </c>
      <c r="E1700" s="3" t="s">
        <v>41</v>
      </c>
      <c r="F1700" s="5">
        <v>0</v>
      </c>
      <c r="G1700" s="5">
        <v>324</v>
      </c>
      <c r="H1700" s="6">
        <v>0</v>
      </c>
      <c r="I1700" s="22">
        <v>18908.906999999999</v>
      </c>
      <c r="J1700" s="24">
        <f t="shared" si="78"/>
        <v>1.310221223053334E-4</v>
      </c>
      <c r="K1700" s="25">
        <f t="shared" si="80"/>
        <v>0.81167713712368927</v>
      </c>
      <c r="L1700" s="26" t="s">
        <v>7517</v>
      </c>
      <c r="M1700" s="28">
        <v>-2.2768641725871144E-2</v>
      </c>
      <c r="N1700" s="28"/>
      <c r="O1700" s="20">
        <v>11118.84</v>
      </c>
      <c r="P1700" s="27" t="str">
        <f t="shared" si="79"/>
        <v>laranja</v>
      </c>
    </row>
    <row r="1701" spans="1:16" ht="25.5">
      <c r="A1701" s="3" t="s">
        <v>4</v>
      </c>
      <c r="B1701" s="3" t="s">
        <v>1035</v>
      </c>
      <c r="C1701" s="4">
        <v>208</v>
      </c>
      <c r="D1701" s="3" t="s">
        <v>15</v>
      </c>
      <c r="E1701" s="3" t="s">
        <v>16</v>
      </c>
      <c r="F1701" s="5">
        <v>96</v>
      </c>
      <c r="G1701" s="5">
        <v>312</v>
      </c>
      <c r="H1701" s="6">
        <v>3944.64</v>
      </c>
      <c r="I1701" s="22">
        <v>18906.96</v>
      </c>
      <c r="J1701" s="24">
        <f t="shared" si="78"/>
        <v>1.3100863130492135E-4</v>
      </c>
      <c r="K1701" s="25">
        <f t="shared" si="80"/>
        <v>0.81180814575499416</v>
      </c>
      <c r="L1701" s="26" t="s">
        <v>7517</v>
      </c>
      <c r="M1701" s="28"/>
      <c r="N1701" s="28"/>
      <c r="O1701" s="20" t="s">
        <v>7530</v>
      </c>
      <c r="P1701" s="27" t="str">
        <f t="shared" si="79"/>
        <v>vermelho</v>
      </c>
    </row>
    <row r="1702" spans="1:16" ht="38.25">
      <c r="A1702" s="3" t="s">
        <v>4</v>
      </c>
      <c r="B1702" s="3" t="s">
        <v>1036</v>
      </c>
      <c r="C1702" s="4">
        <v>38</v>
      </c>
      <c r="D1702" s="3" t="s">
        <v>184</v>
      </c>
      <c r="E1702" s="3" t="s">
        <v>49</v>
      </c>
      <c r="F1702" s="5">
        <v>0</v>
      </c>
      <c r="G1702" s="5">
        <v>324</v>
      </c>
      <c r="H1702" s="6">
        <v>0</v>
      </c>
      <c r="I1702" s="22">
        <v>18891.761999999999</v>
      </c>
      <c r="J1702" s="24">
        <f t="shared" si="78"/>
        <v>1.3090332250971726E-4</v>
      </c>
      <c r="K1702" s="25">
        <f t="shared" si="80"/>
        <v>0.81193904907750392</v>
      </c>
      <c r="L1702" s="26" t="s">
        <v>7517</v>
      </c>
      <c r="M1702" s="28">
        <v>-3.5786305468391982E-2</v>
      </c>
      <c r="N1702" s="28"/>
      <c r="O1702" s="20">
        <v>6663.99</v>
      </c>
      <c r="P1702" s="27" t="str">
        <f t="shared" si="79"/>
        <v>amarelo</v>
      </c>
    </row>
    <row r="1703" spans="1:16" ht="25.5">
      <c r="A1703" s="3" t="s">
        <v>4</v>
      </c>
      <c r="B1703" s="3" t="s">
        <v>1037</v>
      </c>
      <c r="C1703" s="4">
        <v>328</v>
      </c>
      <c r="D1703" s="3" t="s">
        <v>215</v>
      </c>
      <c r="E1703" s="3" t="s">
        <v>41</v>
      </c>
      <c r="F1703" s="5">
        <v>711</v>
      </c>
      <c r="G1703" s="5">
        <v>294</v>
      </c>
      <c r="H1703" s="6">
        <v>40367.044000000002</v>
      </c>
      <c r="I1703" s="22">
        <v>18891.060000000001</v>
      </c>
      <c r="J1703" s="24">
        <f t="shared" si="78"/>
        <v>1.3089845826611723E-4</v>
      </c>
      <c r="K1703" s="25">
        <f t="shared" si="80"/>
        <v>0.81206994753577</v>
      </c>
      <c r="L1703" s="26" t="s">
        <v>7517</v>
      </c>
      <c r="M1703" s="28"/>
      <c r="N1703" s="28"/>
      <c r="O1703" s="20" t="s">
        <v>7530</v>
      </c>
      <c r="P1703" s="27" t="str">
        <f t="shared" si="79"/>
        <v>vermelho</v>
      </c>
    </row>
    <row r="1704" spans="1:16" ht="25.5">
      <c r="A1704" s="3" t="s">
        <v>4</v>
      </c>
      <c r="B1704" s="3" t="s">
        <v>1038</v>
      </c>
      <c r="C1704" s="4">
        <v>194</v>
      </c>
      <c r="D1704" s="3" t="s">
        <v>145</v>
      </c>
      <c r="E1704" s="3" t="s">
        <v>16</v>
      </c>
      <c r="F1704" s="5">
        <v>0</v>
      </c>
      <c r="G1704" s="5">
        <v>276</v>
      </c>
      <c r="H1704" s="6">
        <v>0</v>
      </c>
      <c r="I1704" s="22">
        <v>18871.68</v>
      </c>
      <c r="J1704" s="24">
        <f t="shared" si="78"/>
        <v>1.3076417188297106E-4</v>
      </c>
      <c r="K1704" s="25">
        <f t="shared" si="80"/>
        <v>0.81220071170765296</v>
      </c>
      <c r="L1704" s="26" t="s">
        <v>7517</v>
      </c>
      <c r="M1704" s="28"/>
      <c r="N1704" s="28"/>
      <c r="O1704" s="20">
        <v>13032.72</v>
      </c>
      <c r="P1704" s="27" t="str">
        <f t="shared" si="79"/>
        <v>laranja</v>
      </c>
    </row>
    <row r="1705" spans="1:16" ht="25.5">
      <c r="A1705" s="3" t="s">
        <v>4</v>
      </c>
      <c r="B1705" s="3" t="s">
        <v>1039</v>
      </c>
      <c r="C1705" s="4">
        <v>334</v>
      </c>
      <c r="D1705" s="3" t="s">
        <v>531</v>
      </c>
      <c r="E1705" s="3" t="s">
        <v>7</v>
      </c>
      <c r="F1705" s="5">
        <v>342</v>
      </c>
      <c r="G1705" s="5">
        <v>351</v>
      </c>
      <c r="H1705" s="6">
        <v>21149.4</v>
      </c>
      <c r="I1705" s="22">
        <v>18870.715</v>
      </c>
      <c r="J1705" s="24">
        <f t="shared" si="78"/>
        <v>1.3075748528030149E-4</v>
      </c>
      <c r="K1705" s="25">
        <f t="shared" si="80"/>
        <v>0.81233146919293331</v>
      </c>
      <c r="L1705" s="26" t="s">
        <v>7517</v>
      </c>
      <c r="M1705" s="28">
        <v>7.6564243244894008E-3</v>
      </c>
      <c r="N1705" s="28"/>
      <c r="O1705" s="20">
        <v>3817.92</v>
      </c>
      <c r="P1705" s="27" t="str">
        <f t="shared" si="79"/>
        <v>amarelo</v>
      </c>
    </row>
    <row r="1706" spans="1:16" ht="25.5">
      <c r="A1706" s="3" t="s">
        <v>4</v>
      </c>
      <c r="B1706" s="3" t="s">
        <v>1040</v>
      </c>
      <c r="C1706" s="4">
        <v>232</v>
      </c>
      <c r="D1706" s="3" t="s">
        <v>174</v>
      </c>
      <c r="E1706" s="3" t="s">
        <v>16</v>
      </c>
      <c r="F1706" s="5">
        <v>156</v>
      </c>
      <c r="G1706" s="5">
        <v>315</v>
      </c>
      <c r="H1706" s="6">
        <v>8101.32</v>
      </c>
      <c r="I1706" s="22">
        <v>18866.099999999999</v>
      </c>
      <c r="J1706" s="24">
        <f t="shared" si="78"/>
        <v>1.3072550738256055E-4</v>
      </c>
      <c r="K1706" s="25">
        <f t="shared" si="80"/>
        <v>0.81246219470031589</v>
      </c>
      <c r="L1706" s="26" t="s">
        <v>7517</v>
      </c>
      <c r="M1706" s="28"/>
      <c r="N1706" s="28"/>
      <c r="O1706" s="20" t="s">
        <v>7530</v>
      </c>
      <c r="P1706" s="27" t="str">
        <f t="shared" si="79"/>
        <v>vermelho</v>
      </c>
    </row>
    <row r="1707" spans="1:16" ht="38.25">
      <c r="A1707" s="3" t="s">
        <v>6342</v>
      </c>
      <c r="B1707" s="3" t="s">
        <v>6343</v>
      </c>
      <c r="C1707" s="4">
        <v>301</v>
      </c>
      <c r="D1707" s="3" t="s">
        <v>519</v>
      </c>
      <c r="E1707" s="3" t="s">
        <v>16</v>
      </c>
      <c r="F1707" s="5">
        <v>0</v>
      </c>
      <c r="G1707" s="5">
        <v>327</v>
      </c>
      <c r="H1707" s="6">
        <v>0</v>
      </c>
      <c r="I1707" s="22">
        <v>18862.32</v>
      </c>
      <c r="J1707" s="24">
        <f t="shared" si="78"/>
        <v>1.306993153016373E-4</v>
      </c>
      <c r="K1707" s="25">
        <f t="shared" si="80"/>
        <v>0.81259289401561752</v>
      </c>
      <c r="L1707" s="26" t="s">
        <v>7517</v>
      </c>
      <c r="M1707" s="28"/>
      <c r="N1707" s="28"/>
      <c r="O1707" s="20">
        <v>9356.85</v>
      </c>
      <c r="P1707" s="27" t="str">
        <f t="shared" si="79"/>
        <v>amarelo</v>
      </c>
    </row>
    <row r="1708" spans="1:16" ht="25.5">
      <c r="A1708" s="3" t="s">
        <v>4</v>
      </c>
      <c r="B1708" s="3" t="s">
        <v>1041</v>
      </c>
      <c r="C1708" s="4">
        <v>296</v>
      </c>
      <c r="D1708" s="3" t="s">
        <v>282</v>
      </c>
      <c r="E1708" s="3" t="s">
        <v>10</v>
      </c>
      <c r="F1708" s="5">
        <v>0</v>
      </c>
      <c r="G1708" s="5">
        <v>327</v>
      </c>
      <c r="H1708" s="6">
        <v>0</v>
      </c>
      <c r="I1708" s="22">
        <v>18854.888999999999</v>
      </c>
      <c r="J1708" s="24">
        <f t="shared" si="78"/>
        <v>1.3064782499652071E-4</v>
      </c>
      <c r="K1708" s="25">
        <f t="shared" si="80"/>
        <v>0.81272354184061402</v>
      </c>
      <c r="L1708" s="26" t="s">
        <v>7517</v>
      </c>
      <c r="M1708" s="28"/>
      <c r="N1708" s="28"/>
      <c r="O1708" s="20" t="s">
        <v>7530</v>
      </c>
      <c r="P1708" s="27" t="str">
        <f t="shared" si="79"/>
        <v>vermelho</v>
      </c>
    </row>
    <row r="1709" spans="1:16" ht="38.25">
      <c r="A1709" s="3" t="s">
        <v>4</v>
      </c>
      <c r="B1709" s="3" t="s">
        <v>1042</v>
      </c>
      <c r="C1709" s="4">
        <v>53</v>
      </c>
      <c r="D1709" s="3" t="s">
        <v>34</v>
      </c>
      <c r="E1709" s="3" t="s">
        <v>16</v>
      </c>
      <c r="F1709" s="5">
        <v>696</v>
      </c>
      <c r="G1709" s="5">
        <v>300</v>
      </c>
      <c r="H1709" s="6">
        <v>39064.32</v>
      </c>
      <c r="I1709" s="22">
        <v>18852.72</v>
      </c>
      <c r="J1709" s="24">
        <f t="shared" si="78"/>
        <v>1.3063279573103859E-4</v>
      </c>
      <c r="K1709" s="25">
        <f t="shared" si="80"/>
        <v>0.81285417463634502</v>
      </c>
      <c r="L1709" s="26" t="s">
        <v>7517</v>
      </c>
      <c r="M1709" s="28"/>
      <c r="N1709" s="28"/>
      <c r="O1709" s="20" t="s">
        <v>7530</v>
      </c>
      <c r="P1709" s="27" t="str">
        <f t="shared" si="79"/>
        <v>vermelho</v>
      </c>
    </row>
    <row r="1710" spans="1:16" ht="25.5">
      <c r="A1710" s="3" t="s">
        <v>4</v>
      </c>
      <c r="B1710" s="3" t="s">
        <v>1043</v>
      </c>
      <c r="C1710" s="4">
        <v>320</v>
      </c>
      <c r="D1710" s="3" t="s">
        <v>218</v>
      </c>
      <c r="E1710" s="3" t="s">
        <v>49</v>
      </c>
      <c r="F1710" s="5">
        <v>0</v>
      </c>
      <c r="G1710" s="5">
        <v>324</v>
      </c>
      <c r="H1710" s="6">
        <v>0</v>
      </c>
      <c r="I1710" s="22">
        <v>18815.400000000001</v>
      </c>
      <c r="J1710" s="24">
        <f t="shared" si="78"/>
        <v>1.3037420090033605E-4</v>
      </c>
      <c r="K1710" s="25">
        <f t="shared" si="80"/>
        <v>0.81298454883724536</v>
      </c>
      <c r="L1710" s="26" t="s">
        <v>7517</v>
      </c>
      <c r="M1710" s="28"/>
      <c r="N1710" s="28"/>
      <c r="O1710" s="20" t="s">
        <v>7530</v>
      </c>
      <c r="P1710" s="27" t="str">
        <f t="shared" si="79"/>
        <v>vermelho</v>
      </c>
    </row>
    <row r="1711" spans="1:16" ht="51">
      <c r="A1711" s="3" t="s">
        <v>4</v>
      </c>
      <c r="B1711" s="3" t="s">
        <v>1044</v>
      </c>
      <c r="C1711" s="4">
        <v>282</v>
      </c>
      <c r="D1711" s="3" t="s">
        <v>12</v>
      </c>
      <c r="E1711" s="3" t="s">
        <v>13</v>
      </c>
      <c r="F1711" s="5">
        <v>594</v>
      </c>
      <c r="G1711" s="5">
        <v>288</v>
      </c>
      <c r="H1711" s="6">
        <v>27029.16</v>
      </c>
      <c r="I1711" s="22">
        <v>18812.16</v>
      </c>
      <c r="J1711" s="24">
        <f t="shared" si="78"/>
        <v>1.3035175054525896E-4</v>
      </c>
      <c r="K1711" s="25">
        <f t="shared" si="80"/>
        <v>0.81311490058779057</v>
      </c>
      <c r="L1711" s="26" t="s">
        <v>7517</v>
      </c>
      <c r="M1711" s="28"/>
      <c r="N1711" s="28"/>
      <c r="O1711" s="20" t="s">
        <v>7530</v>
      </c>
      <c r="P1711" s="27" t="str">
        <f t="shared" si="79"/>
        <v>vermelho</v>
      </c>
    </row>
    <row r="1712" spans="1:16" ht="25.5">
      <c r="A1712" s="3" t="s">
        <v>4</v>
      </c>
      <c r="B1712" s="3" t="s">
        <v>1045</v>
      </c>
      <c r="C1712" s="4">
        <v>217</v>
      </c>
      <c r="D1712" s="3" t="s">
        <v>91</v>
      </c>
      <c r="E1712" s="3" t="s">
        <v>16</v>
      </c>
      <c r="F1712" s="5">
        <v>0</v>
      </c>
      <c r="G1712" s="5">
        <v>306</v>
      </c>
      <c r="H1712" s="6">
        <v>0</v>
      </c>
      <c r="I1712" s="22">
        <v>18802.02</v>
      </c>
      <c r="J1712" s="24">
        <f t="shared" si="78"/>
        <v>1.3028148924881406E-4</v>
      </c>
      <c r="K1712" s="25">
        <f t="shared" si="80"/>
        <v>0.81324518207703933</v>
      </c>
      <c r="L1712" s="26" t="s">
        <v>7517</v>
      </c>
      <c r="M1712" s="28"/>
      <c r="N1712" s="28"/>
      <c r="O1712" s="20" t="s">
        <v>7530</v>
      </c>
      <c r="P1712" s="27" t="str">
        <f t="shared" si="79"/>
        <v>vermelho</v>
      </c>
    </row>
    <row r="1713" spans="1:16">
      <c r="A1713" s="3" t="s">
        <v>4</v>
      </c>
      <c r="B1713" s="3" t="s">
        <v>1046</v>
      </c>
      <c r="C1713" s="4">
        <v>231</v>
      </c>
      <c r="D1713" s="3" t="s">
        <v>52</v>
      </c>
      <c r="E1713" s="3" t="s">
        <v>7</v>
      </c>
      <c r="F1713" s="5">
        <v>300</v>
      </c>
      <c r="G1713" s="5">
        <v>330</v>
      </c>
      <c r="H1713" s="6">
        <v>15209.97</v>
      </c>
      <c r="I1713" s="22">
        <v>18780.72</v>
      </c>
      <c r="J1713" s="24">
        <f t="shared" si="78"/>
        <v>1.3013389895154815E-4</v>
      </c>
      <c r="K1713" s="25">
        <f t="shared" si="80"/>
        <v>0.81337531597599089</v>
      </c>
      <c r="L1713" s="26" t="s">
        <v>7517</v>
      </c>
      <c r="M1713" s="28">
        <v>-0.10443120255551744</v>
      </c>
      <c r="N1713" s="28"/>
      <c r="O1713" s="20">
        <v>4261.2</v>
      </c>
      <c r="P1713" s="27" t="str">
        <f t="shared" si="79"/>
        <v>amarelo</v>
      </c>
    </row>
    <row r="1714" spans="1:16" ht="25.5">
      <c r="A1714" s="3" t="s">
        <v>4</v>
      </c>
      <c r="B1714" s="3" t="s">
        <v>1047</v>
      </c>
      <c r="C1714" s="4">
        <v>270</v>
      </c>
      <c r="D1714" s="3" t="s">
        <v>266</v>
      </c>
      <c r="E1714" s="3" t="s">
        <v>49</v>
      </c>
      <c r="F1714" s="5">
        <v>129</v>
      </c>
      <c r="G1714" s="5">
        <v>333</v>
      </c>
      <c r="H1714" s="6">
        <v>7687.41</v>
      </c>
      <c r="I1714" s="22">
        <v>18770.64</v>
      </c>
      <c r="J1714" s="24">
        <f t="shared" si="78"/>
        <v>1.3006405340241947E-4</v>
      </c>
      <c r="K1714" s="25">
        <f t="shared" si="80"/>
        <v>0.81350538002939332</v>
      </c>
      <c r="L1714" s="26" t="s">
        <v>7517</v>
      </c>
      <c r="M1714" s="28"/>
      <c r="N1714" s="28"/>
      <c r="O1714" s="20" t="s">
        <v>7530</v>
      </c>
      <c r="P1714" s="27" t="str">
        <f t="shared" si="79"/>
        <v>vermelho</v>
      </c>
    </row>
    <row r="1715" spans="1:16" ht="25.5">
      <c r="A1715" s="3" t="s">
        <v>4</v>
      </c>
      <c r="B1715" s="3" t="s">
        <v>1048</v>
      </c>
      <c r="C1715" s="4">
        <v>31</v>
      </c>
      <c r="D1715" s="3" t="s">
        <v>194</v>
      </c>
      <c r="E1715" s="3" t="s">
        <v>16</v>
      </c>
      <c r="F1715" s="5">
        <v>390</v>
      </c>
      <c r="G1715" s="5">
        <v>348</v>
      </c>
      <c r="H1715" s="6">
        <v>20660.939999999999</v>
      </c>
      <c r="I1715" s="22">
        <v>18762.54</v>
      </c>
      <c r="J1715" s="24">
        <f t="shared" si="78"/>
        <v>1.3000792751472682E-4</v>
      </c>
      <c r="K1715" s="25">
        <f t="shared" si="80"/>
        <v>0.81363538795690804</v>
      </c>
      <c r="L1715" s="26" t="s">
        <v>7517</v>
      </c>
      <c r="M1715" s="28"/>
      <c r="N1715" s="28"/>
      <c r="O1715" s="20">
        <v>24380.02</v>
      </c>
      <c r="P1715" s="27" t="str">
        <f t="shared" si="79"/>
        <v>verde</v>
      </c>
    </row>
    <row r="1716" spans="1:16" ht="25.5">
      <c r="A1716" s="3" t="s">
        <v>4</v>
      </c>
      <c r="B1716" s="3" t="s">
        <v>1049</v>
      </c>
      <c r="C1716" s="4">
        <v>187</v>
      </c>
      <c r="D1716" s="3" t="s">
        <v>96</v>
      </c>
      <c r="E1716" s="3" t="s">
        <v>7</v>
      </c>
      <c r="F1716" s="5">
        <v>0</v>
      </c>
      <c r="G1716" s="5">
        <v>288</v>
      </c>
      <c r="H1716" s="6">
        <v>0</v>
      </c>
      <c r="I1716" s="22">
        <v>18762.48</v>
      </c>
      <c r="J1716" s="24">
        <f t="shared" si="78"/>
        <v>1.3000751176741056E-4</v>
      </c>
      <c r="K1716" s="25">
        <f t="shared" si="80"/>
        <v>0.81376539546867543</v>
      </c>
      <c r="L1716" s="26" t="s">
        <v>7517</v>
      </c>
      <c r="M1716" s="28">
        <v>-2.9156673773673841E-2</v>
      </c>
      <c r="N1716" s="28"/>
      <c r="O1716" s="20" t="s">
        <v>7530</v>
      </c>
      <c r="P1716" s="27" t="str">
        <f t="shared" si="79"/>
        <v>vermelho</v>
      </c>
    </row>
    <row r="1717" spans="1:16" ht="38.25">
      <c r="A1717" s="3" t="s">
        <v>6346</v>
      </c>
      <c r="B1717" s="3" t="s">
        <v>6347</v>
      </c>
      <c r="C1717" s="4">
        <v>45</v>
      </c>
      <c r="D1717" s="3" t="s">
        <v>23</v>
      </c>
      <c r="E1717" s="3" t="s">
        <v>7</v>
      </c>
      <c r="F1717" s="5">
        <v>120</v>
      </c>
      <c r="G1717" s="5">
        <v>300</v>
      </c>
      <c r="H1717" s="6">
        <v>6778.8</v>
      </c>
      <c r="I1717" s="22">
        <v>18753</v>
      </c>
      <c r="J1717" s="24">
        <f t="shared" si="78"/>
        <v>1.2994182369144432E-4</v>
      </c>
      <c r="K1717" s="25">
        <f t="shared" si="80"/>
        <v>0.81389533729236685</v>
      </c>
      <c r="L1717" s="26" t="s">
        <v>7517</v>
      </c>
      <c r="M1717" s="28"/>
      <c r="N1717" s="28"/>
      <c r="O1717" s="20">
        <v>14689.8</v>
      </c>
      <c r="P1717" s="27" t="str">
        <f t="shared" si="79"/>
        <v>laranja</v>
      </c>
    </row>
    <row r="1718" spans="1:16" ht="25.5">
      <c r="A1718" s="3" t="s">
        <v>6348</v>
      </c>
      <c r="B1718" s="3" t="s">
        <v>6349</v>
      </c>
      <c r="C1718" s="4">
        <v>93</v>
      </c>
      <c r="D1718" s="3" t="s">
        <v>20</v>
      </c>
      <c r="E1718" s="3" t="s">
        <v>7</v>
      </c>
      <c r="F1718" s="5">
        <v>2772</v>
      </c>
      <c r="G1718" s="5">
        <v>480</v>
      </c>
      <c r="H1718" s="6">
        <v>128711.03999999999</v>
      </c>
      <c r="I1718" s="22">
        <v>18747.84</v>
      </c>
      <c r="J1718" s="24">
        <f t="shared" si="78"/>
        <v>1.2990606942224752E-4</v>
      </c>
      <c r="K1718" s="25">
        <f t="shared" si="80"/>
        <v>0.81402524336178905</v>
      </c>
      <c r="L1718" s="26" t="s">
        <v>7517</v>
      </c>
      <c r="M1718" s="28"/>
      <c r="N1718" s="28"/>
      <c r="O1718" s="20">
        <v>78934.679999999993</v>
      </c>
      <c r="P1718" s="27" t="str">
        <f t="shared" si="79"/>
        <v>verde</v>
      </c>
    </row>
    <row r="1719" spans="1:16" ht="25.5">
      <c r="A1719" s="3" t="s">
        <v>4</v>
      </c>
      <c r="B1719" s="3" t="s">
        <v>1050</v>
      </c>
      <c r="C1719" s="4">
        <v>240</v>
      </c>
      <c r="D1719" s="3" t="s">
        <v>69</v>
      </c>
      <c r="E1719" s="3" t="s">
        <v>16</v>
      </c>
      <c r="F1719" s="5">
        <v>0</v>
      </c>
      <c r="G1719" s="5">
        <v>360</v>
      </c>
      <c r="H1719" s="6">
        <v>0</v>
      </c>
      <c r="I1719" s="22">
        <v>18744.36</v>
      </c>
      <c r="J1719" s="24">
        <f t="shared" si="78"/>
        <v>1.2988195607790547E-4</v>
      </c>
      <c r="K1719" s="25">
        <f t="shared" si="80"/>
        <v>0.81415512531786693</v>
      </c>
      <c r="L1719" s="26" t="s">
        <v>7517</v>
      </c>
      <c r="M1719" s="28"/>
      <c r="N1719" s="28"/>
      <c r="O1719" s="20">
        <v>13542.96</v>
      </c>
      <c r="P1719" s="27" t="str">
        <f t="shared" si="79"/>
        <v>laranja</v>
      </c>
    </row>
    <row r="1720" spans="1:16" ht="25.5">
      <c r="A1720" s="3" t="s">
        <v>4</v>
      </c>
      <c r="B1720" s="3" t="s">
        <v>1051</v>
      </c>
      <c r="C1720" s="4">
        <v>217</v>
      </c>
      <c r="D1720" s="3" t="s">
        <v>91</v>
      </c>
      <c r="E1720" s="3" t="s">
        <v>16</v>
      </c>
      <c r="F1720" s="5">
        <v>309</v>
      </c>
      <c r="G1720" s="5">
        <v>300</v>
      </c>
      <c r="H1720" s="6">
        <v>17605.89</v>
      </c>
      <c r="I1720" s="22">
        <v>18743.400000000001</v>
      </c>
      <c r="J1720" s="24">
        <f t="shared" si="78"/>
        <v>1.2987530412084561E-4</v>
      </c>
      <c r="K1720" s="25">
        <f t="shared" si="80"/>
        <v>0.81428500062198783</v>
      </c>
      <c r="L1720" s="26" t="s">
        <v>7517</v>
      </c>
      <c r="M1720" s="28"/>
      <c r="N1720" s="28"/>
      <c r="O1720" s="20" t="s">
        <v>7530</v>
      </c>
      <c r="P1720" s="27" t="str">
        <f t="shared" si="79"/>
        <v>vermelho</v>
      </c>
    </row>
    <row r="1721" spans="1:16" ht="38.25">
      <c r="A1721" s="3" t="s">
        <v>4</v>
      </c>
      <c r="B1721" s="3" t="s">
        <v>1052</v>
      </c>
      <c r="C1721" s="4">
        <v>38</v>
      </c>
      <c r="D1721" s="3" t="s">
        <v>184</v>
      </c>
      <c r="E1721" s="3" t="s">
        <v>49</v>
      </c>
      <c r="F1721" s="5">
        <v>420</v>
      </c>
      <c r="G1721" s="5">
        <v>291</v>
      </c>
      <c r="H1721" s="6">
        <v>24510.959999999999</v>
      </c>
      <c r="I1721" s="22">
        <v>18742.68</v>
      </c>
      <c r="J1721" s="24">
        <f t="shared" si="78"/>
        <v>1.2987031515305071E-4</v>
      </c>
      <c r="K1721" s="25">
        <f t="shared" si="80"/>
        <v>0.81441487093714093</v>
      </c>
      <c r="L1721" s="26" t="s">
        <v>7517</v>
      </c>
      <c r="M1721" s="28"/>
      <c r="N1721" s="28"/>
      <c r="O1721" s="20">
        <v>10262.16</v>
      </c>
      <c r="P1721" s="27" t="str">
        <f t="shared" si="79"/>
        <v>laranja</v>
      </c>
    </row>
    <row r="1722" spans="1:16" ht="25.5">
      <c r="A1722" s="3" t="s">
        <v>4</v>
      </c>
      <c r="B1722" s="3" t="s">
        <v>1053</v>
      </c>
      <c r="C1722" s="4">
        <v>178</v>
      </c>
      <c r="D1722" s="3" t="s">
        <v>74</v>
      </c>
      <c r="E1722" s="3" t="s">
        <v>7</v>
      </c>
      <c r="F1722" s="5">
        <v>0</v>
      </c>
      <c r="G1722" s="5">
        <v>324</v>
      </c>
      <c r="H1722" s="6">
        <v>0</v>
      </c>
      <c r="I1722" s="22">
        <v>18734.28</v>
      </c>
      <c r="J1722" s="24">
        <f t="shared" si="78"/>
        <v>1.2981211052877681E-4</v>
      </c>
      <c r="K1722" s="25">
        <f t="shared" si="80"/>
        <v>0.81454468304766969</v>
      </c>
      <c r="L1722" s="26" t="s">
        <v>7517</v>
      </c>
      <c r="M1722" s="28"/>
      <c r="N1722" s="28"/>
      <c r="O1722" s="20" t="s">
        <v>7530</v>
      </c>
      <c r="P1722" s="27" t="str">
        <f t="shared" si="79"/>
        <v>vermelho</v>
      </c>
    </row>
    <row r="1723" spans="1:16" ht="25.5">
      <c r="A1723" s="3" t="s">
        <v>6350</v>
      </c>
      <c r="B1723" s="3" t="s">
        <v>6351</v>
      </c>
      <c r="C1723" s="4">
        <v>327</v>
      </c>
      <c r="D1723" s="3" t="s">
        <v>100</v>
      </c>
      <c r="E1723" s="3" t="s">
        <v>7</v>
      </c>
      <c r="F1723" s="5">
        <v>105</v>
      </c>
      <c r="G1723" s="5">
        <v>312</v>
      </c>
      <c r="H1723" s="6">
        <v>6451.95</v>
      </c>
      <c r="I1723" s="22">
        <v>18726.599999999999</v>
      </c>
      <c r="J1723" s="24">
        <f t="shared" si="78"/>
        <v>1.2975889487229782E-4</v>
      </c>
      <c r="K1723" s="25">
        <f t="shared" si="80"/>
        <v>0.81467444194254202</v>
      </c>
      <c r="L1723" s="26" t="s">
        <v>7517</v>
      </c>
      <c r="M1723" s="28"/>
      <c r="N1723" s="28"/>
      <c r="O1723" s="20">
        <v>4581.4799999999996</v>
      </c>
      <c r="P1723" s="27" t="str">
        <f t="shared" si="79"/>
        <v>amarelo</v>
      </c>
    </row>
    <row r="1724" spans="1:16" ht="25.5">
      <c r="A1724" s="3" t="s">
        <v>4</v>
      </c>
      <c r="B1724" s="3" t="s">
        <v>1054</v>
      </c>
      <c r="C1724" s="4">
        <v>317</v>
      </c>
      <c r="D1724" s="3" t="s">
        <v>78</v>
      </c>
      <c r="E1724" s="3" t="s">
        <v>10</v>
      </c>
      <c r="F1724" s="5">
        <v>207</v>
      </c>
      <c r="G1724" s="5">
        <v>300</v>
      </c>
      <c r="H1724" s="6">
        <v>10307.07</v>
      </c>
      <c r="I1724" s="22">
        <v>18703.14</v>
      </c>
      <c r="J1724" s="24">
        <f t="shared" si="78"/>
        <v>1.2959633767164721E-4</v>
      </c>
      <c r="K1724" s="25">
        <f t="shared" si="80"/>
        <v>0.81480403828021364</v>
      </c>
      <c r="L1724" s="26" t="s">
        <v>7517</v>
      </c>
      <c r="M1724" s="28"/>
      <c r="N1724" s="28"/>
      <c r="O1724" s="20" t="s">
        <v>7530</v>
      </c>
      <c r="P1724" s="27" t="str">
        <f t="shared" si="79"/>
        <v>vermelho</v>
      </c>
    </row>
    <row r="1725" spans="1:16" ht="25.5">
      <c r="A1725" s="3" t="s">
        <v>6352</v>
      </c>
      <c r="B1725" s="3" t="s">
        <v>6353</v>
      </c>
      <c r="C1725" s="4">
        <v>197</v>
      </c>
      <c r="D1725" s="3" t="s">
        <v>66</v>
      </c>
      <c r="E1725" s="3" t="s">
        <v>41</v>
      </c>
      <c r="F1725" s="5">
        <v>234</v>
      </c>
      <c r="G1725" s="5">
        <v>276</v>
      </c>
      <c r="H1725" s="6">
        <v>15108.66</v>
      </c>
      <c r="I1725" s="22">
        <v>18696.36</v>
      </c>
      <c r="J1725" s="24">
        <f t="shared" si="78"/>
        <v>1.2954935822491185E-4</v>
      </c>
      <c r="K1725" s="25">
        <f t="shared" si="80"/>
        <v>0.81493358763843859</v>
      </c>
      <c r="L1725" s="26" t="s">
        <v>7517</v>
      </c>
      <c r="M1725" s="28"/>
      <c r="N1725" s="28"/>
      <c r="O1725" s="20" t="s">
        <v>7530</v>
      </c>
      <c r="P1725" s="27" t="str">
        <f t="shared" si="79"/>
        <v>vermelho</v>
      </c>
    </row>
    <row r="1726" spans="1:16" ht="38.25">
      <c r="A1726" s="3" t="s">
        <v>4</v>
      </c>
      <c r="B1726" s="3" t="s">
        <v>1055</v>
      </c>
      <c r="C1726" s="4">
        <v>45</v>
      </c>
      <c r="D1726" s="3" t="s">
        <v>23</v>
      </c>
      <c r="E1726" s="3" t="s">
        <v>7</v>
      </c>
      <c r="F1726" s="5">
        <v>267</v>
      </c>
      <c r="G1726" s="5">
        <v>321</v>
      </c>
      <c r="H1726" s="6">
        <v>15527.19</v>
      </c>
      <c r="I1726" s="22">
        <v>18690.36</v>
      </c>
      <c r="J1726" s="24">
        <f t="shared" si="78"/>
        <v>1.2950778349328767E-4</v>
      </c>
      <c r="K1726" s="25">
        <f t="shared" si="80"/>
        <v>0.81506309542193189</v>
      </c>
      <c r="L1726" s="26" t="s">
        <v>7517</v>
      </c>
      <c r="M1726" s="28"/>
      <c r="N1726" s="28"/>
      <c r="O1726" s="20" t="s">
        <v>7530</v>
      </c>
      <c r="P1726" s="27" t="str">
        <f t="shared" si="79"/>
        <v>vermelho</v>
      </c>
    </row>
    <row r="1727" spans="1:16" ht="38.25">
      <c r="A1727" s="3" t="s">
        <v>4</v>
      </c>
      <c r="B1727" s="3" t="s">
        <v>1056</v>
      </c>
      <c r="C1727" s="4">
        <v>371</v>
      </c>
      <c r="D1727" s="3" t="s">
        <v>82</v>
      </c>
      <c r="E1727" s="3" t="s">
        <v>49</v>
      </c>
      <c r="F1727" s="5">
        <v>120</v>
      </c>
      <c r="G1727" s="5">
        <v>360</v>
      </c>
      <c r="H1727" s="6">
        <v>5019.732</v>
      </c>
      <c r="I1727" s="22">
        <v>18668.18</v>
      </c>
      <c r="J1727" s="24">
        <f t="shared" si="78"/>
        <v>1.2935409556871685E-4</v>
      </c>
      <c r="K1727" s="25">
        <f t="shared" si="80"/>
        <v>0.81519244951750058</v>
      </c>
      <c r="L1727" s="26" t="s">
        <v>7517</v>
      </c>
      <c r="M1727" s="28"/>
      <c r="N1727" s="28"/>
      <c r="O1727" s="20">
        <v>3236.13</v>
      </c>
      <c r="P1727" s="27" t="str">
        <f t="shared" si="79"/>
        <v>amarelo</v>
      </c>
    </row>
    <row r="1728" spans="1:16" ht="25.5">
      <c r="A1728" s="3" t="s">
        <v>4</v>
      </c>
      <c r="B1728" s="3" t="s">
        <v>1057</v>
      </c>
      <c r="C1728" s="4">
        <v>194</v>
      </c>
      <c r="D1728" s="3" t="s">
        <v>145</v>
      </c>
      <c r="E1728" s="3" t="s">
        <v>16</v>
      </c>
      <c r="F1728" s="5">
        <v>120</v>
      </c>
      <c r="G1728" s="5">
        <v>327</v>
      </c>
      <c r="H1728" s="6">
        <v>7840.53</v>
      </c>
      <c r="I1728" s="22">
        <v>18662.22</v>
      </c>
      <c r="J1728" s="24">
        <f t="shared" si="78"/>
        <v>1.2931279800197017E-4</v>
      </c>
      <c r="K1728" s="25">
        <f t="shared" si="80"/>
        <v>0.81532176231550257</v>
      </c>
      <c r="L1728" s="26" t="s">
        <v>7517</v>
      </c>
      <c r="M1728" s="28"/>
      <c r="N1728" s="28"/>
      <c r="O1728" s="20" t="s">
        <v>7530</v>
      </c>
      <c r="P1728" s="27" t="str">
        <f t="shared" si="79"/>
        <v>vermelho</v>
      </c>
    </row>
    <row r="1729" spans="1:16" ht="51">
      <c r="A1729" s="3" t="s">
        <v>4</v>
      </c>
      <c r="B1729" s="3" t="s">
        <v>1058</v>
      </c>
      <c r="C1729" s="4">
        <v>282</v>
      </c>
      <c r="D1729" s="3" t="s">
        <v>12</v>
      </c>
      <c r="E1729" s="3" t="s">
        <v>13</v>
      </c>
      <c r="F1729" s="5">
        <v>96</v>
      </c>
      <c r="G1729" s="5">
        <v>444</v>
      </c>
      <c r="H1729" s="6">
        <v>5009.28</v>
      </c>
      <c r="I1729" s="22">
        <v>18657.484</v>
      </c>
      <c r="J1729" s="24">
        <f t="shared" si="78"/>
        <v>1.2927998168047478E-4</v>
      </c>
      <c r="K1729" s="25">
        <f t="shared" si="80"/>
        <v>0.81545104229718302</v>
      </c>
      <c r="L1729" s="26" t="s">
        <v>7517</v>
      </c>
      <c r="M1729" s="28"/>
      <c r="N1729" s="28"/>
      <c r="O1729" s="20" t="s">
        <v>7530</v>
      </c>
      <c r="P1729" s="27" t="str">
        <f t="shared" si="79"/>
        <v>vermelho</v>
      </c>
    </row>
    <row r="1730" spans="1:16" ht="25.5">
      <c r="A1730" s="3" t="s">
        <v>4</v>
      </c>
      <c r="B1730" s="3" t="s">
        <v>1059</v>
      </c>
      <c r="C1730" s="4">
        <v>217</v>
      </c>
      <c r="D1730" s="3" t="s">
        <v>91</v>
      </c>
      <c r="E1730" s="3" t="s">
        <v>16</v>
      </c>
      <c r="F1730" s="5">
        <v>0</v>
      </c>
      <c r="G1730" s="5">
        <v>318</v>
      </c>
      <c r="H1730" s="6">
        <v>0</v>
      </c>
      <c r="I1730" s="22">
        <v>18647.52</v>
      </c>
      <c r="J1730" s="24">
        <f t="shared" si="78"/>
        <v>1.2921093990949086E-4</v>
      </c>
      <c r="K1730" s="25">
        <f t="shared" si="80"/>
        <v>0.81558025323709249</v>
      </c>
      <c r="L1730" s="26" t="s">
        <v>7517</v>
      </c>
      <c r="M1730" s="28"/>
      <c r="N1730" s="28"/>
      <c r="O1730" s="20" t="s">
        <v>7530</v>
      </c>
      <c r="P1730" s="27" t="str">
        <f t="shared" si="79"/>
        <v>vermelho</v>
      </c>
    </row>
    <row r="1731" spans="1:16" ht="25.5">
      <c r="A1731" s="3" t="s">
        <v>4</v>
      </c>
      <c r="B1731" s="3" t="s">
        <v>1060</v>
      </c>
      <c r="C1731" s="4">
        <v>317</v>
      </c>
      <c r="D1731" s="3" t="s">
        <v>78</v>
      </c>
      <c r="E1731" s="3" t="s">
        <v>10</v>
      </c>
      <c r="F1731" s="5">
        <v>0</v>
      </c>
      <c r="G1731" s="5">
        <v>330</v>
      </c>
      <c r="H1731" s="6">
        <v>0</v>
      </c>
      <c r="I1731" s="22">
        <v>18647.490000000002</v>
      </c>
      <c r="J1731" s="24">
        <f t="shared" ref="J1731:J1794" si="81">I1731/$I$6364</f>
        <v>1.2921073203583274E-4</v>
      </c>
      <c r="K1731" s="25">
        <f t="shared" si="80"/>
        <v>0.81570946396912836</v>
      </c>
      <c r="L1731" s="26" t="s">
        <v>7517</v>
      </c>
      <c r="M1731" s="28"/>
      <c r="N1731" s="28"/>
      <c r="O1731" s="20" t="s">
        <v>7530</v>
      </c>
      <c r="P1731" s="27" t="str">
        <f t="shared" ref="P1731:P1794" si="82">IF(O1731&lt;=0,"vermelho",IFERROR(IF(O1731/I1731&lt;=0.5098,"amarelo",IF(O1731/I1731&lt;1,"laranja","verde")),"vermelho"))</f>
        <v>vermelho</v>
      </c>
    </row>
    <row r="1732" spans="1:16" ht="38.25">
      <c r="A1732" s="3" t="s">
        <v>4</v>
      </c>
      <c r="B1732" s="3" t="s">
        <v>1061</v>
      </c>
      <c r="C1732" s="4">
        <v>292</v>
      </c>
      <c r="D1732" s="3" t="s">
        <v>57</v>
      </c>
      <c r="E1732" s="3" t="s">
        <v>49</v>
      </c>
      <c r="F1732" s="5">
        <v>0</v>
      </c>
      <c r="G1732" s="5">
        <v>306</v>
      </c>
      <c r="H1732" s="6">
        <v>0</v>
      </c>
      <c r="I1732" s="22">
        <v>18643.86</v>
      </c>
      <c r="J1732" s="24">
        <f t="shared" si="81"/>
        <v>1.2918557932320009E-4</v>
      </c>
      <c r="K1732" s="25">
        <f t="shared" ref="K1732:K1795" si="83">J1732+K1731</f>
        <v>0.81583864954845153</v>
      </c>
      <c r="L1732" s="26" t="s">
        <v>7517</v>
      </c>
      <c r="M1732" s="28"/>
      <c r="N1732" s="28"/>
      <c r="O1732" s="20" t="s">
        <v>7530</v>
      </c>
      <c r="P1732" s="27" t="str">
        <f t="shared" si="82"/>
        <v>vermelho</v>
      </c>
    </row>
    <row r="1733" spans="1:16" ht="38.25">
      <c r="A1733" s="3" t="s">
        <v>4</v>
      </c>
      <c r="B1733" s="3" t="s">
        <v>1062</v>
      </c>
      <c r="C1733" s="4">
        <v>297</v>
      </c>
      <c r="D1733" s="3" t="s">
        <v>115</v>
      </c>
      <c r="E1733" s="3" t="s">
        <v>41</v>
      </c>
      <c r="F1733" s="5">
        <v>156</v>
      </c>
      <c r="G1733" s="5">
        <v>354</v>
      </c>
      <c r="H1733" s="6">
        <v>8273.7780000000002</v>
      </c>
      <c r="I1733" s="22">
        <v>18632.704000000002</v>
      </c>
      <c r="J1733" s="24">
        <f t="shared" si="81"/>
        <v>1.2910827803886684E-4</v>
      </c>
      <c r="K1733" s="25">
        <f t="shared" si="83"/>
        <v>0.81596775782649045</v>
      </c>
      <c r="L1733" s="26" t="s">
        <v>7517</v>
      </c>
      <c r="M1733" s="28"/>
      <c r="N1733" s="28"/>
      <c r="O1733" s="20" t="s">
        <v>7530</v>
      </c>
      <c r="P1733" s="27" t="str">
        <f t="shared" si="82"/>
        <v>vermelho</v>
      </c>
    </row>
    <row r="1734" spans="1:16" ht="25.5">
      <c r="A1734" s="3" t="s">
        <v>4</v>
      </c>
      <c r="B1734" s="3" t="s">
        <v>1063</v>
      </c>
      <c r="C1734" s="4">
        <v>297</v>
      </c>
      <c r="D1734" s="3" t="s">
        <v>115</v>
      </c>
      <c r="E1734" s="3" t="s">
        <v>41</v>
      </c>
      <c r="F1734" s="5">
        <v>306</v>
      </c>
      <c r="G1734" s="5">
        <v>282</v>
      </c>
      <c r="H1734" s="6">
        <v>17725.518</v>
      </c>
      <c r="I1734" s="22">
        <v>18619.401999999998</v>
      </c>
      <c r="J1734" s="24">
        <f t="shared" si="81"/>
        <v>1.2901610685885596E-4</v>
      </c>
      <c r="K1734" s="25">
        <f t="shared" si="83"/>
        <v>0.81609677393334934</v>
      </c>
      <c r="L1734" s="26" t="s">
        <v>7517</v>
      </c>
      <c r="M1734" s="28"/>
      <c r="N1734" s="28"/>
      <c r="O1734" s="20">
        <v>8861.6200000000008</v>
      </c>
      <c r="P1734" s="27" t="str">
        <f t="shared" si="82"/>
        <v>amarelo</v>
      </c>
    </row>
    <row r="1735" spans="1:16" ht="38.25">
      <c r="A1735" s="3" t="s">
        <v>4</v>
      </c>
      <c r="B1735" s="3" t="s">
        <v>1064</v>
      </c>
      <c r="C1735" s="4">
        <v>45</v>
      </c>
      <c r="D1735" s="3" t="s">
        <v>23</v>
      </c>
      <c r="E1735" s="3" t="s">
        <v>7</v>
      </c>
      <c r="F1735" s="5">
        <v>0</v>
      </c>
      <c r="G1735" s="5">
        <v>297</v>
      </c>
      <c r="H1735" s="6">
        <v>0</v>
      </c>
      <c r="I1735" s="22">
        <v>18616.14</v>
      </c>
      <c r="J1735" s="24">
        <f t="shared" si="81"/>
        <v>1.2899350406309627E-4</v>
      </c>
      <c r="K1735" s="25">
        <f t="shared" si="83"/>
        <v>0.81622576743741249</v>
      </c>
      <c r="L1735" s="26" t="s">
        <v>7517</v>
      </c>
      <c r="M1735" s="28"/>
      <c r="N1735" s="28"/>
      <c r="O1735" s="20" t="s">
        <v>7530</v>
      </c>
      <c r="P1735" s="27" t="str">
        <f t="shared" si="82"/>
        <v>vermelho</v>
      </c>
    </row>
    <row r="1736" spans="1:16" ht="38.25">
      <c r="A1736" s="3" t="s">
        <v>4</v>
      </c>
      <c r="B1736" s="3" t="s">
        <v>1065</v>
      </c>
      <c r="C1736" s="4">
        <v>34</v>
      </c>
      <c r="D1736" s="3" t="s">
        <v>54</v>
      </c>
      <c r="E1736" s="3" t="s">
        <v>49</v>
      </c>
      <c r="F1736" s="5">
        <v>564</v>
      </c>
      <c r="G1736" s="5">
        <v>327</v>
      </c>
      <c r="H1736" s="6">
        <v>32007.72</v>
      </c>
      <c r="I1736" s="22">
        <v>18597.767</v>
      </c>
      <c r="J1736" s="24">
        <f t="shared" si="81"/>
        <v>1.2886619530574103E-4</v>
      </c>
      <c r="K1736" s="25">
        <f t="shared" si="83"/>
        <v>0.81635463363271821</v>
      </c>
      <c r="L1736" s="26" t="s">
        <v>7517</v>
      </c>
      <c r="M1736" s="28"/>
      <c r="N1736" s="28"/>
      <c r="O1736" s="20" t="s">
        <v>7530</v>
      </c>
      <c r="P1736" s="27" t="str">
        <f t="shared" si="82"/>
        <v>vermelho</v>
      </c>
    </row>
    <row r="1737" spans="1:16" ht="25.5">
      <c r="A1737" s="3" t="s">
        <v>4</v>
      </c>
      <c r="B1737" s="3" t="s">
        <v>1066</v>
      </c>
      <c r="C1737" s="4">
        <v>321</v>
      </c>
      <c r="D1737" s="3" t="s">
        <v>136</v>
      </c>
      <c r="E1737" s="3" t="s">
        <v>41</v>
      </c>
      <c r="F1737" s="5">
        <v>213</v>
      </c>
      <c r="G1737" s="5">
        <v>315</v>
      </c>
      <c r="H1737" s="6">
        <v>12446.31</v>
      </c>
      <c r="I1737" s="22">
        <v>18581.07</v>
      </c>
      <c r="J1737" s="24">
        <f t="shared" si="81"/>
        <v>1.2875049975675281E-4</v>
      </c>
      <c r="K1737" s="25">
        <f t="shared" si="83"/>
        <v>0.81648338413247501</v>
      </c>
      <c r="L1737" s="26" t="s">
        <v>7517</v>
      </c>
      <c r="M1737" s="28"/>
      <c r="N1737" s="28">
        <v>-1.6467559187141979E-2</v>
      </c>
      <c r="O1737" s="20">
        <v>5426.88</v>
      </c>
      <c r="P1737" s="27" t="str">
        <f t="shared" si="82"/>
        <v>amarelo</v>
      </c>
    </row>
    <row r="1738" spans="1:16" ht="25.5">
      <c r="A1738" s="3" t="s">
        <v>4</v>
      </c>
      <c r="B1738" s="3" t="s">
        <v>1067</v>
      </c>
      <c r="C1738" s="4">
        <v>261</v>
      </c>
      <c r="D1738" s="3" t="s">
        <v>9</v>
      </c>
      <c r="E1738" s="3" t="s">
        <v>10</v>
      </c>
      <c r="F1738" s="5">
        <v>324</v>
      </c>
      <c r="G1738" s="5">
        <v>297</v>
      </c>
      <c r="H1738" s="6">
        <v>17987.52</v>
      </c>
      <c r="I1738" s="22">
        <v>18572.310000000001</v>
      </c>
      <c r="J1738" s="24">
        <f t="shared" si="81"/>
        <v>1.2868980064858148E-4</v>
      </c>
      <c r="K1738" s="25">
        <f t="shared" si="83"/>
        <v>0.81661207393312363</v>
      </c>
      <c r="L1738" s="26" t="s">
        <v>7517</v>
      </c>
      <c r="M1738" s="28"/>
      <c r="N1738" s="28"/>
      <c r="O1738" s="20" t="s">
        <v>7530</v>
      </c>
      <c r="P1738" s="27" t="str">
        <f t="shared" si="82"/>
        <v>vermelho</v>
      </c>
    </row>
    <row r="1739" spans="1:16" ht="51">
      <c r="A1739" s="3" t="s">
        <v>6354</v>
      </c>
      <c r="B1739" s="3" t="s">
        <v>6355</v>
      </c>
      <c r="C1739" s="4">
        <v>282</v>
      </c>
      <c r="D1739" s="3" t="s">
        <v>12</v>
      </c>
      <c r="E1739" s="3" t="s">
        <v>13</v>
      </c>
      <c r="F1739" s="5">
        <v>0</v>
      </c>
      <c r="G1739" s="5">
        <v>321</v>
      </c>
      <c r="H1739" s="6">
        <v>0</v>
      </c>
      <c r="I1739" s="22">
        <v>18537.8</v>
      </c>
      <c r="J1739" s="24">
        <f t="shared" si="81"/>
        <v>1.2845067665052294E-4</v>
      </c>
      <c r="K1739" s="25">
        <f t="shared" si="83"/>
        <v>0.8167405246097742</v>
      </c>
      <c r="L1739" s="26" t="s">
        <v>7517</v>
      </c>
      <c r="M1739" s="28"/>
      <c r="N1739" s="28"/>
      <c r="O1739" s="20" t="s">
        <v>7530</v>
      </c>
      <c r="P1739" s="27" t="str">
        <f t="shared" si="82"/>
        <v>vermelho</v>
      </c>
    </row>
    <row r="1740" spans="1:16" ht="25.5">
      <c r="A1740" s="3" t="s">
        <v>4</v>
      </c>
      <c r="B1740" s="3" t="s">
        <v>1068</v>
      </c>
      <c r="C1740" s="4">
        <v>217</v>
      </c>
      <c r="D1740" s="3" t="s">
        <v>91</v>
      </c>
      <c r="E1740" s="3" t="s">
        <v>16</v>
      </c>
      <c r="F1740" s="5">
        <v>168</v>
      </c>
      <c r="G1740" s="5">
        <v>378</v>
      </c>
      <c r="H1740" s="6">
        <v>7041.6</v>
      </c>
      <c r="I1740" s="22">
        <v>18532.38</v>
      </c>
      <c r="J1740" s="24">
        <f t="shared" si="81"/>
        <v>1.2841312080962242E-4</v>
      </c>
      <c r="K1740" s="25">
        <f t="shared" si="83"/>
        <v>0.81686893773058378</v>
      </c>
      <c r="L1740" s="26" t="s">
        <v>7517</v>
      </c>
      <c r="M1740" s="28"/>
      <c r="N1740" s="28"/>
      <c r="O1740" s="20" t="s">
        <v>7530</v>
      </c>
      <c r="P1740" s="27" t="str">
        <f t="shared" si="82"/>
        <v>vermelho</v>
      </c>
    </row>
    <row r="1741" spans="1:16" ht="25.5">
      <c r="A1741" s="3" t="s">
        <v>4</v>
      </c>
      <c r="B1741" s="3" t="s">
        <v>1069</v>
      </c>
      <c r="C1741" s="4">
        <v>327</v>
      </c>
      <c r="D1741" s="3" t="s">
        <v>100</v>
      </c>
      <c r="E1741" s="3" t="s">
        <v>7</v>
      </c>
      <c r="F1741" s="5">
        <v>0</v>
      </c>
      <c r="G1741" s="5">
        <v>288</v>
      </c>
      <c r="H1741" s="6">
        <v>0</v>
      </c>
      <c r="I1741" s="22">
        <v>18509.52</v>
      </c>
      <c r="J1741" s="24">
        <f t="shared" si="81"/>
        <v>1.282547210821342E-4</v>
      </c>
      <c r="K1741" s="25">
        <f t="shared" si="83"/>
        <v>0.81699719245166591</v>
      </c>
      <c r="L1741" s="26" t="s">
        <v>7517</v>
      </c>
      <c r="M1741" s="28"/>
      <c r="N1741" s="28"/>
      <c r="O1741" s="20" t="s">
        <v>7530</v>
      </c>
      <c r="P1741" s="27" t="str">
        <f t="shared" si="82"/>
        <v>vermelho</v>
      </c>
    </row>
    <row r="1742" spans="1:16" ht="25.5">
      <c r="A1742" s="3" t="s">
        <v>4</v>
      </c>
      <c r="B1742" s="3" t="s">
        <v>1070</v>
      </c>
      <c r="C1742" s="4">
        <v>61</v>
      </c>
      <c r="D1742" s="3" t="s">
        <v>48</v>
      </c>
      <c r="E1742" s="3" t="s">
        <v>49</v>
      </c>
      <c r="F1742" s="5">
        <v>336</v>
      </c>
      <c r="G1742" s="5">
        <v>276</v>
      </c>
      <c r="H1742" s="6">
        <v>20072.43</v>
      </c>
      <c r="I1742" s="22">
        <v>18491.16</v>
      </c>
      <c r="J1742" s="24">
        <f t="shared" si="81"/>
        <v>1.2812750240336415E-4</v>
      </c>
      <c r="K1742" s="25">
        <f t="shared" si="83"/>
        <v>0.81712531995406923</v>
      </c>
      <c r="L1742" s="26" t="s">
        <v>7517</v>
      </c>
      <c r="M1742" s="28"/>
      <c r="N1742" s="28"/>
      <c r="O1742" s="20">
        <v>15535.71</v>
      </c>
      <c r="P1742" s="27" t="str">
        <f t="shared" si="82"/>
        <v>laranja</v>
      </c>
    </row>
    <row r="1743" spans="1:16" ht="25.5">
      <c r="A1743" s="3" t="s">
        <v>6356</v>
      </c>
      <c r="B1743" s="3" t="s">
        <v>6357</v>
      </c>
      <c r="C1743" s="4">
        <v>273</v>
      </c>
      <c r="D1743" s="3" t="s">
        <v>149</v>
      </c>
      <c r="E1743" s="3" t="s">
        <v>16</v>
      </c>
      <c r="F1743" s="5">
        <v>519</v>
      </c>
      <c r="G1743" s="5">
        <v>342</v>
      </c>
      <c r="H1743" s="6">
        <v>24330.15</v>
      </c>
      <c r="I1743" s="22">
        <v>18483.304</v>
      </c>
      <c r="J1743" s="24">
        <f t="shared" si="81"/>
        <v>1.2807306722142418E-4</v>
      </c>
      <c r="K1743" s="25">
        <f t="shared" si="83"/>
        <v>0.81725339302129063</v>
      </c>
      <c r="L1743" s="26" t="s">
        <v>7517</v>
      </c>
      <c r="M1743" s="28"/>
      <c r="N1743" s="28"/>
      <c r="O1743" s="20">
        <v>10099.14</v>
      </c>
      <c r="P1743" s="27" t="str">
        <f t="shared" si="82"/>
        <v>laranja</v>
      </c>
    </row>
    <row r="1744" spans="1:16" ht="38.25">
      <c r="A1744" s="3" t="s">
        <v>4</v>
      </c>
      <c r="B1744" s="3" t="s">
        <v>1071</v>
      </c>
      <c r="C1744" s="4">
        <v>371</v>
      </c>
      <c r="D1744" s="3" t="s">
        <v>82</v>
      </c>
      <c r="E1744" s="3" t="s">
        <v>49</v>
      </c>
      <c r="F1744" s="5">
        <v>618</v>
      </c>
      <c r="G1744" s="5">
        <v>340</v>
      </c>
      <c r="H1744" s="6">
        <v>31683.912</v>
      </c>
      <c r="I1744" s="22">
        <v>18479.416000000001</v>
      </c>
      <c r="J1744" s="24">
        <f t="shared" si="81"/>
        <v>1.2804612679533171E-4</v>
      </c>
      <c r="K1744" s="25">
        <f t="shared" si="83"/>
        <v>0.81738143914808592</v>
      </c>
      <c r="L1744" s="26" t="s">
        <v>7517</v>
      </c>
      <c r="M1744" s="28"/>
      <c r="N1744" s="28">
        <v>5.8965720681208693E-3</v>
      </c>
      <c r="O1744" s="20">
        <v>4829.6400000000003</v>
      </c>
      <c r="P1744" s="27" t="str">
        <f t="shared" si="82"/>
        <v>amarelo</v>
      </c>
    </row>
    <row r="1745" spans="1:16" ht="25.5">
      <c r="A1745" s="3" t="s">
        <v>4</v>
      </c>
      <c r="B1745" s="3" t="s">
        <v>1072</v>
      </c>
      <c r="C1745" s="4">
        <v>178</v>
      </c>
      <c r="D1745" s="3" t="s">
        <v>74</v>
      </c>
      <c r="E1745" s="3" t="s">
        <v>7</v>
      </c>
      <c r="F1745" s="5">
        <v>0</v>
      </c>
      <c r="G1745" s="5">
        <v>297</v>
      </c>
      <c r="H1745" s="6">
        <v>0</v>
      </c>
      <c r="I1745" s="22">
        <v>18469.5</v>
      </c>
      <c r="J1745" s="24">
        <f t="shared" si="81"/>
        <v>1.2797741762220078E-4</v>
      </c>
      <c r="K1745" s="25">
        <f t="shared" si="83"/>
        <v>0.81750941656570808</v>
      </c>
      <c r="L1745" s="26" t="s">
        <v>7517</v>
      </c>
      <c r="M1745" s="28"/>
      <c r="N1745" s="28"/>
      <c r="O1745" s="20">
        <v>12157.14</v>
      </c>
      <c r="P1745" s="27" t="str">
        <f t="shared" si="82"/>
        <v>laranja</v>
      </c>
    </row>
    <row r="1746" spans="1:16">
      <c r="A1746" s="3" t="s">
        <v>6358</v>
      </c>
      <c r="B1746" s="3" t="s">
        <v>6359</v>
      </c>
      <c r="C1746" s="4">
        <v>232</v>
      </c>
      <c r="D1746" s="3" t="s">
        <v>174</v>
      </c>
      <c r="E1746" s="3" t="s">
        <v>16</v>
      </c>
      <c r="F1746" s="5">
        <v>0</v>
      </c>
      <c r="G1746" s="5">
        <v>420</v>
      </c>
      <c r="H1746" s="6">
        <v>0</v>
      </c>
      <c r="I1746" s="22">
        <v>18459</v>
      </c>
      <c r="J1746" s="24">
        <f t="shared" si="81"/>
        <v>1.2790466184185842E-4</v>
      </c>
      <c r="K1746" s="25">
        <f t="shared" si="83"/>
        <v>0.81763732122754995</v>
      </c>
      <c r="L1746" s="26" t="s">
        <v>7517</v>
      </c>
      <c r="M1746" s="28"/>
      <c r="N1746" s="28"/>
      <c r="O1746" s="20" t="s">
        <v>7530</v>
      </c>
      <c r="P1746" s="27" t="str">
        <f t="shared" si="82"/>
        <v>vermelho</v>
      </c>
    </row>
    <row r="1747" spans="1:16" ht="25.5">
      <c r="A1747" s="3" t="s">
        <v>4</v>
      </c>
      <c r="B1747" s="3" t="s">
        <v>1073</v>
      </c>
      <c r="C1747" s="4">
        <v>267</v>
      </c>
      <c r="D1747" s="3" t="s">
        <v>125</v>
      </c>
      <c r="E1747" s="3" t="s">
        <v>16</v>
      </c>
      <c r="F1747" s="5">
        <v>444</v>
      </c>
      <c r="G1747" s="5">
        <v>312</v>
      </c>
      <c r="H1747" s="6">
        <v>24946.560000000001</v>
      </c>
      <c r="I1747" s="22">
        <v>18451.71</v>
      </c>
      <c r="J1747" s="24">
        <f t="shared" si="81"/>
        <v>1.27854148542935E-4</v>
      </c>
      <c r="K1747" s="25">
        <f t="shared" si="83"/>
        <v>0.81776517537609283</v>
      </c>
      <c r="L1747" s="26" t="s">
        <v>7517</v>
      </c>
      <c r="M1747" s="28"/>
      <c r="N1747" s="28"/>
      <c r="O1747" s="20">
        <v>2871</v>
      </c>
      <c r="P1747" s="27" t="str">
        <f t="shared" si="82"/>
        <v>amarelo</v>
      </c>
    </row>
    <row r="1748" spans="1:16" ht="25.5">
      <c r="A1748" s="3" t="s">
        <v>4</v>
      </c>
      <c r="B1748" s="3" t="s">
        <v>1074</v>
      </c>
      <c r="C1748" s="4">
        <v>61</v>
      </c>
      <c r="D1748" s="3" t="s">
        <v>48</v>
      </c>
      <c r="E1748" s="3" t="s">
        <v>49</v>
      </c>
      <c r="F1748" s="5">
        <v>228</v>
      </c>
      <c r="G1748" s="5">
        <v>312</v>
      </c>
      <c r="H1748" s="6">
        <v>11757.227999999999</v>
      </c>
      <c r="I1748" s="22">
        <v>18451.080000000002</v>
      </c>
      <c r="J1748" s="24">
        <f t="shared" si="81"/>
        <v>1.2784978319611449E-4</v>
      </c>
      <c r="K1748" s="25">
        <f t="shared" si="83"/>
        <v>0.81789302515928897</v>
      </c>
      <c r="L1748" s="26" t="s">
        <v>7517</v>
      </c>
      <c r="M1748" s="28"/>
      <c r="N1748" s="28"/>
      <c r="O1748" s="20">
        <v>5555.88</v>
      </c>
      <c r="P1748" s="27" t="str">
        <f t="shared" si="82"/>
        <v>amarelo</v>
      </c>
    </row>
    <row r="1749" spans="1:16" ht="25.5">
      <c r="A1749" s="3" t="s">
        <v>4</v>
      </c>
      <c r="B1749" s="3" t="s">
        <v>1075</v>
      </c>
      <c r="C1749" s="4">
        <v>273</v>
      </c>
      <c r="D1749" s="3" t="s">
        <v>149</v>
      </c>
      <c r="E1749" s="3" t="s">
        <v>16</v>
      </c>
      <c r="F1749" s="5">
        <v>435</v>
      </c>
      <c r="G1749" s="5">
        <v>315</v>
      </c>
      <c r="H1749" s="6">
        <v>24911.7</v>
      </c>
      <c r="I1749" s="22">
        <v>18425.466</v>
      </c>
      <c r="J1749" s="24">
        <f t="shared" si="81"/>
        <v>1.2767230066681076E-4</v>
      </c>
      <c r="K1749" s="25">
        <f t="shared" si="83"/>
        <v>0.81802069745995576</v>
      </c>
      <c r="L1749" s="26" t="s">
        <v>7517</v>
      </c>
      <c r="M1749" s="28"/>
      <c r="N1749" s="28"/>
      <c r="O1749" s="20" t="s">
        <v>7530</v>
      </c>
      <c r="P1749" s="27" t="str">
        <f t="shared" si="82"/>
        <v>vermelho</v>
      </c>
    </row>
    <row r="1750" spans="1:16" ht="38.25">
      <c r="A1750" s="3" t="s">
        <v>4</v>
      </c>
      <c r="B1750" s="3" t="s">
        <v>1076</v>
      </c>
      <c r="C1750" s="4">
        <v>371</v>
      </c>
      <c r="D1750" s="3" t="s">
        <v>82</v>
      </c>
      <c r="E1750" s="3" t="s">
        <v>49</v>
      </c>
      <c r="F1750" s="5">
        <v>471</v>
      </c>
      <c r="G1750" s="5">
        <v>299</v>
      </c>
      <c r="H1750" s="6">
        <v>25574.94</v>
      </c>
      <c r="I1750" s="22">
        <v>18346.41</v>
      </c>
      <c r="J1750" s="24">
        <f t="shared" si="81"/>
        <v>1.2712451200293026E-4</v>
      </c>
      <c r="K1750" s="25">
        <f t="shared" si="83"/>
        <v>0.81814782197195868</v>
      </c>
      <c r="L1750" s="26" t="s">
        <v>7517</v>
      </c>
      <c r="M1750" s="28"/>
      <c r="N1750" s="28">
        <v>-1.6917919346845008E-2</v>
      </c>
      <c r="O1750" s="20">
        <v>2343.84</v>
      </c>
      <c r="P1750" s="27" t="str">
        <f t="shared" si="82"/>
        <v>amarelo</v>
      </c>
    </row>
    <row r="1751" spans="1:16" ht="25.5">
      <c r="A1751" s="3" t="s">
        <v>4</v>
      </c>
      <c r="B1751" s="3" t="s">
        <v>1077</v>
      </c>
      <c r="C1751" s="4">
        <v>194</v>
      </c>
      <c r="D1751" s="3" t="s">
        <v>145</v>
      </c>
      <c r="E1751" s="3" t="s">
        <v>16</v>
      </c>
      <c r="F1751" s="5">
        <v>648</v>
      </c>
      <c r="G1751" s="5">
        <v>312</v>
      </c>
      <c r="H1751" s="6">
        <v>33605.879999999997</v>
      </c>
      <c r="I1751" s="22">
        <v>18330</v>
      </c>
      <c r="J1751" s="24">
        <f t="shared" si="81"/>
        <v>1.2701080511193807E-4</v>
      </c>
      <c r="K1751" s="25">
        <f t="shared" si="83"/>
        <v>0.81827483277707058</v>
      </c>
      <c r="L1751" s="26" t="s">
        <v>7517</v>
      </c>
      <c r="M1751" s="28"/>
      <c r="N1751" s="28"/>
      <c r="O1751" s="20">
        <v>17321.04</v>
      </c>
      <c r="P1751" s="27" t="str">
        <f t="shared" si="82"/>
        <v>laranja</v>
      </c>
    </row>
    <row r="1752" spans="1:16" ht="25.5">
      <c r="A1752" s="3" t="s">
        <v>4</v>
      </c>
      <c r="B1752" s="3" t="s">
        <v>1078</v>
      </c>
      <c r="C1752" s="4">
        <v>231</v>
      </c>
      <c r="D1752" s="3" t="s">
        <v>52</v>
      </c>
      <c r="E1752" s="3" t="s">
        <v>7</v>
      </c>
      <c r="F1752" s="5">
        <v>324</v>
      </c>
      <c r="G1752" s="5">
        <v>300</v>
      </c>
      <c r="H1752" s="6">
        <v>20218.68</v>
      </c>
      <c r="I1752" s="22">
        <v>18280.919999999998</v>
      </c>
      <c r="J1752" s="24">
        <f t="shared" si="81"/>
        <v>1.2667072380725207E-4</v>
      </c>
      <c r="K1752" s="25">
        <f t="shared" si="83"/>
        <v>0.81840150350087781</v>
      </c>
      <c r="L1752" s="26" t="s">
        <v>7517</v>
      </c>
      <c r="M1752" s="28"/>
      <c r="N1752" s="28"/>
      <c r="O1752" s="20" t="s">
        <v>7530</v>
      </c>
      <c r="P1752" s="27" t="str">
        <f t="shared" si="82"/>
        <v>vermelho</v>
      </c>
    </row>
    <row r="1753" spans="1:16" ht="38.25">
      <c r="A1753" s="3" t="s">
        <v>4</v>
      </c>
      <c r="B1753" s="3" t="s">
        <v>1079</v>
      </c>
      <c r="C1753" s="4">
        <v>34</v>
      </c>
      <c r="D1753" s="3" t="s">
        <v>54</v>
      </c>
      <c r="E1753" s="3" t="s">
        <v>49</v>
      </c>
      <c r="F1753" s="5">
        <v>486</v>
      </c>
      <c r="G1753" s="5">
        <v>258</v>
      </c>
      <c r="H1753" s="6">
        <v>31050.45</v>
      </c>
      <c r="I1753" s="22">
        <v>18279.66</v>
      </c>
      <c r="J1753" s="24">
        <f t="shared" si="81"/>
        <v>1.2666199311361101E-4</v>
      </c>
      <c r="K1753" s="25">
        <f t="shared" si="83"/>
        <v>0.81852816549399143</v>
      </c>
      <c r="L1753" s="26" t="s">
        <v>7517</v>
      </c>
      <c r="M1753" s="28"/>
      <c r="N1753" s="28"/>
      <c r="O1753" s="20" t="s">
        <v>7530</v>
      </c>
      <c r="P1753" s="27" t="str">
        <f t="shared" si="82"/>
        <v>vermelho</v>
      </c>
    </row>
    <row r="1754" spans="1:16" ht="25.5">
      <c r="A1754" s="3" t="s">
        <v>4</v>
      </c>
      <c r="B1754" s="3" t="s">
        <v>1080</v>
      </c>
      <c r="C1754" s="4">
        <v>74</v>
      </c>
      <c r="D1754" s="3" t="s">
        <v>6</v>
      </c>
      <c r="E1754" s="3" t="s">
        <v>7</v>
      </c>
      <c r="F1754" s="5">
        <v>837</v>
      </c>
      <c r="G1754" s="5">
        <v>291</v>
      </c>
      <c r="H1754" s="6">
        <v>51961.17</v>
      </c>
      <c r="I1754" s="22">
        <v>18272.91</v>
      </c>
      <c r="J1754" s="24">
        <f t="shared" si="81"/>
        <v>1.2661522154053378E-4</v>
      </c>
      <c r="K1754" s="25">
        <f t="shared" si="83"/>
        <v>0.81865478071553199</v>
      </c>
      <c r="L1754" s="26" t="s">
        <v>7517</v>
      </c>
      <c r="M1754" s="28"/>
      <c r="N1754" s="28"/>
      <c r="O1754" s="20" t="s">
        <v>7530</v>
      </c>
      <c r="P1754" s="27" t="str">
        <f t="shared" si="82"/>
        <v>vermelho</v>
      </c>
    </row>
    <row r="1755" spans="1:16" ht="25.5">
      <c r="A1755" s="3" t="s">
        <v>4</v>
      </c>
      <c r="B1755" s="3" t="s">
        <v>1081</v>
      </c>
      <c r="C1755" s="4">
        <v>328</v>
      </c>
      <c r="D1755" s="3" t="s">
        <v>215</v>
      </c>
      <c r="E1755" s="3" t="s">
        <v>41</v>
      </c>
      <c r="F1755" s="5">
        <v>168</v>
      </c>
      <c r="G1755" s="5">
        <v>282</v>
      </c>
      <c r="H1755" s="6">
        <v>10775.109</v>
      </c>
      <c r="I1755" s="22">
        <v>18264.18</v>
      </c>
      <c r="J1755" s="24">
        <f t="shared" si="81"/>
        <v>1.2655473030602057E-4</v>
      </c>
      <c r="K1755" s="25">
        <f t="shared" si="83"/>
        <v>0.81878133544583798</v>
      </c>
      <c r="L1755" s="26" t="s">
        <v>7517</v>
      </c>
      <c r="M1755" s="28"/>
      <c r="N1755" s="28"/>
      <c r="O1755" s="20" t="s">
        <v>7530</v>
      </c>
      <c r="P1755" s="27" t="str">
        <f t="shared" si="82"/>
        <v>vermelho</v>
      </c>
    </row>
    <row r="1756" spans="1:16" ht="25.5">
      <c r="A1756" s="3" t="s">
        <v>6360</v>
      </c>
      <c r="B1756" s="3" t="s">
        <v>6361</v>
      </c>
      <c r="C1756" s="4">
        <v>261</v>
      </c>
      <c r="D1756" s="3" t="s">
        <v>9</v>
      </c>
      <c r="E1756" s="3" t="s">
        <v>10</v>
      </c>
      <c r="F1756" s="5">
        <v>309</v>
      </c>
      <c r="G1756" s="5">
        <v>279</v>
      </c>
      <c r="H1756" s="6">
        <v>19396.080000000002</v>
      </c>
      <c r="I1756" s="22">
        <v>18260.939999999999</v>
      </c>
      <c r="J1756" s="24">
        <f t="shared" si="81"/>
        <v>1.2653227995094348E-4</v>
      </c>
      <c r="K1756" s="25">
        <f t="shared" si="83"/>
        <v>0.81890786772578894</v>
      </c>
      <c r="L1756" s="26" t="s">
        <v>7517</v>
      </c>
      <c r="M1756" s="28"/>
      <c r="N1756" s="28"/>
      <c r="O1756" s="20" t="s">
        <v>7530</v>
      </c>
      <c r="P1756" s="27" t="str">
        <f t="shared" si="82"/>
        <v>vermelho</v>
      </c>
    </row>
    <row r="1757" spans="1:16">
      <c r="A1757" s="3" t="s">
        <v>4</v>
      </c>
      <c r="B1757" s="3" t="s">
        <v>1082</v>
      </c>
      <c r="C1757" s="4">
        <v>334</v>
      </c>
      <c r="D1757" s="3" t="s">
        <v>531</v>
      </c>
      <c r="E1757" s="3" t="s">
        <v>7</v>
      </c>
      <c r="F1757" s="5">
        <v>396</v>
      </c>
      <c r="G1757" s="5">
        <v>336</v>
      </c>
      <c r="H1757" s="6">
        <v>17115.599999999999</v>
      </c>
      <c r="I1757" s="22">
        <v>18252.171999999999</v>
      </c>
      <c r="J1757" s="24">
        <f t="shared" si="81"/>
        <v>1.2647152540979666E-4</v>
      </c>
      <c r="K1757" s="25">
        <f t="shared" si="83"/>
        <v>0.81903433925119873</v>
      </c>
      <c r="L1757" s="26" t="s">
        <v>7517</v>
      </c>
      <c r="M1757" s="28"/>
      <c r="N1757" s="28"/>
      <c r="O1757" s="20">
        <v>3926.88</v>
      </c>
      <c r="P1757" s="27" t="str">
        <f t="shared" si="82"/>
        <v>amarelo</v>
      </c>
    </row>
    <row r="1758" spans="1:16" ht="25.5">
      <c r="A1758" s="3" t="s">
        <v>4</v>
      </c>
      <c r="B1758" s="3" t="s">
        <v>1083</v>
      </c>
      <c r="C1758" s="4">
        <v>61</v>
      </c>
      <c r="D1758" s="3" t="s">
        <v>48</v>
      </c>
      <c r="E1758" s="3" t="s">
        <v>49</v>
      </c>
      <c r="F1758" s="5">
        <v>258</v>
      </c>
      <c r="G1758" s="5">
        <v>312</v>
      </c>
      <c r="H1758" s="6">
        <v>13332.69</v>
      </c>
      <c r="I1758" s="22">
        <v>18235.919999999998</v>
      </c>
      <c r="J1758" s="24">
        <f t="shared" si="81"/>
        <v>1.2635891332007056E-4</v>
      </c>
      <c r="K1758" s="25">
        <f t="shared" si="83"/>
        <v>0.81916069816451875</v>
      </c>
      <c r="L1758" s="26" t="s">
        <v>7517</v>
      </c>
      <c r="M1758" s="28"/>
      <c r="N1758" s="28"/>
      <c r="O1758" s="20">
        <v>14890.02</v>
      </c>
      <c r="P1758" s="27" t="str">
        <f t="shared" si="82"/>
        <v>laranja</v>
      </c>
    </row>
    <row r="1759" spans="1:16" ht="25.5">
      <c r="A1759" s="3" t="s">
        <v>4</v>
      </c>
      <c r="B1759" s="3" t="s">
        <v>1084</v>
      </c>
      <c r="C1759" s="4">
        <v>335</v>
      </c>
      <c r="D1759" s="3" t="s">
        <v>36</v>
      </c>
      <c r="E1759" s="3" t="s">
        <v>7</v>
      </c>
      <c r="F1759" s="5">
        <v>180</v>
      </c>
      <c r="G1759" s="5">
        <v>273</v>
      </c>
      <c r="H1759" s="6">
        <v>9850.2000000000007</v>
      </c>
      <c r="I1759" s="22">
        <v>18229.68</v>
      </c>
      <c r="J1759" s="24">
        <f t="shared" si="81"/>
        <v>1.2631567559918142E-4</v>
      </c>
      <c r="K1759" s="25">
        <f t="shared" si="83"/>
        <v>0.81928701384011793</v>
      </c>
      <c r="L1759" s="26" t="s">
        <v>7517</v>
      </c>
      <c r="M1759" s="28"/>
      <c r="N1759" s="28"/>
      <c r="O1759" s="20" t="s">
        <v>7530</v>
      </c>
      <c r="P1759" s="27" t="str">
        <f t="shared" si="82"/>
        <v>vermelho</v>
      </c>
    </row>
    <row r="1760" spans="1:16" ht="38.25">
      <c r="A1760" s="3" t="s">
        <v>4</v>
      </c>
      <c r="B1760" s="3" t="s">
        <v>1085</v>
      </c>
      <c r="C1760" s="4">
        <v>178</v>
      </c>
      <c r="D1760" s="3" t="s">
        <v>74</v>
      </c>
      <c r="E1760" s="3" t="s">
        <v>7</v>
      </c>
      <c r="F1760" s="5">
        <v>216</v>
      </c>
      <c r="G1760" s="5">
        <v>300</v>
      </c>
      <c r="H1760" s="6">
        <v>11968.56</v>
      </c>
      <c r="I1760" s="22">
        <v>18217.439999999999</v>
      </c>
      <c r="J1760" s="24">
        <f t="shared" si="81"/>
        <v>1.2623086314666803E-4</v>
      </c>
      <c r="K1760" s="25">
        <f t="shared" si="83"/>
        <v>0.8194132447032646</v>
      </c>
      <c r="L1760" s="26" t="s">
        <v>7517</v>
      </c>
      <c r="M1760" s="28"/>
      <c r="N1760" s="28"/>
      <c r="O1760" s="20" t="s">
        <v>7530</v>
      </c>
      <c r="P1760" s="27" t="str">
        <f t="shared" si="82"/>
        <v>vermelho</v>
      </c>
    </row>
    <row r="1761" spans="1:16" ht="51">
      <c r="A1761" s="3" t="s">
        <v>4</v>
      </c>
      <c r="B1761" s="3" t="s">
        <v>1086</v>
      </c>
      <c r="C1761" s="4">
        <v>282</v>
      </c>
      <c r="D1761" s="3" t="s">
        <v>12</v>
      </c>
      <c r="E1761" s="3" t="s">
        <v>13</v>
      </c>
      <c r="F1761" s="5">
        <v>255</v>
      </c>
      <c r="G1761" s="5">
        <v>318</v>
      </c>
      <c r="H1761" s="6">
        <v>12742.92</v>
      </c>
      <c r="I1761" s="22">
        <v>18202.740000000002</v>
      </c>
      <c r="J1761" s="24">
        <f t="shared" si="81"/>
        <v>1.2612900505418876E-4</v>
      </c>
      <c r="K1761" s="25">
        <f t="shared" si="83"/>
        <v>0.81953937370831875</v>
      </c>
      <c r="L1761" s="26" t="s">
        <v>7517</v>
      </c>
      <c r="M1761" s="28"/>
      <c r="N1761" s="28"/>
      <c r="O1761" s="20">
        <v>10401.780000000001</v>
      </c>
      <c r="P1761" s="27" t="str">
        <f t="shared" si="82"/>
        <v>laranja</v>
      </c>
    </row>
    <row r="1762" spans="1:16" ht="25.5">
      <c r="A1762" s="3" t="s">
        <v>4</v>
      </c>
      <c r="B1762" s="3" t="s">
        <v>1087</v>
      </c>
      <c r="C1762" s="4">
        <v>261</v>
      </c>
      <c r="D1762" s="3" t="s">
        <v>9</v>
      </c>
      <c r="E1762" s="3" t="s">
        <v>10</v>
      </c>
      <c r="F1762" s="5">
        <v>270</v>
      </c>
      <c r="G1762" s="5">
        <v>294</v>
      </c>
      <c r="H1762" s="6">
        <v>15180.72</v>
      </c>
      <c r="I1762" s="22">
        <v>18193.41</v>
      </c>
      <c r="J1762" s="24">
        <f t="shared" si="81"/>
        <v>1.2606435634651309E-4</v>
      </c>
      <c r="K1762" s="25">
        <f t="shared" si="83"/>
        <v>0.8196654380646653</v>
      </c>
      <c r="L1762" s="26" t="s">
        <v>7517</v>
      </c>
      <c r="M1762" s="28"/>
      <c r="N1762" s="28"/>
      <c r="O1762" s="20">
        <v>17310.39</v>
      </c>
      <c r="P1762" s="27" t="str">
        <f t="shared" si="82"/>
        <v>laranja</v>
      </c>
    </row>
    <row r="1763" spans="1:16" ht="25.5">
      <c r="A1763" s="3" t="s">
        <v>4</v>
      </c>
      <c r="B1763" s="3" t="s">
        <v>1088</v>
      </c>
      <c r="C1763" s="4">
        <v>23</v>
      </c>
      <c r="D1763" s="3" t="s">
        <v>87</v>
      </c>
      <c r="E1763" s="3" t="s">
        <v>7</v>
      </c>
      <c r="F1763" s="5">
        <v>135</v>
      </c>
      <c r="G1763" s="5">
        <v>285</v>
      </c>
      <c r="H1763" s="6">
        <v>8865.39</v>
      </c>
      <c r="I1763" s="22">
        <v>18191.580000000002</v>
      </c>
      <c r="J1763" s="24">
        <f t="shared" si="81"/>
        <v>1.2605167605336774E-4</v>
      </c>
      <c r="K1763" s="25">
        <f t="shared" si="83"/>
        <v>0.81979148974071869</v>
      </c>
      <c r="L1763" s="26" t="s">
        <v>7517</v>
      </c>
      <c r="M1763" s="28"/>
      <c r="N1763" s="28"/>
      <c r="O1763" s="20" t="s">
        <v>7530</v>
      </c>
      <c r="P1763" s="27" t="str">
        <f t="shared" si="82"/>
        <v>vermelho</v>
      </c>
    </row>
    <row r="1764" spans="1:16">
      <c r="A1764" s="3" t="s">
        <v>4</v>
      </c>
      <c r="B1764" s="3" t="s">
        <v>1089</v>
      </c>
      <c r="C1764" s="4">
        <v>217</v>
      </c>
      <c r="D1764" s="3" t="s">
        <v>91</v>
      </c>
      <c r="E1764" s="3" t="s">
        <v>16</v>
      </c>
      <c r="F1764" s="5">
        <v>342</v>
      </c>
      <c r="G1764" s="5">
        <v>309</v>
      </c>
      <c r="H1764" s="6">
        <v>20849.22</v>
      </c>
      <c r="I1764" s="22">
        <v>18187.77</v>
      </c>
      <c r="J1764" s="24">
        <f t="shared" si="81"/>
        <v>1.2602527609878634E-4</v>
      </c>
      <c r="K1764" s="25">
        <f t="shared" si="83"/>
        <v>0.81991751501681753</v>
      </c>
      <c r="L1764" s="26" t="s">
        <v>7517</v>
      </c>
      <c r="M1764" s="28"/>
      <c r="N1764" s="28"/>
      <c r="O1764" s="20" t="s">
        <v>7530</v>
      </c>
      <c r="P1764" s="27" t="str">
        <f t="shared" si="82"/>
        <v>vermelho</v>
      </c>
    </row>
    <row r="1765" spans="1:16" ht="51">
      <c r="A1765" s="3" t="s">
        <v>4</v>
      </c>
      <c r="B1765" s="3" t="s">
        <v>1090</v>
      </c>
      <c r="C1765" s="4">
        <v>282</v>
      </c>
      <c r="D1765" s="3" t="s">
        <v>12</v>
      </c>
      <c r="E1765" s="3" t="s">
        <v>13</v>
      </c>
      <c r="F1765" s="5">
        <v>0</v>
      </c>
      <c r="G1765" s="5">
        <v>261</v>
      </c>
      <c r="H1765" s="6">
        <v>0</v>
      </c>
      <c r="I1765" s="22">
        <v>18176.580000000002</v>
      </c>
      <c r="J1765" s="24">
        <f t="shared" si="81"/>
        <v>1.2594773922430723E-4</v>
      </c>
      <c r="K1765" s="25">
        <f t="shared" si="83"/>
        <v>0.82004346275604179</v>
      </c>
      <c r="L1765" s="26" t="s">
        <v>7517</v>
      </c>
      <c r="M1765" s="28"/>
      <c r="N1765" s="28"/>
      <c r="O1765" s="20" t="s">
        <v>7530</v>
      </c>
      <c r="P1765" s="27" t="str">
        <f t="shared" si="82"/>
        <v>vermelho</v>
      </c>
    </row>
    <row r="1766" spans="1:16" ht="38.25">
      <c r="A1766" s="3" t="s">
        <v>4</v>
      </c>
      <c r="B1766" s="3" t="s">
        <v>1091</v>
      </c>
      <c r="C1766" s="4">
        <v>167</v>
      </c>
      <c r="D1766" s="3" t="s">
        <v>251</v>
      </c>
      <c r="E1766" s="3" t="s">
        <v>49</v>
      </c>
      <c r="F1766" s="5">
        <v>495</v>
      </c>
      <c r="G1766" s="5">
        <v>309</v>
      </c>
      <c r="H1766" s="6">
        <v>27427.57</v>
      </c>
      <c r="I1766" s="22">
        <v>18173.939999999999</v>
      </c>
      <c r="J1766" s="24">
        <f t="shared" si="81"/>
        <v>1.2592944634239256E-4</v>
      </c>
      <c r="K1766" s="25">
        <f t="shared" si="83"/>
        <v>0.82016939220238416</v>
      </c>
      <c r="L1766" s="26" t="s">
        <v>7517</v>
      </c>
      <c r="M1766" s="28"/>
      <c r="N1766" s="28"/>
      <c r="O1766" s="20">
        <v>12268.71</v>
      </c>
      <c r="P1766" s="27" t="str">
        <f t="shared" si="82"/>
        <v>laranja</v>
      </c>
    </row>
    <row r="1767" spans="1:16" ht="25.5">
      <c r="A1767" s="3" t="s">
        <v>4</v>
      </c>
      <c r="B1767" s="3" t="s">
        <v>1092</v>
      </c>
      <c r="C1767" s="4">
        <v>93</v>
      </c>
      <c r="D1767" s="3" t="s">
        <v>20</v>
      </c>
      <c r="E1767" s="3" t="s">
        <v>7</v>
      </c>
      <c r="F1767" s="5">
        <v>96</v>
      </c>
      <c r="G1767" s="5">
        <v>312</v>
      </c>
      <c r="H1767" s="6">
        <v>5633.04</v>
      </c>
      <c r="I1767" s="22">
        <v>18167.400000000001</v>
      </c>
      <c r="J1767" s="24">
        <f t="shared" si="81"/>
        <v>1.258841298849222E-4</v>
      </c>
      <c r="K1767" s="25">
        <f t="shared" si="83"/>
        <v>0.82029527633226906</v>
      </c>
      <c r="L1767" s="26" t="s">
        <v>7517</v>
      </c>
      <c r="M1767" s="28"/>
      <c r="N1767" s="28"/>
      <c r="O1767" s="20">
        <v>8241.6</v>
      </c>
      <c r="P1767" s="27" t="str">
        <f t="shared" si="82"/>
        <v>amarelo</v>
      </c>
    </row>
    <row r="1768" spans="1:16" ht="25.5">
      <c r="A1768" s="3" t="s">
        <v>4</v>
      </c>
      <c r="B1768" s="3" t="s">
        <v>1093</v>
      </c>
      <c r="C1768" s="4">
        <v>197</v>
      </c>
      <c r="D1768" s="3" t="s">
        <v>66</v>
      </c>
      <c r="E1768" s="3" t="s">
        <v>41</v>
      </c>
      <c r="F1768" s="5">
        <v>228</v>
      </c>
      <c r="G1768" s="5">
        <v>297</v>
      </c>
      <c r="H1768" s="6">
        <v>12030.72</v>
      </c>
      <c r="I1768" s="22">
        <v>18163.080000000002</v>
      </c>
      <c r="J1768" s="24">
        <f t="shared" si="81"/>
        <v>1.2585419607815277E-4</v>
      </c>
      <c r="K1768" s="25">
        <f t="shared" si="83"/>
        <v>0.8204211305283472</v>
      </c>
      <c r="L1768" s="26" t="s">
        <v>7517</v>
      </c>
      <c r="M1768" s="28"/>
      <c r="N1768" s="28"/>
      <c r="O1768" s="20" t="s">
        <v>7530</v>
      </c>
      <c r="P1768" s="27" t="str">
        <f t="shared" si="82"/>
        <v>vermelho</v>
      </c>
    </row>
    <row r="1769" spans="1:16">
      <c r="A1769" s="3" t="s">
        <v>4</v>
      </c>
      <c r="B1769" s="3" t="s">
        <v>1094</v>
      </c>
      <c r="C1769" s="4">
        <v>15</v>
      </c>
      <c r="D1769" s="3" t="s">
        <v>18</v>
      </c>
      <c r="E1769" s="3" t="s">
        <v>16</v>
      </c>
      <c r="F1769" s="5">
        <v>0</v>
      </c>
      <c r="G1769" s="5">
        <v>318</v>
      </c>
      <c r="H1769" s="6">
        <v>0</v>
      </c>
      <c r="I1769" s="22">
        <v>18159.93</v>
      </c>
      <c r="J1769" s="24">
        <f t="shared" si="81"/>
        <v>1.2583236934405007E-4</v>
      </c>
      <c r="K1769" s="25">
        <f t="shared" si="83"/>
        <v>0.82054696289769125</v>
      </c>
      <c r="L1769" s="26" t="s">
        <v>7517</v>
      </c>
      <c r="M1769" s="28"/>
      <c r="N1769" s="28"/>
      <c r="O1769" s="20">
        <v>15411.7</v>
      </c>
      <c r="P1769" s="27" t="str">
        <f t="shared" si="82"/>
        <v>laranja</v>
      </c>
    </row>
    <row r="1770" spans="1:16" ht="25.5">
      <c r="A1770" s="3" t="s">
        <v>5248</v>
      </c>
      <c r="B1770" s="3" t="s">
        <v>5249</v>
      </c>
      <c r="C1770" s="4">
        <v>317</v>
      </c>
      <c r="D1770" s="3" t="s">
        <v>78</v>
      </c>
      <c r="E1770" s="3" t="s">
        <v>10</v>
      </c>
      <c r="F1770" s="5">
        <v>252</v>
      </c>
      <c r="G1770" s="5">
        <v>288</v>
      </c>
      <c r="H1770" s="6">
        <v>14698.68</v>
      </c>
      <c r="I1770" s="22">
        <v>18157.32</v>
      </c>
      <c r="J1770" s="24">
        <f t="shared" si="81"/>
        <v>1.2581428433579352E-4</v>
      </c>
      <c r="K1770" s="25">
        <f t="shared" si="83"/>
        <v>0.82067277718202702</v>
      </c>
      <c r="L1770" s="26" t="s">
        <v>7517</v>
      </c>
      <c r="M1770" s="28"/>
      <c r="N1770" s="28"/>
      <c r="O1770" s="20">
        <v>18154.936000000002</v>
      </c>
      <c r="P1770" s="27" t="str">
        <f t="shared" si="82"/>
        <v>laranja</v>
      </c>
    </row>
    <row r="1771" spans="1:16" ht="25.5">
      <c r="A1771" s="3" t="s">
        <v>4</v>
      </c>
      <c r="B1771" s="3" t="s">
        <v>1095</v>
      </c>
      <c r="C1771" s="4">
        <v>297</v>
      </c>
      <c r="D1771" s="3" t="s">
        <v>115</v>
      </c>
      <c r="E1771" s="3" t="s">
        <v>41</v>
      </c>
      <c r="F1771" s="5">
        <v>0</v>
      </c>
      <c r="G1771" s="5">
        <v>300</v>
      </c>
      <c r="H1771" s="6">
        <v>0</v>
      </c>
      <c r="I1771" s="22">
        <v>18150.169999999998</v>
      </c>
      <c r="J1771" s="24">
        <f t="shared" si="81"/>
        <v>1.2576474111394135E-4</v>
      </c>
      <c r="K1771" s="25">
        <f t="shared" si="83"/>
        <v>0.82079854192314095</v>
      </c>
      <c r="L1771" s="26" t="s">
        <v>7517</v>
      </c>
      <c r="M1771" s="28"/>
      <c r="N1771" s="28"/>
      <c r="O1771" s="20">
        <v>20318.241000000002</v>
      </c>
      <c r="P1771" s="27" t="str">
        <f t="shared" si="82"/>
        <v>verde</v>
      </c>
    </row>
    <row r="1772" spans="1:16" ht="25.5">
      <c r="A1772" s="3" t="s">
        <v>4</v>
      </c>
      <c r="B1772" s="3" t="s">
        <v>1096</v>
      </c>
      <c r="C1772" s="4">
        <v>31</v>
      </c>
      <c r="D1772" s="3" t="s">
        <v>194</v>
      </c>
      <c r="E1772" s="3" t="s">
        <v>16</v>
      </c>
      <c r="F1772" s="5">
        <v>276</v>
      </c>
      <c r="G1772" s="5">
        <v>324</v>
      </c>
      <c r="H1772" s="6">
        <v>13753.8</v>
      </c>
      <c r="I1772" s="22">
        <v>18149.7</v>
      </c>
      <c r="J1772" s="24">
        <f t="shared" si="81"/>
        <v>1.2576148442663078E-4</v>
      </c>
      <c r="K1772" s="25">
        <f t="shared" si="83"/>
        <v>0.82092430340756761</v>
      </c>
      <c r="L1772" s="26" t="s">
        <v>7517</v>
      </c>
      <c r="M1772" s="28"/>
      <c r="N1772" s="28"/>
      <c r="O1772" s="20" t="s">
        <v>7530</v>
      </c>
      <c r="P1772" s="27" t="str">
        <f t="shared" si="82"/>
        <v>vermelho</v>
      </c>
    </row>
    <row r="1773" spans="1:16" ht="25.5">
      <c r="A1773" s="3" t="s">
        <v>4</v>
      </c>
      <c r="B1773" s="3" t="s">
        <v>1097</v>
      </c>
      <c r="C1773" s="4">
        <v>194</v>
      </c>
      <c r="D1773" s="3" t="s">
        <v>145</v>
      </c>
      <c r="E1773" s="3" t="s">
        <v>16</v>
      </c>
      <c r="F1773" s="5">
        <v>0</v>
      </c>
      <c r="G1773" s="5">
        <v>294</v>
      </c>
      <c r="H1773" s="6">
        <v>0</v>
      </c>
      <c r="I1773" s="22">
        <v>18139.8</v>
      </c>
      <c r="J1773" s="24">
        <f t="shared" si="81"/>
        <v>1.2569288611945085E-4</v>
      </c>
      <c r="K1773" s="25">
        <f t="shared" si="83"/>
        <v>0.82104999629368702</v>
      </c>
      <c r="L1773" s="26" t="s">
        <v>7517</v>
      </c>
      <c r="M1773" s="28"/>
      <c r="N1773" s="28"/>
      <c r="O1773" s="20" t="s">
        <v>7530</v>
      </c>
      <c r="P1773" s="27" t="str">
        <f t="shared" si="82"/>
        <v>vermelho</v>
      </c>
    </row>
    <row r="1774" spans="1:16" ht="25.5">
      <c r="A1774" s="3" t="s">
        <v>5559</v>
      </c>
      <c r="B1774" s="3" t="s">
        <v>5560</v>
      </c>
      <c r="C1774" s="4">
        <v>178</v>
      </c>
      <c r="D1774" s="3" t="s">
        <v>74</v>
      </c>
      <c r="E1774" s="3" t="s">
        <v>7</v>
      </c>
      <c r="F1774" s="5">
        <v>432</v>
      </c>
      <c r="G1774" s="5">
        <v>300</v>
      </c>
      <c r="H1774" s="6">
        <v>23925.599999999999</v>
      </c>
      <c r="I1774" s="22">
        <v>18123</v>
      </c>
      <c r="J1774" s="24">
        <f t="shared" si="81"/>
        <v>1.2557647687090308E-4</v>
      </c>
      <c r="K1774" s="25">
        <f t="shared" si="83"/>
        <v>0.82117557277055797</v>
      </c>
      <c r="L1774" s="26" t="s">
        <v>7517</v>
      </c>
      <c r="M1774" s="28"/>
      <c r="N1774" s="28"/>
      <c r="O1774" s="20">
        <v>23523.72</v>
      </c>
      <c r="P1774" s="27" t="str">
        <f t="shared" si="82"/>
        <v>verde</v>
      </c>
    </row>
    <row r="1775" spans="1:16" ht="25.5">
      <c r="A1775" s="3" t="s">
        <v>6362</v>
      </c>
      <c r="B1775" s="3" t="s">
        <v>6363</v>
      </c>
      <c r="C1775" s="4">
        <v>261</v>
      </c>
      <c r="D1775" s="3" t="s">
        <v>9</v>
      </c>
      <c r="E1775" s="3" t="s">
        <v>10</v>
      </c>
      <c r="F1775" s="5">
        <v>72</v>
      </c>
      <c r="G1775" s="5">
        <v>276</v>
      </c>
      <c r="H1775" s="6">
        <v>4314.96</v>
      </c>
      <c r="I1775" s="22">
        <v>18110.939999999999</v>
      </c>
      <c r="J1775" s="24">
        <f t="shared" si="81"/>
        <v>1.2549291166033842E-4</v>
      </c>
      <c r="K1775" s="25">
        <f t="shared" si="83"/>
        <v>0.82130106568221828</v>
      </c>
      <c r="L1775" s="26" t="s">
        <v>7517</v>
      </c>
      <c r="M1775" s="28"/>
      <c r="N1775" s="28"/>
      <c r="O1775" s="20" t="s">
        <v>7530</v>
      </c>
      <c r="P1775" s="27" t="str">
        <f t="shared" si="82"/>
        <v>vermelho</v>
      </c>
    </row>
    <row r="1776" spans="1:16" ht="25.5">
      <c r="A1776" s="3" t="s">
        <v>4</v>
      </c>
      <c r="B1776" s="3" t="s">
        <v>1098</v>
      </c>
      <c r="C1776" s="4">
        <v>321</v>
      </c>
      <c r="D1776" s="3" t="s">
        <v>136</v>
      </c>
      <c r="E1776" s="3" t="s">
        <v>41</v>
      </c>
      <c r="F1776" s="5">
        <v>225</v>
      </c>
      <c r="G1776" s="5">
        <v>279</v>
      </c>
      <c r="H1776" s="6">
        <v>12544.23</v>
      </c>
      <c r="I1776" s="22">
        <v>18106.89</v>
      </c>
      <c r="J1776" s="24">
        <f t="shared" si="81"/>
        <v>1.254648487164921E-4</v>
      </c>
      <c r="K1776" s="25">
        <f t="shared" si="83"/>
        <v>0.82142653053093473</v>
      </c>
      <c r="L1776" s="26" t="s">
        <v>7517</v>
      </c>
      <c r="M1776" s="28"/>
      <c r="N1776" s="28"/>
      <c r="O1776" s="20" t="s">
        <v>7530</v>
      </c>
      <c r="P1776" s="27" t="str">
        <f t="shared" si="82"/>
        <v>vermelho</v>
      </c>
    </row>
    <row r="1777" spans="1:16" ht="25.5">
      <c r="A1777" s="3" t="s">
        <v>4</v>
      </c>
      <c r="B1777" s="3" t="s">
        <v>1099</v>
      </c>
      <c r="C1777" s="4">
        <v>167</v>
      </c>
      <c r="D1777" s="3" t="s">
        <v>251</v>
      </c>
      <c r="E1777" s="3" t="s">
        <v>49</v>
      </c>
      <c r="F1777" s="5">
        <v>255</v>
      </c>
      <c r="G1777" s="5">
        <v>339</v>
      </c>
      <c r="H1777" s="6">
        <v>15260.04</v>
      </c>
      <c r="I1777" s="22">
        <v>18104.240000000002</v>
      </c>
      <c r="J1777" s="24">
        <f t="shared" si="81"/>
        <v>1.254464865433581E-4</v>
      </c>
      <c r="K1777" s="25">
        <f t="shared" si="83"/>
        <v>0.82155197701747806</v>
      </c>
      <c r="L1777" s="26" t="s">
        <v>7517</v>
      </c>
      <c r="M1777" s="28"/>
      <c r="N1777" s="28"/>
      <c r="O1777" s="20" t="s">
        <v>7530</v>
      </c>
      <c r="P1777" s="27" t="str">
        <f t="shared" si="82"/>
        <v>vermelho</v>
      </c>
    </row>
    <row r="1778" spans="1:16" ht="25.5">
      <c r="A1778" s="3" t="s">
        <v>6364</v>
      </c>
      <c r="B1778" s="3" t="s">
        <v>6365</v>
      </c>
      <c r="C1778" s="4">
        <v>266</v>
      </c>
      <c r="D1778" s="3" t="s">
        <v>80</v>
      </c>
      <c r="E1778" s="3" t="s">
        <v>10</v>
      </c>
      <c r="F1778" s="5">
        <v>0</v>
      </c>
      <c r="G1778" s="5">
        <v>288</v>
      </c>
      <c r="H1778" s="6">
        <v>0</v>
      </c>
      <c r="I1778" s="22">
        <v>18078.085999999999</v>
      </c>
      <c r="J1778" s="24">
        <f t="shared" si="81"/>
        <v>1.2526526228820819E-4</v>
      </c>
      <c r="K1778" s="25">
        <f t="shared" si="83"/>
        <v>0.82167724227976624</v>
      </c>
      <c r="L1778" s="26" t="s">
        <v>7517</v>
      </c>
      <c r="M1778" s="28"/>
      <c r="N1778" s="28"/>
      <c r="O1778" s="20" t="s">
        <v>7530</v>
      </c>
      <c r="P1778" s="27" t="str">
        <f t="shared" si="82"/>
        <v>vermelho</v>
      </c>
    </row>
    <row r="1779" spans="1:16" ht="25.5">
      <c r="A1779" s="3" t="s">
        <v>4</v>
      </c>
      <c r="B1779" s="3" t="s">
        <v>1100</v>
      </c>
      <c r="C1779" s="4">
        <v>178</v>
      </c>
      <c r="D1779" s="3" t="s">
        <v>74</v>
      </c>
      <c r="E1779" s="3" t="s">
        <v>7</v>
      </c>
      <c r="F1779" s="5">
        <v>336</v>
      </c>
      <c r="G1779" s="5">
        <v>285</v>
      </c>
      <c r="H1779" s="6">
        <v>21285</v>
      </c>
      <c r="I1779" s="22">
        <v>18037.86</v>
      </c>
      <c r="J1779" s="24">
        <f t="shared" si="81"/>
        <v>1.2498653142915567E-4</v>
      </c>
      <c r="K1779" s="25">
        <f t="shared" si="83"/>
        <v>0.82180222881119536</v>
      </c>
      <c r="L1779" s="26" t="s">
        <v>7517</v>
      </c>
      <c r="M1779" s="28"/>
      <c r="N1779" s="28"/>
      <c r="O1779" s="20">
        <v>14584.92</v>
      </c>
      <c r="P1779" s="27" t="str">
        <f t="shared" si="82"/>
        <v>laranja</v>
      </c>
    </row>
    <row r="1780" spans="1:16" ht="25.5">
      <c r="A1780" s="3" t="s">
        <v>4</v>
      </c>
      <c r="B1780" s="3" t="s">
        <v>1101</v>
      </c>
      <c r="C1780" s="4">
        <v>61</v>
      </c>
      <c r="D1780" s="3" t="s">
        <v>48</v>
      </c>
      <c r="E1780" s="3" t="s">
        <v>49</v>
      </c>
      <c r="F1780" s="5">
        <v>306</v>
      </c>
      <c r="G1780" s="5">
        <v>306</v>
      </c>
      <c r="H1780" s="6">
        <v>17924.64</v>
      </c>
      <c r="I1780" s="22">
        <v>18028.38</v>
      </c>
      <c r="J1780" s="24">
        <f t="shared" si="81"/>
        <v>1.2492084335318941E-4</v>
      </c>
      <c r="K1780" s="25">
        <f t="shared" si="83"/>
        <v>0.82192714965454849</v>
      </c>
      <c r="L1780" s="26" t="s">
        <v>7517</v>
      </c>
      <c r="M1780" s="28"/>
      <c r="N1780" s="28"/>
      <c r="O1780" s="20">
        <v>18937.080000000002</v>
      </c>
      <c r="P1780" s="27" t="str">
        <f t="shared" si="82"/>
        <v>verde</v>
      </c>
    </row>
    <row r="1781" spans="1:16" ht="25.5">
      <c r="A1781" s="3" t="s">
        <v>4</v>
      </c>
      <c r="B1781" s="3" t="s">
        <v>1102</v>
      </c>
      <c r="C1781" s="4">
        <v>217</v>
      </c>
      <c r="D1781" s="3" t="s">
        <v>91</v>
      </c>
      <c r="E1781" s="3" t="s">
        <v>16</v>
      </c>
      <c r="F1781" s="5">
        <v>438</v>
      </c>
      <c r="G1781" s="5">
        <v>276</v>
      </c>
      <c r="H1781" s="6">
        <v>24703.71</v>
      </c>
      <c r="I1781" s="22">
        <v>18024.18</v>
      </c>
      <c r="J1781" s="24">
        <f t="shared" si="81"/>
        <v>1.2489174104105249E-4</v>
      </c>
      <c r="K1781" s="25">
        <f t="shared" si="83"/>
        <v>0.82205204139558952</v>
      </c>
      <c r="L1781" s="26" t="s">
        <v>7517</v>
      </c>
      <c r="M1781" s="28">
        <v>1.7990340962200351E-2</v>
      </c>
      <c r="N1781" s="28"/>
      <c r="O1781" s="20" t="s">
        <v>7530</v>
      </c>
      <c r="P1781" s="27" t="str">
        <f t="shared" si="82"/>
        <v>vermelho</v>
      </c>
    </row>
    <row r="1782" spans="1:16">
      <c r="A1782" s="3" t="s">
        <v>4</v>
      </c>
      <c r="B1782" s="3" t="s">
        <v>1103</v>
      </c>
      <c r="C1782" s="4">
        <v>315</v>
      </c>
      <c r="D1782" s="3" t="s">
        <v>63</v>
      </c>
      <c r="E1782" s="3" t="s">
        <v>7</v>
      </c>
      <c r="F1782" s="5">
        <v>0</v>
      </c>
      <c r="G1782" s="5">
        <v>330</v>
      </c>
      <c r="H1782" s="6">
        <v>0</v>
      </c>
      <c r="I1782" s="22">
        <v>18014.088</v>
      </c>
      <c r="J1782" s="24">
        <f t="shared" si="81"/>
        <v>1.2482181234246055E-4</v>
      </c>
      <c r="K1782" s="25">
        <f t="shared" si="83"/>
        <v>0.82217686320793193</v>
      </c>
      <c r="L1782" s="26" t="s">
        <v>7517</v>
      </c>
      <c r="M1782" s="28">
        <v>-0.16295582406162931</v>
      </c>
      <c r="N1782" s="28"/>
      <c r="O1782" s="20">
        <v>4953.7219999999998</v>
      </c>
      <c r="P1782" s="27" t="str">
        <f t="shared" si="82"/>
        <v>amarelo</v>
      </c>
    </row>
    <row r="1783" spans="1:16">
      <c r="A1783" s="3" t="s">
        <v>6366</v>
      </c>
      <c r="B1783" s="3" t="s">
        <v>6367</v>
      </c>
      <c r="C1783" s="4">
        <v>217</v>
      </c>
      <c r="D1783" s="3" t="s">
        <v>91</v>
      </c>
      <c r="E1783" s="3" t="s">
        <v>16</v>
      </c>
      <c r="F1783" s="5">
        <v>228</v>
      </c>
      <c r="G1783" s="5">
        <v>300</v>
      </c>
      <c r="H1783" s="6">
        <v>13017.36</v>
      </c>
      <c r="I1783" s="22">
        <v>17983.2</v>
      </c>
      <c r="J1783" s="24">
        <f t="shared" si="81"/>
        <v>1.2460778562405918E-4</v>
      </c>
      <c r="K1783" s="25">
        <f t="shared" si="83"/>
        <v>0.82230147099355599</v>
      </c>
      <c r="L1783" s="26" t="s">
        <v>7517</v>
      </c>
      <c r="M1783" s="28"/>
      <c r="N1783" s="28"/>
      <c r="O1783" s="20" t="s">
        <v>7530</v>
      </c>
      <c r="P1783" s="27" t="str">
        <f t="shared" si="82"/>
        <v>vermelho</v>
      </c>
    </row>
    <row r="1784" spans="1:16" ht="25.5">
      <c r="A1784" s="3" t="s">
        <v>4</v>
      </c>
      <c r="B1784" s="3" t="s">
        <v>1104</v>
      </c>
      <c r="C1784" s="4">
        <v>19</v>
      </c>
      <c r="D1784" s="3" t="s">
        <v>72</v>
      </c>
      <c r="E1784" s="3" t="s">
        <v>41</v>
      </c>
      <c r="F1784" s="5">
        <v>378</v>
      </c>
      <c r="G1784" s="5">
        <v>273</v>
      </c>
      <c r="H1784" s="6">
        <v>20913.984</v>
      </c>
      <c r="I1784" s="22">
        <v>17982.055</v>
      </c>
      <c r="J1784" s="24">
        <f t="shared" si="81"/>
        <v>1.245998517794409E-4</v>
      </c>
      <c r="K1784" s="25">
        <f t="shared" si="83"/>
        <v>0.82242607084533548</v>
      </c>
      <c r="L1784" s="26" t="s">
        <v>7517</v>
      </c>
      <c r="M1784" s="28"/>
      <c r="N1784" s="28"/>
      <c r="O1784" s="20" t="s">
        <v>7530</v>
      </c>
      <c r="P1784" s="27" t="str">
        <f t="shared" si="82"/>
        <v>vermelho</v>
      </c>
    </row>
    <row r="1785" spans="1:16" ht="25.5">
      <c r="A1785" s="3" t="s">
        <v>4</v>
      </c>
      <c r="B1785" s="3" t="s">
        <v>1105</v>
      </c>
      <c r="C1785" s="4">
        <v>23</v>
      </c>
      <c r="D1785" s="3" t="s">
        <v>87</v>
      </c>
      <c r="E1785" s="3" t="s">
        <v>7</v>
      </c>
      <c r="F1785" s="5">
        <v>0</v>
      </c>
      <c r="G1785" s="5">
        <v>288</v>
      </c>
      <c r="H1785" s="6">
        <v>0</v>
      </c>
      <c r="I1785" s="22">
        <v>17965.685000000001</v>
      </c>
      <c r="J1785" s="24">
        <f t="shared" si="81"/>
        <v>1.2448642205332619E-4</v>
      </c>
      <c r="K1785" s="25">
        <f t="shared" si="83"/>
        <v>0.82255055726738879</v>
      </c>
      <c r="L1785" s="26" t="s">
        <v>7517</v>
      </c>
      <c r="M1785" s="28"/>
      <c r="N1785" s="28"/>
      <c r="O1785" s="20">
        <v>8748.5400000000009</v>
      </c>
      <c r="P1785" s="27" t="str">
        <f t="shared" si="82"/>
        <v>amarelo</v>
      </c>
    </row>
    <row r="1786" spans="1:16" ht="25.5">
      <c r="A1786" s="3" t="s">
        <v>4</v>
      </c>
      <c r="B1786" s="3" t="s">
        <v>1106</v>
      </c>
      <c r="C1786" s="4">
        <v>23</v>
      </c>
      <c r="D1786" s="3" t="s">
        <v>87</v>
      </c>
      <c r="E1786" s="3" t="s">
        <v>7</v>
      </c>
      <c r="F1786" s="5">
        <v>216</v>
      </c>
      <c r="G1786" s="5">
        <v>297</v>
      </c>
      <c r="H1786" s="6">
        <v>12923.28</v>
      </c>
      <c r="I1786" s="22">
        <v>17944.133999999998</v>
      </c>
      <c r="J1786" s="24">
        <f t="shared" si="81"/>
        <v>1.2433709254645398E-4</v>
      </c>
      <c r="K1786" s="25">
        <f t="shared" si="83"/>
        <v>0.82267489435993524</v>
      </c>
      <c r="L1786" s="26" t="s">
        <v>7517</v>
      </c>
      <c r="M1786" s="28"/>
      <c r="N1786" s="28"/>
      <c r="O1786" s="20" t="s">
        <v>7530</v>
      </c>
      <c r="P1786" s="27" t="str">
        <f t="shared" si="82"/>
        <v>vermelho</v>
      </c>
    </row>
    <row r="1787" spans="1:16" ht="25.5">
      <c r="A1787" s="3" t="s">
        <v>4</v>
      </c>
      <c r="B1787" s="3" t="s">
        <v>1107</v>
      </c>
      <c r="C1787" s="4">
        <v>266</v>
      </c>
      <c r="D1787" s="3" t="s">
        <v>80</v>
      </c>
      <c r="E1787" s="3" t="s">
        <v>10</v>
      </c>
      <c r="F1787" s="5">
        <v>0</v>
      </c>
      <c r="G1787" s="5">
        <v>282</v>
      </c>
      <c r="H1787" s="6">
        <v>0</v>
      </c>
      <c r="I1787" s="22">
        <v>17937.66</v>
      </c>
      <c r="J1787" s="24">
        <f t="shared" si="81"/>
        <v>1.2429223341103146E-4</v>
      </c>
      <c r="K1787" s="25">
        <f t="shared" si="83"/>
        <v>0.82279918659334628</v>
      </c>
      <c r="L1787" s="26" t="s">
        <v>7517</v>
      </c>
      <c r="M1787" s="28"/>
      <c r="N1787" s="28"/>
      <c r="O1787" s="20" t="s">
        <v>7530</v>
      </c>
      <c r="P1787" s="27" t="str">
        <f t="shared" si="82"/>
        <v>vermelho</v>
      </c>
    </row>
    <row r="1788" spans="1:16" ht="25.5">
      <c r="A1788" s="3" t="s">
        <v>4</v>
      </c>
      <c r="B1788" s="3" t="s">
        <v>1108</v>
      </c>
      <c r="C1788" s="4">
        <v>337</v>
      </c>
      <c r="D1788" s="3" t="s">
        <v>202</v>
      </c>
      <c r="E1788" s="3" t="s">
        <v>16</v>
      </c>
      <c r="F1788" s="5">
        <v>72</v>
      </c>
      <c r="G1788" s="5">
        <v>323</v>
      </c>
      <c r="H1788" s="6">
        <v>3192.48</v>
      </c>
      <c r="I1788" s="22">
        <v>17935.939999999999</v>
      </c>
      <c r="J1788" s="24">
        <f t="shared" si="81"/>
        <v>1.2428031532129921E-4</v>
      </c>
      <c r="K1788" s="25">
        <f t="shared" si="83"/>
        <v>0.82292346690866758</v>
      </c>
      <c r="L1788" s="26" t="s">
        <v>7517</v>
      </c>
      <c r="M1788" s="28"/>
      <c r="N1788" s="28"/>
      <c r="O1788" s="20" t="s">
        <v>7530</v>
      </c>
      <c r="P1788" s="27" t="str">
        <f t="shared" si="82"/>
        <v>vermelho</v>
      </c>
    </row>
    <row r="1789" spans="1:16" ht="25.5">
      <c r="A1789" s="3" t="s">
        <v>4</v>
      </c>
      <c r="B1789" s="3" t="s">
        <v>1109</v>
      </c>
      <c r="C1789" s="4">
        <v>23</v>
      </c>
      <c r="D1789" s="3" t="s">
        <v>87</v>
      </c>
      <c r="E1789" s="3" t="s">
        <v>7</v>
      </c>
      <c r="F1789" s="5">
        <v>150</v>
      </c>
      <c r="G1789" s="5">
        <v>279</v>
      </c>
      <c r="H1789" s="6">
        <v>7466.34</v>
      </c>
      <c r="I1789" s="22">
        <v>17933.52</v>
      </c>
      <c r="J1789" s="24">
        <f t="shared" si="81"/>
        <v>1.2426354684621078E-4</v>
      </c>
      <c r="K1789" s="25">
        <f t="shared" si="83"/>
        <v>0.82304773045551383</v>
      </c>
      <c r="L1789" s="26" t="s">
        <v>7517</v>
      </c>
      <c r="M1789" s="28"/>
      <c r="N1789" s="28"/>
      <c r="O1789" s="20" t="s">
        <v>7530</v>
      </c>
      <c r="P1789" s="27" t="str">
        <f t="shared" si="82"/>
        <v>vermelho</v>
      </c>
    </row>
    <row r="1790" spans="1:16" ht="25.5">
      <c r="A1790" s="3" t="s">
        <v>4</v>
      </c>
      <c r="B1790" s="3" t="s">
        <v>1110</v>
      </c>
      <c r="C1790" s="4">
        <v>270</v>
      </c>
      <c r="D1790" s="3" t="s">
        <v>266</v>
      </c>
      <c r="E1790" s="3" t="s">
        <v>49</v>
      </c>
      <c r="F1790" s="5">
        <v>231</v>
      </c>
      <c r="G1790" s="5">
        <v>312</v>
      </c>
      <c r="H1790" s="6">
        <v>11273.120999999999</v>
      </c>
      <c r="I1790" s="22">
        <v>17923.38</v>
      </c>
      <c r="J1790" s="24">
        <f t="shared" si="81"/>
        <v>1.2419328554976589E-4</v>
      </c>
      <c r="K1790" s="25">
        <f t="shared" si="83"/>
        <v>0.82317192374106363</v>
      </c>
      <c r="L1790" s="26" t="s">
        <v>7517</v>
      </c>
      <c r="M1790" s="28"/>
      <c r="N1790" s="28"/>
      <c r="O1790" s="20" t="s">
        <v>7530</v>
      </c>
      <c r="P1790" s="27" t="str">
        <f t="shared" si="82"/>
        <v>vermelho</v>
      </c>
    </row>
    <row r="1791" spans="1:16" ht="38.25">
      <c r="A1791" s="3" t="s">
        <v>4</v>
      </c>
      <c r="B1791" s="3" t="s">
        <v>1111</v>
      </c>
      <c r="C1791" s="4">
        <v>38</v>
      </c>
      <c r="D1791" s="3" t="s">
        <v>184</v>
      </c>
      <c r="E1791" s="3" t="s">
        <v>49</v>
      </c>
      <c r="F1791" s="5">
        <v>0</v>
      </c>
      <c r="G1791" s="5">
        <v>270</v>
      </c>
      <c r="H1791" s="6">
        <v>0</v>
      </c>
      <c r="I1791" s="22">
        <v>17923.2</v>
      </c>
      <c r="J1791" s="24">
        <f t="shared" si="81"/>
        <v>1.2419203830781714E-4</v>
      </c>
      <c r="K1791" s="25">
        <f t="shared" si="83"/>
        <v>0.82329611577937145</v>
      </c>
      <c r="L1791" s="26" t="s">
        <v>7517</v>
      </c>
      <c r="M1791" s="28"/>
      <c r="N1791" s="28"/>
      <c r="O1791" s="20">
        <v>21871.41</v>
      </c>
      <c r="P1791" s="27" t="str">
        <f t="shared" si="82"/>
        <v>verde</v>
      </c>
    </row>
    <row r="1792" spans="1:16" ht="25.5">
      <c r="A1792" s="3" t="s">
        <v>4</v>
      </c>
      <c r="B1792" s="3" t="s">
        <v>1112</v>
      </c>
      <c r="C1792" s="4">
        <v>194</v>
      </c>
      <c r="D1792" s="3" t="s">
        <v>145</v>
      </c>
      <c r="E1792" s="3" t="s">
        <v>16</v>
      </c>
      <c r="F1792" s="5">
        <v>372</v>
      </c>
      <c r="G1792" s="5">
        <v>294</v>
      </c>
      <c r="H1792" s="6">
        <v>19788.419999999998</v>
      </c>
      <c r="I1792" s="22">
        <v>17920.560000000001</v>
      </c>
      <c r="J1792" s="24">
        <f t="shared" si="81"/>
        <v>1.241737454259025E-4</v>
      </c>
      <c r="K1792" s="25">
        <f t="shared" si="83"/>
        <v>0.8234202895247974</v>
      </c>
      <c r="L1792" s="26" t="s">
        <v>7517</v>
      </c>
      <c r="M1792" s="28"/>
      <c r="N1792" s="28"/>
      <c r="O1792" s="20">
        <v>11358.12</v>
      </c>
      <c r="P1792" s="27" t="str">
        <f t="shared" si="82"/>
        <v>laranja</v>
      </c>
    </row>
    <row r="1793" spans="1:16" ht="38.25">
      <c r="A1793" s="3" t="s">
        <v>4</v>
      </c>
      <c r="B1793" s="3" t="s">
        <v>1113</v>
      </c>
      <c r="C1793" s="4">
        <v>178</v>
      </c>
      <c r="D1793" s="3" t="s">
        <v>74</v>
      </c>
      <c r="E1793" s="3" t="s">
        <v>7</v>
      </c>
      <c r="F1793" s="5">
        <v>120</v>
      </c>
      <c r="G1793" s="5">
        <v>300</v>
      </c>
      <c r="H1793" s="6">
        <v>7306.08</v>
      </c>
      <c r="I1793" s="22">
        <v>17910.3</v>
      </c>
      <c r="J1793" s="24">
        <f t="shared" si="81"/>
        <v>1.241026526348251E-4</v>
      </c>
      <c r="K1793" s="25">
        <f t="shared" si="83"/>
        <v>0.82354439217743225</v>
      </c>
      <c r="L1793" s="26" t="s">
        <v>7517</v>
      </c>
      <c r="M1793" s="28"/>
      <c r="N1793" s="28"/>
      <c r="O1793" s="20" t="s">
        <v>7530</v>
      </c>
      <c r="P1793" s="27" t="str">
        <f t="shared" si="82"/>
        <v>vermelho</v>
      </c>
    </row>
    <row r="1794" spans="1:16" ht="25.5">
      <c r="A1794" s="3" t="s">
        <v>4</v>
      </c>
      <c r="B1794" s="3" t="s">
        <v>1114</v>
      </c>
      <c r="C1794" s="4">
        <v>316</v>
      </c>
      <c r="D1794" s="3" t="s">
        <v>247</v>
      </c>
      <c r="E1794" s="3" t="s">
        <v>10</v>
      </c>
      <c r="F1794" s="5">
        <v>0</v>
      </c>
      <c r="G1794" s="5">
        <v>288</v>
      </c>
      <c r="H1794" s="6">
        <v>0</v>
      </c>
      <c r="I1794" s="22">
        <v>17905.23</v>
      </c>
      <c r="J1794" s="24">
        <f t="shared" si="81"/>
        <v>1.2406752198660265E-4</v>
      </c>
      <c r="K1794" s="25">
        <f t="shared" si="83"/>
        <v>0.82366845969941882</v>
      </c>
      <c r="L1794" s="26" t="s">
        <v>7517</v>
      </c>
      <c r="M1794" s="28"/>
      <c r="N1794" s="28"/>
      <c r="O1794" s="20" t="s">
        <v>7530</v>
      </c>
      <c r="P1794" s="27" t="str">
        <f t="shared" si="82"/>
        <v>vermelho</v>
      </c>
    </row>
    <row r="1795" spans="1:16" ht="25.5">
      <c r="A1795" s="3" t="s">
        <v>4</v>
      </c>
      <c r="B1795" s="3" t="s">
        <v>1115</v>
      </c>
      <c r="C1795" s="4">
        <v>321</v>
      </c>
      <c r="D1795" s="3" t="s">
        <v>136</v>
      </c>
      <c r="E1795" s="3" t="s">
        <v>41</v>
      </c>
      <c r="F1795" s="5">
        <v>240</v>
      </c>
      <c r="G1795" s="5">
        <v>282</v>
      </c>
      <c r="H1795" s="6">
        <v>14094.84</v>
      </c>
      <c r="I1795" s="22">
        <v>17893.259999999998</v>
      </c>
      <c r="J1795" s="24">
        <f t="shared" ref="J1795:J1858" si="84">I1795/$I$6364</f>
        <v>1.2398458039701238E-4</v>
      </c>
      <c r="K1795" s="25">
        <f t="shared" si="83"/>
        <v>0.82379244427981579</v>
      </c>
      <c r="L1795" s="26" t="s">
        <v>7517</v>
      </c>
      <c r="M1795" s="28"/>
      <c r="N1795" s="28"/>
      <c r="O1795" s="20" t="s">
        <v>7530</v>
      </c>
      <c r="P1795" s="27" t="str">
        <f t="shared" ref="P1795:P1858" si="85">IF(O1795&lt;=0,"vermelho",IFERROR(IF(O1795/I1795&lt;=0.5098,"amarelo",IF(O1795/I1795&lt;1,"laranja","verde")),"vermelho"))</f>
        <v>vermelho</v>
      </c>
    </row>
    <row r="1796" spans="1:16" ht="38.25">
      <c r="A1796" s="3" t="s">
        <v>4</v>
      </c>
      <c r="B1796" s="3" t="s">
        <v>1116</v>
      </c>
      <c r="C1796" s="4">
        <v>240</v>
      </c>
      <c r="D1796" s="3" t="s">
        <v>69</v>
      </c>
      <c r="E1796" s="3" t="s">
        <v>16</v>
      </c>
      <c r="F1796" s="5">
        <v>144</v>
      </c>
      <c r="G1796" s="5">
        <v>318</v>
      </c>
      <c r="H1796" s="6">
        <v>8223.84</v>
      </c>
      <c r="I1796" s="22">
        <v>17893.259999999998</v>
      </c>
      <c r="J1796" s="24">
        <f t="shared" si="84"/>
        <v>1.2398458039701238E-4</v>
      </c>
      <c r="K1796" s="25">
        <f t="shared" ref="K1796:K1859" si="86">J1796+K1795</f>
        <v>0.82391642886021277</v>
      </c>
      <c r="L1796" s="26" t="s">
        <v>7517</v>
      </c>
      <c r="M1796" s="28"/>
      <c r="N1796" s="28"/>
      <c r="O1796" s="20" t="s">
        <v>7530</v>
      </c>
      <c r="P1796" s="27" t="str">
        <f t="shared" si="85"/>
        <v>vermelho</v>
      </c>
    </row>
    <row r="1797" spans="1:16" ht="38.25">
      <c r="A1797" s="3" t="s">
        <v>4</v>
      </c>
      <c r="B1797" s="3" t="s">
        <v>1117</v>
      </c>
      <c r="C1797" s="4">
        <v>45</v>
      </c>
      <c r="D1797" s="3" t="s">
        <v>23</v>
      </c>
      <c r="E1797" s="3" t="s">
        <v>7</v>
      </c>
      <c r="F1797" s="5">
        <v>768</v>
      </c>
      <c r="G1797" s="5">
        <v>291</v>
      </c>
      <c r="H1797" s="6">
        <v>45268.77</v>
      </c>
      <c r="I1797" s="22">
        <v>17891.34</v>
      </c>
      <c r="J1797" s="24">
        <f t="shared" si="84"/>
        <v>1.2397127648289263E-4</v>
      </c>
      <c r="K1797" s="25">
        <f t="shared" si="86"/>
        <v>0.82404040013669566</v>
      </c>
      <c r="L1797" s="26" t="s">
        <v>7517</v>
      </c>
      <c r="M1797" s="28"/>
      <c r="N1797" s="28"/>
      <c r="O1797" s="20">
        <v>30754.53</v>
      </c>
      <c r="P1797" s="27" t="str">
        <f t="shared" si="85"/>
        <v>verde</v>
      </c>
    </row>
    <row r="1798" spans="1:16" ht="38.25">
      <c r="A1798" s="3" t="s">
        <v>4</v>
      </c>
      <c r="B1798" s="3" t="s">
        <v>1118</v>
      </c>
      <c r="C1798" s="4">
        <v>31</v>
      </c>
      <c r="D1798" s="3" t="s">
        <v>194</v>
      </c>
      <c r="E1798" s="3" t="s">
        <v>16</v>
      </c>
      <c r="F1798" s="5">
        <v>297</v>
      </c>
      <c r="G1798" s="5">
        <v>315</v>
      </c>
      <c r="H1798" s="6">
        <v>17905.71</v>
      </c>
      <c r="I1798" s="22">
        <v>17889.21</v>
      </c>
      <c r="J1798" s="24">
        <f t="shared" si="84"/>
        <v>1.2395651745316603E-4</v>
      </c>
      <c r="K1798" s="25">
        <f t="shared" si="86"/>
        <v>0.82416435665414878</v>
      </c>
      <c r="L1798" s="26" t="s">
        <v>7517</v>
      </c>
      <c r="M1798" s="28"/>
      <c r="N1798" s="28"/>
      <c r="O1798" s="20">
        <v>12310.95</v>
      </c>
      <c r="P1798" s="27" t="str">
        <f t="shared" si="85"/>
        <v>laranja</v>
      </c>
    </row>
    <row r="1799" spans="1:16" ht="25.5">
      <c r="A1799" s="3" t="s">
        <v>4</v>
      </c>
      <c r="B1799" s="3" t="s">
        <v>1119</v>
      </c>
      <c r="C1799" s="4">
        <v>317</v>
      </c>
      <c r="D1799" s="3" t="s">
        <v>78</v>
      </c>
      <c r="E1799" s="3" t="s">
        <v>10</v>
      </c>
      <c r="F1799" s="5">
        <v>342</v>
      </c>
      <c r="G1799" s="5">
        <v>339</v>
      </c>
      <c r="H1799" s="6">
        <v>18136.47</v>
      </c>
      <c r="I1799" s="22">
        <v>17868.96</v>
      </c>
      <c r="J1799" s="24">
        <f t="shared" si="84"/>
        <v>1.2381620273393436E-4</v>
      </c>
      <c r="K1799" s="25">
        <f t="shared" si="86"/>
        <v>0.82428817285688272</v>
      </c>
      <c r="L1799" s="26" t="s">
        <v>7517</v>
      </c>
      <c r="M1799" s="28"/>
      <c r="N1799" s="28"/>
      <c r="O1799" s="20" t="s">
        <v>7530</v>
      </c>
      <c r="P1799" s="27" t="str">
        <f t="shared" si="85"/>
        <v>vermelho</v>
      </c>
    </row>
    <row r="1800" spans="1:16" ht="25.5">
      <c r="A1800" s="3" t="s">
        <v>4</v>
      </c>
      <c r="B1800" s="3" t="s">
        <v>1120</v>
      </c>
      <c r="C1800" s="4">
        <v>231</v>
      </c>
      <c r="D1800" s="3" t="s">
        <v>52</v>
      </c>
      <c r="E1800" s="3" t="s">
        <v>7</v>
      </c>
      <c r="F1800" s="5">
        <v>0</v>
      </c>
      <c r="G1800" s="5">
        <v>312</v>
      </c>
      <c r="H1800" s="6">
        <v>0</v>
      </c>
      <c r="I1800" s="22">
        <v>17856.810000000001</v>
      </c>
      <c r="J1800" s="24">
        <f t="shared" si="84"/>
        <v>1.2373201390239536E-4</v>
      </c>
      <c r="K1800" s="25">
        <f t="shared" si="86"/>
        <v>0.82441190487078508</v>
      </c>
      <c r="L1800" s="26" t="s">
        <v>7517</v>
      </c>
      <c r="M1800" s="28"/>
      <c r="N1800" s="28"/>
      <c r="O1800" s="20" t="s">
        <v>7530</v>
      </c>
      <c r="P1800" s="27" t="str">
        <f t="shared" si="85"/>
        <v>vermelho</v>
      </c>
    </row>
    <row r="1801" spans="1:16" ht="25.5">
      <c r="A1801" s="3" t="s">
        <v>4</v>
      </c>
      <c r="B1801" s="3" t="s">
        <v>1121</v>
      </c>
      <c r="C1801" s="4">
        <v>218</v>
      </c>
      <c r="D1801" s="3" t="s">
        <v>104</v>
      </c>
      <c r="E1801" s="3" t="s">
        <v>16</v>
      </c>
      <c r="F1801" s="5">
        <v>0</v>
      </c>
      <c r="G1801" s="5">
        <v>267</v>
      </c>
      <c r="H1801" s="6">
        <v>0</v>
      </c>
      <c r="I1801" s="22">
        <v>17846.580000000002</v>
      </c>
      <c r="J1801" s="24">
        <f t="shared" si="84"/>
        <v>1.2366112898497611E-4</v>
      </c>
      <c r="K1801" s="25">
        <f t="shared" si="86"/>
        <v>0.82453556599977007</v>
      </c>
      <c r="L1801" s="26" t="s">
        <v>7517</v>
      </c>
      <c r="M1801" s="28"/>
      <c r="N1801" s="28"/>
      <c r="O1801" s="20" t="s">
        <v>7530</v>
      </c>
      <c r="P1801" s="27" t="str">
        <f t="shared" si="85"/>
        <v>vermelho</v>
      </c>
    </row>
    <row r="1802" spans="1:16" ht="38.25">
      <c r="A1802" s="3" t="s">
        <v>4</v>
      </c>
      <c r="B1802" s="3" t="s">
        <v>1122</v>
      </c>
      <c r="C1802" s="4">
        <v>45</v>
      </c>
      <c r="D1802" s="3" t="s">
        <v>23</v>
      </c>
      <c r="E1802" s="3" t="s">
        <v>7</v>
      </c>
      <c r="F1802" s="5">
        <v>204</v>
      </c>
      <c r="G1802" s="5">
        <v>300</v>
      </c>
      <c r="H1802" s="6">
        <v>11525.825999999999</v>
      </c>
      <c r="I1802" s="22">
        <v>17831.22</v>
      </c>
      <c r="J1802" s="24">
        <f t="shared" si="84"/>
        <v>1.2355469767201814E-4</v>
      </c>
      <c r="K1802" s="25">
        <f t="shared" si="86"/>
        <v>0.82465912069744207</v>
      </c>
      <c r="L1802" s="26" t="s">
        <v>7517</v>
      </c>
      <c r="M1802" s="28"/>
      <c r="N1802" s="28"/>
      <c r="O1802" s="20" t="s">
        <v>7530</v>
      </c>
      <c r="P1802" s="27" t="str">
        <f t="shared" si="85"/>
        <v>vermelho</v>
      </c>
    </row>
    <row r="1803" spans="1:16" ht="25.5">
      <c r="A1803" s="3" t="s">
        <v>4</v>
      </c>
      <c r="B1803" s="3" t="s">
        <v>1123</v>
      </c>
      <c r="C1803" s="4">
        <v>23</v>
      </c>
      <c r="D1803" s="3" t="s">
        <v>87</v>
      </c>
      <c r="E1803" s="3" t="s">
        <v>7</v>
      </c>
      <c r="F1803" s="5">
        <v>294</v>
      </c>
      <c r="G1803" s="5">
        <v>285</v>
      </c>
      <c r="H1803" s="6">
        <v>16333.2</v>
      </c>
      <c r="I1803" s="22">
        <v>17820.87</v>
      </c>
      <c r="J1803" s="24">
        <f t="shared" si="84"/>
        <v>1.2348298125996638E-4</v>
      </c>
      <c r="K1803" s="25">
        <f t="shared" si="86"/>
        <v>0.82478260367870204</v>
      </c>
      <c r="L1803" s="26" t="s">
        <v>7517</v>
      </c>
      <c r="M1803" s="28"/>
      <c r="N1803" s="28">
        <v>6.4605162372292274E-2</v>
      </c>
      <c r="O1803" s="20">
        <v>5126.9399999999996</v>
      </c>
      <c r="P1803" s="27" t="str">
        <f t="shared" si="85"/>
        <v>amarelo</v>
      </c>
    </row>
    <row r="1804" spans="1:16" ht="25.5">
      <c r="A1804" s="3" t="s">
        <v>4</v>
      </c>
      <c r="B1804" s="3" t="s">
        <v>1124</v>
      </c>
      <c r="C1804" s="4">
        <v>270</v>
      </c>
      <c r="D1804" s="3" t="s">
        <v>266</v>
      </c>
      <c r="E1804" s="3" t="s">
        <v>49</v>
      </c>
      <c r="F1804" s="5">
        <v>651</v>
      </c>
      <c r="G1804" s="5">
        <v>300</v>
      </c>
      <c r="H1804" s="6">
        <v>41481.480000000003</v>
      </c>
      <c r="I1804" s="22">
        <v>17816.759999999998</v>
      </c>
      <c r="J1804" s="24">
        <f t="shared" si="84"/>
        <v>1.2345450256880379E-4</v>
      </c>
      <c r="K1804" s="25">
        <f t="shared" si="86"/>
        <v>0.82490605818127083</v>
      </c>
      <c r="L1804" s="26" t="s">
        <v>7517</v>
      </c>
      <c r="M1804" s="28"/>
      <c r="N1804" s="28"/>
      <c r="O1804" s="20" t="s">
        <v>7530</v>
      </c>
      <c r="P1804" s="27" t="str">
        <f t="shared" si="85"/>
        <v>vermelho</v>
      </c>
    </row>
    <row r="1805" spans="1:16" ht="25.5">
      <c r="A1805" s="3" t="s">
        <v>6368</v>
      </c>
      <c r="B1805" s="3" t="s">
        <v>6369</v>
      </c>
      <c r="C1805" s="4">
        <v>31</v>
      </c>
      <c r="D1805" s="3" t="s">
        <v>194</v>
      </c>
      <c r="E1805" s="3" t="s">
        <v>16</v>
      </c>
      <c r="F1805" s="5">
        <v>48</v>
      </c>
      <c r="G1805" s="5">
        <v>264</v>
      </c>
      <c r="H1805" s="6">
        <v>3208.23</v>
      </c>
      <c r="I1805" s="22">
        <v>17806.32</v>
      </c>
      <c r="J1805" s="24">
        <f t="shared" si="84"/>
        <v>1.2338216253577768E-4</v>
      </c>
      <c r="K1805" s="25">
        <f t="shared" si="86"/>
        <v>0.82502944034380665</v>
      </c>
      <c r="L1805" s="26" t="s">
        <v>7517</v>
      </c>
      <c r="M1805" s="28"/>
      <c r="N1805" s="28"/>
      <c r="O1805" s="20" t="s">
        <v>7530</v>
      </c>
      <c r="P1805" s="27" t="str">
        <f t="shared" si="85"/>
        <v>vermelho</v>
      </c>
    </row>
    <row r="1806" spans="1:16">
      <c r="A1806" s="3" t="s">
        <v>4</v>
      </c>
      <c r="B1806" s="3" t="s">
        <v>1125</v>
      </c>
      <c r="C1806" s="4">
        <v>240</v>
      </c>
      <c r="D1806" s="3" t="s">
        <v>69</v>
      </c>
      <c r="E1806" s="3" t="s">
        <v>16</v>
      </c>
      <c r="F1806" s="5">
        <v>297</v>
      </c>
      <c r="G1806" s="5">
        <v>306</v>
      </c>
      <c r="H1806" s="6">
        <v>16123.23</v>
      </c>
      <c r="I1806" s="22">
        <v>17798.04</v>
      </c>
      <c r="J1806" s="24">
        <f t="shared" si="84"/>
        <v>1.2332478940613628E-4</v>
      </c>
      <c r="K1806" s="25">
        <f t="shared" si="86"/>
        <v>0.82515276513321278</v>
      </c>
      <c r="L1806" s="26" t="s">
        <v>7517</v>
      </c>
      <c r="M1806" s="28"/>
      <c r="N1806" s="28"/>
      <c r="O1806" s="20">
        <v>4400.6400000000003</v>
      </c>
      <c r="P1806" s="27" t="str">
        <f t="shared" si="85"/>
        <v>amarelo</v>
      </c>
    </row>
    <row r="1807" spans="1:16" ht="51">
      <c r="A1807" s="3" t="s">
        <v>4</v>
      </c>
      <c r="B1807" s="3" t="s">
        <v>1126</v>
      </c>
      <c r="C1807" s="4">
        <v>282</v>
      </c>
      <c r="D1807" s="3" t="s">
        <v>12</v>
      </c>
      <c r="E1807" s="3" t="s">
        <v>13</v>
      </c>
      <c r="F1807" s="5">
        <v>168</v>
      </c>
      <c r="G1807" s="5">
        <v>375</v>
      </c>
      <c r="H1807" s="6">
        <v>10565.76</v>
      </c>
      <c r="I1807" s="22">
        <v>17794.078000000001</v>
      </c>
      <c r="J1807" s="24">
        <f t="shared" si="84"/>
        <v>1.2329733622502045E-4</v>
      </c>
      <c r="K1807" s="25">
        <f t="shared" si="86"/>
        <v>0.82527606246943785</v>
      </c>
      <c r="L1807" s="26" t="s">
        <v>7517</v>
      </c>
      <c r="M1807" s="28"/>
      <c r="N1807" s="28">
        <v>-5.2263083932874967E-2</v>
      </c>
      <c r="O1807" s="20">
        <v>8099.3519999999999</v>
      </c>
      <c r="P1807" s="27" t="str">
        <f t="shared" si="85"/>
        <v>amarelo</v>
      </c>
    </row>
    <row r="1808" spans="1:16" ht="25.5">
      <c r="A1808" s="3" t="s">
        <v>4</v>
      </c>
      <c r="B1808" s="3" t="s">
        <v>1127</v>
      </c>
      <c r="C1808" s="4">
        <v>197</v>
      </c>
      <c r="D1808" s="3" t="s">
        <v>66</v>
      </c>
      <c r="E1808" s="3" t="s">
        <v>41</v>
      </c>
      <c r="F1808" s="5">
        <v>336</v>
      </c>
      <c r="G1808" s="5">
        <v>264</v>
      </c>
      <c r="H1808" s="6">
        <v>19566</v>
      </c>
      <c r="I1808" s="22">
        <v>17788.53</v>
      </c>
      <c r="J1808" s="24">
        <f t="shared" si="84"/>
        <v>1.2325889345651193E-4</v>
      </c>
      <c r="K1808" s="25">
        <f t="shared" si="86"/>
        <v>0.8253993213628944</v>
      </c>
      <c r="L1808" s="26" t="s">
        <v>7517</v>
      </c>
      <c r="M1808" s="28"/>
      <c r="N1808" s="28"/>
      <c r="O1808" s="20" t="s">
        <v>7530</v>
      </c>
      <c r="P1808" s="27" t="str">
        <f t="shared" si="85"/>
        <v>vermelho</v>
      </c>
    </row>
    <row r="1809" spans="1:16" ht="25.5">
      <c r="A1809" s="3" t="s">
        <v>4</v>
      </c>
      <c r="B1809" s="3" t="s">
        <v>1128</v>
      </c>
      <c r="C1809" s="4">
        <v>61</v>
      </c>
      <c r="D1809" s="3" t="s">
        <v>48</v>
      </c>
      <c r="E1809" s="3" t="s">
        <v>49</v>
      </c>
      <c r="F1809" s="5">
        <v>375</v>
      </c>
      <c r="G1809" s="5">
        <v>339</v>
      </c>
      <c r="H1809" s="6">
        <v>17280.519</v>
      </c>
      <c r="I1809" s="22">
        <v>17783.73</v>
      </c>
      <c r="J1809" s="24">
        <f t="shared" si="84"/>
        <v>1.2322563367121256E-4</v>
      </c>
      <c r="K1809" s="25">
        <f t="shared" si="86"/>
        <v>0.82552254699656558</v>
      </c>
      <c r="L1809" s="26" t="s">
        <v>7517</v>
      </c>
      <c r="M1809" s="28"/>
      <c r="N1809" s="28"/>
      <c r="O1809" s="20">
        <v>10026.9</v>
      </c>
      <c r="P1809" s="27" t="str">
        <f t="shared" si="85"/>
        <v>laranja</v>
      </c>
    </row>
    <row r="1810" spans="1:16" ht="25.5">
      <c r="A1810" s="3" t="s">
        <v>4</v>
      </c>
      <c r="B1810" s="3" t="s">
        <v>1129</v>
      </c>
      <c r="C1810" s="4">
        <v>267</v>
      </c>
      <c r="D1810" s="3" t="s">
        <v>125</v>
      </c>
      <c r="E1810" s="3" t="s">
        <v>16</v>
      </c>
      <c r="F1810" s="5">
        <v>144</v>
      </c>
      <c r="G1810" s="5">
        <v>342</v>
      </c>
      <c r="H1810" s="6">
        <v>6690.48</v>
      </c>
      <c r="I1810" s="22">
        <v>17765.7</v>
      </c>
      <c r="J1810" s="24">
        <f t="shared" si="84"/>
        <v>1.2310070160268183E-4</v>
      </c>
      <c r="K1810" s="25">
        <f t="shared" si="86"/>
        <v>0.82564564769816828</v>
      </c>
      <c r="L1810" s="26" t="s">
        <v>7517</v>
      </c>
      <c r="M1810" s="28"/>
      <c r="N1810" s="28"/>
      <c r="O1810" s="20" t="s">
        <v>7530</v>
      </c>
      <c r="P1810" s="27" t="str">
        <f t="shared" si="85"/>
        <v>vermelho</v>
      </c>
    </row>
    <row r="1811" spans="1:16" ht="25.5">
      <c r="A1811" s="3" t="s">
        <v>4</v>
      </c>
      <c r="B1811" s="3" t="s">
        <v>1130</v>
      </c>
      <c r="C1811" s="4">
        <v>327</v>
      </c>
      <c r="D1811" s="3" t="s">
        <v>100</v>
      </c>
      <c r="E1811" s="3" t="s">
        <v>7</v>
      </c>
      <c r="F1811" s="5">
        <v>0</v>
      </c>
      <c r="G1811" s="5">
        <v>312</v>
      </c>
      <c r="H1811" s="6">
        <v>0</v>
      </c>
      <c r="I1811" s="22">
        <v>17763.72</v>
      </c>
      <c r="J1811" s="24">
        <f t="shared" si="84"/>
        <v>1.2308698194124585E-4</v>
      </c>
      <c r="K1811" s="25">
        <f t="shared" si="86"/>
        <v>0.82576873468010958</v>
      </c>
      <c r="L1811" s="26" t="s">
        <v>7517</v>
      </c>
      <c r="M1811" s="28"/>
      <c r="N1811" s="28">
        <v>5.2215624082401484E-2</v>
      </c>
      <c r="O1811" s="20">
        <v>22225.89</v>
      </c>
      <c r="P1811" s="27" t="str">
        <f t="shared" si="85"/>
        <v>verde</v>
      </c>
    </row>
    <row r="1812" spans="1:16" ht="25.5">
      <c r="A1812" s="3" t="s">
        <v>4</v>
      </c>
      <c r="B1812" s="3" t="s">
        <v>1131</v>
      </c>
      <c r="C1812" s="4">
        <v>217</v>
      </c>
      <c r="D1812" s="3" t="s">
        <v>91</v>
      </c>
      <c r="E1812" s="3" t="s">
        <v>16</v>
      </c>
      <c r="F1812" s="5">
        <v>465</v>
      </c>
      <c r="G1812" s="5">
        <v>306</v>
      </c>
      <c r="H1812" s="6">
        <v>25360.71</v>
      </c>
      <c r="I1812" s="22">
        <v>17760.3</v>
      </c>
      <c r="J1812" s="24">
        <f t="shared" si="84"/>
        <v>1.2306328434422004E-4</v>
      </c>
      <c r="K1812" s="25">
        <f t="shared" si="86"/>
        <v>0.82589179796445378</v>
      </c>
      <c r="L1812" s="26" t="s">
        <v>7517</v>
      </c>
      <c r="M1812" s="28">
        <v>-1.326913096879008E-2</v>
      </c>
      <c r="N1812" s="28"/>
      <c r="O1812" s="20">
        <v>14588.64</v>
      </c>
      <c r="P1812" s="27" t="str">
        <f t="shared" si="85"/>
        <v>laranja</v>
      </c>
    </row>
    <row r="1813" spans="1:16" ht="25.5">
      <c r="A1813" s="3" t="s">
        <v>4</v>
      </c>
      <c r="B1813" s="3" t="s">
        <v>1132</v>
      </c>
      <c r="C1813" s="4">
        <v>327</v>
      </c>
      <c r="D1813" s="3" t="s">
        <v>100</v>
      </c>
      <c r="E1813" s="3" t="s">
        <v>7</v>
      </c>
      <c r="F1813" s="5">
        <v>0</v>
      </c>
      <c r="G1813" s="5">
        <v>282</v>
      </c>
      <c r="H1813" s="6">
        <v>0</v>
      </c>
      <c r="I1813" s="22">
        <v>17746.11</v>
      </c>
      <c r="J1813" s="24">
        <f t="shared" si="84"/>
        <v>1.2296496010392882E-4</v>
      </c>
      <c r="K1813" s="25">
        <f t="shared" si="86"/>
        <v>0.82601476292455767</v>
      </c>
      <c r="L1813" s="26" t="s">
        <v>7517</v>
      </c>
      <c r="M1813" s="28"/>
      <c r="N1813" s="28"/>
      <c r="O1813" s="20" t="s">
        <v>7530</v>
      </c>
      <c r="P1813" s="27" t="str">
        <f t="shared" si="85"/>
        <v>vermelho</v>
      </c>
    </row>
    <row r="1814" spans="1:16" ht="38.25">
      <c r="A1814" s="3" t="s">
        <v>4</v>
      </c>
      <c r="B1814" s="3" t="s">
        <v>1133</v>
      </c>
      <c r="C1814" s="4">
        <v>34</v>
      </c>
      <c r="D1814" s="3" t="s">
        <v>54</v>
      </c>
      <c r="E1814" s="3" t="s">
        <v>49</v>
      </c>
      <c r="F1814" s="5">
        <v>0</v>
      </c>
      <c r="G1814" s="5">
        <v>309</v>
      </c>
      <c r="H1814" s="6">
        <v>0</v>
      </c>
      <c r="I1814" s="22">
        <v>17712.54</v>
      </c>
      <c r="J1814" s="24">
        <f t="shared" si="84"/>
        <v>1.2273234948049141E-4</v>
      </c>
      <c r="K1814" s="25">
        <f t="shared" si="86"/>
        <v>0.82613749527403813</v>
      </c>
      <c r="L1814" s="26" t="s">
        <v>7517</v>
      </c>
      <c r="M1814" s="28"/>
      <c r="N1814" s="28"/>
      <c r="O1814" s="20" t="s">
        <v>7530</v>
      </c>
      <c r="P1814" s="27" t="str">
        <f t="shared" si="85"/>
        <v>vermelho</v>
      </c>
    </row>
    <row r="1815" spans="1:16" ht="25.5">
      <c r="A1815" s="3" t="s">
        <v>4</v>
      </c>
      <c r="B1815" s="3" t="s">
        <v>1134</v>
      </c>
      <c r="C1815" s="4">
        <v>41</v>
      </c>
      <c r="D1815" s="3" t="s">
        <v>178</v>
      </c>
      <c r="E1815" s="3" t="s">
        <v>41</v>
      </c>
      <c r="F1815" s="5">
        <v>126</v>
      </c>
      <c r="G1815" s="5">
        <v>306</v>
      </c>
      <c r="H1815" s="6">
        <v>6982.5</v>
      </c>
      <c r="I1815" s="22">
        <v>17712.035</v>
      </c>
      <c r="J1815" s="24">
        <f t="shared" si="84"/>
        <v>1.2272885027391303E-4</v>
      </c>
      <c r="K1815" s="25">
        <f t="shared" si="86"/>
        <v>0.82626022412431199</v>
      </c>
      <c r="L1815" s="26" t="s">
        <v>7517</v>
      </c>
      <c r="M1815" s="28"/>
      <c r="N1815" s="28"/>
      <c r="O1815" s="20" t="s">
        <v>7530</v>
      </c>
      <c r="P1815" s="27" t="str">
        <f t="shared" si="85"/>
        <v>vermelho</v>
      </c>
    </row>
    <row r="1816" spans="1:16">
      <c r="A1816" s="3" t="s">
        <v>4</v>
      </c>
      <c r="B1816" s="3" t="s">
        <v>1135</v>
      </c>
      <c r="C1816" s="4">
        <v>232</v>
      </c>
      <c r="D1816" s="3" t="s">
        <v>174</v>
      </c>
      <c r="E1816" s="3" t="s">
        <v>16</v>
      </c>
      <c r="F1816" s="5">
        <v>669</v>
      </c>
      <c r="G1816" s="5">
        <v>294</v>
      </c>
      <c r="H1816" s="6">
        <v>35905.17</v>
      </c>
      <c r="I1816" s="22">
        <v>17709.36</v>
      </c>
      <c r="J1816" s="24">
        <f t="shared" si="84"/>
        <v>1.2271031487273059E-4</v>
      </c>
      <c r="K1816" s="25">
        <f t="shared" si="86"/>
        <v>0.82638293443918476</v>
      </c>
      <c r="L1816" s="26" t="s">
        <v>7517</v>
      </c>
      <c r="M1816" s="28"/>
      <c r="N1816" s="28"/>
      <c r="O1816" s="20">
        <v>18419.88</v>
      </c>
      <c r="P1816" s="27" t="str">
        <f t="shared" si="85"/>
        <v>verde</v>
      </c>
    </row>
    <row r="1817" spans="1:16" ht="25.5">
      <c r="A1817" s="3" t="s">
        <v>4</v>
      </c>
      <c r="B1817" s="3" t="s">
        <v>1136</v>
      </c>
      <c r="C1817" s="4">
        <v>74</v>
      </c>
      <c r="D1817" s="3" t="s">
        <v>6</v>
      </c>
      <c r="E1817" s="3" t="s">
        <v>7</v>
      </c>
      <c r="F1817" s="5">
        <v>180</v>
      </c>
      <c r="G1817" s="5">
        <v>309</v>
      </c>
      <c r="H1817" s="6">
        <v>9570.48</v>
      </c>
      <c r="I1817" s="22">
        <v>17685.96</v>
      </c>
      <c r="J1817" s="24">
        <f t="shared" si="84"/>
        <v>1.2254817341939619E-4</v>
      </c>
      <c r="K1817" s="25">
        <f t="shared" si="86"/>
        <v>0.82650548261260415</v>
      </c>
      <c r="L1817" s="26" t="s">
        <v>7517</v>
      </c>
      <c r="M1817" s="28"/>
      <c r="N1817" s="28"/>
      <c r="O1817" s="20" t="s">
        <v>7530</v>
      </c>
      <c r="P1817" s="27" t="str">
        <f t="shared" si="85"/>
        <v>vermelho</v>
      </c>
    </row>
    <row r="1818" spans="1:16" ht="25.5">
      <c r="A1818" s="3" t="s">
        <v>4</v>
      </c>
      <c r="B1818" s="3" t="s">
        <v>1137</v>
      </c>
      <c r="C1818" s="4">
        <v>194</v>
      </c>
      <c r="D1818" s="3" t="s">
        <v>145</v>
      </c>
      <c r="E1818" s="3" t="s">
        <v>16</v>
      </c>
      <c r="F1818" s="5">
        <v>0</v>
      </c>
      <c r="G1818" s="5">
        <v>288</v>
      </c>
      <c r="H1818" s="6">
        <v>0</v>
      </c>
      <c r="I1818" s="22">
        <v>17683.560000000001</v>
      </c>
      <c r="J1818" s="24">
        <f t="shared" si="84"/>
        <v>1.2253154352674653E-4</v>
      </c>
      <c r="K1818" s="25">
        <f t="shared" si="86"/>
        <v>0.82662801415613085</v>
      </c>
      <c r="L1818" s="26" t="s">
        <v>7517</v>
      </c>
      <c r="M1818" s="28"/>
      <c r="N1818" s="28"/>
      <c r="O1818" s="20" t="s">
        <v>7530</v>
      </c>
      <c r="P1818" s="27" t="str">
        <f t="shared" si="85"/>
        <v>vermelho</v>
      </c>
    </row>
    <row r="1819" spans="1:16">
      <c r="A1819" s="3" t="s">
        <v>4</v>
      </c>
      <c r="B1819" s="3" t="s">
        <v>1138</v>
      </c>
      <c r="C1819" s="4">
        <v>240</v>
      </c>
      <c r="D1819" s="3" t="s">
        <v>69</v>
      </c>
      <c r="E1819" s="3" t="s">
        <v>16</v>
      </c>
      <c r="F1819" s="5">
        <v>252</v>
      </c>
      <c r="G1819" s="5">
        <v>249</v>
      </c>
      <c r="H1819" s="6">
        <v>14299.56</v>
      </c>
      <c r="I1819" s="22">
        <v>17663.07</v>
      </c>
      <c r="J1819" s="24">
        <f t="shared" si="84"/>
        <v>1.2238956581824985E-4</v>
      </c>
      <c r="K1819" s="25">
        <f t="shared" si="86"/>
        <v>0.82675040372194908</v>
      </c>
      <c r="L1819" s="26" t="s">
        <v>7517</v>
      </c>
      <c r="M1819" s="28"/>
      <c r="N1819" s="28"/>
      <c r="O1819" s="20" t="s">
        <v>7530</v>
      </c>
      <c r="P1819" s="27" t="str">
        <f t="shared" si="85"/>
        <v>vermelho</v>
      </c>
    </row>
    <row r="1820" spans="1:16" ht="38.25">
      <c r="A1820" s="3" t="s">
        <v>4</v>
      </c>
      <c r="B1820" s="3" t="s">
        <v>1139</v>
      </c>
      <c r="C1820" s="4">
        <v>45</v>
      </c>
      <c r="D1820" s="3" t="s">
        <v>23</v>
      </c>
      <c r="E1820" s="3" t="s">
        <v>7</v>
      </c>
      <c r="F1820" s="5">
        <v>183</v>
      </c>
      <c r="G1820" s="5">
        <v>279</v>
      </c>
      <c r="H1820" s="6">
        <v>10523.13</v>
      </c>
      <c r="I1820" s="22">
        <v>17662.47</v>
      </c>
      <c r="J1820" s="24">
        <f t="shared" si="84"/>
        <v>1.2238540834508745E-4</v>
      </c>
      <c r="K1820" s="25">
        <f t="shared" si="86"/>
        <v>0.82687278913029416</v>
      </c>
      <c r="L1820" s="26" t="s">
        <v>7517</v>
      </c>
      <c r="M1820" s="28"/>
      <c r="N1820" s="28"/>
      <c r="O1820" s="20">
        <v>7676.61</v>
      </c>
      <c r="P1820" s="27" t="str">
        <f t="shared" si="85"/>
        <v>amarelo</v>
      </c>
    </row>
    <row r="1821" spans="1:16" ht="38.25">
      <c r="A1821" s="3" t="s">
        <v>6370</v>
      </c>
      <c r="B1821" s="3" t="s">
        <v>6371</v>
      </c>
      <c r="C1821" s="4">
        <v>301</v>
      </c>
      <c r="D1821" s="3" t="s">
        <v>519</v>
      </c>
      <c r="E1821" s="3" t="s">
        <v>16</v>
      </c>
      <c r="F1821" s="5">
        <v>678</v>
      </c>
      <c r="G1821" s="5">
        <v>336</v>
      </c>
      <c r="H1821" s="6">
        <v>37269.96</v>
      </c>
      <c r="I1821" s="22">
        <v>17658.54</v>
      </c>
      <c r="J1821" s="24">
        <f t="shared" si="84"/>
        <v>1.2235817689587358E-4</v>
      </c>
      <c r="K1821" s="25">
        <f t="shared" si="86"/>
        <v>0.82699514730719004</v>
      </c>
      <c r="L1821" s="26" t="s">
        <v>7517</v>
      </c>
      <c r="M1821" s="28"/>
      <c r="N1821" s="28"/>
      <c r="O1821" s="20" t="s">
        <v>7530</v>
      </c>
      <c r="P1821" s="27" t="str">
        <f t="shared" si="85"/>
        <v>vermelho</v>
      </c>
    </row>
    <row r="1822" spans="1:16" ht="51">
      <c r="A1822" s="3" t="s">
        <v>4</v>
      </c>
      <c r="B1822" s="3" t="s">
        <v>1140</v>
      </c>
      <c r="C1822" s="4">
        <v>282</v>
      </c>
      <c r="D1822" s="3" t="s">
        <v>12</v>
      </c>
      <c r="E1822" s="3" t="s">
        <v>13</v>
      </c>
      <c r="F1822" s="5">
        <v>114</v>
      </c>
      <c r="G1822" s="5">
        <v>324</v>
      </c>
      <c r="H1822" s="6">
        <v>6813.54</v>
      </c>
      <c r="I1822" s="22">
        <v>17649.491999999998</v>
      </c>
      <c r="J1822" s="24">
        <f t="shared" si="84"/>
        <v>1.2229548220058428E-4</v>
      </c>
      <c r="K1822" s="25">
        <f t="shared" si="86"/>
        <v>0.82711744278939059</v>
      </c>
      <c r="L1822" s="26" t="s">
        <v>7517</v>
      </c>
      <c r="M1822" s="28"/>
      <c r="N1822" s="28"/>
      <c r="O1822" s="20" t="s">
        <v>7530</v>
      </c>
      <c r="P1822" s="27" t="str">
        <f t="shared" si="85"/>
        <v>vermelho</v>
      </c>
    </row>
    <row r="1823" spans="1:16" ht="25.5">
      <c r="A1823" s="3" t="s">
        <v>4</v>
      </c>
      <c r="B1823" s="3" t="s">
        <v>1141</v>
      </c>
      <c r="C1823" s="4">
        <v>317</v>
      </c>
      <c r="D1823" s="3" t="s">
        <v>78</v>
      </c>
      <c r="E1823" s="3" t="s">
        <v>10</v>
      </c>
      <c r="F1823" s="5">
        <v>0</v>
      </c>
      <c r="G1823" s="5">
        <v>294</v>
      </c>
      <c r="H1823" s="6">
        <v>0</v>
      </c>
      <c r="I1823" s="22">
        <v>17643.45</v>
      </c>
      <c r="J1823" s="24">
        <f t="shared" si="84"/>
        <v>1.2225361644583872E-4</v>
      </c>
      <c r="K1823" s="25">
        <f t="shared" si="86"/>
        <v>0.82723969640583639</v>
      </c>
      <c r="L1823" s="26" t="s">
        <v>7517</v>
      </c>
      <c r="M1823" s="28"/>
      <c r="N1823" s="28"/>
      <c r="O1823" s="20" t="s">
        <v>7530</v>
      </c>
      <c r="P1823" s="27" t="str">
        <f t="shared" si="85"/>
        <v>vermelho</v>
      </c>
    </row>
    <row r="1824" spans="1:16" ht="25.5">
      <c r="A1824" s="3" t="s">
        <v>4</v>
      </c>
      <c r="B1824" s="3" t="s">
        <v>1142</v>
      </c>
      <c r="C1824" s="4">
        <v>240</v>
      </c>
      <c r="D1824" s="3" t="s">
        <v>69</v>
      </c>
      <c r="E1824" s="3" t="s">
        <v>16</v>
      </c>
      <c r="F1824" s="5">
        <v>0</v>
      </c>
      <c r="G1824" s="5">
        <v>297</v>
      </c>
      <c r="H1824" s="6">
        <v>0</v>
      </c>
      <c r="I1824" s="22">
        <v>17643.060000000001</v>
      </c>
      <c r="J1824" s="24">
        <f t="shared" si="84"/>
        <v>1.2225091408828316E-4</v>
      </c>
      <c r="K1824" s="25">
        <f t="shared" si="86"/>
        <v>0.82736194731992463</v>
      </c>
      <c r="L1824" s="26" t="s">
        <v>7517</v>
      </c>
      <c r="M1824" s="28"/>
      <c r="N1824" s="28"/>
      <c r="O1824" s="20" t="s">
        <v>7530</v>
      </c>
      <c r="P1824" s="27" t="str">
        <f t="shared" si="85"/>
        <v>vermelho</v>
      </c>
    </row>
    <row r="1825" spans="1:16">
      <c r="A1825" s="3" t="s">
        <v>4</v>
      </c>
      <c r="B1825" s="3" t="s">
        <v>1143</v>
      </c>
      <c r="C1825" s="4">
        <v>315</v>
      </c>
      <c r="D1825" s="3" t="s">
        <v>63</v>
      </c>
      <c r="E1825" s="3" t="s">
        <v>7</v>
      </c>
      <c r="F1825" s="5">
        <v>84</v>
      </c>
      <c r="G1825" s="5">
        <v>380</v>
      </c>
      <c r="H1825" s="6">
        <v>3652.32</v>
      </c>
      <c r="I1825" s="22">
        <v>17627.994999999999</v>
      </c>
      <c r="J1825" s="24">
        <f t="shared" si="84"/>
        <v>1.2214652686629669E-4</v>
      </c>
      <c r="K1825" s="25">
        <f t="shared" si="86"/>
        <v>0.82748409384679089</v>
      </c>
      <c r="L1825" s="26" t="s">
        <v>7517</v>
      </c>
      <c r="M1825" s="28">
        <v>1.6689254468931505E-2</v>
      </c>
      <c r="N1825" s="28"/>
      <c r="O1825" s="20" t="s">
        <v>7530</v>
      </c>
      <c r="P1825" s="27" t="str">
        <f t="shared" si="85"/>
        <v>vermelho</v>
      </c>
    </row>
    <row r="1826" spans="1:16" ht="25.5">
      <c r="A1826" s="3" t="s">
        <v>4</v>
      </c>
      <c r="B1826" s="3" t="s">
        <v>1144</v>
      </c>
      <c r="C1826" s="4">
        <v>321</v>
      </c>
      <c r="D1826" s="3" t="s">
        <v>136</v>
      </c>
      <c r="E1826" s="3" t="s">
        <v>41</v>
      </c>
      <c r="F1826" s="5">
        <v>165</v>
      </c>
      <c r="G1826" s="5">
        <v>255</v>
      </c>
      <c r="H1826" s="6">
        <v>10310.94</v>
      </c>
      <c r="I1826" s="22">
        <v>17627.13</v>
      </c>
      <c r="J1826" s="24">
        <f t="shared" si="84"/>
        <v>1.221405331758209E-4</v>
      </c>
      <c r="K1826" s="25">
        <f t="shared" si="86"/>
        <v>0.82760623437996672</v>
      </c>
      <c r="L1826" s="26" t="s">
        <v>7517</v>
      </c>
      <c r="M1826" s="28"/>
      <c r="N1826" s="28"/>
      <c r="O1826" s="20" t="s">
        <v>7530</v>
      </c>
      <c r="P1826" s="27" t="str">
        <f t="shared" si="85"/>
        <v>vermelho</v>
      </c>
    </row>
    <row r="1827" spans="1:16" ht="25.5">
      <c r="A1827" s="3" t="s">
        <v>4</v>
      </c>
      <c r="B1827" s="3" t="s">
        <v>1145</v>
      </c>
      <c r="C1827" s="4">
        <v>232</v>
      </c>
      <c r="D1827" s="3" t="s">
        <v>174</v>
      </c>
      <c r="E1827" s="3" t="s">
        <v>16</v>
      </c>
      <c r="F1827" s="5">
        <v>282</v>
      </c>
      <c r="G1827" s="5">
        <v>285</v>
      </c>
      <c r="H1827" s="6">
        <v>14828.1</v>
      </c>
      <c r="I1827" s="22">
        <v>17616.54</v>
      </c>
      <c r="J1827" s="24">
        <f t="shared" si="84"/>
        <v>1.2206715377450418E-4</v>
      </c>
      <c r="K1827" s="25">
        <f t="shared" si="86"/>
        <v>0.82772830153374122</v>
      </c>
      <c r="L1827" s="26" t="s">
        <v>7517</v>
      </c>
      <c r="M1827" s="28"/>
      <c r="N1827" s="28"/>
      <c r="O1827" s="20" t="s">
        <v>7530</v>
      </c>
      <c r="P1827" s="27" t="str">
        <f t="shared" si="85"/>
        <v>vermelho</v>
      </c>
    </row>
    <row r="1828" spans="1:16" ht="25.5">
      <c r="A1828" s="3" t="s">
        <v>6372</v>
      </c>
      <c r="B1828" s="3" t="s">
        <v>6373</v>
      </c>
      <c r="C1828" s="4">
        <v>266</v>
      </c>
      <c r="D1828" s="3" t="s">
        <v>80</v>
      </c>
      <c r="E1828" s="3" t="s">
        <v>10</v>
      </c>
      <c r="F1828" s="5">
        <v>216</v>
      </c>
      <c r="G1828" s="5">
        <v>306</v>
      </c>
      <c r="H1828" s="6">
        <v>12435.24</v>
      </c>
      <c r="I1828" s="22">
        <v>17601.36</v>
      </c>
      <c r="J1828" s="24">
        <f t="shared" si="84"/>
        <v>1.2196196970349494E-4</v>
      </c>
      <c r="K1828" s="25">
        <f t="shared" si="86"/>
        <v>0.82785026350344471</v>
      </c>
      <c r="L1828" s="26" t="s">
        <v>7517</v>
      </c>
      <c r="M1828" s="28"/>
      <c r="N1828" s="28"/>
      <c r="O1828" s="20" t="s">
        <v>7530</v>
      </c>
      <c r="P1828" s="27" t="str">
        <f t="shared" si="85"/>
        <v>vermelho</v>
      </c>
    </row>
    <row r="1829" spans="1:16">
      <c r="A1829" s="3" t="s">
        <v>4</v>
      </c>
      <c r="B1829" s="3" t="s">
        <v>1146</v>
      </c>
      <c r="C1829" s="4">
        <v>167</v>
      </c>
      <c r="D1829" s="3" t="s">
        <v>251</v>
      </c>
      <c r="E1829" s="3" t="s">
        <v>49</v>
      </c>
      <c r="F1829" s="5">
        <v>261</v>
      </c>
      <c r="G1829" s="5">
        <v>273</v>
      </c>
      <c r="H1829" s="6">
        <v>15717.57</v>
      </c>
      <c r="I1829" s="22">
        <v>17596.95</v>
      </c>
      <c r="J1829" s="24">
        <f t="shared" si="84"/>
        <v>1.2193141227575116E-4</v>
      </c>
      <c r="K1829" s="25">
        <f t="shared" si="86"/>
        <v>0.82797219491572049</v>
      </c>
      <c r="L1829" s="26" t="s">
        <v>7517</v>
      </c>
      <c r="M1829" s="28"/>
      <c r="N1829" s="28"/>
      <c r="O1829" s="20">
        <v>7963.14</v>
      </c>
      <c r="P1829" s="27" t="str">
        <f t="shared" si="85"/>
        <v>amarelo</v>
      </c>
    </row>
    <row r="1830" spans="1:16">
      <c r="A1830" s="3" t="s">
        <v>4</v>
      </c>
      <c r="B1830" s="3" t="s">
        <v>1147</v>
      </c>
      <c r="C1830" s="4">
        <v>334</v>
      </c>
      <c r="D1830" s="3" t="s">
        <v>531</v>
      </c>
      <c r="E1830" s="3" t="s">
        <v>7</v>
      </c>
      <c r="F1830" s="5">
        <v>336</v>
      </c>
      <c r="G1830" s="5">
        <v>264</v>
      </c>
      <c r="H1830" s="6">
        <v>19255.64</v>
      </c>
      <c r="I1830" s="22">
        <v>17594.55</v>
      </c>
      <c r="J1830" s="24">
        <f t="shared" si="84"/>
        <v>1.2191478238310146E-4</v>
      </c>
      <c r="K1830" s="25">
        <f t="shared" si="86"/>
        <v>0.8280941096981036</v>
      </c>
      <c r="L1830" s="26" t="s">
        <v>7517</v>
      </c>
      <c r="M1830" s="28"/>
      <c r="N1830" s="28"/>
      <c r="O1830" s="20" t="s">
        <v>7530</v>
      </c>
      <c r="P1830" s="27" t="str">
        <f t="shared" si="85"/>
        <v>vermelho</v>
      </c>
    </row>
    <row r="1831" spans="1:16" ht="38.25">
      <c r="A1831" s="3" t="s">
        <v>4</v>
      </c>
      <c r="B1831" s="3" t="s">
        <v>1148</v>
      </c>
      <c r="C1831" s="4">
        <v>34</v>
      </c>
      <c r="D1831" s="3" t="s">
        <v>54</v>
      </c>
      <c r="E1831" s="3" t="s">
        <v>49</v>
      </c>
      <c r="F1831" s="5">
        <v>1113</v>
      </c>
      <c r="G1831" s="5">
        <v>240</v>
      </c>
      <c r="H1831" s="6">
        <v>67090.53</v>
      </c>
      <c r="I1831" s="22">
        <v>17577.599999999999</v>
      </c>
      <c r="J1831" s="24">
        <f t="shared" si="84"/>
        <v>1.2179733376626308E-4</v>
      </c>
      <c r="K1831" s="25">
        <f t="shared" si="86"/>
        <v>0.82821590703186987</v>
      </c>
      <c r="L1831" s="26" t="s">
        <v>7517</v>
      </c>
      <c r="M1831" s="28"/>
      <c r="N1831" s="28"/>
      <c r="O1831" s="20">
        <v>20355.93</v>
      </c>
      <c r="P1831" s="27" t="str">
        <f t="shared" si="85"/>
        <v>verde</v>
      </c>
    </row>
    <row r="1832" spans="1:16" ht="25.5">
      <c r="A1832" s="3" t="s">
        <v>4</v>
      </c>
      <c r="B1832" s="3" t="s">
        <v>1149</v>
      </c>
      <c r="C1832" s="4">
        <v>299</v>
      </c>
      <c r="D1832" s="3" t="s">
        <v>111</v>
      </c>
      <c r="E1832" s="3" t="s">
        <v>49</v>
      </c>
      <c r="F1832" s="5">
        <v>495</v>
      </c>
      <c r="G1832" s="5">
        <v>333</v>
      </c>
      <c r="H1832" s="6">
        <v>26757.177</v>
      </c>
      <c r="I1832" s="22">
        <v>17575.349999999999</v>
      </c>
      <c r="J1832" s="24">
        <f t="shared" si="84"/>
        <v>1.2178174324190401E-4</v>
      </c>
      <c r="K1832" s="25">
        <f t="shared" si="86"/>
        <v>0.82833768877511182</v>
      </c>
      <c r="L1832" s="26" t="s">
        <v>7517</v>
      </c>
      <c r="M1832" s="28"/>
      <c r="N1832" s="28"/>
      <c r="O1832" s="20" t="s">
        <v>7530</v>
      </c>
      <c r="P1832" s="27" t="str">
        <f t="shared" si="85"/>
        <v>vermelho</v>
      </c>
    </row>
    <row r="1833" spans="1:16" ht="25.5">
      <c r="A1833" s="3" t="s">
        <v>4</v>
      </c>
      <c r="B1833" s="3" t="s">
        <v>1150</v>
      </c>
      <c r="C1833" s="4">
        <v>266</v>
      </c>
      <c r="D1833" s="3" t="s">
        <v>80</v>
      </c>
      <c r="E1833" s="3" t="s">
        <v>10</v>
      </c>
      <c r="F1833" s="5">
        <v>315</v>
      </c>
      <c r="G1833" s="5">
        <v>276</v>
      </c>
      <c r="H1833" s="6">
        <v>19235.07</v>
      </c>
      <c r="I1833" s="22">
        <v>17565</v>
      </c>
      <c r="J1833" s="24">
        <f t="shared" si="84"/>
        <v>1.2171002682985228E-4</v>
      </c>
      <c r="K1833" s="25">
        <f t="shared" si="86"/>
        <v>0.82845939880194164</v>
      </c>
      <c r="L1833" s="26" t="s">
        <v>7517</v>
      </c>
      <c r="M1833" s="28"/>
      <c r="N1833" s="28"/>
      <c r="O1833" s="20" t="s">
        <v>7530</v>
      </c>
      <c r="P1833" s="27" t="str">
        <f t="shared" si="85"/>
        <v>vermelho</v>
      </c>
    </row>
    <row r="1834" spans="1:16" ht="25.5">
      <c r="A1834" s="3" t="s">
        <v>6374</v>
      </c>
      <c r="B1834" s="3" t="s">
        <v>6375</v>
      </c>
      <c r="C1834" s="4">
        <v>299</v>
      </c>
      <c r="D1834" s="3" t="s">
        <v>111</v>
      </c>
      <c r="E1834" s="3" t="s">
        <v>49</v>
      </c>
      <c r="F1834" s="5">
        <v>210</v>
      </c>
      <c r="G1834" s="5">
        <v>288</v>
      </c>
      <c r="H1834" s="6">
        <v>12423.9</v>
      </c>
      <c r="I1834" s="22">
        <v>17534.13</v>
      </c>
      <c r="J1834" s="24">
        <f t="shared" si="84"/>
        <v>1.2149612483564576E-4</v>
      </c>
      <c r="K1834" s="25">
        <f t="shared" si="86"/>
        <v>0.82858089492677733</v>
      </c>
      <c r="L1834" s="26" t="s">
        <v>7517</v>
      </c>
      <c r="M1834" s="28"/>
      <c r="N1834" s="28"/>
      <c r="O1834" s="20" t="s">
        <v>7530</v>
      </c>
      <c r="P1834" s="27" t="str">
        <f t="shared" si="85"/>
        <v>vermelho</v>
      </c>
    </row>
    <row r="1835" spans="1:16" ht="25.5">
      <c r="A1835" s="3" t="s">
        <v>4</v>
      </c>
      <c r="B1835" s="3" t="s">
        <v>1151</v>
      </c>
      <c r="C1835" s="4">
        <v>23</v>
      </c>
      <c r="D1835" s="3" t="s">
        <v>87</v>
      </c>
      <c r="E1835" s="3" t="s">
        <v>7</v>
      </c>
      <c r="F1835" s="5">
        <v>315</v>
      </c>
      <c r="G1835" s="5">
        <v>306</v>
      </c>
      <c r="H1835" s="6">
        <v>18521.669999999998</v>
      </c>
      <c r="I1835" s="22">
        <v>17525.34</v>
      </c>
      <c r="J1835" s="24">
        <f t="shared" si="84"/>
        <v>1.2143521785381629E-4</v>
      </c>
      <c r="K1835" s="25">
        <f t="shared" si="86"/>
        <v>0.82870233014463113</v>
      </c>
      <c r="L1835" s="26" t="s">
        <v>7517</v>
      </c>
      <c r="M1835" s="28"/>
      <c r="N1835" s="28"/>
      <c r="O1835" s="20">
        <v>3015.6</v>
      </c>
      <c r="P1835" s="27" t="str">
        <f t="shared" si="85"/>
        <v>amarelo</v>
      </c>
    </row>
    <row r="1836" spans="1:16" ht="38.25">
      <c r="A1836" s="3" t="s">
        <v>4</v>
      </c>
      <c r="B1836" s="3" t="s">
        <v>1152</v>
      </c>
      <c r="C1836" s="4">
        <v>34</v>
      </c>
      <c r="D1836" s="3" t="s">
        <v>54</v>
      </c>
      <c r="E1836" s="3" t="s">
        <v>49</v>
      </c>
      <c r="F1836" s="5">
        <v>162</v>
      </c>
      <c r="G1836" s="5">
        <v>264</v>
      </c>
      <c r="H1836" s="6">
        <v>9301.3799999999992</v>
      </c>
      <c r="I1836" s="22">
        <v>17524.2</v>
      </c>
      <c r="J1836" s="24">
        <f t="shared" si="84"/>
        <v>1.214273186548077E-4</v>
      </c>
      <c r="K1836" s="25">
        <f t="shared" si="86"/>
        <v>0.82882375746328596</v>
      </c>
      <c r="L1836" s="26" t="s">
        <v>7517</v>
      </c>
      <c r="M1836" s="28"/>
      <c r="N1836" s="28"/>
      <c r="O1836" s="20" t="s">
        <v>7530</v>
      </c>
      <c r="P1836" s="27" t="str">
        <f t="shared" si="85"/>
        <v>vermelho</v>
      </c>
    </row>
    <row r="1837" spans="1:16" ht="25.5">
      <c r="A1837" s="3" t="s">
        <v>4</v>
      </c>
      <c r="B1837" s="3" t="s">
        <v>1153</v>
      </c>
      <c r="C1837" s="4">
        <v>208</v>
      </c>
      <c r="D1837" s="3" t="s">
        <v>15</v>
      </c>
      <c r="E1837" s="3" t="s">
        <v>16</v>
      </c>
      <c r="F1837" s="5">
        <v>414</v>
      </c>
      <c r="G1837" s="5">
        <v>288</v>
      </c>
      <c r="H1837" s="6">
        <v>23311.47</v>
      </c>
      <c r="I1837" s="22">
        <v>17524.080000000002</v>
      </c>
      <c r="J1837" s="24">
        <f t="shared" si="84"/>
        <v>1.2142648716017522E-4</v>
      </c>
      <c r="K1837" s="25">
        <f t="shared" si="86"/>
        <v>0.82894518395044614</v>
      </c>
      <c r="L1837" s="26" t="s">
        <v>7517</v>
      </c>
      <c r="M1837" s="28"/>
      <c r="N1837" s="28"/>
      <c r="O1837" s="20" t="s">
        <v>7530</v>
      </c>
      <c r="P1837" s="27" t="str">
        <f t="shared" si="85"/>
        <v>vermelho</v>
      </c>
    </row>
    <row r="1838" spans="1:16" ht="25.5">
      <c r="A1838" s="3" t="s">
        <v>6376</v>
      </c>
      <c r="B1838" s="3" t="s">
        <v>6377</v>
      </c>
      <c r="C1838" s="4">
        <v>93</v>
      </c>
      <c r="D1838" s="3" t="s">
        <v>20</v>
      </c>
      <c r="E1838" s="3" t="s">
        <v>7</v>
      </c>
      <c r="F1838" s="5">
        <v>468</v>
      </c>
      <c r="G1838" s="5">
        <v>372</v>
      </c>
      <c r="H1838" s="6">
        <v>18663.132000000001</v>
      </c>
      <c r="I1838" s="22">
        <v>17514.72</v>
      </c>
      <c r="J1838" s="24">
        <f t="shared" si="84"/>
        <v>1.2136163057884147E-4</v>
      </c>
      <c r="K1838" s="25">
        <f t="shared" si="86"/>
        <v>0.82906654558102499</v>
      </c>
      <c r="L1838" s="26" t="s">
        <v>7517</v>
      </c>
      <c r="M1838" s="28"/>
      <c r="N1838" s="28"/>
      <c r="O1838" s="20" t="s">
        <v>7530</v>
      </c>
      <c r="P1838" s="27" t="str">
        <f t="shared" si="85"/>
        <v>vermelho</v>
      </c>
    </row>
    <row r="1839" spans="1:16" ht="25.5">
      <c r="A1839" s="3" t="s">
        <v>4</v>
      </c>
      <c r="B1839" s="3" t="s">
        <v>1154</v>
      </c>
      <c r="C1839" s="4">
        <v>194</v>
      </c>
      <c r="D1839" s="3" t="s">
        <v>145</v>
      </c>
      <c r="E1839" s="3" t="s">
        <v>16</v>
      </c>
      <c r="F1839" s="5">
        <v>327</v>
      </c>
      <c r="G1839" s="5">
        <v>276</v>
      </c>
      <c r="H1839" s="6">
        <v>16159.05</v>
      </c>
      <c r="I1839" s="22">
        <v>17507.759999999998</v>
      </c>
      <c r="J1839" s="24">
        <f t="shared" si="84"/>
        <v>1.2131340389015737E-4</v>
      </c>
      <c r="K1839" s="25">
        <f t="shared" si="86"/>
        <v>0.8291878589849152</v>
      </c>
      <c r="L1839" s="26" t="s">
        <v>7517</v>
      </c>
      <c r="M1839" s="28"/>
      <c r="N1839" s="28"/>
      <c r="O1839" s="20">
        <v>3259.8</v>
      </c>
      <c r="P1839" s="27" t="str">
        <f t="shared" si="85"/>
        <v>amarelo</v>
      </c>
    </row>
    <row r="1840" spans="1:16" ht="25.5">
      <c r="A1840" s="3" t="s">
        <v>4</v>
      </c>
      <c r="B1840" s="3" t="s">
        <v>1155</v>
      </c>
      <c r="C1840" s="4">
        <v>217</v>
      </c>
      <c r="D1840" s="3" t="s">
        <v>91</v>
      </c>
      <c r="E1840" s="3" t="s">
        <v>16</v>
      </c>
      <c r="F1840" s="5">
        <v>204</v>
      </c>
      <c r="G1840" s="5">
        <v>303</v>
      </c>
      <c r="H1840" s="6">
        <v>12814.68</v>
      </c>
      <c r="I1840" s="22">
        <v>17503.47</v>
      </c>
      <c r="J1840" s="24">
        <f t="shared" si="84"/>
        <v>1.2128367795704609E-4</v>
      </c>
      <c r="K1840" s="25">
        <f t="shared" si="86"/>
        <v>0.82930914266287226</v>
      </c>
      <c r="L1840" s="26" t="s">
        <v>7517</v>
      </c>
      <c r="M1840" s="28">
        <v>2.2148317039784687E-2</v>
      </c>
      <c r="N1840" s="28"/>
      <c r="O1840" s="20">
        <v>29002.799999999999</v>
      </c>
      <c r="P1840" s="27" t="str">
        <f t="shared" si="85"/>
        <v>verde</v>
      </c>
    </row>
    <row r="1841" spans="1:16" ht="25.5">
      <c r="A1841" s="3" t="s">
        <v>4</v>
      </c>
      <c r="B1841" s="3" t="s">
        <v>1156</v>
      </c>
      <c r="C1841" s="4">
        <v>297</v>
      </c>
      <c r="D1841" s="3" t="s">
        <v>115</v>
      </c>
      <c r="E1841" s="3" t="s">
        <v>41</v>
      </c>
      <c r="F1841" s="5">
        <v>138</v>
      </c>
      <c r="G1841" s="5">
        <v>297</v>
      </c>
      <c r="H1841" s="6">
        <v>8599.7039999999997</v>
      </c>
      <c r="I1841" s="22">
        <v>17474.400000000001</v>
      </c>
      <c r="J1841" s="24">
        <f t="shared" si="84"/>
        <v>1.2108224838232682E-4</v>
      </c>
      <c r="K1841" s="25">
        <f t="shared" si="86"/>
        <v>0.82943022491125462</v>
      </c>
      <c r="L1841" s="26" t="s">
        <v>7517</v>
      </c>
      <c r="M1841" s="28"/>
      <c r="N1841" s="28"/>
      <c r="O1841" s="20" t="s">
        <v>7530</v>
      </c>
      <c r="P1841" s="27" t="str">
        <f t="shared" si="85"/>
        <v>vermelho</v>
      </c>
    </row>
    <row r="1842" spans="1:16" ht="25.5">
      <c r="A1842" s="3" t="s">
        <v>4</v>
      </c>
      <c r="B1842" s="3" t="s">
        <v>1157</v>
      </c>
      <c r="C1842" s="4">
        <v>317</v>
      </c>
      <c r="D1842" s="3" t="s">
        <v>78</v>
      </c>
      <c r="E1842" s="3" t="s">
        <v>10</v>
      </c>
      <c r="F1842" s="5">
        <v>120</v>
      </c>
      <c r="G1842" s="5">
        <v>288</v>
      </c>
      <c r="H1842" s="6">
        <v>7363.32</v>
      </c>
      <c r="I1842" s="22">
        <v>17467.68</v>
      </c>
      <c r="J1842" s="24">
        <f t="shared" si="84"/>
        <v>1.2103568468290771E-4</v>
      </c>
      <c r="K1842" s="25">
        <f t="shared" si="86"/>
        <v>0.82955126059593753</v>
      </c>
      <c r="L1842" s="26" t="s">
        <v>7517</v>
      </c>
      <c r="M1842" s="28"/>
      <c r="N1842" s="28"/>
      <c r="O1842" s="20" t="s">
        <v>7530</v>
      </c>
      <c r="P1842" s="27" t="str">
        <f t="shared" si="85"/>
        <v>vermelho</v>
      </c>
    </row>
    <row r="1843" spans="1:16" ht="25.5">
      <c r="A1843" s="3" t="s">
        <v>4</v>
      </c>
      <c r="B1843" s="3" t="s">
        <v>1158</v>
      </c>
      <c r="C1843" s="4">
        <v>178</v>
      </c>
      <c r="D1843" s="3" t="s">
        <v>74</v>
      </c>
      <c r="E1843" s="3" t="s">
        <v>7</v>
      </c>
      <c r="F1843" s="5">
        <v>339</v>
      </c>
      <c r="G1843" s="5">
        <v>264</v>
      </c>
      <c r="H1843" s="6">
        <v>18319.62</v>
      </c>
      <c r="I1843" s="22">
        <v>17463.599999999999</v>
      </c>
      <c r="J1843" s="24">
        <f t="shared" si="84"/>
        <v>1.2100741386540324E-4</v>
      </c>
      <c r="K1843" s="25">
        <f t="shared" si="86"/>
        <v>0.82967226800980298</v>
      </c>
      <c r="L1843" s="26" t="s">
        <v>7517</v>
      </c>
      <c r="M1843" s="28"/>
      <c r="N1843" s="28"/>
      <c r="O1843" s="20">
        <v>6910.92</v>
      </c>
      <c r="P1843" s="27" t="str">
        <f t="shared" si="85"/>
        <v>amarelo</v>
      </c>
    </row>
    <row r="1844" spans="1:16" ht="25.5">
      <c r="A1844" s="3" t="s">
        <v>4</v>
      </c>
      <c r="B1844" s="3" t="s">
        <v>1159</v>
      </c>
      <c r="C1844" s="4">
        <v>31</v>
      </c>
      <c r="D1844" s="3" t="s">
        <v>194</v>
      </c>
      <c r="E1844" s="3" t="s">
        <v>16</v>
      </c>
      <c r="F1844" s="5">
        <v>96</v>
      </c>
      <c r="G1844" s="5">
        <v>276</v>
      </c>
      <c r="H1844" s="6">
        <v>5939.04</v>
      </c>
      <c r="I1844" s="22">
        <v>17461.36</v>
      </c>
      <c r="J1844" s="24">
        <f t="shared" si="84"/>
        <v>1.2099189263226355E-4</v>
      </c>
      <c r="K1844" s="25">
        <f t="shared" si="86"/>
        <v>0.82979325990243524</v>
      </c>
      <c r="L1844" s="26" t="s">
        <v>7517</v>
      </c>
      <c r="M1844" s="28"/>
      <c r="N1844" s="28"/>
      <c r="O1844" s="20" t="s">
        <v>7530</v>
      </c>
      <c r="P1844" s="27" t="str">
        <f t="shared" si="85"/>
        <v>vermelho</v>
      </c>
    </row>
    <row r="1845" spans="1:16" ht="25.5">
      <c r="A1845" s="3" t="s">
        <v>4</v>
      </c>
      <c r="B1845" s="3" t="s">
        <v>1160</v>
      </c>
      <c r="C1845" s="4">
        <v>320</v>
      </c>
      <c r="D1845" s="3" t="s">
        <v>218</v>
      </c>
      <c r="E1845" s="3" t="s">
        <v>49</v>
      </c>
      <c r="F1845" s="5">
        <v>168</v>
      </c>
      <c r="G1845" s="5">
        <v>288</v>
      </c>
      <c r="H1845" s="6">
        <v>9564.24</v>
      </c>
      <c r="I1845" s="22">
        <v>17459.88</v>
      </c>
      <c r="J1845" s="24">
        <f t="shared" si="84"/>
        <v>1.2098163753179625E-4</v>
      </c>
      <c r="K1845" s="25">
        <f t="shared" si="86"/>
        <v>0.82991424153996707</v>
      </c>
      <c r="L1845" s="26" t="s">
        <v>7517</v>
      </c>
      <c r="M1845" s="28"/>
      <c r="N1845" s="28"/>
      <c r="O1845" s="20" t="s">
        <v>7530</v>
      </c>
      <c r="P1845" s="27" t="str">
        <f t="shared" si="85"/>
        <v>vermelho</v>
      </c>
    </row>
    <row r="1846" spans="1:16" ht="25.5">
      <c r="A1846" s="3" t="s">
        <v>4</v>
      </c>
      <c r="B1846" s="3" t="s">
        <v>1161</v>
      </c>
      <c r="C1846" s="4">
        <v>74</v>
      </c>
      <c r="D1846" s="3" t="s">
        <v>6</v>
      </c>
      <c r="E1846" s="3" t="s">
        <v>7</v>
      </c>
      <c r="F1846" s="5">
        <v>216</v>
      </c>
      <c r="G1846" s="5">
        <v>267</v>
      </c>
      <c r="H1846" s="6">
        <v>11632.32</v>
      </c>
      <c r="I1846" s="22">
        <v>17457.060000000001</v>
      </c>
      <c r="J1846" s="24">
        <f t="shared" si="84"/>
        <v>1.2096209740793289E-4</v>
      </c>
      <c r="K1846" s="25">
        <f t="shared" si="86"/>
        <v>0.83003520363737504</v>
      </c>
      <c r="L1846" s="26" t="s">
        <v>7517</v>
      </c>
      <c r="M1846" s="28"/>
      <c r="N1846" s="28"/>
      <c r="O1846" s="20" t="s">
        <v>7530</v>
      </c>
      <c r="P1846" s="27" t="str">
        <f t="shared" si="85"/>
        <v>vermelho</v>
      </c>
    </row>
    <row r="1847" spans="1:16" ht="25.5">
      <c r="A1847" s="3" t="s">
        <v>4</v>
      </c>
      <c r="B1847" s="3" t="s">
        <v>1162</v>
      </c>
      <c r="C1847" s="4">
        <v>337</v>
      </c>
      <c r="D1847" s="3" t="s">
        <v>202</v>
      </c>
      <c r="E1847" s="3" t="s">
        <v>16</v>
      </c>
      <c r="F1847" s="5">
        <v>168</v>
      </c>
      <c r="G1847" s="5">
        <v>366</v>
      </c>
      <c r="H1847" s="6">
        <v>7449.12</v>
      </c>
      <c r="I1847" s="22">
        <v>17438.939999999999</v>
      </c>
      <c r="J1847" s="24">
        <f t="shared" si="84"/>
        <v>1.2083654171842777E-4</v>
      </c>
      <c r="K1847" s="25">
        <f t="shared" si="86"/>
        <v>0.8301560401790935</v>
      </c>
      <c r="L1847" s="26" t="s">
        <v>7517</v>
      </c>
      <c r="M1847" s="28"/>
      <c r="N1847" s="28"/>
      <c r="O1847" s="20" t="s">
        <v>7530</v>
      </c>
      <c r="P1847" s="27" t="str">
        <f t="shared" si="85"/>
        <v>vermelho</v>
      </c>
    </row>
    <row r="1848" spans="1:16" ht="38.25">
      <c r="A1848" s="3" t="s">
        <v>4</v>
      </c>
      <c r="B1848" s="3" t="s">
        <v>1163</v>
      </c>
      <c r="C1848" s="4">
        <v>15</v>
      </c>
      <c r="D1848" s="3" t="s">
        <v>18</v>
      </c>
      <c r="E1848" s="3" t="s">
        <v>16</v>
      </c>
      <c r="F1848" s="5">
        <v>192</v>
      </c>
      <c r="G1848" s="5">
        <v>252</v>
      </c>
      <c r="H1848" s="6">
        <v>12129.12</v>
      </c>
      <c r="I1848" s="22">
        <v>17427.96</v>
      </c>
      <c r="J1848" s="24">
        <f t="shared" si="84"/>
        <v>1.2076045995955549E-4</v>
      </c>
      <c r="K1848" s="25">
        <f t="shared" si="86"/>
        <v>0.83027680063905307</v>
      </c>
      <c r="L1848" s="26" t="s">
        <v>7517</v>
      </c>
      <c r="M1848" s="28"/>
      <c r="N1848" s="28"/>
      <c r="O1848" s="20" t="s">
        <v>7530</v>
      </c>
      <c r="P1848" s="27" t="str">
        <f t="shared" si="85"/>
        <v>vermelho</v>
      </c>
    </row>
    <row r="1849" spans="1:16">
      <c r="A1849" s="3" t="s">
        <v>6378</v>
      </c>
      <c r="B1849" s="3" t="s">
        <v>6379</v>
      </c>
      <c r="C1849" s="4">
        <v>217</v>
      </c>
      <c r="D1849" s="3" t="s">
        <v>91</v>
      </c>
      <c r="E1849" s="3" t="s">
        <v>16</v>
      </c>
      <c r="F1849" s="5">
        <v>201</v>
      </c>
      <c r="G1849" s="5">
        <v>300</v>
      </c>
      <c r="H1849" s="6">
        <v>10549.65</v>
      </c>
      <c r="I1849" s="22">
        <v>17426.04</v>
      </c>
      <c r="J1849" s="24">
        <f t="shared" si="84"/>
        <v>1.2074715604543576E-4</v>
      </c>
      <c r="K1849" s="25">
        <f t="shared" si="86"/>
        <v>0.83039754779509856</v>
      </c>
      <c r="L1849" s="26" t="s">
        <v>7517</v>
      </c>
      <c r="M1849" s="28"/>
      <c r="N1849" s="28"/>
      <c r="O1849" s="20" t="s">
        <v>7530</v>
      </c>
      <c r="P1849" s="27" t="str">
        <f t="shared" si="85"/>
        <v>vermelho</v>
      </c>
    </row>
    <row r="1850" spans="1:16">
      <c r="A1850" s="3" t="s">
        <v>6380</v>
      </c>
      <c r="B1850" s="3" t="s">
        <v>6381</v>
      </c>
      <c r="C1850" s="4">
        <v>315</v>
      </c>
      <c r="D1850" s="3" t="s">
        <v>63</v>
      </c>
      <c r="E1850" s="3" t="s">
        <v>7</v>
      </c>
      <c r="F1850" s="5">
        <v>429</v>
      </c>
      <c r="G1850" s="5">
        <v>294</v>
      </c>
      <c r="H1850" s="6">
        <v>24692.52</v>
      </c>
      <c r="I1850" s="22">
        <v>17420.816999999999</v>
      </c>
      <c r="J1850" s="24">
        <f t="shared" si="84"/>
        <v>1.2071096524155688E-4</v>
      </c>
      <c r="K1850" s="25">
        <f t="shared" si="86"/>
        <v>0.83051825876034013</v>
      </c>
      <c r="L1850" s="26" t="s">
        <v>7517</v>
      </c>
      <c r="M1850" s="28"/>
      <c r="N1850" s="28"/>
      <c r="O1850" s="20">
        <v>10788.675999999999</v>
      </c>
      <c r="P1850" s="27" t="str">
        <f t="shared" si="85"/>
        <v>laranja</v>
      </c>
    </row>
    <row r="1851" spans="1:16">
      <c r="A1851" s="3" t="s">
        <v>6382</v>
      </c>
      <c r="B1851" s="3" t="s">
        <v>6383</v>
      </c>
      <c r="C1851" s="4">
        <v>167</v>
      </c>
      <c r="D1851" s="3" t="s">
        <v>251</v>
      </c>
      <c r="E1851" s="3" t="s">
        <v>49</v>
      </c>
      <c r="F1851" s="5">
        <v>276</v>
      </c>
      <c r="G1851" s="5">
        <v>327</v>
      </c>
      <c r="H1851" s="6">
        <v>16033.68</v>
      </c>
      <c r="I1851" s="22">
        <v>17418.810000000001</v>
      </c>
      <c r="J1851" s="24">
        <f t="shared" si="84"/>
        <v>1.206970584938286E-4</v>
      </c>
      <c r="K1851" s="25">
        <f t="shared" si="86"/>
        <v>0.83063895581883396</v>
      </c>
      <c r="L1851" s="26" t="s">
        <v>7517</v>
      </c>
      <c r="M1851" s="28"/>
      <c r="N1851" s="28"/>
      <c r="O1851" s="20">
        <v>5235</v>
      </c>
      <c r="P1851" s="27" t="str">
        <f t="shared" si="85"/>
        <v>amarelo</v>
      </c>
    </row>
    <row r="1852" spans="1:16" ht="25.5">
      <c r="A1852" s="3" t="s">
        <v>4</v>
      </c>
      <c r="B1852" s="3" t="s">
        <v>1164</v>
      </c>
      <c r="C1852" s="4">
        <v>267</v>
      </c>
      <c r="D1852" s="3" t="s">
        <v>125</v>
      </c>
      <c r="E1852" s="3" t="s">
        <v>16</v>
      </c>
      <c r="F1852" s="5">
        <v>258</v>
      </c>
      <c r="G1852" s="5">
        <v>323</v>
      </c>
      <c r="H1852" s="6">
        <v>12887.1</v>
      </c>
      <c r="I1852" s="22">
        <v>17415.43</v>
      </c>
      <c r="J1852" s="24">
        <f t="shared" si="84"/>
        <v>1.2067363806168029E-4</v>
      </c>
      <c r="K1852" s="25">
        <f t="shared" si="86"/>
        <v>0.83075962945689563</v>
      </c>
      <c r="L1852" s="26" t="s">
        <v>7517</v>
      </c>
      <c r="M1852" s="28">
        <v>4.2133551427483519E-2</v>
      </c>
      <c r="N1852" s="28"/>
      <c r="O1852" s="20">
        <v>14346.9</v>
      </c>
      <c r="P1852" s="27" t="str">
        <f t="shared" si="85"/>
        <v>laranja</v>
      </c>
    </row>
    <row r="1853" spans="1:16" ht="25.5">
      <c r="A1853" s="3" t="s">
        <v>4</v>
      </c>
      <c r="B1853" s="3" t="s">
        <v>1165</v>
      </c>
      <c r="C1853" s="4">
        <v>316</v>
      </c>
      <c r="D1853" s="3" t="s">
        <v>247</v>
      </c>
      <c r="E1853" s="3" t="s">
        <v>10</v>
      </c>
      <c r="F1853" s="5">
        <v>150</v>
      </c>
      <c r="G1853" s="5">
        <v>279</v>
      </c>
      <c r="H1853" s="6">
        <v>8897.91</v>
      </c>
      <c r="I1853" s="22">
        <v>17394.48</v>
      </c>
      <c r="J1853" s="24">
        <f t="shared" si="84"/>
        <v>1.2052847295709244E-4</v>
      </c>
      <c r="K1853" s="25">
        <f t="shared" si="86"/>
        <v>0.8308801579298527</v>
      </c>
      <c r="L1853" s="26" t="s">
        <v>7517</v>
      </c>
      <c r="M1853" s="28"/>
      <c r="N1853" s="28"/>
      <c r="O1853" s="20">
        <v>6449.49</v>
      </c>
      <c r="P1853" s="27" t="str">
        <f t="shared" si="85"/>
        <v>amarelo</v>
      </c>
    </row>
    <row r="1854" spans="1:16" ht="25.5">
      <c r="A1854" s="3" t="s">
        <v>4</v>
      </c>
      <c r="B1854" s="3" t="s">
        <v>1166</v>
      </c>
      <c r="C1854" s="4">
        <v>299</v>
      </c>
      <c r="D1854" s="3" t="s">
        <v>111</v>
      </c>
      <c r="E1854" s="3" t="s">
        <v>49</v>
      </c>
      <c r="F1854" s="5">
        <v>216</v>
      </c>
      <c r="G1854" s="5">
        <v>273</v>
      </c>
      <c r="H1854" s="6">
        <v>12918.948</v>
      </c>
      <c r="I1854" s="22">
        <v>17393.310000000001</v>
      </c>
      <c r="J1854" s="24">
        <f t="shared" si="84"/>
        <v>1.2052036588442573E-4</v>
      </c>
      <c r="K1854" s="25">
        <f t="shared" si="86"/>
        <v>0.83100067829573709</v>
      </c>
      <c r="L1854" s="26" t="s">
        <v>7517</v>
      </c>
      <c r="M1854" s="28"/>
      <c r="N1854" s="28"/>
      <c r="O1854" s="20" t="s">
        <v>7530</v>
      </c>
      <c r="P1854" s="27" t="str">
        <f t="shared" si="85"/>
        <v>vermelho</v>
      </c>
    </row>
    <row r="1855" spans="1:16" ht="25.5">
      <c r="A1855" s="3" t="s">
        <v>5284</v>
      </c>
      <c r="B1855" s="3" t="s">
        <v>5285</v>
      </c>
      <c r="C1855" s="4">
        <v>337</v>
      </c>
      <c r="D1855" s="3" t="s">
        <v>202</v>
      </c>
      <c r="E1855" s="3" t="s">
        <v>16</v>
      </c>
      <c r="F1855" s="5">
        <v>342</v>
      </c>
      <c r="G1855" s="5">
        <v>312</v>
      </c>
      <c r="H1855" s="6">
        <v>20976.720000000001</v>
      </c>
      <c r="I1855" s="22">
        <v>17392.32</v>
      </c>
      <c r="J1855" s="24">
        <f t="shared" si="84"/>
        <v>1.2051350605370773E-4</v>
      </c>
      <c r="K1855" s="25">
        <f t="shared" si="86"/>
        <v>0.83112119180179078</v>
      </c>
      <c r="L1855" s="26" t="s">
        <v>7517</v>
      </c>
      <c r="M1855" s="28"/>
      <c r="N1855" s="28"/>
      <c r="O1855" s="20">
        <v>13253.76</v>
      </c>
      <c r="P1855" s="27" t="str">
        <f t="shared" si="85"/>
        <v>laranja</v>
      </c>
    </row>
    <row r="1856" spans="1:16">
      <c r="A1856" s="3" t="s">
        <v>6384</v>
      </c>
      <c r="B1856" s="3" t="s">
        <v>6385</v>
      </c>
      <c r="C1856" s="4">
        <v>240</v>
      </c>
      <c r="D1856" s="3" t="s">
        <v>69</v>
      </c>
      <c r="E1856" s="3" t="s">
        <v>16</v>
      </c>
      <c r="F1856" s="5">
        <v>405</v>
      </c>
      <c r="G1856" s="5">
        <v>276</v>
      </c>
      <c r="H1856" s="6">
        <v>23114.61</v>
      </c>
      <c r="I1856" s="22">
        <v>17391.599999999999</v>
      </c>
      <c r="J1856" s="24">
        <f t="shared" si="84"/>
        <v>1.2050851708591282E-4</v>
      </c>
      <c r="K1856" s="25">
        <f t="shared" si="86"/>
        <v>0.83124170031887668</v>
      </c>
      <c r="L1856" s="26" t="s">
        <v>7517</v>
      </c>
      <c r="M1856" s="28"/>
      <c r="N1856" s="28"/>
      <c r="O1856" s="20">
        <v>2933.52</v>
      </c>
      <c r="P1856" s="27" t="str">
        <f t="shared" si="85"/>
        <v>amarelo</v>
      </c>
    </row>
    <row r="1857" spans="1:16" ht="25.5">
      <c r="A1857" s="3" t="s">
        <v>4</v>
      </c>
      <c r="B1857" s="3" t="s">
        <v>1167</v>
      </c>
      <c r="C1857" s="4">
        <v>31</v>
      </c>
      <c r="D1857" s="3" t="s">
        <v>194</v>
      </c>
      <c r="E1857" s="3" t="s">
        <v>16</v>
      </c>
      <c r="F1857" s="5">
        <v>408</v>
      </c>
      <c r="G1857" s="5">
        <v>288</v>
      </c>
      <c r="H1857" s="6">
        <v>21397.8</v>
      </c>
      <c r="I1857" s="22">
        <v>17385.72</v>
      </c>
      <c r="J1857" s="24">
        <f t="shared" si="84"/>
        <v>1.2046777384892111E-4</v>
      </c>
      <c r="K1857" s="25">
        <f t="shared" si="86"/>
        <v>0.83136216809272556</v>
      </c>
      <c r="L1857" s="26" t="s">
        <v>7517</v>
      </c>
      <c r="M1857" s="28"/>
      <c r="N1857" s="28"/>
      <c r="O1857" s="20" t="s">
        <v>7530</v>
      </c>
      <c r="P1857" s="27" t="str">
        <f t="shared" si="85"/>
        <v>vermelho</v>
      </c>
    </row>
    <row r="1858" spans="1:16" ht="25.5">
      <c r="A1858" s="3" t="s">
        <v>4</v>
      </c>
      <c r="B1858" s="3" t="s">
        <v>1168</v>
      </c>
      <c r="C1858" s="4">
        <v>327</v>
      </c>
      <c r="D1858" s="3" t="s">
        <v>100</v>
      </c>
      <c r="E1858" s="3" t="s">
        <v>7</v>
      </c>
      <c r="F1858" s="5">
        <v>114</v>
      </c>
      <c r="G1858" s="5">
        <v>270</v>
      </c>
      <c r="H1858" s="6">
        <v>6433.86</v>
      </c>
      <c r="I1858" s="22">
        <v>17382.810000000001</v>
      </c>
      <c r="J1858" s="24">
        <f t="shared" si="84"/>
        <v>1.2044761010408338E-4</v>
      </c>
      <c r="K1858" s="25">
        <f t="shared" si="86"/>
        <v>0.83148261570282966</v>
      </c>
      <c r="L1858" s="26" t="s">
        <v>7517</v>
      </c>
      <c r="M1858" s="28">
        <v>-3.1993920441687695E-2</v>
      </c>
      <c r="N1858" s="28"/>
      <c r="O1858" s="20">
        <v>32322.333999999999</v>
      </c>
      <c r="P1858" s="27" t="str">
        <f t="shared" si="85"/>
        <v>verde</v>
      </c>
    </row>
    <row r="1859" spans="1:16" ht="25.5">
      <c r="A1859" s="3" t="s">
        <v>6386</v>
      </c>
      <c r="B1859" s="3" t="s">
        <v>6387</v>
      </c>
      <c r="C1859" s="4">
        <v>74</v>
      </c>
      <c r="D1859" s="3" t="s">
        <v>6</v>
      </c>
      <c r="E1859" s="3" t="s">
        <v>7</v>
      </c>
      <c r="F1859" s="5">
        <v>216</v>
      </c>
      <c r="G1859" s="5">
        <v>303</v>
      </c>
      <c r="H1859" s="6">
        <v>11062.32</v>
      </c>
      <c r="I1859" s="22">
        <v>17340.18</v>
      </c>
      <c r="J1859" s="24">
        <f t="shared" ref="J1859:J1922" si="87">I1859/$I$6364</f>
        <v>1.2015222163589342E-4</v>
      </c>
      <c r="K1859" s="25">
        <f t="shared" si="86"/>
        <v>0.83160276792446552</v>
      </c>
      <c r="L1859" s="26" t="s">
        <v>7517</v>
      </c>
      <c r="M1859" s="28"/>
      <c r="N1859" s="28"/>
      <c r="O1859" s="20" t="s">
        <v>7530</v>
      </c>
      <c r="P1859" s="27" t="str">
        <f t="shared" ref="P1859:P1922" si="88">IF(O1859&lt;=0,"vermelho",IFERROR(IF(O1859/I1859&lt;=0.5098,"amarelo",IF(O1859/I1859&lt;1,"laranja","verde")),"vermelho"))</f>
        <v>vermelho</v>
      </c>
    </row>
    <row r="1860" spans="1:16" ht="38.25">
      <c r="A1860" s="3" t="s">
        <v>4</v>
      </c>
      <c r="B1860" s="3" t="s">
        <v>1169</v>
      </c>
      <c r="C1860" s="4">
        <v>232</v>
      </c>
      <c r="D1860" s="3" t="s">
        <v>174</v>
      </c>
      <c r="E1860" s="3" t="s">
        <v>16</v>
      </c>
      <c r="F1860" s="5">
        <v>786</v>
      </c>
      <c r="G1860" s="5">
        <v>261</v>
      </c>
      <c r="H1860" s="6">
        <v>46662.27</v>
      </c>
      <c r="I1860" s="22">
        <v>17331.18</v>
      </c>
      <c r="J1860" s="24">
        <f t="shared" si="87"/>
        <v>1.2008985953845711E-4</v>
      </c>
      <c r="K1860" s="25">
        <f t="shared" ref="K1860:K1923" si="89">J1860+K1859</f>
        <v>0.83172285778400401</v>
      </c>
      <c r="L1860" s="26" t="s">
        <v>7517</v>
      </c>
      <c r="M1860" s="28"/>
      <c r="N1860" s="28"/>
      <c r="O1860" s="20" t="s">
        <v>7530</v>
      </c>
      <c r="P1860" s="27" t="str">
        <f t="shared" si="88"/>
        <v>vermelho</v>
      </c>
    </row>
    <row r="1861" spans="1:16" ht="51">
      <c r="A1861" s="3" t="s">
        <v>4</v>
      </c>
      <c r="B1861" s="3" t="s">
        <v>1170</v>
      </c>
      <c r="C1861" s="4">
        <v>282</v>
      </c>
      <c r="D1861" s="3" t="s">
        <v>12</v>
      </c>
      <c r="E1861" s="3" t="s">
        <v>13</v>
      </c>
      <c r="F1861" s="5">
        <v>84</v>
      </c>
      <c r="G1861" s="5">
        <v>384</v>
      </c>
      <c r="H1861" s="6">
        <v>3651.48</v>
      </c>
      <c r="I1861" s="22">
        <v>17315.952000000001</v>
      </c>
      <c r="J1861" s="24">
        <f t="shared" si="87"/>
        <v>1.1998434286959489E-4</v>
      </c>
      <c r="K1861" s="25">
        <f t="shared" si="89"/>
        <v>0.83184284212687365</v>
      </c>
      <c r="L1861" s="26" t="s">
        <v>7517</v>
      </c>
      <c r="M1861" s="28"/>
      <c r="N1861" s="28"/>
      <c r="O1861" s="20" t="s">
        <v>7530</v>
      </c>
      <c r="P1861" s="27" t="str">
        <f t="shared" si="88"/>
        <v>vermelho</v>
      </c>
    </row>
    <row r="1862" spans="1:16" ht="25.5">
      <c r="A1862" s="3" t="s">
        <v>4</v>
      </c>
      <c r="B1862" s="3" t="s">
        <v>1171</v>
      </c>
      <c r="C1862" s="4">
        <v>194</v>
      </c>
      <c r="D1862" s="3" t="s">
        <v>145</v>
      </c>
      <c r="E1862" s="3" t="s">
        <v>16</v>
      </c>
      <c r="F1862" s="5">
        <v>0</v>
      </c>
      <c r="G1862" s="5">
        <v>312</v>
      </c>
      <c r="H1862" s="6">
        <v>0</v>
      </c>
      <c r="I1862" s="22">
        <v>17308.8</v>
      </c>
      <c r="J1862" s="24">
        <f t="shared" si="87"/>
        <v>1.1993478578949883E-4</v>
      </c>
      <c r="K1862" s="25">
        <f t="shared" si="89"/>
        <v>0.83196277691266318</v>
      </c>
      <c r="L1862" s="26" t="s">
        <v>7517</v>
      </c>
      <c r="M1862" s="28"/>
      <c r="N1862" s="28"/>
      <c r="O1862" s="20">
        <v>8465.64</v>
      </c>
      <c r="P1862" s="27" t="str">
        <f t="shared" si="88"/>
        <v>amarelo</v>
      </c>
    </row>
    <row r="1863" spans="1:16" ht="25.5">
      <c r="A1863" s="3" t="s">
        <v>4</v>
      </c>
      <c r="B1863" s="3" t="s">
        <v>1172</v>
      </c>
      <c r="C1863" s="4">
        <v>261</v>
      </c>
      <c r="D1863" s="3" t="s">
        <v>9</v>
      </c>
      <c r="E1863" s="3" t="s">
        <v>10</v>
      </c>
      <c r="F1863" s="5">
        <v>192</v>
      </c>
      <c r="G1863" s="5">
        <v>276</v>
      </c>
      <c r="H1863" s="6">
        <v>10918.2</v>
      </c>
      <c r="I1863" s="22">
        <v>17305.439999999999</v>
      </c>
      <c r="J1863" s="24">
        <f t="shared" si="87"/>
        <v>1.1991150393978927E-4</v>
      </c>
      <c r="K1863" s="25">
        <f t="shared" si="89"/>
        <v>0.83208268841660293</v>
      </c>
      <c r="L1863" s="26" t="s">
        <v>7517</v>
      </c>
      <c r="M1863" s="28"/>
      <c r="N1863" s="28"/>
      <c r="O1863" s="20">
        <v>8549.3700000000008</v>
      </c>
      <c r="P1863" s="27" t="str">
        <f t="shared" si="88"/>
        <v>amarelo</v>
      </c>
    </row>
    <row r="1864" spans="1:16">
      <c r="A1864" s="3" t="s">
        <v>4</v>
      </c>
      <c r="B1864" s="3" t="s">
        <v>1173</v>
      </c>
      <c r="C1864" s="4">
        <v>15</v>
      </c>
      <c r="D1864" s="3" t="s">
        <v>18</v>
      </c>
      <c r="E1864" s="3" t="s">
        <v>16</v>
      </c>
      <c r="F1864" s="5">
        <v>276</v>
      </c>
      <c r="G1864" s="5">
        <v>276</v>
      </c>
      <c r="H1864" s="6">
        <v>15537</v>
      </c>
      <c r="I1864" s="22">
        <v>17302.32</v>
      </c>
      <c r="J1864" s="24">
        <f t="shared" si="87"/>
        <v>1.198898850793447E-4</v>
      </c>
      <c r="K1864" s="25">
        <f t="shared" si="89"/>
        <v>0.83220257830168232</v>
      </c>
      <c r="L1864" s="26" t="s">
        <v>7517</v>
      </c>
      <c r="M1864" s="28"/>
      <c r="N1864" s="28"/>
      <c r="O1864" s="20" t="s">
        <v>7530</v>
      </c>
      <c r="P1864" s="27" t="str">
        <f t="shared" si="88"/>
        <v>vermelho</v>
      </c>
    </row>
    <row r="1865" spans="1:16" ht="25.5">
      <c r="A1865" s="3" t="s">
        <v>6388</v>
      </c>
      <c r="B1865" s="3" t="s">
        <v>6389</v>
      </c>
      <c r="C1865" s="4">
        <v>316</v>
      </c>
      <c r="D1865" s="3" t="s">
        <v>247</v>
      </c>
      <c r="E1865" s="3" t="s">
        <v>10</v>
      </c>
      <c r="F1865" s="5">
        <v>744</v>
      </c>
      <c r="G1865" s="5">
        <v>339</v>
      </c>
      <c r="H1865" s="6">
        <v>40453.75</v>
      </c>
      <c r="I1865" s="22">
        <v>17296.080000000002</v>
      </c>
      <c r="J1865" s="24">
        <f t="shared" si="87"/>
        <v>1.1984664735845554E-4</v>
      </c>
      <c r="K1865" s="25">
        <f t="shared" si="89"/>
        <v>0.83232242494904074</v>
      </c>
      <c r="L1865" s="26" t="s">
        <v>7517</v>
      </c>
      <c r="M1865" s="28"/>
      <c r="N1865" s="28"/>
      <c r="O1865" s="20">
        <v>4618.4399999999996</v>
      </c>
      <c r="P1865" s="27" t="str">
        <f t="shared" si="88"/>
        <v>amarelo</v>
      </c>
    </row>
    <row r="1866" spans="1:16" ht="38.25">
      <c r="A1866" s="3" t="s">
        <v>4</v>
      </c>
      <c r="B1866" s="3" t="s">
        <v>1174</v>
      </c>
      <c r="C1866" s="4">
        <v>217</v>
      </c>
      <c r="D1866" s="3" t="s">
        <v>91</v>
      </c>
      <c r="E1866" s="3" t="s">
        <v>16</v>
      </c>
      <c r="F1866" s="5">
        <v>282</v>
      </c>
      <c r="G1866" s="5">
        <v>303</v>
      </c>
      <c r="H1866" s="6">
        <v>14645.79</v>
      </c>
      <c r="I1866" s="22">
        <v>17295.060000000001</v>
      </c>
      <c r="J1866" s="24">
        <f t="shared" si="87"/>
        <v>1.1983957965407942E-4</v>
      </c>
      <c r="K1866" s="25">
        <f t="shared" si="89"/>
        <v>0.83244226452869485</v>
      </c>
      <c r="L1866" s="26" t="s">
        <v>7517</v>
      </c>
      <c r="M1866" s="28"/>
      <c r="N1866" s="28"/>
      <c r="O1866" s="20" t="s">
        <v>7530</v>
      </c>
      <c r="P1866" s="27" t="str">
        <f t="shared" si="88"/>
        <v>vermelho</v>
      </c>
    </row>
    <row r="1867" spans="1:16" ht="25.5">
      <c r="A1867" s="3" t="s">
        <v>4</v>
      </c>
      <c r="B1867" s="3" t="s">
        <v>1175</v>
      </c>
      <c r="C1867" s="4">
        <v>261</v>
      </c>
      <c r="D1867" s="3" t="s">
        <v>9</v>
      </c>
      <c r="E1867" s="3" t="s">
        <v>10</v>
      </c>
      <c r="F1867" s="5">
        <v>174</v>
      </c>
      <c r="G1867" s="5">
        <v>282</v>
      </c>
      <c r="H1867" s="6">
        <v>11064.36</v>
      </c>
      <c r="I1867" s="22">
        <v>17243.52</v>
      </c>
      <c r="J1867" s="24">
        <f t="shared" si="87"/>
        <v>1.1948245270942751E-4</v>
      </c>
      <c r="K1867" s="25">
        <f t="shared" si="89"/>
        <v>0.83256174698140428</v>
      </c>
      <c r="L1867" s="26" t="s">
        <v>7517</v>
      </c>
      <c r="M1867" s="28"/>
      <c r="N1867" s="28"/>
      <c r="O1867" s="20">
        <v>14426.4</v>
      </c>
      <c r="P1867" s="27" t="str">
        <f t="shared" si="88"/>
        <v>laranja</v>
      </c>
    </row>
    <row r="1868" spans="1:16" ht="38.25">
      <c r="A1868" s="3" t="s">
        <v>4</v>
      </c>
      <c r="B1868" s="3" t="s">
        <v>1176</v>
      </c>
      <c r="C1868" s="4">
        <v>143</v>
      </c>
      <c r="D1868" s="3" t="s">
        <v>44</v>
      </c>
      <c r="E1868" s="3" t="s">
        <v>41</v>
      </c>
      <c r="F1868" s="5">
        <v>0</v>
      </c>
      <c r="G1868" s="5">
        <v>276</v>
      </c>
      <c r="H1868" s="6">
        <v>0</v>
      </c>
      <c r="I1868" s="22">
        <v>17214.48</v>
      </c>
      <c r="J1868" s="24">
        <f t="shared" si="87"/>
        <v>1.1928123100836637E-4</v>
      </c>
      <c r="K1868" s="25">
        <f t="shared" si="89"/>
        <v>0.83268102821241263</v>
      </c>
      <c r="L1868" s="26" t="s">
        <v>7517</v>
      </c>
      <c r="M1868" s="28">
        <v>1.1660961998716197E-2</v>
      </c>
      <c r="N1868" s="28"/>
      <c r="O1868" s="20">
        <v>2396.88</v>
      </c>
      <c r="P1868" s="27" t="str">
        <f t="shared" si="88"/>
        <v>amarelo</v>
      </c>
    </row>
    <row r="1869" spans="1:16" ht="25.5">
      <c r="A1869" s="3" t="s">
        <v>6390</v>
      </c>
      <c r="B1869" s="3" t="s">
        <v>6391</v>
      </c>
      <c r="C1869" s="4">
        <v>74</v>
      </c>
      <c r="D1869" s="3" t="s">
        <v>6</v>
      </c>
      <c r="E1869" s="3" t="s">
        <v>7</v>
      </c>
      <c r="F1869" s="5">
        <v>264</v>
      </c>
      <c r="G1869" s="5">
        <v>264</v>
      </c>
      <c r="H1869" s="6">
        <v>14067.84</v>
      </c>
      <c r="I1869" s="22">
        <v>17204.04</v>
      </c>
      <c r="J1869" s="24">
        <f t="shared" si="87"/>
        <v>1.1920889097534026E-4</v>
      </c>
      <c r="K1869" s="25">
        <f t="shared" si="89"/>
        <v>0.83280023710338802</v>
      </c>
      <c r="L1869" s="26" t="s">
        <v>7517</v>
      </c>
      <c r="M1869" s="28"/>
      <c r="N1869" s="28"/>
      <c r="O1869" s="20" t="s">
        <v>7530</v>
      </c>
      <c r="P1869" s="27" t="str">
        <f t="shared" si="88"/>
        <v>vermelho</v>
      </c>
    </row>
    <row r="1870" spans="1:16" ht="38.25">
      <c r="A1870" s="3" t="s">
        <v>4</v>
      </c>
      <c r="B1870" s="3" t="s">
        <v>1177</v>
      </c>
      <c r="C1870" s="4">
        <v>11</v>
      </c>
      <c r="D1870" s="3" t="s">
        <v>61</v>
      </c>
      <c r="E1870" s="3" t="s">
        <v>10</v>
      </c>
      <c r="F1870" s="5">
        <v>651</v>
      </c>
      <c r="G1870" s="5">
        <v>300</v>
      </c>
      <c r="H1870" s="6">
        <v>40574.71</v>
      </c>
      <c r="I1870" s="22">
        <v>17197.289000000001</v>
      </c>
      <c r="J1870" s="24">
        <f t="shared" si="87"/>
        <v>1.1916211247314111E-4</v>
      </c>
      <c r="K1870" s="25">
        <f t="shared" si="89"/>
        <v>0.83291939921586111</v>
      </c>
      <c r="L1870" s="26" t="s">
        <v>7517</v>
      </c>
      <c r="M1870" s="28"/>
      <c r="N1870" s="28"/>
      <c r="O1870" s="20" t="s">
        <v>7530</v>
      </c>
      <c r="P1870" s="27" t="str">
        <f t="shared" si="88"/>
        <v>vermelho</v>
      </c>
    </row>
    <row r="1871" spans="1:16" ht="25.5">
      <c r="A1871" s="3" t="s">
        <v>4</v>
      </c>
      <c r="B1871" s="3" t="s">
        <v>1178</v>
      </c>
      <c r="C1871" s="4">
        <v>299</v>
      </c>
      <c r="D1871" s="3" t="s">
        <v>111</v>
      </c>
      <c r="E1871" s="3" t="s">
        <v>49</v>
      </c>
      <c r="F1871" s="5">
        <v>627</v>
      </c>
      <c r="G1871" s="5">
        <v>348</v>
      </c>
      <c r="H1871" s="6">
        <v>30516.57</v>
      </c>
      <c r="I1871" s="22">
        <v>17192.315999999999</v>
      </c>
      <c r="J1871" s="24">
        <f t="shared" si="87"/>
        <v>1.1912765394974657E-4</v>
      </c>
      <c r="K1871" s="25">
        <f t="shared" si="89"/>
        <v>0.83303852686981084</v>
      </c>
      <c r="L1871" s="26" t="s">
        <v>7517</v>
      </c>
      <c r="M1871" s="28"/>
      <c r="N1871" s="28"/>
      <c r="O1871" s="20">
        <v>7450.23</v>
      </c>
      <c r="P1871" s="27" t="str">
        <f t="shared" si="88"/>
        <v>amarelo</v>
      </c>
    </row>
    <row r="1872" spans="1:16" ht="38.25">
      <c r="A1872" s="3" t="s">
        <v>4</v>
      </c>
      <c r="B1872" s="3" t="s">
        <v>1179</v>
      </c>
      <c r="C1872" s="4">
        <v>301</v>
      </c>
      <c r="D1872" s="3" t="s">
        <v>519</v>
      </c>
      <c r="E1872" s="3" t="s">
        <v>16</v>
      </c>
      <c r="F1872" s="5">
        <v>0</v>
      </c>
      <c r="G1872" s="5">
        <v>315</v>
      </c>
      <c r="H1872" s="6">
        <v>0</v>
      </c>
      <c r="I1872" s="22">
        <v>17183.849999999999</v>
      </c>
      <c r="J1872" s="24">
        <f t="shared" si="87"/>
        <v>1.190689920034248E-4</v>
      </c>
      <c r="K1872" s="25">
        <f t="shared" si="89"/>
        <v>0.83315759586181426</v>
      </c>
      <c r="L1872" s="26" t="s">
        <v>7517</v>
      </c>
      <c r="M1872" s="28"/>
      <c r="N1872" s="28">
        <v>8.937745778252168E-3</v>
      </c>
      <c r="O1872" s="20">
        <v>3408.96</v>
      </c>
      <c r="P1872" s="27" t="str">
        <f t="shared" si="88"/>
        <v>amarelo</v>
      </c>
    </row>
    <row r="1873" spans="1:16" ht="25.5">
      <c r="A1873" s="3" t="s">
        <v>4</v>
      </c>
      <c r="B1873" s="3" t="s">
        <v>1180</v>
      </c>
      <c r="C1873" s="4">
        <v>273</v>
      </c>
      <c r="D1873" s="3" t="s">
        <v>149</v>
      </c>
      <c r="E1873" s="3" t="s">
        <v>16</v>
      </c>
      <c r="F1873" s="5">
        <v>678</v>
      </c>
      <c r="G1873" s="5">
        <v>328</v>
      </c>
      <c r="H1873" s="6">
        <v>26312.52</v>
      </c>
      <c r="I1873" s="22">
        <v>17176.121999999999</v>
      </c>
      <c r="J1873" s="24">
        <f t="shared" si="87"/>
        <v>1.1901544374909285E-4</v>
      </c>
      <c r="K1873" s="25">
        <f t="shared" si="89"/>
        <v>0.8332766113055633</v>
      </c>
      <c r="L1873" s="26" t="s">
        <v>7517</v>
      </c>
      <c r="M1873" s="28"/>
      <c r="N1873" s="28"/>
      <c r="O1873" s="20" t="s">
        <v>7530</v>
      </c>
      <c r="P1873" s="27" t="str">
        <f t="shared" si="88"/>
        <v>vermelho</v>
      </c>
    </row>
    <row r="1874" spans="1:16" ht="38.25">
      <c r="A1874" s="3" t="s">
        <v>5154</v>
      </c>
      <c r="B1874" s="3" t="s">
        <v>4935</v>
      </c>
      <c r="C1874" s="4">
        <v>301</v>
      </c>
      <c r="D1874" s="3" t="s">
        <v>519</v>
      </c>
      <c r="E1874" s="3" t="s">
        <v>16</v>
      </c>
      <c r="F1874" s="5">
        <v>732</v>
      </c>
      <c r="G1874" s="5">
        <v>336</v>
      </c>
      <c r="H1874" s="6">
        <v>34001.879999999997</v>
      </c>
      <c r="I1874" s="22">
        <v>17160.96</v>
      </c>
      <c r="J1874" s="24">
        <f t="shared" si="87"/>
        <v>1.1891038440227848E-4</v>
      </c>
      <c r="K1874" s="25">
        <f t="shared" si="89"/>
        <v>0.83339552168996556</v>
      </c>
      <c r="L1874" s="26" t="s">
        <v>7517</v>
      </c>
      <c r="M1874" s="28"/>
      <c r="N1874" s="28"/>
      <c r="O1874" s="20">
        <v>165339.81</v>
      </c>
      <c r="P1874" s="27" t="str">
        <f t="shared" si="88"/>
        <v>verde</v>
      </c>
    </row>
    <row r="1875" spans="1:16" ht="38.25">
      <c r="A1875" s="3" t="s">
        <v>4</v>
      </c>
      <c r="B1875" s="3" t="s">
        <v>1181</v>
      </c>
      <c r="C1875" s="4">
        <v>31</v>
      </c>
      <c r="D1875" s="3" t="s">
        <v>194</v>
      </c>
      <c r="E1875" s="3" t="s">
        <v>16</v>
      </c>
      <c r="F1875" s="5">
        <v>0</v>
      </c>
      <c r="G1875" s="5">
        <v>336</v>
      </c>
      <c r="H1875" s="6">
        <v>0</v>
      </c>
      <c r="I1875" s="22">
        <v>17153.04</v>
      </c>
      <c r="J1875" s="24">
        <f t="shared" si="87"/>
        <v>1.1885550575653455E-4</v>
      </c>
      <c r="K1875" s="25">
        <f t="shared" si="89"/>
        <v>0.83351437719572208</v>
      </c>
      <c r="L1875" s="26" t="s">
        <v>7517</v>
      </c>
      <c r="M1875" s="28"/>
      <c r="N1875" s="28"/>
      <c r="O1875" s="20" t="s">
        <v>7530</v>
      </c>
      <c r="P1875" s="27" t="str">
        <f t="shared" si="88"/>
        <v>vermelho</v>
      </c>
    </row>
    <row r="1876" spans="1:16" ht="38.25">
      <c r="A1876" s="3" t="s">
        <v>4</v>
      </c>
      <c r="B1876" s="3" t="s">
        <v>1182</v>
      </c>
      <c r="C1876" s="4">
        <v>61</v>
      </c>
      <c r="D1876" s="3" t="s">
        <v>48</v>
      </c>
      <c r="E1876" s="3" t="s">
        <v>49</v>
      </c>
      <c r="F1876" s="5">
        <v>0</v>
      </c>
      <c r="G1876" s="5">
        <v>264</v>
      </c>
      <c r="H1876" s="6">
        <v>0</v>
      </c>
      <c r="I1876" s="22">
        <v>17153.04</v>
      </c>
      <c r="J1876" s="24">
        <f t="shared" si="87"/>
        <v>1.1885550575653455E-4</v>
      </c>
      <c r="K1876" s="25">
        <f t="shared" si="89"/>
        <v>0.8336332327014786</v>
      </c>
      <c r="L1876" s="26" t="s">
        <v>7517</v>
      </c>
      <c r="M1876" s="28"/>
      <c r="N1876" s="28"/>
      <c r="O1876" s="20" t="s">
        <v>7530</v>
      </c>
      <c r="P1876" s="27" t="str">
        <f t="shared" si="88"/>
        <v>vermelho</v>
      </c>
    </row>
    <row r="1877" spans="1:16" ht="25.5">
      <c r="A1877" s="3" t="s">
        <v>4</v>
      </c>
      <c r="B1877" s="3" t="s">
        <v>860</v>
      </c>
      <c r="C1877" s="4">
        <v>296</v>
      </c>
      <c r="D1877" s="3" t="s">
        <v>282</v>
      </c>
      <c r="E1877" s="3" t="s">
        <v>10</v>
      </c>
      <c r="F1877" s="5">
        <v>0</v>
      </c>
      <c r="G1877" s="5">
        <v>309</v>
      </c>
      <c r="H1877" s="6">
        <v>0</v>
      </c>
      <c r="I1877" s="22">
        <v>17149.287</v>
      </c>
      <c r="J1877" s="24">
        <f t="shared" si="87"/>
        <v>1.1882950076190361E-4</v>
      </c>
      <c r="K1877" s="25">
        <f t="shared" si="89"/>
        <v>0.83375206220224052</v>
      </c>
      <c r="L1877" s="26" t="s">
        <v>7517</v>
      </c>
      <c r="M1877" s="28"/>
      <c r="N1877" s="28"/>
      <c r="O1877" s="20">
        <v>12893.602000000001</v>
      </c>
      <c r="P1877" s="27" t="str">
        <f t="shared" si="88"/>
        <v>laranja</v>
      </c>
    </row>
    <row r="1878" spans="1:16">
      <c r="A1878" s="3" t="s">
        <v>4</v>
      </c>
      <c r="B1878" s="3" t="s">
        <v>1183</v>
      </c>
      <c r="C1878" s="4">
        <v>315</v>
      </c>
      <c r="D1878" s="3" t="s">
        <v>63</v>
      </c>
      <c r="E1878" s="3" t="s">
        <v>7</v>
      </c>
      <c r="F1878" s="5">
        <v>168</v>
      </c>
      <c r="G1878" s="5">
        <v>276</v>
      </c>
      <c r="H1878" s="6">
        <v>8602.884</v>
      </c>
      <c r="I1878" s="22">
        <v>17141.308000000001</v>
      </c>
      <c r="J1878" s="24">
        <f t="shared" si="87"/>
        <v>1.1877421329796536E-4</v>
      </c>
      <c r="K1878" s="25">
        <f t="shared" si="89"/>
        <v>0.8338708364155385</v>
      </c>
      <c r="L1878" s="26" t="s">
        <v>7517</v>
      </c>
      <c r="M1878" s="28"/>
      <c r="N1878" s="28"/>
      <c r="O1878" s="20" t="s">
        <v>7530</v>
      </c>
      <c r="P1878" s="27" t="str">
        <f t="shared" si="88"/>
        <v>vermelho</v>
      </c>
    </row>
    <row r="1879" spans="1:16" ht="38.25">
      <c r="A1879" s="3" t="s">
        <v>4</v>
      </c>
      <c r="B1879" s="3" t="s">
        <v>1184</v>
      </c>
      <c r="C1879" s="4">
        <v>45</v>
      </c>
      <c r="D1879" s="3" t="s">
        <v>23</v>
      </c>
      <c r="E1879" s="3" t="s">
        <v>7</v>
      </c>
      <c r="F1879" s="5">
        <v>135</v>
      </c>
      <c r="G1879" s="5">
        <v>267</v>
      </c>
      <c r="H1879" s="6">
        <v>7753.8</v>
      </c>
      <c r="I1879" s="22">
        <v>17135.28</v>
      </c>
      <c r="J1879" s="24">
        <f t="shared" si="87"/>
        <v>1.1873244455092689E-4</v>
      </c>
      <c r="K1879" s="25">
        <f t="shared" si="89"/>
        <v>0.83398956886008946</v>
      </c>
      <c r="L1879" s="26" t="s">
        <v>7517</v>
      </c>
      <c r="M1879" s="28"/>
      <c r="N1879" s="28"/>
      <c r="O1879" s="20" t="s">
        <v>7530</v>
      </c>
      <c r="P1879" s="27" t="str">
        <f t="shared" si="88"/>
        <v>vermelho</v>
      </c>
    </row>
    <row r="1880" spans="1:16" ht="25.5">
      <c r="A1880" s="3" t="s">
        <v>4</v>
      </c>
      <c r="B1880" s="3" t="s">
        <v>1185</v>
      </c>
      <c r="C1880" s="4">
        <v>218</v>
      </c>
      <c r="D1880" s="3" t="s">
        <v>104</v>
      </c>
      <c r="E1880" s="3" t="s">
        <v>16</v>
      </c>
      <c r="F1880" s="5">
        <v>0</v>
      </c>
      <c r="G1880" s="5">
        <v>294</v>
      </c>
      <c r="H1880" s="6">
        <v>0</v>
      </c>
      <c r="I1880" s="22">
        <v>17124.78</v>
      </c>
      <c r="J1880" s="24">
        <f t="shared" si="87"/>
        <v>1.1865968877058454E-4</v>
      </c>
      <c r="K1880" s="25">
        <f t="shared" si="89"/>
        <v>0.83410822854886002</v>
      </c>
      <c r="L1880" s="26" t="s">
        <v>7517</v>
      </c>
      <c r="M1880" s="28"/>
      <c r="N1880" s="28"/>
      <c r="O1880" s="20" t="s">
        <v>7530</v>
      </c>
      <c r="P1880" s="27" t="str">
        <f t="shared" si="88"/>
        <v>vermelho</v>
      </c>
    </row>
    <row r="1881" spans="1:16" ht="25.5">
      <c r="A1881" s="3" t="s">
        <v>4</v>
      </c>
      <c r="B1881" s="3" t="s">
        <v>1186</v>
      </c>
      <c r="C1881" s="4">
        <v>61</v>
      </c>
      <c r="D1881" s="3" t="s">
        <v>48</v>
      </c>
      <c r="E1881" s="3" t="s">
        <v>49</v>
      </c>
      <c r="F1881" s="5">
        <v>72</v>
      </c>
      <c r="G1881" s="5">
        <v>282</v>
      </c>
      <c r="H1881" s="6">
        <v>4092.24</v>
      </c>
      <c r="I1881" s="22">
        <v>17113.11</v>
      </c>
      <c r="J1881" s="24">
        <f t="shared" si="87"/>
        <v>1.1857882591757548E-4</v>
      </c>
      <c r="K1881" s="25">
        <f t="shared" si="89"/>
        <v>0.83422680737477761</v>
      </c>
      <c r="L1881" s="26" t="s">
        <v>7517</v>
      </c>
      <c r="M1881" s="28"/>
      <c r="N1881" s="28"/>
      <c r="O1881" s="20" t="s">
        <v>7530</v>
      </c>
      <c r="P1881" s="27" t="str">
        <f t="shared" si="88"/>
        <v>vermelho</v>
      </c>
    </row>
    <row r="1882" spans="1:16" ht="25.5">
      <c r="A1882" s="3" t="s">
        <v>4</v>
      </c>
      <c r="B1882" s="3" t="s">
        <v>1187</v>
      </c>
      <c r="C1882" s="4">
        <v>178</v>
      </c>
      <c r="D1882" s="3" t="s">
        <v>74</v>
      </c>
      <c r="E1882" s="3" t="s">
        <v>7</v>
      </c>
      <c r="F1882" s="5">
        <v>216</v>
      </c>
      <c r="G1882" s="5">
        <v>288</v>
      </c>
      <c r="H1882" s="6">
        <v>12630.24</v>
      </c>
      <c r="I1882" s="22">
        <v>17112.72</v>
      </c>
      <c r="J1882" s="24">
        <f t="shared" si="87"/>
        <v>1.1857612356001991E-4</v>
      </c>
      <c r="K1882" s="25">
        <f t="shared" si="89"/>
        <v>0.83434538349833764</v>
      </c>
      <c r="L1882" s="26" t="s">
        <v>7517</v>
      </c>
      <c r="M1882" s="28"/>
      <c r="N1882" s="28">
        <v>4.3780780961927425E-2</v>
      </c>
      <c r="O1882" s="20">
        <v>15430.65</v>
      </c>
      <c r="P1882" s="27" t="str">
        <f t="shared" si="88"/>
        <v>laranja</v>
      </c>
    </row>
    <row r="1883" spans="1:16" ht="25.5">
      <c r="A1883" s="3" t="s">
        <v>4</v>
      </c>
      <c r="B1883" s="3" t="s">
        <v>1188</v>
      </c>
      <c r="C1883" s="4">
        <v>19</v>
      </c>
      <c r="D1883" s="3" t="s">
        <v>72</v>
      </c>
      <c r="E1883" s="3" t="s">
        <v>41</v>
      </c>
      <c r="F1883" s="5">
        <v>0</v>
      </c>
      <c r="G1883" s="5">
        <v>303</v>
      </c>
      <c r="H1883" s="6">
        <v>0</v>
      </c>
      <c r="I1883" s="22">
        <v>17109.150000000001</v>
      </c>
      <c r="J1883" s="24">
        <f t="shared" si="87"/>
        <v>1.1855138659470351E-4</v>
      </c>
      <c r="K1883" s="25">
        <f t="shared" si="89"/>
        <v>0.83446393488493231</v>
      </c>
      <c r="L1883" s="26" t="s">
        <v>7517</v>
      </c>
      <c r="M1883" s="28"/>
      <c r="N1883" s="28"/>
      <c r="O1883" s="20" t="s">
        <v>7530</v>
      </c>
      <c r="P1883" s="27" t="str">
        <f t="shared" si="88"/>
        <v>vermelho</v>
      </c>
    </row>
    <row r="1884" spans="1:16" ht="25.5">
      <c r="A1884" s="3" t="s">
        <v>4</v>
      </c>
      <c r="B1884" s="3" t="s">
        <v>1189</v>
      </c>
      <c r="C1884" s="4">
        <v>178</v>
      </c>
      <c r="D1884" s="3" t="s">
        <v>74</v>
      </c>
      <c r="E1884" s="3" t="s">
        <v>7</v>
      </c>
      <c r="F1884" s="5">
        <v>165</v>
      </c>
      <c r="G1884" s="5">
        <v>267</v>
      </c>
      <c r="H1884" s="6">
        <v>7657.35</v>
      </c>
      <c r="I1884" s="22">
        <v>17106.93</v>
      </c>
      <c r="J1884" s="24">
        <f t="shared" si="87"/>
        <v>1.1853600394400255E-4</v>
      </c>
      <c r="K1884" s="25">
        <f t="shared" si="89"/>
        <v>0.83458247088887627</v>
      </c>
      <c r="L1884" s="26" t="s">
        <v>7517</v>
      </c>
      <c r="M1884" s="28"/>
      <c r="N1884" s="28"/>
      <c r="O1884" s="20" t="s">
        <v>7530</v>
      </c>
      <c r="P1884" s="27" t="str">
        <f t="shared" si="88"/>
        <v>vermelho</v>
      </c>
    </row>
    <row r="1885" spans="1:16" ht="38.25">
      <c r="A1885" s="3" t="s">
        <v>4</v>
      </c>
      <c r="B1885" s="3" t="s">
        <v>1190</v>
      </c>
      <c r="C1885" s="4">
        <v>301</v>
      </c>
      <c r="D1885" s="3" t="s">
        <v>519</v>
      </c>
      <c r="E1885" s="3" t="s">
        <v>16</v>
      </c>
      <c r="F1885" s="5">
        <v>156</v>
      </c>
      <c r="G1885" s="5">
        <v>282</v>
      </c>
      <c r="H1885" s="6">
        <v>8747.85</v>
      </c>
      <c r="I1885" s="22">
        <v>17102.04</v>
      </c>
      <c r="J1885" s="24">
        <f t="shared" si="87"/>
        <v>1.1850212053772883E-4</v>
      </c>
      <c r="K1885" s="25">
        <f t="shared" si="89"/>
        <v>0.83470097300941404</v>
      </c>
      <c r="L1885" s="26" t="s">
        <v>7517</v>
      </c>
      <c r="M1885" s="28"/>
      <c r="N1885" s="28"/>
      <c r="O1885" s="20" t="s">
        <v>7530</v>
      </c>
      <c r="P1885" s="27" t="str">
        <f t="shared" si="88"/>
        <v>vermelho</v>
      </c>
    </row>
    <row r="1886" spans="1:16" ht="25.5">
      <c r="A1886" s="3" t="s">
        <v>4</v>
      </c>
      <c r="B1886" s="3" t="s">
        <v>1191</v>
      </c>
      <c r="C1886" s="4">
        <v>197</v>
      </c>
      <c r="D1886" s="3" t="s">
        <v>66</v>
      </c>
      <c r="E1886" s="3" t="s">
        <v>41</v>
      </c>
      <c r="F1886" s="5">
        <v>411</v>
      </c>
      <c r="G1886" s="5">
        <v>264</v>
      </c>
      <c r="H1886" s="6">
        <v>24999.57</v>
      </c>
      <c r="I1886" s="22">
        <v>17096.64</v>
      </c>
      <c r="J1886" s="24">
        <f t="shared" si="87"/>
        <v>1.1846470327926704E-4</v>
      </c>
      <c r="K1886" s="25">
        <f t="shared" si="89"/>
        <v>0.83481943771269329</v>
      </c>
      <c r="L1886" s="26" t="s">
        <v>7517</v>
      </c>
      <c r="M1886" s="28"/>
      <c r="N1886" s="28"/>
      <c r="O1886" s="20">
        <v>12522.09</v>
      </c>
      <c r="P1886" s="27" t="str">
        <f t="shared" si="88"/>
        <v>laranja</v>
      </c>
    </row>
    <row r="1887" spans="1:16" ht="25.5">
      <c r="A1887" s="3" t="s">
        <v>4</v>
      </c>
      <c r="B1887" s="3" t="s">
        <v>1192</v>
      </c>
      <c r="C1887" s="4">
        <v>218</v>
      </c>
      <c r="D1887" s="3" t="s">
        <v>104</v>
      </c>
      <c r="E1887" s="3" t="s">
        <v>16</v>
      </c>
      <c r="F1887" s="5">
        <v>165</v>
      </c>
      <c r="G1887" s="5">
        <v>270</v>
      </c>
      <c r="H1887" s="6">
        <v>7300.53</v>
      </c>
      <c r="I1887" s="22">
        <v>17090.04</v>
      </c>
      <c r="J1887" s="24">
        <f t="shared" si="87"/>
        <v>1.1841897107448042E-4</v>
      </c>
      <c r="K1887" s="25">
        <f t="shared" si="89"/>
        <v>0.83493785668376774</v>
      </c>
      <c r="L1887" s="26" t="s">
        <v>7517</v>
      </c>
      <c r="M1887" s="28"/>
      <c r="N1887" s="28"/>
      <c r="O1887" s="20">
        <v>5272.92</v>
      </c>
      <c r="P1887" s="27" t="str">
        <f t="shared" si="88"/>
        <v>amarelo</v>
      </c>
    </row>
    <row r="1888" spans="1:16" ht="25.5">
      <c r="A1888" s="3" t="s">
        <v>4</v>
      </c>
      <c r="B1888" s="3" t="s">
        <v>1193</v>
      </c>
      <c r="C1888" s="4">
        <v>315</v>
      </c>
      <c r="D1888" s="3" t="s">
        <v>63</v>
      </c>
      <c r="E1888" s="3" t="s">
        <v>7</v>
      </c>
      <c r="F1888" s="5">
        <v>90</v>
      </c>
      <c r="G1888" s="5">
        <v>300</v>
      </c>
      <c r="H1888" s="6">
        <v>5513.22</v>
      </c>
      <c r="I1888" s="22">
        <v>17087.398000000001</v>
      </c>
      <c r="J1888" s="24">
        <f t="shared" si="87"/>
        <v>1.1840066433432191E-4</v>
      </c>
      <c r="K1888" s="25">
        <f t="shared" si="89"/>
        <v>0.83505625734810207</v>
      </c>
      <c r="L1888" s="26" t="s">
        <v>7517</v>
      </c>
      <c r="M1888" s="28">
        <v>2.888851126083556E-2</v>
      </c>
      <c r="N1888" s="28"/>
      <c r="O1888" s="20">
        <v>7282.32</v>
      </c>
      <c r="P1888" s="27" t="str">
        <f t="shared" si="88"/>
        <v>amarelo</v>
      </c>
    </row>
    <row r="1889" spans="1:16" ht="25.5">
      <c r="A1889" s="3" t="s">
        <v>4</v>
      </c>
      <c r="B1889" s="3" t="s">
        <v>1194</v>
      </c>
      <c r="C1889" s="4">
        <v>23</v>
      </c>
      <c r="D1889" s="3" t="s">
        <v>87</v>
      </c>
      <c r="E1889" s="3" t="s">
        <v>7</v>
      </c>
      <c r="F1889" s="5">
        <v>168</v>
      </c>
      <c r="G1889" s="5">
        <v>288</v>
      </c>
      <c r="H1889" s="6">
        <v>9370.32</v>
      </c>
      <c r="I1889" s="22">
        <v>17086.2</v>
      </c>
      <c r="J1889" s="24">
        <f t="shared" si="87"/>
        <v>1.1839236324624094E-4</v>
      </c>
      <c r="K1889" s="25">
        <f t="shared" si="89"/>
        <v>0.83517464971134836</v>
      </c>
      <c r="L1889" s="26" t="s">
        <v>7517</v>
      </c>
      <c r="M1889" s="28"/>
      <c r="N1889" s="28"/>
      <c r="O1889" s="20" t="s">
        <v>7530</v>
      </c>
      <c r="P1889" s="27" t="str">
        <f t="shared" si="88"/>
        <v>vermelho</v>
      </c>
    </row>
    <row r="1890" spans="1:16" ht="38.25">
      <c r="A1890" s="3" t="s">
        <v>4</v>
      </c>
      <c r="B1890" s="3" t="s">
        <v>1195</v>
      </c>
      <c r="C1890" s="4">
        <v>34</v>
      </c>
      <c r="D1890" s="3" t="s">
        <v>54</v>
      </c>
      <c r="E1890" s="3" t="s">
        <v>49</v>
      </c>
      <c r="F1890" s="5">
        <v>273</v>
      </c>
      <c r="G1890" s="5">
        <v>264</v>
      </c>
      <c r="H1890" s="6">
        <v>15958.59</v>
      </c>
      <c r="I1890" s="22">
        <v>17086.05</v>
      </c>
      <c r="J1890" s="24">
        <f t="shared" si="87"/>
        <v>1.1839132387795032E-4</v>
      </c>
      <c r="K1890" s="25">
        <f t="shared" si="89"/>
        <v>0.83529304103522628</v>
      </c>
      <c r="L1890" s="26" t="s">
        <v>7517</v>
      </c>
      <c r="M1890" s="28"/>
      <c r="N1890" s="28"/>
      <c r="O1890" s="20" t="s">
        <v>7530</v>
      </c>
      <c r="P1890" s="27" t="str">
        <f t="shared" si="88"/>
        <v>vermelho</v>
      </c>
    </row>
    <row r="1891" spans="1:16" ht="25.5">
      <c r="A1891" s="3" t="s">
        <v>6392</v>
      </c>
      <c r="B1891" s="3" t="s">
        <v>6393</v>
      </c>
      <c r="C1891" s="4">
        <v>194</v>
      </c>
      <c r="D1891" s="3" t="s">
        <v>145</v>
      </c>
      <c r="E1891" s="3" t="s">
        <v>16</v>
      </c>
      <c r="F1891" s="5">
        <v>96</v>
      </c>
      <c r="G1891" s="5">
        <v>288</v>
      </c>
      <c r="H1891" s="6">
        <v>5234.5200000000004</v>
      </c>
      <c r="I1891" s="22">
        <v>17076.48</v>
      </c>
      <c r="J1891" s="24">
        <f t="shared" si="87"/>
        <v>1.1832501218100972E-4</v>
      </c>
      <c r="K1891" s="25">
        <f t="shared" si="89"/>
        <v>0.83541136604740729</v>
      </c>
      <c r="L1891" s="26" t="s">
        <v>7517</v>
      </c>
      <c r="M1891" s="28"/>
      <c r="N1891" s="28"/>
      <c r="O1891" s="20">
        <v>8492.76</v>
      </c>
      <c r="P1891" s="27" t="str">
        <f t="shared" si="88"/>
        <v>amarelo</v>
      </c>
    </row>
    <row r="1892" spans="1:16" ht="38.25">
      <c r="A1892" s="3" t="s">
        <v>4</v>
      </c>
      <c r="B1892" s="3" t="s">
        <v>1196</v>
      </c>
      <c r="C1892" s="4">
        <v>19</v>
      </c>
      <c r="D1892" s="3" t="s">
        <v>72</v>
      </c>
      <c r="E1892" s="3" t="s">
        <v>41</v>
      </c>
      <c r="F1892" s="5">
        <v>240</v>
      </c>
      <c r="G1892" s="5">
        <v>264</v>
      </c>
      <c r="H1892" s="6">
        <v>14450.76</v>
      </c>
      <c r="I1892" s="22">
        <v>17071.8</v>
      </c>
      <c r="J1892" s="24">
        <f t="shared" si="87"/>
        <v>1.1829258389034284E-4</v>
      </c>
      <c r="K1892" s="25">
        <f t="shared" si="89"/>
        <v>0.83552965863129758</v>
      </c>
      <c r="L1892" s="26" t="s">
        <v>7517</v>
      </c>
      <c r="M1892" s="28"/>
      <c r="N1892" s="28"/>
      <c r="O1892" s="20" t="s">
        <v>7530</v>
      </c>
      <c r="P1892" s="27" t="str">
        <f t="shared" si="88"/>
        <v>vermelho</v>
      </c>
    </row>
    <row r="1893" spans="1:16" ht="25.5">
      <c r="A1893" s="3" t="s">
        <v>4</v>
      </c>
      <c r="B1893" s="3" t="s">
        <v>1197</v>
      </c>
      <c r="C1893" s="4">
        <v>317</v>
      </c>
      <c r="D1893" s="3" t="s">
        <v>78</v>
      </c>
      <c r="E1893" s="3" t="s">
        <v>10</v>
      </c>
      <c r="F1893" s="5">
        <v>0</v>
      </c>
      <c r="G1893" s="5">
        <v>282</v>
      </c>
      <c r="H1893" s="6">
        <v>0</v>
      </c>
      <c r="I1893" s="22">
        <v>17068.919999999998</v>
      </c>
      <c r="J1893" s="24">
        <f t="shared" si="87"/>
        <v>1.1827262801916321E-4</v>
      </c>
      <c r="K1893" s="25">
        <f t="shared" si="89"/>
        <v>0.83564793125931669</v>
      </c>
      <c r="L1893" s="26" t="s">
        <v>7517</v>
      </c>
      <c r="M1893" s="28"/>
      <c r="N1893" s="28"/>
      <c r="O1893" s="20" t="s">
        <v>7530</v>
      </c>
      <c r="P1893" s="27" t="str">
        <f t="shared" si="88"/>
        <v>vermelho</v>
      </c>
    </row>
    <row r="1894" spans="1:16" ht="25.5">
      <c r="A1894" s="3" t="s">
        <v>6394</v>
      </c>
      <c r="B1894" s="3" t="s">
        <v>6395</v>
      </c>
      <c r="C1894" s="4">
        <v>187</v>
      </c>
      <c r="D1894" s="3" t="s">
        <v>96</v>
      </c>
      <c r="E1894" s="3" t="s">
        <v>7</v>
      </c>
      <c r="F1894" s="5">
        <v>558</v>
      </c>
      <c r="G1894" s="5">
        <v>255</v>
      </c>
      <c r="H1894" s="6">
        <v>33363.449999999997</v>
      </c>
      <c r="I1894" s="22">
        <v>17067.45</v>
      </c>
      <c r="J1894" s="24">
        <f t="shared" si="87"/>
        <v>1.1826244220991531E-4</v>
      </c>
      <c r="K1894" s="25">
        <f t="shared" si="89"/>
        <v>0.83576619370152661</v>
      </c>
      <c r="L1894" s="26" t="s">
        <v>7517</v>
      </c>
      <c r="M1894" s="28"/>
      <c r="N1894" s="28"/>
      <c r="O1894" s="20">
        <v>14449.74</v>
      </c>
      <c r="P1894" s="27" t="str">
        <f t="shared" si="88"/>
        <v>laranja</v>
      </c>
    </row>
    <row r="1895" spans="1:16" ht="38.25">
      <c r="A1895" s="3" t="s">
        <v>4</v>
      </c>
      <c r="B1895" s="3" t="s">
        <v>1198</v>
      </c>
      <c r="C1895" s="4">
        <v>45</v>
      </c>
      <c r="D1895" s="3" t="s">
        <v>23</v>
      </c>
      <c r="E1895" s="3" t="s">
        <v>7</v>
      </c>
      <c r="F1895" s="5">
        <v>72</v>
      </c>
      <c r="G1895" s="5">
        <v>264</v>
      </c>
      <c r="H1895" s="6">
        <v>3301.4520000000002</v>
      </c>
      <c r="I1895" s="22">
        <v>17063.79</v>
      </c>
      <c r="J1895" s="24">
        <f t="shared" si="87"/>
        <v>1.1823708162362454E-4</v>
      </c>
      <c r="K1895" s="25">
        <f t="shared" si="89"/>
        <v>0.83588443078315022</v>
      </c>
      <c r="L1895" s="26" t="s">
        <v>7517</v>
      </c>
      <c r="M1895" s="28"/>
      <c r="N1895" s="28"/>
      <c r="O1895" s="20" t="s">
        <v>7530</v>
      </c>
      <c r="P1895" s="27" t="str">
        <f t="shared" si="88"/>
        <v>vermelho</v>
      </c>
    </row>
    <row r="1896" spans="1:16" ht="25.5">
      <c r="A1896" s="3" t="s">
        <v>4</v>
      </c>
      <c r="B1896" s="3" t="s">
        <v>1199</v>
      </c>
      <c r="C1896" s="4">
        <v>23</v>
      </c>
      <c r="D1896" s="3" t="s">
        <v>87</v>
      </c>
      <c r="E1896" s="3" t="s">
        <v>7</v>
      </c>
      <c r="F1896" s="5">
        <v>249</v>
      </c>
      <c r="G1896" s="5">
        <v>270</v>
      </c>
      <c r="H1896" s="6">
        <v>13679.409</v>
      </c>
      <c r="I1896" s="22">
        <v>17044.919999999998</v>
      </c>
      <c r="J1896" s="24">
        <f t="shared" si="87"/>
        <v>1.181063290926664E-4</v>
      </c>
      <c r="K1896" s="25">
        <f t="shared" si="89"/>
        <v>0.83600253711224293</v>
      </c>
      <c r="L1896" s="26" t="s">
        <v>7517</v>
      </c>
      <c r="M1896" s="28">
        <v>-4.8539080695409471E-2</v>
      </c>
      <c r="N1896" s="28"/>
      <c r="O1896" s="20">
        <v>1597.92</v>
      </c>
      <c r="P1896" s="27" t="str">
        <f t="shared" si="88"/>
        <v>amarelo</v>
      </c>
    </row>
    <row r="1897" spans="1:16" ht="25.5">
      <c r="A1897" s="3" t="s">
        <v>4</v>
      </c>
      <c r="B1897" s="3" t="s">
        <v>1200</v>
      </c>
      <c r="C1897" s="4">
        <v>270</v>
      </c>
      <c r="D1897" s="3" t="s">
        <v>266</v>
      </c>
      <c r="E1897" s="3" t="s">
        <v>49</v>
      </c>
      <c r="F1897" s="5">
        <v>0</v>
      </c>
      <c r="G1897" s="5">
        <v>243</v>
      </c>
      <c r="H1897" s="6">
        <v>0</v>
      </c>
      <c r="I1897" s="22">
        <v>17040.57</v>
      </c>
      <c r="J1897" s="24">
        <f t="shared" si="87"/>
        <v>1.1807618741223887E-4</v>
      </c>
      <c r="K1897" s="25">
        <f t="shared" si="89"/>
        <v>0.83612061329965515</v>
      </c>
      <c r="L1897" s="26" t="s">
        <v>7517</v>
      </c>
      <c r="M1897" s="28"/>
      <c r="N1897" s="28"/>
      <c r="O1897" s="20" t="s">
        <v>7530</v>
      </c>
      <c r="P1897" s="27" t="str">
        <f t="shared" si="88"/>
        <v>vermelho</v>
      </c>
    </row>
    <row r="1898" spans="1:16" ht="25.5">
      <c r="A1898" s="3" t="s">
        <v>6396</v>
      </c>
      <c r="B1898" s="3" t="s">
        <v>6397</v>
      </c>
      <c r="C1898" s="4">
        <v>321</v>
      </c>
      <c r="D1898" s="3" t="s">
        <v>136</v>
      </c>
      <c r="E1898" s="3" t="s">
        <v>41</v>
      </c>
      <c r="F1898" s="5">
        <v>690</v>
      </c>
      <c r="G1898" s="5">
        <v>279</v>
      </c>
      <c r="H1898" s="6">
        <v>37163.544000000002</v>
      </c>
      <c r="I1898" s="22">
        <v>17018.91</v>
      </c>
      <c r="J1898" s="24">
        <f t="shared" si="87"/>
        <v>1.179261026310755E-4</v>
      </c>
      <c r="K1898" s="25">
        <f t="shared" si="89"/>
        <v>0.83623853940228621</v>
      </c>
      <c r="L1898" s="26" t="s">
        <v>7517</v>
      </c>
      <c r="M1898" s="28"/>
      <c r="N1898" s="28"/>
      <c r="O1898" s="20">
        <v>4708.1400000000003</v>
      </c>
      <c r="P1898" s="27" t="str">
        <f t="shared" si="88"/>
        <v>amarelo</v>
      </c>
    </row>
    <row r="1899" spans="1:16" ht="38.25">
      <c r="A1899" s="3" t="s">
        <v>4</v>
      </c>
      <c r="B1899" s="3" t="s">
        <v>1201</v>
      </c>
      <c r="C1899" s="4">
        <v>297</v>
      </c>
      <c r="D1899" s="3" t="s">
        <v>115</v>
      </c>
      <c r="E1899" s="3" t="s">
        <v>41</v>
      </c>
      <c r="F1899" s="5">
        <v>0</v>
      </c>
      <c r="G1899" s="5">
        <v>270</v>
      </c>
      <c r="H1899" s="6">
        <v>0</v>
      </c>
      <c r="I1899" s="22">
        <v>17013.96</v>
      </c>
      <c r="J1899" s="24">
        <f t="shared" si="87"/>
        <v>1.1789180347748553E-4</v>
      </c>
      <c r="K1899" s="25">
        <f t="shared" si="89"/>
        <v>0.83635643120576364</v>
      </c>
      <c r="L1899" s="26" t="s">
        <v>7517</v>
      </c>
      <c r="M1899" s="28"/>
      <c r="N1899" s="28"/>
      <c r="O1899" s="20">
        <v>14583.12</v>
      </c>
      <c r="P1899" s="27" t="str">
        <f t="shared" si="88"/>
        <v>laranja</v>
      </c>
    </row>
    <row r="1900" spans="1:16" ht="38.25">
      <c r="A1900" s="3" t="s">
        <v>4</v>
      </c>
      <c r="B1900" s="3" t="s">
        <v>1202</v>
      </c>
      <c r="C1900" s="4">
        <v>292</v>
      </c>
      <c r="D1900" s="3" t="s">
        <v>57</v>
      </c>
      <c r="E1900" s="3" t="s">
        <v>49</v>
      </c>
      <c r="F1900" s="5">
        <v>0</v>
      </c>
      <c r="G1900" s="5">
        <v>318</v>
      </c>
      <c r="H1900" s="6">
        <v>0</v>
      </c>
      <c r="I1900" s="22">
        <v>17001.509999999998</v>
      </c>
      <c r="J1900" s="24">
        <f t="shared" si="87"/>
        <v>1.1780553590936529E-4</v>
      </c>
      <c r="K1900" s="25">
        <f t="shared" si="89"/>
        <v>0.83647423674167298</v>
      </c>
      <c r="L1900" s="26" t="s">
        <v>7517</v>
      </c>
      <c r="M1900" s="28"/>
      <c r="N1900" s="28">
        <v>3.7351265367143914E-2</v>
      </c>
      <c r="O1900" s="20">
        <v>7189.62</v>
      </c>
      <c r="P1900" s="27" t="str">
        <f t="shared" si="88"/>
        <v>amarelo</v>
      </c>
    </row>
    <row r="1901" spans="1:16" ht="25.5">
      <c r="A1901" s="3" t="s">
        <v>4</v>
      </c>
      <c r="B1901" s="3" t="s">
        <v>1203</v>
      </c>
      <c r="C1901" s="4">
        <v>93</v>
      </c>
      <c r="D1901" s="3" t="s">
        <v>20</v>
      </c>
      <c r="E1901" s="3" t="s">
        <v>7</v>
      </c>
      <c r="F1901" s="5">
        <v>174</v>
      </c>
      <c r="G1901" s="5">
        <v>303</v>
      </c>
      <c r="H1901" s="6">
        <v>7948.1279999999997</v>
      </c>
      <c r="I1901" s="22">
        <v>16995.57</v>
      </c>
      <c r="J1901" s="24">
        <f t="shared" si="87"/>
        <v>1.1776437692505735E-4</v>
      </c>
      <c r="K1901" s="25">
        <f t="shared" si="89"/>
        <v>0.83659200111859799</v>
      </c>
      <c r="L1901" s="26" t="s">
        <v>7517</v>
      </c>
      <c r="M1901" s="28"/>
      <c r="N1901" s="28"/>
      <c r="O1901" s="20" t="s">
        <v>7530</v>
      </c>
      <c r="P1901" s="27" t="str">
        <f t="shared" si="88"/>
        <v>vermelho</v>
      </c>
    </row>
    <row r="1902" spans="1:16" ht="25.5">
      <c r="A1902" s="3" t="s">
        <v>4</v>
      </c>
      <c r="B1902" s="3" t="s">
        <v>1204</v>
      </c>
      <c r="C1902" s="4">
        <v>31</v>
      </c>
      <c r="D1902" s="3" t="s">
        <v>194</v>
      </c>
      <c r="E1902" s="3" t="s">
        <v>16</v>
      </c>
      <c r="F1902" s="5">
        <v>300</v>
      </c>
      <c r="G1902" s="5">
        <v>282</v>
      </c>
      <c r="H1902" s="6">
        <v>15650.55</v>
      </c>
      <c r="I1902" s="22">
        <v>16978.11</v>
      </c>
      <c r="J1902" s="24">
        <f t="shared" si="87"/>
        <v>1.1764339445603092E-4</v>
      </c>
      <c r="K1902" s="25">
        <f t="shared" si="89"/>
        <v>0.83670964451305407</v>
      </c>
      <c r="L1902" s="26" t="s">
        <v>7517</v>
      </c>
      <c r="M1902" s="28"/>
      <c r="N1902" s="28"/>
      <c r="O1902" s="20">
        <v>3305.4</v>
      </c>
      <c r="P1902" s="27" t="str">
        <f t="shared" si="88"/>
        <v>amarelo</v>
      </c>
    </row>
    <row r="1903" spans="1:16" ht="38.25">
      <c r="A1903" s="3" t="s">
        <v>5759</v>
      </c>
      <c r="B1903" s="3" t="s">
        <v>5760</v>
      </c>
      <c r="C1903" s="4">
        <v>34</v>
      </c>
      <c r="D1903" s="3" t="s">
        <v>54</v>
      </c>
      <c r="E1903" s="3" t="s">
        <v>49</v>
      </c>
      <c r="F1903" s="5">
        <v>513</v>
      </c>
      <c r="G1903" s="5">
        <v>261</v>
      </c>
      <c r="H1903" s="6">
        <v>33326.699999999997</v>
      </c>
      <c r="I1903" s="22">
        <v>16977.689999999999</v>
      </c>
      <c r="J1903" s="24">
        <f t="shared" si="87"/>
        <v>1.1764048422481722E-4</v>
      </c>
      <c r="K1903" s="25">
        <f t="shared" si="89"/>
        <v>0.83682728499727888</v>
      </c>
      <c r="L1903" s="26" t="s">
        <v>7517</v>
      </c>
      <c r="M1903" s="28"/>
      <c r="N1903" s="28"/>
      <c r="O1903" s="20">
        <v>17900.04</v>
      </c>
      <c r="P1903" s="27" t="str">
        <f t="shared" si="88"/>
        <v>verde</v>
      </c>
    </row>
    <row r="1904" spans="1:16" ht="25.5">
      <c r="A1904" s="3" t="s">
        <v>4</v>
      </c>
      <c r="B1904" s="3" t="s">
        <v>1205</v>
      </c>
      <c r="C1904" s="4">
        <v>328</v>
      </c>
      <c r="D1904" s="3" t="s">
        <v>215</v>
      </c>
      <c r="E1904" s="3" t="s">
        <v>41</v>
      </c>
      <c r="F1904" s="5">
        <v>0</v>
      </c>
      <c r="G1904" s="5">
        <v>303</v>
      </c>
      <c r="H1904" s="6">
        <v>0</v>
      </c>
      <c r="I1904" s="22">
        <v>16964.46</v>
      </c>
      <c r="J1904" s="24">
        <f t="shared" si="87"/>
        <v>1.1754881194158586E-4</v>
      </c>
      <c r="K1904" s="25">
        <f t="shared" si="89"/>
        <v>0.83694483380922047</v>
      </c>
      <c r="L1904" s="26" t="s">
        <v>7517</v>
      </c>
      <c r="M1904" s="28">
        <v>-5.3768955244958533E-2</v>
      </c>
      <c r="N1904" s="28"/>
      <c r="O1904" s="20">
        <v>2181.6</v>
      </c>
      <c r="P1904" s="27" t="str">
        <f t="shared" si="88"/>
        <v>amarelo</v>
      </c>
    </row>
    <row r="1905" spans="1:16" ht="25.5">
      <c r="A1905" s="3" t="s">
        <v>6398</v>
      </c>
      <c r="B1905" s="3" t="s">
        <v>6399</v>
      </c>
      <c r="C1905" s="4">
        <v>335</v>
      </c>
      <c r="D1905" s="3" t="s">
        <v>36</v>
      </c>
      <c r="E1905" s="3" t="s">
        <v>7</v>
      </c>
      <c r="F1905" s="5">
        <v>0</v>
      </c>
      <c r="G1905" s="5">
        <v>252</v>
      </c>
      <c r="H1905" s="6">
        <v>0</v>
      </c>
      <c r="I1905" s="22">
        <v>16952.16</v>
      </c>
      <c r="J1905" s="24">
        <f t="shared" si="87"/>
        <v>1.1746358374175625E-4</v>
      </c>
      <c r="K1905" s="25">
        <f t="shared" si="89"/>
        <v>0.83706229739296223</v>
      </c>
      <c r="L1905" s="26" t="s">
        <v>7517</v>
      </c>
      <c r="M1905" s="28"/>
      <c r="N1905" s="28"/>
      <c r="O1905" s="20" t="s">
        <v>7530</v>
      </c>
      <c r="P1905" s="27" t="str">
        <f t="shared" si="88"/>
        <v>vermelho</v>
      </c>
    </row>
    <row r="1906" spans="1:16" ht="38.25">
      <c r="A1906" s="3" t="s">
        <v>4</v>
      </c>
      <c r="B1906" s="3" t="s">
        <v>1206</v>
      </c>
      <c r="C1906" s="4">
        <v>11</v>
      </c>
      <c r="D1906" s="3" t="s">
        <v>61</v>
      </c>
      <c r="E1906" s="3" t="s">
        <v>10</v>
      </c>
      <c r="F1906" s="5">
        <v>594</v>
      </c>
      <c r="G1906" s="5">
        <v>246</v>
      </c>
      <c r="H1906" s="6">
        <v>34024.199999999997</v>
      </c>
      <c r="I1906" s="22">
        <v>16951.68</v>
      </c>
      <c r="J1906" s="24">
        <f t="shared" si="87"/>
        <v>1.1746025776322631E-4</v>
      </c>
      <c r="K1906" s="25">
        <f t="shared" si="89"/>
        <v>0.8371797576507255</v>
      </c>
      <c r="L1906" s="26" t="s">
        <v>7517</v>
      </c>
      <c r="M1906" s="28"/>
      <c r="N1906" s="28"/>
      <c r="O1906" s="20">
        <v>11506.74</v>
      </c>
      <c r="P1906" s="27" t="str">
        <f t="shared" si="88"/>
        <v>laranja</v>
      </c>
    </row>
    <row r="1907" spans="1:16" ht="25.5">
      <c r="A1907" s="3" t="s">
        <v>4</v>
      </c>
      <c r="B1907" s="3" t="s">
        <v>1207</v>
      </c>
      <c r="C1907" s="4">
        <v>187</v>
      </c>
      <c r="D1907" s="3" t="s">
        <v>96</v>
      </c>
      <c r="E1907" s="3" t="s">
        <v>7</v>
      </c>
      <c r="F1907" s="5">
        <v>0</v>
      </c>
      <c r="G1907" s="5">
        <v>279</v>
      </c>
      <c r="H1907" s="6">
        <v>0</v>
      </c>
      <c r="I1907" s="22">
        <v>16948.439999999999</v>
      </c>
      <c r="J1907" s="24">
        <f t="shared" si="87"/>
        <v>1.1743780740814923E-4</v>
      </c>
      <c r="K1907" s="25">
        <f t="shared" si="89"/>
        <v>0.83729719545813364</v>
      </c>
      <c r="L1907" s="26" t="s">
        <v>7517</v>
      </c>
      <c r="M1907" s="28"/>
      <c r="N1907" s="28"/>
      <c r="O1907" s="20" t="s">
        <v>7530</v>
      </c>
      <c r="P1907" s="27" t="str">
        <f t="shared" si="88"/>
        <v>vermelho</v>
      </c>
    </row>
    <row r="1908" spans="1:16" ht="25.5">
      <c r="A1908" s="3" t="s">
        <v>4</v>
      </c>
      <c r="B1908" s="3" t="s">
        <v>1208</v>
      </c>
      <c r="C1908" s="4">
        <v>194</v>
      </c>
      <c r="D1908" s="3" t="s">
        <v>145</v>
      </c>
      <c r="E1908" s="3" t="s">
        <v>16</v>
      </c>
      <c r="F1908" s="5">
        <v>201</v>
      </c>
      <c r="G1908" s="5">
        <v>252</v>
      </c>
      <c r="H1908" s="6">
        <v>9765.99</v>
      </c>
      <c r="I1908" s="22">
        <v>16942.5</v>
      </c>
      <c r="J1908" s="24">
        <f t="shared" si="87"/>
        <v>1.1739664842384129E-4</v>
      </c>
      <c r="K1908" s="25">
        <f t="shared" si="89"/>
        <v>0.83741459210655744</v>
      </c>
      <c r="L1908" s="26" t="s">
        <v>7517</v>
      </c>
      <c r="M1908" s="28"/>
      <c r="N1908" s="28"/>
      <c r="O1908" s="20" t="s">
        <v>7530</v>
      </c>
      <c r="P1908" s="27" t="str">
        <f t="shared" si="88"/>
        <v>vermelho</v>
      </c>
    </row>
    <row r="1909" spans="1:16" ht="25.5">
      <c r="A1909" s="3" t="s">
        <v>6400</v>
      </c>
      <c r="B1909" s="3" t="s">
        <v>6401</v>
      </c>
      <c r="C1909" s="4">
        <v>273</v>
      </c>
      <c r="D1909" s="3" t="s">
        <v>149</v>
      </c>
      <c r="E1909" s="3" t="s">
        <v>16</v>
      </c>
      <c r="F1909" s="5">
        <v>219</v>
      </c>
      <c r="G1909" s="5">
        <v>306</v>
      </c>
      <c r="H1909" s="6">
        <v>11257.89</v>
      </c>
      <c r="I1909" s="22">
        <v>16941.222000000002</v>
      </c>
      <c r="J1909" s="24">
        <f t="shared" si="87"/>
        <v>1.1738779300600534E-4</v>
      </c>
      <c r="K1909" s="25">
        <f t="shared" si="89"/>
        <v>0.83753197989956341</v>
      </c>
      <c r="L1909" s="26" t="s">
        <v>7517</v>
      </c>
      <c r="M1909" s="28"/>
      <c r="N1909" s="28"/>
      <c r="O1909" s="20" t="s">
        <v>7530</v>
      </c>
      <c r="P1909" s="27" t="str">
        <f t="shared" si="88"/>
        <v>vermelho</v>
      </c>
    </row>
    <row r="1910" spans="1:16" ht="25.5">
      <c r="A1910" s="3" t="s">
        <v>4</v>
      </c>
      <c r="B1910" s="3" t="s">
        <v>1209</v>
      </c>
      <c r="C1910" s="4">
        <v>320</v>
      </c>
      <c r="D1910" s="3" t="s">
        <v>218</v>
      </c>
      <c r="E1910" s="3" t="s">
        <v>49</v>
      </c>
      <c r="F1910" s="5">
        <v>207</v>
      </c>
      <c r="G1910" s="5">
        <v>270</v>
      </c>
      <c r="H1910" s="6">
        <v>11819.61</v>
      </c>
      <c r="I1910" s="22">
        <v>16938.12</v>
      </c>
      <c r="J1910" s="24">
        <f t="shared" si="87"/>
        <v>1.173662988697556E-4</v>
      </c>
      <c r="K1910" s="25">
        <f t="shared" si="89"/>
        <v>0.83764934619843312</v>
      </c>
      <c r="L1910" s="26" t="s">
        <v>7517</v>
      </c>
      <c r="M1910" s="28"/>
      <c r="N1910" s="28"/>
      <c r="O1910" s="20" t="s">
        <v>7530</v>
      </c>
      <c r="P1910" s="27" t="str">
        <f t="shared" si="88"/>
        <v>vermelho</v>
      </c>
    </row>
    <row r="1911" spans="1:16">
      <c r="A1911" s="3" t="s">
        <v>4</v>
      </c>
      <c r="B1911" s="3" t="s">
        <v>1210</v>
      </c>
      <c r="C1911" s="4">
        <v>231</v>
      </c>
      <c r="D1911" s="3" t="s">
        <v>52</v>
      </c>
      <c r="E1911" s="3" t="s">
        <v>7</v>
      </c>
      <c r="F1911" s="5">
        <v>0</v>
      </c>
      <c r="G1911" s="5">
        <v>309</v>
      </c>
      <c r="H1911" s="6">
        <v>0</v>
      </c>
      <c r="I1911" s="22">
        <v>16926.18</v>
      </c>
      <c r="J1911" s="24">
        <f t="shared" si="87"/>
        <v>1.1728356515382345E-4</v>
      </c>
      <c r="K1911" s="25">
        <f t="shared" si="89"/>
        <v>0.83776662976358696</v>
      </c>
      <c r="L1911" s="26" t="s">
        <v>7517</v>
      </c>
      <c r="M1911" s="28"/>
      <c r="N1911" s="28"/>
      <c r="O1911" s="20" t="s">
        <v>7530</v>
      </c>
      <c r="P1911" s="27" t="str">
        <f t="shared" si="88"/>
        <v>vermelho</v>
      </c>
    </row>
    <row r="1912" spans="1:16" ht="25.5">
      <c r="A1912" s="3" t="s">
        <v>4</v>
      </c>
      <c r="B1912" s="3" t="s">
        <v>1211</v>
      </c>
      <c r="C1912" s="4">
        <v>39</v>
      </c>
      <c r="D1912" s="3" t="s">
        <v>26</v>
      </c>
      <c r="E1912" s="3" t="s">
        <v>13</v>
      </c>
      <c r="F1912" s="5">
        <v>240</v>
      </c>
      <c r="G1912" s="5">
        <v>276</v>
      </c>
      <c r="H1912" s="6">
        <v>12862.08</v>
      </c>
      <c r="I1912" s="22">
        <v>16902.900000000001</v>
      </c>
      <c r="J1912" s="24">
        <f t="shared" si="87"/>
        <v>1.1712225519512155E-4</v>
      </c>
      <c r="K1912" s="25">
        <f t="shared" si="89"/>
        <v>0.83788375201878207</v>
      </c>
      <c r="L1912" s="26" t="s">
        <v>7517</v>
      </c>
      <c r="M1912" s="28"/>
      <c r="N1912" s="28"/>
      <c r="O1912" s="20" t="s">
        <v>7530</v>
      </c>
      <c r="P1912" s="27" t="str">
        <f t="shared" si="88"/>
        <v>vermelho</v>
      </c>
    </row>
    <row r="1913" spans="1:16" ht="25.5">
      <c r="A1913" s="3" t="s">
        <v>4</v>
      </c>
      <c r="B1913" s="3" t="s">
        <v>1212</v>
      </c>
      <c r="C1913" s="4">
        <v>31</v>
      </c>
      <c r="D1913" s="3" t="s">
        <v>194</v>
      </c>
      <c r="E1913" s="3" t="s">
        <v>16</v>
      </c>
      <c r="F1913" s="5">
        <v>0</v>
      </c>
      <c r="G1913" s="5">
        <v>300</v>
      </c>
      <c r="H1913" s="6">
        <v>0</v>
      </c>
      <c r="I1913" s="22">
        <v>16881</v>
      </c>
      <c r="J1913" s="24">
        <f t="shared" si="87"/>
        <v>1.1697050742469321E-4</v>
      </c>
      <c r="K1913" s="25">
        <f t="shared" si="89"/>
        <v>0.83800072252620672</v>
      </c>
      <c r="L1913" s="26" t="s">
        <v>7517</v>
      </c>
      <c r="M1913" s="28"/>
      <c r="N1913" s="28"/>
      <c r="O1913" s="20" t="s">
        <v>7530</v>
      </c>
      <c r="P1913" s="27" t="str">
        <f t="shared" si="88"/>
        <v>vermelho</v>
      </c>
    </row>
    <row r="1914" spans="1:16" ht="25.5">
      <c r="A1914" s="3" t="s">
        <v>4</v>
      </c>
      <c r="B1914" s="3" t="s">
        <v>1213</v>
      </c>
      <c r="C1914" s="4">
        <v>217</v>
      </c>
      <c r="D1914" s="3" t="s">
        <v>91</v>
      </c>
      <c r="E1914" s="3" t="s">
        <v>16</v>
      </c>
      <c r="F1914" s="5">
        <v>561</v>
      </c>
      <c r="G1914" s="5">
        <v>312</v>
      </c>
      <c r="H1914" s="6">
        <v>29660.79</v>
      </c>
      <c r="I1914" s="22">
        <v>16878.96</v>
      </c>
      <c r="J1914" s="24">
        <f t="shared" si="87"/>
        <v>1.1695637201594097E-4</v>
      </c>
      <c r="K1914" s="25">
        <f t="shared" si="89"/>
        <v>0.83811767889822264</v>
      </c>
      <c r="L1914" s="26" t="s">
        <v>7517</v>
      </c>
      <c r="M1914" s="28"/>
      <c r="N1914" s="28"/>
      <c r="O1914" s="20" t="s">
        <v>7530</v>
      </c>
      <c r="P1914" s="27" t="str">
        <f t="shared" si="88"/>
        <v>vermelho</v>
      </c>
    </row>
    <row r="1915" spans="1:16" ht="25.5">
      <c r="A1915" s="3" t="s">
        <v>4</v>
      </c>
      <c r="B1915" s="3" t="s">
        <v>1214</v>
      </c>
      <c r="C1915" s="4">
        <v>178</v>
      </c>
      <c r="D1915" s="3" t="s">
        <v>74</v>
      </c>
      <c r="E1915" s="3" t="s">
        <v>7</v>
      </c>
      <c r="F1915" s="5">
        <v>96</v>
      </c>
      <c r="G1915" s="5">
        <v>258</v>
      </c>
      <c r="H1915" s="6">
        <v>5210.04</v>
      </c>
      <c r="I1915" s="22">
        <v>16866.599999999999</v>
      </c>
      <c r="J1915" s="24">
        <f t="shared" si="87"/>
        <v>1.1687072806879511E-4</v>
      </c>
      <c r="K1915" s="25">
        <f t="shared" si="89"/>
        <v>0.8382345496262914</v>
      </c>
      <c r="L1915" s="26" t="s">
        <v>7517</v>
      </c>
      <c r="M1915" s="28"/>
      <c r="N1915" s="28">
        <v>4.8250945228010947E-2</v>
      </c>
      <c r="O1915" s="20">
        <v>19494.3</v>
      </c>
      <c r="P1915" s="27" t="str">
        <f t="shared" si="88"/>
        <v>verde</v>
      </c>
    </row>
    <row r="1916" spans="1:16">
      <c r="A1916" s="3" t="s">
        <v>4</v>
      </c>
      <c r="B1916" s="3" t="s">
        <v>1215</v>
      </c>
      <c r="C1916" s="4">
        <v>15</v>
      </c>
      <c r="D1916" s="3" t="s">
        <v>18</v>
      </c>
      <c r="E1916" s="3" t="s">
        <v>16</v>
      </c>
      <c r="F1916" s="5">
        <v>0</v>
      </c>
      <c r="G1916" s="5">
        <v>267</v>
      </c>
      <c r="H1916" s="6">
        <v>0</v>
      </c>
      <c r="I1916" s="22">
        <v>16857.78</v>
      </c>
      <c r="J1916" s="24">
        <f t="shared" si="87"/>
        <v>1.1680961321330754E-4</v>
      </c>
      <c r="K1916" s="25">
        <f t="shared" si="89"/>
        <v>0.83835135923950466</v>
      </c>
      <c r="L1916" s="26" t="s">
        <v>7517</v>
      </c>
      <c r="M1916" s="28"/>
      <c r="N1916" s="28"/>
      <c r="O1916" s="20" t="s">
        <v>7530</v>
      </c>
      <c r="P1916" s="27" t="str">
        <f t="shared" si="88"/>
        <v>vermelho</v>
      </c>
    </row>
    <row r="1917" spans="1:16" ht="25.5">
      <c r="A1917" s="3" t="s">
        <v>4</v>
      </c>
      <c r="B1917" s="3" t="s">
        <v>1216</v>
      </c>
      <c r="C1917" s="4">
        <v>266</v>
      </c>
      <c r="D1917" s="3" t="s">
        <v>80</v>
      </c>
      <c r="E1917" s="3" t="s">
        <v>10</v>
      </c>
      <c r="F1917" s="5">
        <v>120</v>
      </c>
      <c r="G1917" s="5">
        <v>258</v>
      </c>
      <c r="H1917" s="6">
        <v>6639.48</v>
      </c>
      <c r="I1917" s="22">
        <v>16854.96</v>
      </c>
      <c r="J1917" s="24">
        <f t="shared" si="87"/>
        <v>1.1679007308944416E-4</v>
      </c>
      <c r="K1917" s="25">
        <f t="shared" si="89"/>
        <v>0.83846814931259406</v>
      </c>
      <c r="L1917" s="26" t="s">
        <v>7517</v>
      </c>
      <c r="M1917" s="28"/>
      <c r="N1917" s="28"/>
      <c r="O1917" s="20" t="s">
        <v>7530</v>
      </c>
      <c r="P1917" s="27" t="str">
        <f t="shared" si="88"/>
        <v>vermelho</v>
      </c>
    </row>
    <row r="1918" spans="1:16" ht="25.5">
      <c r="A1918" s="3" t="s">
        <v>4</v>
      </c>
      <c r="B1918" s="3" t="s">
        <v>1217</v>
      </c>
      <c r="C1918" s="4">
        <v>261</v>
      </c>
      <c r="D1918" s="3" t="s">
        <v>9</v>
      </c>
      <c r="E1918" s="3" t="s">
        <v>10</v>
      </c>
      <c r="F1918" s="5">
        <v>261</v>
      </c>
      <c r="G1918" s="5">
        <v>285</v>
      </c>
      <c r="H1918" s="6">
        <v>15251.1</v>
      </c>
      <c r="I1918" s="22">
        <v>16851.3</v>
      </c>
      <c r="J1918" s="24">
        <f t="shared" si="87"/>
        <v>1.167647125031534E-4</v>
      </c>
      <c r="K1918" s="25">
        <f t="shared" si="89"/>
        <v>0.83858491402509716</v>
      </c>
      <c r="L1918" s="26" t="s">
        <v>7517</v>
      </c>
      <c r="M1918" s="28"/>
      <c r="N1918" s="28"/>
      <c r="O1918" s="20">
        <v>11576.55</v>
      </c>
      <c r="P1918" s="27" t="str">
        <f t="shared" si="88"/>
        <v>laranja</v>
      </c>
    </row>
    <row r="1919" spans="1:16" ht="38.25">
      <c r="A1919" s="3" t="s">
        <v>4</v>
      </c>
      <c r="B1919" s="3" t="s">
        <v>1218</v>
      </c>
      <c r="C1919" s="4">
        <v>38</v>
      </c>
      <c r="D1919" s="3" t="s">
        <v>184</v>
      </c>
      <c r="E1919" s="3" t="s">
        <v>49</v>
      </c>
      <c r="F1919" s="5">
        <v>552</v>
      </c>
      <c r="G1919" s="5">
        <v>303</v>
      </c>
      <c r="H1919" s="6">
        <v>33125.519999999997</v>
      </c>
      <c r="I1919" s="22">
        <v>16846.07</v>
      </c>
      <c r="J1919" s="24">
        <f t="shared" si="87"/>
        <v>1.1672847319542097E-4</v>
      </c>
      <c r="K1919" s="25">
        <f t="shared" si="89"/>
        <v>0.8387016424982926</v>
      </c>
      <c r="L1919" s="26" t="s">
        <v>7517</v>
      </c>
      <c r="M1919" s="28"/>
      <c r="N1919" s="28"/>
      <c r="O1919" s="20" t="s">
        <v>7530</v>
      </c>
      <c r="P1919" s="27" t="str">
        <f t="shared" si="88"/>
        <v>vermelho</v>
      </c>
    </row>
    <row r="1920" spans="1:16" ht="38.25">
      <c r="A1920" s="3" t="s">
        <v>4</v>
      </c>
      <c r="B1920" s="3" t="s">
        <v>1219</v>
      </c>
      <c r="C1920" s="4">
        <v>45</v>
      </c>
      <c r="D1920" s="3" t="s">
        <v>23</v>
      </c>
      <c r="E1920" s="3" t="s">
        <v>7</v>
      </c>
      <c r="F1920" s="5">
        <v>75</v>
      </c>
      <c r="G1920" s="5">
        <v>267</v>
      </c>
      <c r="H1920" s="6">
        <v>4724.3249999999998</v>
      </c>
      <c r="I1920" s="22">
        <v>16846.05</v>
      </c>
      <c r="J1920" s="24">
        <f t="shared" si="87"/>
        <v>1.1672833461298222E-4</v>
      </c>
      <c r="K1920" s="25">
        <f t="shared" si="89"/>
        <v>0.83881837083290556</v>
      </c>
      <c r="L1920" s="26" t="s">
        <v>7517</v>
      </c>
      <c r="M1920" s="28"/>
      <c r="N1920" s="28"/>
      <c r="O1920" s="20">
        <v>6517.98</v>
      </c>
      <c r="P1920" s="27" t="str">
        <f t="shared" si="88"/>
        <v>amarelo</v>
      </c>
    </row>
    <row r="1921" spans="1:16">
      <c r="A1921" s="3" t="s">
        <v>4</v>
      </c>
      <c r="B1921" s="3" t="s">
        <v>1220</v>
      </c>
      <c r="C1921" s="4">
        <v>15</v>
      </c>
      <c r="D1921" s="3" t="s">
        <v>18</v>
      </c>
      <c r="E1921" s="3" t="s">
        <v>16</v>
      </c>
      <c r="F1921" s="5">
        <v>642</v>
      </c>
      <c r="G1921" s="5">
        <v>312</v>
      </c>
      <c r="H1921" s="6">
        <v>33712.32</v>
      </c>
      <c r="I1921" s="22">
        <v>16842.599999999999</v>
      </c>
      <c r="J1921" s="24">
        <f t="shared" si="87"/>
        <v>1.167044291422983E-4</v>
      </c>
      <c r="K1921" s="25">
        <f t="shared" si="89"/>
        <v>0.8389350752620478</v>
      </c>
      <c r="L1921" s="26" t="s">
        <v>7517</v>
      </c>
      <c r="M1921" s="28"/>
      <c r="N1921" s="28"/>
      <c r="O1921" s="20" t="s">
        <v>7530</v>
      </c>
      <c r="P1921" s="27" t="str">
        <f t="shared" si="88"/>
        <v>vermelho</v>
      </c>
    </row>
    <row r="1922" spans="1:16" ht="25.5">
      <c r="A1922" s="3" t="s">
        <v>4</v>
      </c>
      <c r="B1922" s="3" t="s">
        <v>1221</v>
      </c>
      <c r="C1922" s="4">
        <v>74</v>
      </c>
      <c r="D1922" s="3" t="s">
        <v>6</v>
      </c>
      <c r="E1922" s="3" t="s">
        <v>7</v>
      </c>
      <c r="F1922" s="5">
        <v>180</v>
      </c>
      <c r="G1922" s="5">
        <v>264</v>
      </c>
      <c r="H1922" s="6">
        <v>9942.7199999999993</v>
      </c>
      <c r="I1922" s="22">
        <v>16833</v>
      </c>
      <c r="J1922" s="24">
        <f t="shared" si="87"/>
        <v>1.1663790957169959E-4</v>
      </c>
      <c r="K1922" s="25">
        <f t="shared" si="89"/>
        <v>0.83905171317161953</v>
      </c>
      <c r="L1922" s="26" t="s">
        <v>7517</v>
      </c>
      <c r="M1922" s="28"/>
      <c r="N1922" s="28">
        <v>4.3447705656755951E-2</v>
      </c>
      <c r="O1922" s="20">
        <v>4452</v>
      </c>
      <c r="P1922" s="27" t="str">
        <f t="shared" si="88"/>
        <v>amarelo</v>
      </c>
    </row>
    <row r="1923" spans="1:16" ht="25.5">
      <c r="A1923" s="3" t="s">
        <v>4</v>
      </c>
      <c r="B1923" s="3" t="s">
        <v>1222</v>
      </c>
      <c r="C1923" s="4">
        <v>194</v>
      </c>
      <c r="D1923" s="3" t="s">
        <v>145</v>
      </c>
      <c r="E1923" s="3" t="s">
        <v>16</v>
      </c>
      <c r="F1923" s="5">
        <v>0</v>
      </c>
      <c r="G1923" s="5">
        <v>258</v>
      </c>
      <c r="H1923" s="6">
        <v>0</v>
      </c>
      <c r="I1923" s="22">
        <v>16830.48</v>
      </c>
      <c r="J1923" s="24">
        <f t="shared" ref="J1923:J1986" si="90">I1923/$I$6364</f>
        <v>1.1662044818441743E-4</v>
      </c>
      <c r="K1923" s="25">
        <f t="shared" si="89"/>
        <v>0.83916833361980392</v>
      </c>
      <c r="L1923" s="26" t="s">
        <v>7517</v>
      </c>
      <c r="M1923" s="28"/>
      <c r="N1923" s="28"/>
      <c r="O1923" s="20" t="s">
        <v>7530</v>
      </c>
      <c r="P1923" s="27" t="str">
        <f t="shared" ref="P1923:P1986" si="91">IF(O1923&lt;=0,"vermelho",IFERROR(IF(O1923/I1923&lt;=0.5098,"amarelo",IF(O1923/I1923&lt;1,"laranja","verde")),"vermelho"))</f>
        <v>vermelho</v>
      </c>
    </row>
    <row r="1924" spans="1:16" ht="38.25">
      <c r="A1924" s="3" t="s">
        <v>4</v>
      </c>
      <c r="B1924" s="3" t="s">
        <v>1223</v>
      </c>
      <c r="C1924" s="4">
        <v>34</v>
      </c>
      <c r="D1924" s="3" t="s">
        <v>54</v>
      </c>
      <c r="E1924" s="3" t="s">
        <v>49</v>
      </c>
      <c r="F1924" s="5">
        <v>306</v>
      </c>
      <c r="G1924" s="5">
        <v>282</v>
      </c>
      <c r="H1924" s="6">
        <v>20183.939999999999</v>
      </c>
      <c r="I1924" s="22">
        <v>16823.22</v>
      </c>
      <c r="J1924" s="24">
        <f t="shared" si="90"/>
        <v>1.1657014275915215E-4</v>
      </c>
      <c r="K1924" s="25">
        <f t="shared" ref="K1924:K1987" si="92">J1924+K1923</f>
        <v>0.83928490376256304</v>
      </c>
      <c r="L1924" s="26" t="s">
        <v>7517</v>
      </c>
      <c r="M1924" s="28"/>
      <c r="N1924" s="28"/>
      <c r="O1924" s="20" t="s">
        <v>7530</v>
      </c>
      <c r="P1924" s="27" t="str">
        <f t="shared" si="91"/>
        <v>vermelho</v>
      </c>
    </row>
    <row r="1925" spans="1:16" ht="25.5">
      <c r="A1925" s="3" t="s">
        <v>4</v>
      </c>
      <c r="B1925" s="3" t="s">
        <v>1224</v>
      </c>
      <c r="C1925" s="4">
        <v>197</v>
      </c>
      <c r="D1925" s="3" t="s">
        <v>66</v>
      </c>
      <c r="E1925" s="3" t="s">
        <v>41</v>
      </c>
      <c r="F1925" s="5">
        <v>312</v>
      </c>
      <c r="G1925" s="5">
        <v>276</v>
      </c>
      <c r="H1925" s="6">
        <v>14566.56</v>
      </c>
      <c r="I1925" s="22">
        <v>16796.04</v>
      </c>
      <c r="J1925" s="24">
        <f t="shared" si="90"/>
        <v>1.1638180922489451E-4</v>
      </c>
      <c r="K1925" s="25">
        <f t="shared" si="92"/>
        <v>0.83940128557178795</v>
      </c>
      <c r="L1925" s="26" t="s">
        <v>7517</v>
      </c>
      <c r="M1925" s="28"/>
      <c r="N1925" s="28"/>
      <c r="O1925" s="20" t="s">
        <v>7530</v>
      </c>
      <c r="P1925" s="27" t="str">
        <f t="shared" si="91"/>
        <v>vermelho</v>
      </c>
    </row>
    <row r="1926" spans="1:16" ht="25.5">
      <c r="A1926" s="3" t="s">
        <v>4</v>
      </c>
      <c r="B1926" s="3" t="s">
        <v>1225</v>
      </c>
      <c r="C1926" s="4">
        <v>315</v>
      </c>
      <c r="D1926" s="3" t="s">
        <v>63</v>
      </c>
      <c r="E1926" s="3" t="s">
        <v>7</v>
      </c>
      <c r="F1926" s="5">
        <v>0</v>
      </c>
      <c r="G1926" s="5">
        <v>240</v>
      </c>
      <c r="H1926" s="6">
        <v>0</v>
      </c>
      <c r="I1926" s="22">
        <v>16784.16</v>
      </c>
      <c r="J1926" s="24">
        <f t="shared" si="90"/>
        <v>1.1629949125627858E-4</v>
      </c>
      <c r="K1926" s="25">
        <f t="shared" si="92"/>
        <v>0.83951758506304419</v>
      </c>
      <c r="L1926" s="26" t="s">
        <v>7517</v>
      </c>
      <c r="M1926" s="28"/>
      <c r="N1926" s="28"/>
      <c r="O1926" s="20" t="s">
        <v>7530</v>
      </c>
      <c r="P1926" s="27" t="str">
        <f t="shared" si="91"/>
        <v>vermelho</v>
      </c>
    </row>
    <row r="1927" spans="1:16" ht="25.5">
      <c r="A1927" s="3" t="s">
        <v>4</v>
      </c>
      <c r="B1927" s="3" t="s">
        <v>1226</v>
      </c>
      <c r="C1927" s="4">
        <v>19</v>
      </c>
      <c r="D1927" s="3" t="s">
        <v>72</v>
      </c>
      <c r="E1927" s="3" t="s">
        <v>41</v>
      </c>
      <c r="F1927" s="5">
        <v>360</v>
      </c>
      <c r="G1927" s="5">
        <v>288</v>
      </c>
      <c r="H1927" s="6">
        <v>21371.88</v>
      </c>
      <c r="I1927" s="22">
        <v>16715.88</v>
      </c>
      <c r="J1927" s="24">
        <f t="shared" si="90"/>
        <v>1.1582637081039516E-4</v>
      </c>
      <c r="K1927" s="25">
        <f t="shared" si="92"/>
        <v>0.83963341143385462</v>
      </c>
      <c r="L1927" s="26" t="s">
        <v>7517</v>
      </c>
      <c r="M1927" s="28"/>
      <c r="N1927" s="28"/>
      <c r="O1927" s="20">
        <v>20362.36</v>
      </c>
      <c r="P1927" s="27" t="str">
        <f t="shared" si="91"/>
        <v>verde</v>
      </c>
    </row>
    <row r="1928" spans="1:16" ht="25.5">
      <c r="A1928" s="3" t="s">
        <v>4</v>
      </c>
      <c r="B1928" s="3" t="s">
        <v>1227</v>
      </c>
      <c r="C1928" s="4">
        <v>19</v>
      </c>
      <c r="D1928" s="3" t="s">
        <v>72</v>
      </c>
      <c r="E1928" s="3" t="s">
        <v>41</v>
      </c>
      <c r="F1928" s="5">
        <v>336</v>
      </c>
      <c r="G1928" s="5">
        <v>264</v>
      </c>
      <c r="H1928" s="6">
        <v>19252.080000000002</v>
      </c>
      <c r="I1928" s="22">
        <v>16714.32</v>
      </c>
      <c r="J1928" s="24">
        <f t="shared" si="90"/>
        <v>1.1581556138017286E-4</v>
      </c>
      <c r="K1928" s="25">
        <f t="shared" si="92"/>
        <v>0.8397492269952348</v>
      </c>
      <c r="L1928" s="26" t="s">
        <v>7517</v>
      </c>
      <c r="M1928" s="28"/>
      <c r="N1928" s="28"/>
      <c r="O1928" s="20" t="s">
        <v>7530</v>
      </c>
      <c r="P1928" s="27" t="str">
        <f t="shared" si="91"/>
        <v>vermelho</v>
      </c>
    </row>
    <row r="1929" spans="1:16" ht="25.5">
      <c r="A1929" s="3" t="s">
        <v>6402</v>
      </c>
      <c r="B1929" s="3" t="s">
        <v>6403</v>
      </c>
      <c r="C1929" s="4">
        <v>31</v>
      </c>
      <c r="D1929" s="3" t="s">
        <v>194</v>
      </c>
      <c r="E1929" s="3" t="s">
        <v>16</v>
      </c>
      <c r="F1929" s="5">
        <v>0</v>
      </c>
      <c r="G1929" s="5">
        <v>276</v>
      </c>
      <c r="H1929" s="6">
        <v>0</v>
      </c>
      <c r="I1929" s="22">
        <v>16713.240000000002</v>
      </c>
      <c r="J1929" s="24">
        <f t="shared" si="90"/>
        <v>1.1580807792848052E-4</v>
      </c>
      <c r="K1929" s="25">
        <f t="shared" si="92"/>
        <v>0.83986503507316324</v>
      </c>
      <c r="L1929" s="26" t="s">
        <v>7517</v>
      </c>
      <c r="M1929" s="28"/>
      <c r="N1929" s="28"/>
      <c r="O1929" s="20">
        <v>23314.6</v>
      </c>
      <c r="P1929" s="27" t="str">
        <f t="shared" si="91"/>
        <v>verde</v>
      </c>
    </row>
    <row r="1930" spans="1:16">
      <c r="A1930" s="3" t="s">
        <v>4</v>
      </c>
      <c r="B1930" s="3" t="s">
        <v>1228</v>
      </c>
      <c r="C1930" s="4">
        <v>217</v>
      </c>
      <c r="D1930" s="3" t="s">
        <v>91</v>
      </c>
      <c r="E1930" s="3" t="s">
        <v>16</v>
      </c>
      <c r="F1930" s="5">
        <v>273</v>
      </c>
      <c r="G1930" s="5">
        <v>276</v>
      </c>
      <c r="H1930" s="6">
        <v>14383.29</v>
      </c>
      <c r="I1930" s="22">
        <v>16692.48</v>
      </c>
      <c r="J1930" s="24">
        <f t="shared" si="90"/>
        <v>1.1566422935706076E-4</v>
      </c>
      <c r="K1930" s="25">
        <f t="shared" si="92"/>
        <v>0.83998069930252028</v>
      </c>
      <c r="L1930" s="26" t="s">
        <v>7517</v>
      </c>
      <c r="M1930" s="28"/>
      <c r="N1930" s="28"/>
      <c r="O1930" s="20" t="s">
        <v>7530</v>
      </c>
      <c r="P1930" s="27" t="str">
        <f t="shared" si="91"/>
        <v>vermelho</v>
      </c>
    </row>
    <row r="1931" spans="1:16" ht="25.5">
      <c r="A1931" s="3" t="s">
        <v>4</v>
      </c>
      <c r="B1931" s="3" t="s">
        <v>1229</v>
      </c>
      <c r="C1931" s="4">
        <v>167</v>
      </c>
      <c r="D1931" s="3" t="s">
        <v>251</v>
      </c>
      <c r="E1931" s="3" t="s">
        <v>49</v>
      </c>
      <c r="F1931" s="5">
        <v>0</v>
      </c>
      <c r="G1931" s="5">
        <v>261</v>
      </c>
      <c r="H1931" s="6">
        <v>0</v>
      </c>
      <c r="I1931" s="22">
        <v>16686.41</v>
      </c>
      <c r="J1931" s="24">
        <f t="shared" si="90"/>
        <v>1.1562216958690096E-4</v>
      </c>
      <c r="K1931" s="25">
        <f t="shared" si="92"/>
        <v>0.84009632147210722</v>
      </c>
      <c r="L1931" s="26" t="s">
        <v>7517</v>
      </c>
      <c r="M1931" s="28"/>
      <c r="N1931" s="28"/>
      <c r="O1931" s="20">
        <v>9176.64</v>
      </c>
      <c r="P1931" s="27" t="str">
        <f t="shared" si="91"/>
        <v>laranja</v>
      </c>
    </row>
    <row r="1932" spans="1:16" ht="25.5">
      <c r="A1932" s="3" t="s">
        <v>6404</v>
      </c>
      <c r="B1932" s="3" t="s">
        <v>6405</v>
      </c>
      <c r="C1932" s="4">
        <v>321</v>
      </c>
      <c r="D1932" s="3" t="s">
        <v>136</v>
      </c>
      <c r="E1932" s="3" t="s">
        <v>41</v>
      </c>
      <c r="F1932" s="5">
        <v>126</v>
      </c>
      <c r="G1932" s="5">
        <v>279</v>
      </c>
      <c r="H1932" s="6">
        <v>7596.72</v>
      </c>
      <c r="I1932" s="22">
        <v>16686.330000000002</v>
      </c>
      <c r="J1932" s="24">
        <f t="shared" si="90"/>
        <v>1.1562161525714598E-4</v>
      </c>
      <c r="K1932" s="25">
        <f t="shared" si="92"/>
        <v>0.84021194308736435</v>
      </c>
      <c r="L1932" s="26" t="s">
        <v>7517</v>
      </c>
      <c r="M1932" s="28"/>
      <c r="N1932" s="28"/>
      <c r="O1932" s="20" t="s">
        <v>7530</v>
      </c>
      <c r="P1932" s="27" t="str">
        <f t="shared" si="91"/>
        <v>vermelho</v>
      </c>
    </row>
    <row r="1933" spans="1:16" ht="25.5">
      <c r="A1933" s="3" t="s">
        <v>4</v>
      </c>
      <c r="B1933" s="3" t="s">
        <v>1230</v>
      </c>
      <c r="C1933" s="4">
        <v>197</v>
      </c>
      <c r="D1933" s="3" t="s">
        <v>66</v>
      </c>
      <c r="E1933" s="3" t="s">
        <v>41</v>
      </c>
      <c r="F1933" s="5">
        <v>372</v>
      </c>
      <c r="G1933" s="5">
        <v>315</v>
      </c>
      <c r="H1933" s="6">
        <v>20889.93</v>
      </c>
      <c r="I1933" s="22">
        <v>16684.455999999998</v>
      </c>
      <c r="J1933" s="24">
        <f t="shared" si="90"/>
        <v>1.1560863008263533E-4</v>
      </c>
      <c r="K1933" s="25">
        <f t="shared" si="92"/>
        <v>0.840327551717447</v>
      </c>
      <c r="L1933" s="26" t="s">
        <v>7517</v>
      </c>
      <c r="M1933" s="28"/>
      <c r="N1933" s="28"/>
      <c r="O1933" s="20">
        <v>9275.39</v>
      </c>
      <c r="P1933" s="27" t="str">
        <f t="shared" si="91"/>
        <v>laranja</v>
      </c>
    </row>
    <row r="1934" spans="1:16">
      <c r="A1934" s="3" t="s">
        <v>6406</v>
      </c>
      <c r="B1934" s="3" t="s">
        <v>6407</v>
      </c>
      <c r="C1934" s="4">
        <v>167</v>
      </c>
      <c r="D1934" s="3" t="s">
        <v>251</v>
      </c>
      <c r="E1934" s="3" t="s">
        <v>49</v>
      </c>
      <c r="F1934" s="5">
        <v>0</v>
      </c>
      <c r="G1934" s="5">
        <v>288</v>
      </c>
      <c r="H1934" s="6">
        <v>0</v>
      </c>
      <c r="I1934" s="22">
        <v>16681.68</v>
      </c>
      <c r="J1934" s="24">
        <f t="shared" si="90"/>
        <v>1.1558939484013721E-4</v>
      </c>
      <c r="K1934" s="25">
        <f t="shared" si="92"/>
        <v>0.84044314111228713</v>
      </c>
      <c r="L1934" s="26" t="s">
        <v>7517</v>
      </c>
      <c r="M1934" s="28"/>
      <c r="N1934" s="28"/>
      <c r="O1934" s="20" t="s">
        <v>7530</v>
      </c>
      <c r="P1934" s="27" t="str">
        <f t="shared" si="91"/>
        <v>vermelho</v>
      </c>
    </row>
    <row r="1935" spans="1:16" ht="25.5">
      <c r="A1935" s="3" t="s">
        <v>4</v>
      </c>
      <c r="B1935" s="3" t="s">
        <v>1231</v>
      </c>
      <c r="C1935" s="4">
        <v>267</v>
      </c>
      <c r="D1935" s="3" t="s">
        <v>125</v>
      </c>
      <c r="E1935" s="3" t="s">
        <v>16</v>
      </c>
      <c r="F1935" s="5">
        <v>267</v>
      </c>
      <c r="G1935" s="5">
        <v>318</v>
      </c>
      <c r="H1935" s="6">
        <v>13260.63</v>
      </c>
      <c r="I1935" s="22">
        <v>16680.45</v>
      </c>
      <c r="J1935" s="24">
        <f t="shared" si="90"/>
        <v>1.1558087202015425E-4</v>
      </c>
      <c r="K1935" s="25">
        <f t="shared" si="92"/>
        <v>0.84055872198430726</v>
      </c>
      <c r="L1935" s="26" t="s">
        <v>7517</v>
      </c>
      <c r="M1935" s="28"/>
      <c r="N1935" s="28"/>
      <c r="O1935" s="20" t="s">
        <v>7530</v>
      </c>
      <c r="P1935" s="27" t="str">
        <f t="shared" si="91"/>
        <v>vermelho</v>
      </c>
    </row>
    <row r="1936" spans="1:16" ht="38.25">
      <c r="A1936" s="3" t="s">
        <v>4</v>
      </c>
      <c r="B1936" s="3" t="s">
        <v>1232</v>
      </c>
      <c r="C1936" s="4">
        <v>45</v>
      </c>
      <c r="D1936" s="3" t="s">
        <v>23</v>
      </c>
      <c r="E1936" s="3" t="s">
        <v>7</v>
      </c>
      <c r="F1936" s="5">
        <v>420</v>
      </c>
      <c r="G1936" s="5">
        <v>300</v>
      </c>
      <c r="H1936" s="6">
        <v>23062.2</v>
      </c>
      <c r="I1936" s="22">
        <v>16671.84</v>
      </c>
      <c r="J1936" s="24">
        <f t="shared" si="90"/>
        <v>1.1552121228027351E-4</v>
      </c>
      <c r="K1936" s="25">
        <f t="shared" si="92"/>
        <v>0.84067424319658757</v>
      </c>
      <c r="L1936" s="26" t="s">
        <v>7517</v>
      </c>
      <c r="M1936" s="28"/>
      <c r="N1936" s="28"/>
      <c r="O1936" s="20" t="s">
        <v>7530</v>
      </c>
      <c r="P1936" s="27" t="str">
        <f t="shared" si="91"/>
        <v>vermelho</v>
      </c>
    </row>
    <row r="1937" spans="1:16" ht="25.5">
      <c r="A1937" s="3" t="s">
        <v>4</v>
      </c>
      <c r="B1937" s="3" t="s">
        <v>1233</v>
      </c>
      <c r="C1937" s="4">
        <v>178</v>
      </c>
      <c r="D1937" s="3" t="s">
        <v>74</v>
      </c>
      <c r="E1937" s="3" t="s">
        <v>7</v>
      </c>
      <c r="F1937" s="5">
        <v>165</v>
      </c>
      <c r="G1937" s="5">
        <v>276</v>
      </c>
      <c r="H1937" s="6">
        <v>10200.450000000001</v>
      </c>
      <c r="I1937" s="22">
        <v>16661.04</v>
      </c>
      <c r="J1937" s="24">
        <f t="shared" si="90"/>
        <v>1.1544637776334996E-4</v>
      </c>
      <c r="K1937" s="25">
        <f t="shared" si="92"/>
        <v>0.84078968957435096</v>
      </c>
      <c r="L1937" s="26" t="s">
        <v>7517</v>
      </c>
      <c r="M1937" s="28"/>
      <c r="N1937" s="28"/>
      <c r="O1937" s="20" t="s">
        <v>7530</v>
      </c>
      <c r="P1937" s="27" t="str">
        <f t="shared" si="91"/>
        <v>vermelho</v>
      </c>
    </row>
    <row r="1938" spans="1:16" ht="38.25">
      <c r="A1938" s="3" t="s">
        <v>4</v>
      </c>
      <c r="B1938" s="3" t="s">
        <v>1234</v>
      </c>
      <c r="C1938" s="4">
        <v>38</v>
      </c>
      <c r="D1938" s="3" t="s">
        <v>184</v>
      </c>
      <c r="E1938" s="3" t="s">
        <v>49</v>
      </c>
      <c r="F1938" s="5">
        <v>222</v>
      </c>
      <c r="G1938" s="5">
        <v>258</v>
      </c>
      <c r="H1938" s="6">
        <v>12351.9</v>
      </c>
      <c r="I1938" s="22">
        <v>16656.54</v>
      </c>
      <c r="J1938" s="24">
        <f t="shared" si="90"/>
        <v>1.154151967146318E-4</v>
      </c>
      <c r="K1938" s="25">
        <f t="shared" si="92"/>
        <v>0.84090510477106561</v>
      </c>
      <c r="L1938" s="26" t="s">
        <v>7517</v>
      </c>
      <c r="M1938" s="28"/>
      <c r="N1938" s="28"/>
      <c r="O1938" s="20">
        <v>14262.12</v>
      </c>
      <c r="P1938" s="27" t="str">
        <f t="shared" si="91"/>
        <v>laranja</v>
      </c>
    </row>
    <row r="1939" spans="1:16" ht="25.5">
      <c r="A1939" s="3" t="s">
        <v>4</v>
      </c>
      <c r="B1939" s="3" t="s">
        <v>1235</v>
      </c>
      <c r="C1939" s="4">
        <v>327</v>
      </c>
      <c r="D1939" s="3" t="s">
        <v>100</v>
      </c>
      <c r="E1939" s="3" t="s">
        <v>7</v>
      </c>
      <c r="F1939" s="5">
        <v>114</v>
      </c>
      <c r="G1939" s="5">
        <v>282</v>
      </c>
      <c r="H1939" s="6">
        <v>7240.86</v>
      </c>
      <c r="I1939" s="22">
        <v>16650.3</v>
      </c>
      <c r="J1939" s="24">
        <f t="shared" si="90"/>
        <v>1.1537195899374263E-4</v>
      </c>
      <c r="K1939" s="25">
        <f t="shared" si="92"/>
        <v>0.84102047673005931</v>
      </c>
      <c r="L1939" s="26" t="s">
        <v>7517</v>
      </c>
      <c r="M1939" s="28"/>
      <c r="N1939" s="28"/>
      <c r="O1939" s="20" t="s">
        <v>7530</v>
      </c>
      <c r="P1939" s="27" t="str">
        <f t="shared" si="91"/>
        <v>vermelho</v>
      </c>
    </row>
    <row r="1940" spans="1:16" ht="38.25">
      <c r="A1940" s="3" t="s">
        <v>6072</v>
      </c>
      <c r="B1940" s="3" t="s">
        <v>6073</v>
      </c>
      <c r="C1940" s="4">
        <v>11</v>
      </c>
      <c r="D1940" s="3" t="s">
        <v>61</v>
      </c>
      <c r="E1940" s="3" t="s">
        <v>10</v>
      </c>
      <c r="F1940" s="5">
        <v>513</v>
      </c>
      <c r="G1940" s="5">
        <v>273</v>
      </c>
      <c r="H1940" s="6">
        <v>30548.76</v>
      </c>
      <c r="I1940" s="22">
        <v>16647.940999999999</v>
      </c>
      <c r="J1940" s="24">
        <f t="shared" si="90"/>
        <v>1.1535561319509237E-4</v>
      </c>
      <c r="K1940" s="25">
        <f t="shared" si="92"/>
        <v>0.8411358323432544</v>
      </c>
      <c r="L1940" s="26" t="s">
        <v>7517</v>
      </c>
      <c r="M1940" s="28"/>
      <c r="N1940" s="28"/>
      <c r="O1940" s="20" t="s">
        <v>7530</v>
      </c>
      <c r="P1940" s="27" t="str">
        <f t="shared" si="91"/>
        <v>vermelho</v>
      </c>
    </row>
    <row r="1941" spans="1:16" ht="25.5">
      <c r="A1941" s="3" t="s">
        <v>4</v>
      </c>
      <c r="B1941" s="3" t="s">
        <v>1236</v>
      </c>
      <c r="C1941" s="4">
        <v>317</v>
      </c>
      <c r="D1941" s="3" t="s">
        <v>78</v>
      </c>
      <c r="E1941" s="3" t="s">
        <v>10</v>
      </c>
      <c r="F1941" s="5">
        <v>201</v>
      </c>
      <c r="G1941" s="5">
        <v>258</v>
      </c>
      <c r="H1941" s="6">
        <v>13301.85</v>
      </c>
      <c r="I1941" s="22">
        <v>16646.88</v>
      </c>
      <c r="J1941" s="24">
        <f t="shared" si="90"/>
        <v>1.1534826139671685E-4</v>
      </c>
      <c r="K1941" s="25">
        <f t="shared" si="92"/>
        <v>0.84125118060465109</v>
      </c>
      <c r="L1941" s="26" t="s">
        <v>7517</v>
      </c>
      <c r="M1941" s="28"/>
      <c r="N1941" s="28"/>
      <c r="O1941" s="20" t="s">
        <v>7530</v>
      </c>
      <c r="P1941" s="27" t="str">
        <f t="shared" si="91"/>
        <v>vermelho</v>
      </c>
    </row>
    <row r="1942" spans="1:16">
      <c r="A1942" s="3" t="s">
        <v>4</v>
      </c>
      <c r="B1942" s="3" t="s">
        <v>1237</v>
      </c>
      <c r="C1942" s="4">
        <v>232</v>
      </c>
      <c r="D1942" s="3" t="s">
        <v>174</v>
      </c>
      <c r="E1942" s="3" t="s">
        <v>16</v>
      </c>
      <c r="F1942" s="5">
        <v>0</v>
      </c>
      <c r="G1942" s="5">
        <v>276</v>
      </c>
      <c r="H1942" s="6">
        <v>0</v>
      </c>
      <c r="I1942" s="22">
        <v>16637.04</v>
      </c>
      <c r="J1942" s="24">
        <f t="shared" si="90"/>
        <v>1.1528007883685315E-4</v>
      </c>
      <c r="K1942" s="25">
        <f t="shared" si="92"/>
        <v>0.84136646068348797</v>
      </c>
      <c r="L1942" s="26" t="s">
        <v>7517</v>
      </c>
      <c r="M1942" s="28"/>
      <c r="N1942" s="28"/>
      <c r="O1942" s="20" t="s">
        <v>7530</v>
      </c>
      <c r="P1942" s="27" t="str">
        <f t="shared" si="91"/>
        <v>vermelho</v>
      </c>
    </row>
    <row r="1943" spans="1:16" ht="25.5">
      <c r="A1943" s="3" t="s">
        <v>4</v>
      </c>
      <c r="B1943" s="3" t="s">
        <v>1238</v>
      </c>
      <c r="C1943" s="4">
        <v>74</v>
      </c>
      <c r="D1943" s="3" t="s">
        <v>6</v>
      </c>
      <c r="E1943" s="3" t="s">
        <v>7</v>
      </c>
      <c r="F1943" s="5">
        <v>0</v>
      </c>
      <c r="G1943" s="5">
        <v>255</v>
      </c>
      <c r="H1943" s="6">
        <v>0</v>
      </c>
      <c r="I1943" s="22">
        <v>16629.689999999999</v>
      </c>
      <c r="J1943" s="24">
        <f t="shared" si="90"/>
        <v>1.1522914979061348E-4</v>
      </c>
      <c r="K1943" s="25">
        <f t="shared" si="92"/>
        <v>0.84148168983327853</v>
      </c>
      <c r="L1943" s="26" t="s">
        <v>7517</v>
      </c>
      <c r="M1943" s="28"/>
      <c r="N1943" s="28"/>
      <c r="O1943" s="20" t="s">
        <v>7530</v>
      </c>
      <c r="P1943" s="27" t="str">
        <f t="shared" si="91"/>
        <v>vermelho</v>
      </c>
    </row>
    <row r="1944" spans="1:16">
      <c r="A1944" s="3" t="s">
        <v>4</v>
      </c>
      <c r="B1944" s="3" t="s">
        <v>1239</v>
      </c>
      <c r="C1944" s="4">
        <v>232</v>
      </c>
      <c r="D1944" s="3" t="s">
        <v>174</v>
      </c>
      <c r="E1944" s="3" t="s">
        <v>16</v>
      </c>
      <c r="F1944" s="5">
        <v>882</v>
      </c>
      <c r="G1944" s="5">
        <v>312</v>
      </c>
      <c r="H1944" s="6">
        <v>46230.78</v>
      </c>
      <c r="I1944" s="22">
        <v>16626.48</v>
      </c>
      <c r="J1944" s="24">
        <f t="shared" si="90"/>
        <v>1.1520690730919454E-4</v>
      </c>
      <c r="K1944" s="25">
        <f t="shared" si="92"/>
        <v>0.84159689674058769</v>
      </c>
      <c r="L1944" s="26" t="s">
        <v>7517</v>
      </c>
      <c r="M1944" s="28"/>
      <c r="N1944" s="28"/>
      <c r="O1944" s="20">
        <v>6164.28</v>
      </c>
      <c r="P1944" s="27" t="str">
        <f t="shared" si="91"/>
        <v>amarelo</v>
      </c>
    </row>
    <row r="1945" spans="1:16" ht="25.5">
      <c r="A1945" s="3" t="s">
        <v>4</v>
      </c>
      <c r="B1945" s="3" t="s">
        <v>1240</v>
      </c>
      <c r="C1945" s="4">
        <v>337</v>
      </c>
      <c r="D1945" s="3" t="s">
        <v>202</v>
      </c>
      <c r="E1945" s="3" t="s">
        <v>16</v>
      </c>
      <c r="F1945" s="5">
        <v>276</v>
      </c>
      <c r="G1945" s="5">
        <v>312</v>
      </c>
      <c r="H1945" s="6">
        <v>15011.5</v>
      </c>
      <c r="I1945" s="22">
        <v>16625.52</v>
      </c>
      <c r="J1945" s="24">
        <f t="shared" si="90"/>
        <v>1.1520025535213468E-4</v>
      </c>
      <c r="K1945" s="25">
        <f t="shared" si="92"/>
        <v>0.84171209699593985</v>
      </c>
      <c r="L1945" s="26" t="s">
        <v>7517</v>
      </c>
      <c r="M1945" s="28"/>
      <c r="N1945" s="28"/>
      <c r="O1945" s="20" t="s">
        <v>7530</v>
      </c>
      <c r="P1945" s="27" t="str">
        <f t="shared" si="91"/>
        <v>vermelho</v>
      </c>
    </row>
    <row r="1946" spans="1:16">
      <c r="A1946" s="3" t="s">
        <v>4</v>
      </c>
      <c r="B1946" s="3" t="s">
        <v>1241</v>
      </c>
      <c r="C1946" s="4">
        <v>231</v>
      </c>
      <c r="D1946" s="3" t="s">
        <v>52</v>
      </c>
      <c r="E1946" s="3" t="s">
        <v>7</v>
      </c>
      <c r="F1946" s="5">
        <v>0</v>
      </c>
      <c r="G1946" s="5">
        <v>309</v>
      </c>
      <c r="H1946" s="6">
        <v>0</v>
      </c>
      <c r="I1946" s="22">
        <v>16604.939999999999</v>
      </c>
      <c r="J1946" s="24">
        <f t="shared" si="90"/>
        <v>1.1505765402266366E-4</v>
      </c>
      <c r="K1946" s="25">
        <f t="shared" si="92"/>
        <v>0.84182715464996249</v>
      </c>
      <c r="L1946" s="26" t="s">
        <v>7517</v>
      </c>
      <c r="M1946" s="28"/>
      <c r="N1946" s="28"/>
      <c r="O1946" s="20" t="s">
        <v>7530</v>
      </c>
      <c r="P1946" s="27" t="str">
        <f t="shared" si="91"/>
        <v>vermelho</v>
      </c>
    </row>
    <row r="1947" spans="1:16" ht="38.25">
      <c r="A1947" s="3" t="s">
        <v>6408</v>
      </c>
      <c r="B1947" s="3" t="s">
        <v>6409</v>
      </c>
      <c r="C1947" s="4">
        <v>11</v>
      </c>
      <c r="D1947" s="3" t="s">
        <v>61</v>
      </c>
      <c r="E1947" s="3" t="s">
        <v>10</v>
      </c>
      <c r="F1947" s="5">
        <v>666</v>
      </c>
      <c r="G1947" s="5">
        <v>252</v>
      </c>
      <c r="H1947" s="6">
        <v>33614.94</v>
      </c>
      <c r="I1947" s="22">
        <v>16601.04</v>
      </c>
      <c r="J1947" s="24">
        <f t="shared" si="90"/>
        <v>1.1503063044710793E-4</v>
      </c>
      <c r="K1947" s="25">
        <f t="shared" si="92"/>
        <v>0.84194218528040965</v>
      </c>
      <c r="L1947" s="26" t="s">
        <v>7517</v>
      </c>
      <c r="M1947" s="28"/>
      <c r="N1947" s="28"/>
      <c r="O1947" s="20" t="s">
        <v>7530</v>
      </c>
      <c r="P1947" s="27" t="str">
        <f t="shared" si="91"/>
        <v>vermelho</v>
      </c>
    </row>
    <row r="1948" spans="1:16" ht="38.25">
      <c r="A1948" s="3" t="s">
        <v>4</v>
      </c>
      <c r="B1948" s="3" t="s">
        <v>1242</v>
      </c>
      <c r="C1948" s="4">
        <v>11</v>
      </c>
      <c r="D1948" s="3" t="s">
        <v>61</v>
      </c>
      <c r="E1948" s="3" t="s">
        <v>10</v>
      </c>
      <c r="F1948" s="5">
        <v>528</v>
      </c>
      <c r="G1948" s="5">
        <v>276</v>
      </c>
      <c r="H1948" s="6">
        <v>31361.96</v>
      </c>
      <c r="I1948" s="22">
        <v>16594.2</v>
      </c>
      <c r="J1948" s="24">
        <f t="shared" si="90"/>
        <v>1.1498323525305634E-4</v>
      </c>
      <c r="K1948" s="25">
        <f t="shared" si="92"/>
        <v>0.8420571685156627</v>
      </c>
      <c r="L1948" s="26" t="s">
        <v>7517</v>
      </c>
      <c r="M1948" s="28"/>
      <c r="N1948" s="28"/>
      <c r="O1948" s="20" t="s">
        <v>7530</v>
      </c>
      <c r="P1948" s="27" t="str">
        <f t="shared" si="91"/>
        <v>vermelho</v>
      </c>
    </row>
    <row r="1949" spans="1:16">
      <c r="A1949" s="3" t="s">
        <v>4</v>
      </c>
      <c r="B1949" s="3" t="s">
        <v>1243</v>
      </c>
      <c r="C1949" s="4">
        <v>232</v>
      </c>
      <c r="D1949" s="3" t="s">
        <v>174</v>
      </c>
      <c r="E1949" s="3" t="s">
        <v>16</v>
      </c>
      <c r="F1949" s="5">
        <v>402</v>
      </c>
      <c r="G1949" s="5">
        <v>312</v>
      </c>
      <c r="H1949" s="6">
        <v>22436.82</v>
      </c>
      <c r="I1949" s="22">
        <v>16591.080000000002</v>
      </c>
      <c r="J1949" s="24">
        <f t="shared" si="90"/>
        <v>1.1496161639261177E-4</v>
      </c>
      <c r="K1949" s="25">
        <f t="shared" si="92"/>
        <v>0.84217213013205527</v>
      </c>
      <c r="L1949" s="26" t="s">
        <v>7517</v>
      </c>
      <c r="M1949" s="28"/>
      <c r="N1949" s="28"/>
      <c r="O1949" s="20" t="s">
        <v>7530</v>
      </c>
      <c r="P1949" s="27" t="str">
        <f t="shared" si="91"/>
        <v>vermelho</v>
      </c>
    </row>
    <row r="1950" spans="1:16">
      <c r="A1950" s="3" t="s">
        <v>4</v>
      </c>
      <c r="B1950" s="3" t="s">
        <v>1244</v>
      </c>
      <c r="C1950" s="4">
        <v>217</v>
      </c>
      <c r="D1950" s="3" t="s">
        <v>91</v>
      </c>
      <c r="E1950" s="3" t="s">
        <v>16</v>
      </c>
      <c r="F1950" s="5">
        <v>462</v>
      </c>
      <c r="G1950" s="5">
        <v>336</v>
      </c>
      <c r="H1950" s="6">
        <v>19519.2</v>
      </c>
      <c r="I1950" s="22">
        <v>16579.739000000001</v>
      </c>
      <c r="J1950" s="24">
        <f t="shared" si="90"/>
        <v>1.1488303322072008E-4</v>
      </c>
      <c r="K1950" s="25">
        <f t="shared" si="92"/>
        <v>0.84228701316527599</v>
      </c>
      <c r="L1950" s="26" t="s">
        <v>7517</v>
      </c>
      <c r="M1950" s="28"/>
      <c r="N1950" s="28"/>
      <c r="O1950" s="20">
        <v>5369.16</v>
      </c>
      <c r="P1950" s="27" t="str">
        <f t="shared" si="91"/>
        <v>amarelo</v>
      </c>
    </row>
    <row r="1951" spans="1:16" ht="25.5">
      <c r="A1951" s="3" t="s">
        <v>6410</v>
      </c>
      <c r="B1951" s="3" t="s">
        <v>6411</v>
      </c>
      <c r="C1951" s="4">
        <v>197</v>
      </c>
      <c r="D1951" s="3" t="s">
        <v>66</v>
      </c>
      <c r="E1951" s="3" t="s">
        <v>41</v>
      </c>
      <c r="F1951" s="5">
        <v>192</v>
      </c>
      <c r="G1951" s="5">
        <v>291</v>
      </c>
      <c r="H1951" s="6">
        <v>11453.76</v>
      </c>
      <c r="I1951" s="22">
        <v>16577.61</v>
      </c>
      <c r="J1951" s="24">
        <f t="shared" si="90"/>
        <v>1.1486828112011543E-4</v>
      </c>
      <c r="K1951" s="25">
        <f t="shared" si="92"/>
        <v>0.84240188144639605</v>
      </c>
      <c r="L1951" s="26" t="s">
        <v>7517</v>
      </c>
      <c r="M1951" s="28"/>
      <c r="N1951" s="28"/>
      <c r="O1951" s="20" t="s">
        <v>7530</v>
      </c>
      <c r="P1951" s="27" t="str">
        <f t="shared" si="91"/>
        <v>vermelho</v>
      </c>
    </row>
    <row r="1952" spans="1:16" ht="25.5">
      <c r="A1952" s="3" t="s">
        <v>6412</v>
      </c>
      <c r="B1952" s="3" t="s">
        <v>6413</v>
      </c>
      <c r="C1952" s="4">
        <v>218</v>
      </c>
      <c r="D1952" s="3" t="s">
        <v>104</v>
      </c>
      <c r="E1952" s="3" t="s">
        <v>16</v>
      </c>
      <c r="F1952" s="5">
        <v>216</v>
      </c>
      <c r="G1952" s="5">
        <v>348</v>
      </c>
      <c r="H1952" s="6">
        <v>9475.92</v>
      </c>
      <c r="I1952" s="22">
        <v>16561.68</v>
      </c>
      <c r="J1952" s="24">
        <f t="shared" si="90"/>
        <v>1.1475790020765316E-4</v>
      </c>
      <c r="K1952" s="25">
        <f t="shared" si="92"/>
        <v>0.8425166393466037</v>
      </c>
      <c r="L1952" s="26" t="s">
        <v>7517</v>
      </c>
      <c r="M1952" s="28"/>
      <c r="N1952" s="28"/>
      <c r="O1952" s="20">
        <v>4367.5200000000004</v>
      </c>
      <c r="P1952" s="27" t="str">
        <f t="shared" si="91"/>
        <v>amarelo</v>
      </c>
    </row>
    <row r="1953" spans="1:16" ht="38.25">
      <c r="A1953" s="3" t="s">
        <v>4</v>
      </c>
      <c r="B1953" s="3" t="s">
        <v>1245</v>
      </c>
      <c r="C1953" s="4">
        <v>34</v>
      </c>
      <c r="D1953" s="3" t="s">
        <v>54</v>
      </c>
      <c r="E1953" s="3" t="s">
        <v>49</v>
      </c>
      <c r="F1953" s="5">
        <v>348</v>
      </c>
      <c r="G1953" s="5">
        <v>312</v>
      </c>
      <c r="H1953" s="6">
        <v>16875.155999999999</v>
      </c>
      <c r="I1953" s="22">
        <v>16539.48</v>
      </c>
      <c r="J1953" s="24">
        <f t="shared" si="90"/>
        <v>1.1460407370064361E-4</v>
      </c>
      <c r="K1953" s="25">
        <f t="shared" si="92"/>
        <v>0.84263124342030438</v>
      </c>
      <c r="L1953" s="26" t="s">
        <v>7517</v>
      </c>
      <c r="M1953" s="28">
        <v>2.3267844698285398E-2</v>
      </c>
      <c r="N1953" s="28">
        <v>4.4659414537569886E-2</v>
      </c>
      <c r="O1953" s="20">
        <v>4581.3599999999997</v>
      </c>
      <c r="P1953" s="27" t="str">
        <f t="shared" si="91"/>
        <v>amarelo</v>
      </c>
    </row>
    <row r="1954" spans="1:16" ht="25.5">
      <c r="A1954" s="3" t="s">
        <v>6414</v>
      </c>
      <c r="B1954" s="3" t="s">
        <v>6415</v>
      </c>
      <c r="C1954" s="4">
        <v>316</v>
      </c>
      <c r="D1954" s="3" t="s">
        <v>247</v>
      </c>
      <c r="E1954" s="3" t="s">
        <v>10</v>
      </c>
      <c r="F1954" s="5">
        <v>539</v>
      </c>
      <c r="G1954" s="5">
        <v>306</v>
      </c>
      <c r="H1954" s="6">
        <v>25632.9</v>
      </c>
      <c r="I1954" s="22">
        <v>16533.09</v>
      </c>
      <c r="J1954" s="24">
        <f t="shared" si="90"/>
        <v>1.1455979661146383E-4</v>
      </c>
      <c r="K1954" s="25">
        <f t="shared" si="92"/>
        <v>0.84274580321691583</v>
      </c>
      <c r="L1954" s="26" t="s">
        <v>7517</v>
      </c>
      <c r="M1954" s="28"/>
      <c r="N1954" s="28"/>
      <c r="O1954" s="20" t="s">
        <v>7530</v>
      </c>
      <c r="P1954" s="27" t="str">
        <f t="shared" si="91"/>
        <v>vermelho</v>
      </c>
    </row>
    <row r="1955" spans="1:16" ht="25.5">
      <c r="A1955" s="3" t="s">
        <v>4</v>
      </c>
      <c r="B1955" s="3" t="s">
        <v>1246</v>
      </c>
      <c r="C1955" s="4">
        <v>335</v>
      </c>
      <c r="D1955" s="3" t="s">
        <v>36</v>
      </c>
      <c r="E1955" s="3" t="s">
        <v>7</v>
      </c>
      <c r="F1955" s="5">
        <v>0</v>
      </c>
      <c r="G1955" s="5">
        <v>243</v>
      </c>
      <c r="H1955" s="6">
        <v>0</v>
      </c>
      <c r="I1955" s="22">
        <v>16529.490000000002</v>
      </c>
      <c r="J1955" s="24">
        <f t="shared" si="90"/>
        <v>1.1453485177248933E-4</v>
      </c>
      <c r="K1955" s="25">
        <f t="shared" si="92"/>
        <v>0.84286033806868832</v>
      </c>
      <c r="L1955" s="26" t="s">
        <v>7517</v>
      </c>
      <c r="M1955" s="28"/>
      <c r="N1955" s="28"/>
      <c r="O1955" s="20">
        <v>16529.490000000002</v>
      </c>
      <c r="P1955" s="27" t="str">
        <f t="shared" si="91"/>
        <v>verde</v>
      </c>
    </row>
    <row r="1956" spans="1:16" ht="25.5">
      <c r="A1956" s="3" t="s">
        <v>4</v>
      </c>
      <c r="B1956" s="3" t="s">
        <v>1247</v>
      </c>
      <c r="C1956" s="4">
        <v>93</v>
      </c>
      <c r="D1956" s="3" t="s">
        <v>20</v>
      </c>
      <c r="E1956" s="3" t="s">
        <v>7</v>
      </c>
      <c r="F1956" s="5">
        <v>120</v>
      </c>
      <c r="G1956" s="5">
        <v>294</v>
      </c>
      <c r="H1956" s="6">
        <v>6262.8</v>
      </c>
      <c r="I1956" s="22">
        <v>16519.32</v>
      </c>
      <c r="J1956" s="24">
        <f t="shared" si="90"/>
        <v>1.1446438260238629E-4</v>
      </c>
      <c r="K1956" s="25">
        <f t="shared" si="92"/>
        <v>0.84297480245129075</v>
      </c>
      <c r="L1956" s="26" t="s">
        <v>7517</v>
      </c>
      <c r="M1956" s="28"/>
      <c r="N1956" s="28"/>
      <c r="O1956" s="20">
        <v>11462.28</v>
      </c>
      <c r="P1956" s="27" t="str">
        <f t="shared" si="91"/>
        <v>laranja</v>
      </c>
    </row>
    <row r="1957" spans="1:16" ht="25.5">
      <c r="A1957" s="3" t="s">
        <v>4</v>
      </c>
      <c r="B1957" s="3" t="s">
        <v>1248</v>
      </c>
      <c r="C1957" s="4">
        <v>232</v>
      </c>
      <c r="D1957" s="3" t="s">
        <v>174</v>
      </c>
      <c r="E1957" s="3" t="s">
        <v>16</v>
      </c>
      <c r="F1957" s="5">
        <v>168</v>
      </c>
      <c r="G1957" s="5">
        <v>282</v>
      </c>
      <c r="H1957" s="6">
        <v>10226.34</v>
      </c>
      <c r="I1957" s="22">
        <v>16509.240000000002</v>
      </c>
      <c r="J1957" s="24">
        <f t="shared" si="90"/>
        <v>1.1439453705325765E-4</v>
      </c>
      <c r="K1957" s="25">
        <f t="shared" si="92"/>
        <v>0.84308919698834406</v>
      </c>
      <c r="L1957" s="26" t="s">
        <v>7517</v>
      </c>
      <c r="M1957" s="28"/>
      <c r="N1957" s="28"/>
      <c r="O1957" s="20">
        <v>24280.53</v>
      </c>
      <c r="P1957" s="27" t="str">
        <f t="shared" si="91"/>
        <v>verde</v>
      </c>
    </row>
    <row r="1958" spans="1:16" ht="25.5">
      <c r="A1958" s="3" t="s">
        <v>4</v>
      </c>
      <c r="B1958" s="3" t="s">
        <v>1249</v>
      </c>
      <c r="C1958" s="4">
        <v>93</v>
      </c>
      <c r="D1958" s="3" t="s">
        <v>20</v>
      </c>
      <c r="E1958" s="3" t="s">
        <v>7</v>
      </c>
      <c r="F1958" s="5">
        <v>234</v>
      </c>
      <c r="G1958" s="5">
        <v>264</v>
      </c>
      <c r="H1958" s="6">
        <v>14359.5</v>
      </c>
      <c r="I1958" s="22">
        <v>16499.400000000001</v>
      </c>
      <c r="J1958" s="24">
        <f t="shared" si="90"/>
        <v>1.1432635449339395E-4</v>
      </c>
      <c r="K1958" s="25">
        <f t="shared" si="92"/>
        <v>0.84320352334283744</v>
      </c>
      <c r="L1958" s="26" t="s">
        <v>7517</v>
      </c>
      <c r="M1958" s="28"/>
      <c r="N1958" s="28"/>
      <c r="O1958" s="20" t="s">
        <v>7530</v>
      </c>
      <c r="P1958" s="27" t="str">
        <f t="shared" si="91"/>
        <v>vermelho</v>
      </c>
    </row>
    <row r="1959" spans="1:16" ht="51">
      <c r="A1959" s="3" t="s">
        <v>4</v>
      </c>
      <c r="B1959" s="3" t="s">
        <v>1250</v>
      </c>
      <c r="C1959" s="4">
        <v>282</v>
      </c>
      <c r="D1959" s="3" t="s">
        <v>12</v>
      </c>
      <c r="E1959" s="3" t="s">
        <v>13</v>
      </c>
      <c r="F1959" s="5">
        <v>219</v>
      </c>
      <c r="G1959" s="5">
        <v>234</v>
      </c>
      <c r="H1959" s="6">
        <v>10140.81</v>
      </c>
      <c r="I1959" s="22">
        <v>16490.116999999998</v>
      </c>
      <c r="J1959" s="24">
        <f t="shared" si="90"/>
        <v>1.1426203145444935E-4</v>
      </c>
      <c r="K1959" s="25">
        <f t="shared" si="92"/>
        <v>0.84331778537429192</v>
      </c>
      <c r="L1959" s="26" t="s">
        <v>7517</v>
      </c>
      <c r="M1959" s="28"/>
      <c r="N1959" s="28"/>
      <c r="O1959" s="20" t="s">
        <v>7530</v>
      </c>
      <c r="P1959" s="27" t="str">
        <f t="shared" si="91"/>
        <v>vermelho</v>
      </c>
    </row>
    <row r="1960" spans="1:16" ht="38.25">
      <c r="A1960" s="3" t="s">
        <v>4</v>
      </c>
      <c r="B1960" s="3" t="s">
        <v>1251</v>
      </c>
      <c r="C1960" s="4">
        <v>11</v>
      </c>
      <c r="D1960" s="3" t="s">
        <v>61</v>
      </c>
      <c r="E1960" s="3" t="s">
        <v>10</v>
      </c>
      <c r="F1960" s="5">
        <v>498</v>
      </c>
      <c r="G1960" s="5">
        <v>270</v>
      </c>
      <c r="H1960" s="6">
        <v>25958.400000000001</v>
      </c>
      <c r="I1960" s="22">
        <v>16489.259999999998</v>
      </c>
      <c r="J1960" s="24">
        <f t="shared" si="90"/>
        <v>1.1425609319694903E-4</v>
      </c>
      <c r="K1960" s="25">
        <f t="shared" si="92"/>
        <v>0.84343204146748885</v>
      </c>
      <c r="L1960" s="26" t="s">
        <v>7517</v>
      </c>
      <c r="M1960" s="28"/>
      <c r="N1960" s="28"/>
      <c r="O1960" s="20" t="s">
        <v>7530</v>
      </c>
      <c r="P1960" s="27" t="str">
        <f t="shared" si="91"/>
        <v>vermelho</v>
      </c>
    </row>
    <row r="1961" spans="1:16">
      <c r="A1961" s="3" t="s">
        <v>6416</v>
      </c>
      <c r="B1961" s="3" t="s">
        <v>6417</v>
      </c>
      <c r="C1961" s="4">
        <v>217</v>
      </c>
      <c r="D1961" s="3" t="s">
        <v>91</v>
      </c>
      <c r="E1961" s="3" t="s">
        <v>16</v>
      </c>
      <c r="F1961" s="5">
        <v>318</v>
      </c>
      <c r="G1961" s="5">
        <v>288</v>
      </c>
      <c r="H1961" s="6">
        <v>15907.68</v>
      </c>
      <c r="I1961" s="22">
        <v>16462.8</v>
      </c>
      <c r="J1961" s="24">
        <f t="shared" si="90"/>
        <v>1.140727486304863E-4</v>
      </c>
      <c r="K1961" s="25">
        <f t="shared" si="92"/>
        <v>0.84354611421611936</v>
      </c>
      <c r="L1961" s="26" t="s">
        <v>7517</v>
      </c>
      <c r="M1961" s="28"/>
      <c r="N1961" s="28"/>
      <c r="O1961" s="20">
        <v>2822.88</v>
      </c>
      <c r="P1961" s="27" t="str">
        <f t="shared" si="91"/>
        <v>amarelo</v>
      </c>
    </row>
    <row r="1962" spans="1:16" ht="25.5">
      <c r="A1962" s="3" t="s">
        <v>4</v>
      </c>
      <c r="B1962" s="3" t="s">
        <v>1252</v>
      </c>
      <c r="C1962" s="4">
        <v>19</v>
      </c>
      <c r="D1962" s="3" t="s">
        <v>72</v>
      </c>
      <c r="E1962" s="3" t="s">
        <v>41</v>
      </c>
      <c r="F1962" s="5">
        <v>0</v>
      </c>
      <c r="G1962" s="5">
        <v>312</v>
      </c>
      <c r="H1962" s="6">
        <v>0</v>
      </c>
      <c r="I1962" s="22">
        <v>16461.45</v>
      </c>
      <c r="J1962" s="24">
        <f t="shared" si="90"/>
        <v>1.1406339431587087E-4</v>
      </c>
      <c r="K1962" s="25">
        <f t="shared" si="92"/>
        <v>0.84366017761043521</v>
      </c>
      <c r="L1962" s="26" t="s">
        <v>7517</v>
      </c>
      <c r="M1962" s="28"/>
      <c r="N1962" s="28"/>
      <c r="O1962" s="20" t="s">
        <v>7530</v>
      </c>
      <c r="P1962" s="27" t="str">
        <f t="shared" si="91"/>
        <v>vermelho</v>
      </c>
    </row>
    <row r="1963" spans="1:16" ht="38.25">
      <c r="A1963" s="3" t="s">
        <v>4</v>
      </c>
      <c r="B1963" s="3" t="s">
        <v>1253</v>
      </c>
      <c r="C1963" s="4">
        <v>167</v>
      </c>
      <c r="D1963" s="3" t="s">
        <v>251</v>
      </c>
      <c r="E1963" s="3" t="s">
        <v>49</v>
      </c>
      <c r="F1963" s="5">
        <v>66</v>
      </c>
      <c r="G1963" s="5">
        <v>300</v>
      </c>
      <c r="H1963" s="6">
        <v>3443.34</v>
      </c>
      <c r="I1963" s="22">
        <v>16449.39</v>
      </c>
      <c r="J1963" s="24">
        <f t="shared" si="90"/>
        <v>1.1397982910530621E-4</v>
      </c>
      <c r="K1963" s="25">
        <f t="shared" si="92"/>
        <v>0.84377415743954054</v>
      </c>
      <c r="L1963" s="26" t="s">
        <v>7517</v>
      </c>
      <c r="M1963" s="28"/>
      <c r="N1963" s="28"/>
      <c r="O1963" s="20" t="s">
        <v>7530</v>
      </c>
      <c r="P1963" s="27" t="str">
        <f t="shared" si="91"/>
        <v>vermelho</v>
      </c>
    </row>
    <row r="1964" spans="1:16" ht="25.5">
      <c r="A1964" s="3" t="s">
        <v>4</v>
      </c>
      <c r="B1964" s="3" t="s">
        <v>1254</v>
      </c>
      <c r="C1964" s="4">
        <v>299</v>
      </c>
      <c r="D1964" s="3" t="s">
        <v>111</v>
      </c>
      <c r="E1964" s="3" t="s">
        <v>49</v>
      </c>
      <c r="F1964" s="5">
        <v>108</v>
      </c>
      <c r="G1964" s="5">
        <v>300</v>
      </c>
      <c r="H1964" s="6">
        <v>6106.92</v>
      </c>
      <c r="I1964" s="22">
        <v>16439.099999999999</v>
      </c>
      <c r="J1964" s="24">
        <f t="shared" si="90"/>
        <v>1.139085284405707E-4</v>
      </c>
      <c r="K1964" s="25">
        <f t="shared" si="92"/>
        <v>0.84388806596798116</v>
      </c>
      <c r="L1964" s="26" t="s">
        <v>7517</v>
      </c>
      <c r="M1964" s="28"/>
      <c r="N1964" s="28"/>
      <c r="O1964" s="20">
        <v>13776.6</v>
      </c>
      <c r="P1964" s="27" t="str">
        <f t="shared" si="91"/>
        <v>laranja</v>
      </c>
    </row>
    <row r="1965" spans="1:16" ht="25.5">
      <c r="A1965" s="3" t="s">
        <v>6418</v>
      </c>
      <c r="B1965" s="3" t="s">
        <v>6419</v>
      </c>
      <c r="C1965" s="4">
        <v>337</v>
      </c>
      <c r="D1965" s="3" t="s">
        <v>202</v>
      </c>
      <c r="E1965" s="3" t="s">
        <v>16</v>
      </c>
      <c r="F1965" s="5">
        <v>0</v>
      </c>
      <c r="G1965" s="5">
        <v>240</v>
      </c>
      <c r="H1965" s="6">
        <v>0</v>
      </c>
      <c r="I1965" s="22">
        <v>16417.439999999999</v>
      </c>
      <c r="J1965" s="24">
        <f t="shared" si="90"/>
        <v>1.1375844365940733E-4</v>
      </c>
      <c r="K1965" s="25">
        <f t="shared" si="92"/>
        <v>0.84400182441164062</v>
      </c>
      <c r="L1965" s="26" t="s">
        <v>7517</v>
      </c>
      <c r="M1965" s="28"/>
      <c r="N1965" s="28"/>
      <c r="O1965" s="20" t="s">
        <v>7530</v>
      </c>
      <c r="P1965" s="27" t="str">
        <f t="shared" si="91"/>
        <v>vermelho</v>
      </c>
    </row>
    <row r="1966" spans="1:16" ht="25.5">
      <c r="A1966" s="3" t="s">
        <v>5499</v>
      </c>
      <c r="B1966" s="3" t="s">
        <v>5500</v>
      </c>
      <c r="C1966" s="4">
        <v>74</v>
      </c>
      <c r="D1966" s="3" t="s">
        <v>6</v>
      </c>
      <c r="E1966" s="3" t="s">
        <v>7</v>
      </c>
      <c r="F1966" s="5">
        <v>0</v>
      </c>
      <c r="G1966" s="5">
        <v>270</v>
      </c>
      <c r="H1966" s="6">
        <v>0</v>
      </c>
      <c r="I1966" s="22">
        <v>16414.14</v>
      </c>
      <c r="J1966" s="24">
        <f t="shared" si="90"/>
        <v>1.1373557755701402E-4</v>
      </c>
      <c r="K1966" s="25">
        <f t="shared" si="92"/>
        <v>0.84411555998919763</v>
      </c>
      <c r="L1966" s="26" t="s">
        <v>7517</v>
      </c>
      <c r="M1966" s="28"/>
      <c r="N1966" s="28"/>
      <c r="O1966" s="20">
        <v>18500.73</v>
      </c>
      <c r="P1966" s="27" t="str">
        <f t="shared" si="91"/>
        <v>verde</v>
      </c>
    </row>
    <row r="1967" spans="1:16" ht="38.25">
      <c r="A1967" s="3" t="s">
        <v>6420</v>
      </c>
      <c r="B1967" s="3" t="s">
        <v>6421</v>
      </c>
      <c r="C1967" s="4">
        <v>371</v>
      </c>
      <c r="D1967" s="3" t="s">
        <v>82</v>
      </c>
      <c r="E1967" s="3" t="s">
        <v>49</v>
      </c>
      <c r="F1967" s="5">
        <v>594</v>
      </c>
      <c r="G1967" s="5">
        <v>360</v>
      </c>
      <c r="H1967" s="6">
        <v>24775.74</v>
      </c>
      <c r="I1967" s="22">
        <v>16412.400000000001</v>
      </c>
      <c r="J1967" s="24">
        <f t="shared" si="90"/>
        <v>1.1372352088484301E-4</v>
      </c>
      <c r="K1967" s="25">
        <f t="shared" si="92"/>
        <v>0.84422928351008242</v>
      </c>
      <c r="L1967" s="26" t="s">
        <v>7517</v>
      </c>
      <c r="M1967" s="28"/>
      <c r="N1967" s="28"/>
      <c r="O1967" s="20" t="s">
        <v>7530</v>
      </c>
      <c r="P1967" s="27" t="str">
        <f t="shared" si="91"/>
        <v>vermelho</v>
      </c>
    </row>
    <row r="1968" spans="1:16" ht="38.25">
      <c r="A1968" s="3" t="s">
        <v>4</v>
      </c>
      <c r="B1968" s="3" t="s">
        <v>1255</v>
      </c>
      <c r="C1968" s="4">
        <v>11</v>
      </c>
      <c r="D1968" s="3" t="s">
        <v>61</v>
      </c>
      <c r="E1968" s="3" t="s">
        <v>10</v>
      </c>
      <c r="F1968" s="5">
        <v>0</v>
      </c>
      <c r="G1968" s="5">
        <v>219</v>
      </c>
      <c r="H1968" s="6">
        <v>0</v>
      </c>
      <c r="I1968" s="22">
        <v>16410.681</v>
      </c>
      <c r="J1968" s="24">
        <f t="shared" si="90"/>
        <v>1.1371160972423267E-4</v>
      </c>
      <c r="K1968" s="25">
        <f t="shared" si="92"/>
        <v>0.84434299511980671</v>
      </c>
      <c r="L1968" s="26" t="s">
        <v>7517</v>
      </c>
      <c r="M1968" s="28"/>
      <c r="N1968" s="28"/>
      <c r="O1968" s="20">
        <v>10570.2</v>
      </c>
      <c r="P1968" s="27" t="str">
        <f t="shared" si="91"/>
        <v>laranja</v>
      </c>
    </row>
    <row r="1969" spans="1:16" ht="25.5">
      <c r="A1969" s="3" t="s">
        <v>4</v>
      </c>
      <c r="B1969" s="3" t="s">
        <v>1256</v>
      </c>
      <c r="C1969" s="4">
        <v>267</v>
      </c>
      <c r="D1969" s="3" t="s">
        <v>125</v>
      </c>
      <c r="E1969" s="3" t="s">
        <v>16</v>
      </c>
      <c r="F1969" s="5">
        <v>219</v>
      </c>
      <c r="G1969" s="5">
        <v>330</v>
      </c>
      <c r="H1969" s="6">
        <v>11735.79</v>
      </c>
      <c r="I1969" s="22">
        <v>16405.47</v>
      </c>
      <c r="J1969" s="24">
        <f t="shared" si="90"/>
        <v>1.1367550206981706E-4</v>
      </c>
      <c r="K1969" s="25">
        <f t="shared" si="92"/>
        <v>0.84445667062187657</v>
      </c>
      <c r="L1969" s="26" t="s">
        <v>7517</v>
      </c>
      <c r="M1969" s="28"/>
      <c r="N1969" s="28"/>
      <c r="O1969" s="20">
        <v>7993.62</v>
      </c>
      <c r="P1969" s="27" t="str">
        <f t="shared" si="91"/>
        <v>amarelo</v>
      </c>
    </row>
    <row r="1970" spans="1:16" ht="25.5">
      <c r="A1970" s="3" t="s">
        <v>4</v>
      </c>
      <c r="B1970" s="3" t="s">
        <v>1257</v>
      </c>
      <c r="C1970" s="4">
        <v>19</v>
      </c>
      <c r="D1970" s="3" t="s">
        <v>72</v>
      </c>
      <c r="E1970" s="3" t="s">
        <v>41</v>
      </c>
      <c r="F1970" s="5">
        <v>351</v>
      </c>
      <c r="G1970" s="5">
        <v>288</v>
      </c>
      <c r="H1970" s="6">
        <v>18756.249</v>
      </c>
      <c r="I1970" s="22">
        <v>16399.28</v>
      </c>
      <c r="J1970" s="24">
        <f t="shared" si="90"/>
        <v>1.1363261080502475E-4</v>
      </c>
      <c r="K1970" s="25">
        <f t="shared" si="92"/>
        <v>0.84457030323268156</v>
      </c>
      <c r="L1970" s="26" t="s">
        <v>7517</v>
      </c>
      <c r="M1970" s="28"/>
      <c r="N1970" s="28"/>
      <c r="O1970" s="20">
        <v>8031.76</v>
      </c>
      <c r="P1970" s="27" t="str">
        <f t="shared" si="91"/>
        <v>amarelo</v>
      </c>
    </row>
    <row r="1971" spans="1:16" ht="25.5">
      <c r="A1971" s="3" t="s">
        <v>4</v>
      </c>
      <c r="B1971" s="3" t="s">
        <v>1258</v>
      </c>
      <c r="C1971" s="4">
        <v>273</v>
      </c>
      <c r="D1971" s="3" t="s">
        <v>149</v>
      </c>
      <c r="E1971" s="3" t="s">
        <v>16</v>
      </c>
      <c r="F1971" s="5">
        <v>0</v>
      </c>
      <c r="G1971" s="5">
        <v>348</v>
      </c>
      <c r="H1971" s="6">
        <v>0</v>
      </c>
      <c r="I1971" s="22">
        <v>16385.223999999998</v>
      </c>
      <c r="J1971" s="24">
        <f t="shared" si="90"/>
        <v>1.1353521506707311E-4</v>
      </c>
      <c r="K1971" s="25">
        <f t="shared" si="92"/>
        <v>0.84468383844774864</v>
      </c>
      <c r="L1971" s="26" t="s">
        <v>7517</v>
      </c>
      <c r="M1971" s="28"/>
      <c r="N1971" s="28"/>
      <c r="O1971" s="20" t="s">
        <v>7530</v>
      </c>
      <c r="P1971" s="27" t="str">
        <f t="shared" si="91"/>
        <v>vermelho</v>
      </c>
    </row>
    <row r="1972" spans="1:16" ht="25.5">
      <c r="A1972" s="3" t="s">
        <v>4</v>
      </c>
      <c r="B1972" s="3" t="s">
        <v>1259</v>
      </c>
      <c r="C1972" s="4">
        <v>31</v>
      </c>
      <c r="D1972" s="3" t="s">
        <v>194</v>
      </c>
      <c r="E1972" s="3" t="s">
        <v>16</v>
      </c>
      <c r="F1972" s="5">
        <v>0</v>
      </c>
      <c r="G1972" s="5">
        <v>279</v>
      </c>
      <c r="H1972" s="6">
        <v>0</v>
      </c>
      <c r="I1972" s="22">
        <v>16382.97</v>
      </c>
      <c r="J1972" s="24">
        <f t="shared" si="90"/>
        <v>1.1351959682622629E-4</v>
      </c>
      <c r="K1972" s="25">
        <f t="shared" si="92"/>
        <v>0.8447973580445749</v>
      </c>
      <c r="L1972" s="26" t="s">
        <v>7517</v>
      </c>
      <c r="M1972" s="28"/>
      <c r="N1972" s="28"/>
      <c r="O1972" s="20">
        <v>11977.54</v>
      </c>
      <c r="P1972" s="27" t="str">
        <f t="shared" si="91"/>
        <v>laranja</v>
      </c>
    </row>
    <row r="1973" spans="1:16" ht="25.5">
      <c r="A1973" s="3" t="s">
        <v>6422</v>
      </c>
      <c r="B1973" s="3" t="s">
        <v>6423</v>
      </c>
      <c r="C1973" s="4">
        <v>197</v>
      </c>
      <c r="D1973" s="3" t="s">
        <v>66</v>
      </c>
      <c r="E1973" s="3" t="s">
        <v>41</v>
      </c>
      <c r="F1973" s="5">
        <v>96</v>
      </c>
      <c r="G1973" s="5">
        <v>288</v>
      </c>
      <c r="H1973" s="6">
        <v>5697.72</v>
      </c>
      <c r="I1973" s="22">
        <v>16377.5</v>
      </c>
      <c r="J1973" s="24">
        <f t="shared" si="90"/>
        <v>1.1348169452922889E-4</v>
      </c>
      <c r="K1973" s="25">
        <f t="shared" si="92"/>
        <v>0.84491083973910408</v>
      </c>
      <c r="L1973" s="26" t="s">
        <v>7517</v>
      </c>
      <c r="M1973" s="28"/>
      <c r="N1973" s="28"/>
      <c r="O1973" s="20">
        <v>3119.95</v>
      </c>
      <c r="P1973" s="27" t="str">
        <f t="shared" si="91"/>
        <v>amarelo</v>
      </c>
    </row>
    <row r="1974" spans="1:16" ht="38.25">
      <c r="A1974" s="3" t="s">
        <v>4</v>
      </c>
      <c r="B1974" s="3" t="s">
        <v>1260</v>
      </c>
      <c r="C1974" s="4">
        <v>34</v>
      </c>
      <c r="D1974" s="3" t="s">
        <v>54</v>
      </c>
      <c r="E1974" s="3" t="s">
        <v>49</v>
      </c>
      <c r="F1974" s="5">
        <v>585</v>
      </c>
      <c r="G1974" s="5">
        <v>273</v>
      </c>
      <c r="H1974" s="6">
        <v>35360.01</v>
      </c>
      <c r="I1974" s="22">
        <v>16377.27</v>
      </c>
      <c r="J1974" s="24">
        <f t="shared" si="90"/>
        <v>1.1348010083118331E-4</v>
      </c>
      <c r="K1974" s="25">
        <f t="shared" si="92"/>
        <v>0.84502431983993531</v>
      </c>
      <c r="L1974" s="26" t="s">
        <v>7517</v>
      </c>
      <c r="M1974" s="28"/>
      <c r="N1974" s="28"/>
      <c r="O1974" s="20">
        <v>21792.720000000001</v>
      </c>
      <c r="P1974" s="27" t="str">
        <f t="shared" si="91"/>
        <v>verde</v>
      </c>
    </row>
    <row r="1975" spans="1:16" ht="25.5">
      <c r="A1975" s="3" t="s">
        <v>4</v>
      </c>
      <c r="B1975" s="3" t="s">
        <v>1261</v>
      </c>
      <c r="C1975" s="4">
        <v>240</v>
      </c>
      <c r="D1975" s="3" t="s">
        <v>69</v>
      </c>
      <c r="E1975" s="3" t="s">
        <v>16</v>
      </c>
      <c r="F1975" s="5">
        <v>150</v>
      </c>
      <c r="G1975" s="5">
        <v>246</v>
      </c>
      <c r="H1975" s="6">
        <v>7875.36</v>
      </c>
      <c r="I1975" s="22">
        <v>16356.09</v>
      </c>
      <c r="J1975" s="24">
        <f t="shared" si="90"/>
        <v>1.1333334202854987E-4</v>
      </c>
      <c r="K1975" s="25">
        <f t="shared" si="92"/>
        <v>0.84513765318196388</v>
      </c>
      <c r="L1975" s="26" t="s">
        <v>7517</v>
      </c>
      <c r="M1975" s="28"/>
      <c r="N1975" s="28"/>
      <c r="O1975" s="20" t="s">
        <v>7530</v>
      </c>
      <c r="P1975" s="27" t="str">
        <f t="shared" si="91"/>
        <v>vermelho</v>
      </c>
    </row>
    <row r="1976" spans="1:16" ht="25.5">
      <c r="A1976" s="3" t="s">
        <v>4</v>
      </c>
      <c r="B1976" s="3" t="s">
        <v>1262</v>
      </c>
      <c r="C1976" s="4">
        <v>261</v>
      </c>
      <c r="D1976" s="3" t="s">
        <v>9</v>
      </c>
      <c r="E1976" s="3" t="s">
        <v>10</v>
      </c>
      <c r="F1976" s="5">
        <v>360</v>
      </c>
      <c r="G1976" s="5">
        <v>222</v>
      </c>
      <c r="H1976" s="6">
        <v>20006.73</v>
      </c>
      <c r="I1976" s="22">
        <v>16341.78</v>
      </c>
      <c r="J1976" s="24">
        <f t="shared" si="90"/>
        <v>1.1323418629362615E-4</v>
      </c>
      <c r="K1976" s="25">
        <f t="shared" si="92"/>
        <v>0.84525088736825749</v>
      </c>
      <c r="L1976" s="26" t="s">
        <v>7517</v>
      </c>
      <c r="M1976" s="28"/>
      <c r="N1976" s="28"/>
      <c r="O1976" s="20" t="s">
        <v>7530</v>
      </c>
      <c r="P1976" s="27" t="str">
        <f t="shared" si="91"/>
        <v>vermelho</v>
      </c>
    </row>
    <row r="1977" spans="1:16" ht="25.5">
      <c r="A1977" s="3" t="s">
        <v>4</v>
      </c>
      <c r="B1977" s="3" t="s">
        <v>1263</v>
      </c>
      <c r="C1977" s="4">
        <v>261</v>
      </c>
      <c r="D1977" s="3" t="s">
        <v>9</v>
      </c>
      <c r="E1977" s="3" t="s">
        <v>10</v>
      </c>
      <c r="F1977" s="5">
        <v>162</v>
      </c>
      <c r="G1977" s="5">
        <v>300</v>
      </c>
      <c r="H1977" s="6">
        <v>8067.66</v>
      </c>
      <c r="I1977" s="22">
        <v>16332.6</v>
      </c>
      <c r="J1977" s="24">
        <f t="shared" si="90"/>
        <v>1.1317057695424111E-4</v>
      </c>
      <c r="K1977" s="25">
        <f t="shared" si="92"/>
        <v>0.84536405794521174</v>
      </c>
      <c r="L1977" s="26" t="s">
        <v>7517</v>
      </c>
      <c r="M1977" s="28"/>
      <c r="N1977" s="28"/>
      <c r="O1977" s="20">
        <v>3381.54</v>
      </c>
      <c r="P1977" s="27" t="str">
        <f t="shared" si="91"/>
        <v>amarelo</v>
      </c>
    </row>
    <row r="1978" spans="1:16" ht="38.25">
      <c r="A1978" s="3" t="s">
        <v>4</v>
      </c>
      <c r="B1978" s="3" t="s">
        <v>1264</v>
      </c>
      <c r="C1978" s="4">
        <v>45</v>
      </c>
      <c r="D1978" s="3" t="s">
        <v>23</v>
      </c>
      <c r="E1978" s="3" t="s">
        <v>7</v>
      </c>
      <c r="F1978" s="5">
        <v>285</v>
      </c>
      <c r="G1978" s="5">
        <v>246</v>
      </c>
      <c r="H1978" s="6">
        <v>14594.282999999999</v>
      </c>
      <c r="I1978" s="22">
        <v>16328.82</v>
      </c>
      <c r="J1978" s="24">
        <f t="shared" si="90"/>
        <v>1.1314438487331787E-4</v>
      </c>
      <c r="K1978" s="25">
        <f t="shared" si="92"/>
        <v>0.84547720233008505</v>
      </c>
      <c r="L1978" s="26" t="s">
        <v>7517</v>
      </c>
      <c r="M1978" s="28"/>
      <c r="N1978" s="28"/>
      <c r="O1978" s="20">
        <v>2614.8000000000002</v>
      </c>
      <c r="P1978" s="27" t="str">
        <f t="shared" si="91"/>
        <v>amarelo</v>
      </c>
    </row>
    <row r="1979" spans="1:16" ht="25.5">
      <c r="A1979" s="3" t="s">
        <v>4</v>
      </c>
      <c r="B1979" s="3" t="s">
        <v>1265</v>
      </c>
      <c r="C1979" s="4">
        <v>232</v>
      </c>
      <c r="D1979" s="3" t="s">
        <v>174</v>
      </c>
      <c r="E1979" s="3" t="s">
        <v>16</v>
      </c>
      <c r="F1979" s="5">
        <v>252</v>
      </c>
      <c r="G1979" s="5">
        <v>276</v>
      </c>
      <c r="H1979" s="6">
        <v>14373.48</v>
      </c>
      <c r="I1979" s="22">
        <v>16311.12</v>
      </c>
      <c r="J1979" s="24">
        <f t="shared" si="90"/>
        <v>1.1302173941502648E-4</v>
      </c>
      <c r="K1979" s="25">
        <f t="shared" si="92"/>
        <v>0.84559022406950013</v>
      </c>
      <c r="L1979" s="26" t="s">
        <v>7517</v>
      </c>
      <c r="M1979" s="28"/>
      <c r="N1979" s="28"/>
      <c r="O1979" s="20">
        <v>8842.92</v>
      </c>
      <c r="P1979" s="27" t="str">
        <f t="shared" si="91"/>
        <v>laranja</v>
      </c>
    </row>
    <row r="1980" spans="1:16" ht="25.5">
      <c r="A1980" s="3" t="s">
        <v>6424</v>
      </c>
      <c r="B1980" s="3" t="s">
        <v>6425</v>
      </c>
      <c r="C1980" s="4">
        <v>299</v>
      </c>
      <c r="D1980" s="3" t="s">
        <v>111</v>
      </c>
      <c r="E1980" s="3" t="s">
        <v>49</v>
      </c>
      <c r="F1980" s="5">
        <v>0</v>
      </c>
      <c r="G1980" s="5">
        <v>360</v>
      </c>
      <c r="H1980" s="6">
        <v>0</v>
      </c>
      <c r="I1980" s="22">
        <v>16298.64</v>
      </c>
      <c r="J1980" s="24">
        <f t="shared" si="90"/>
        <v>1.1293526397324813E-4</v>
      </c>
      <c r="K1980" s="25">
        <f t="shared" si="92"/>
        <v>0.8457031593334734</v>
      </c>
      <c r="L1980" s="26" t="s">
        <v>7517</v>
      </c>
      <c r="M1980" s="28"/>
      <c r="N1980" s="28"/>
      <c r="O1980" s="20">
        <v>16298.64</v>
      </c>
      <c r="P1980" s="27" t="str">
        <f t="shared" si="91"/>
        <v>verde</v>
      </c>
    </row>
    <row r="1981" spans="1:16" ht="25.5">
      <c r="A1981" s="3" t="s">
        <v>4</v>
      </c>
      <c r="B1981" s="3" t="s">
        <v>1266</v>
      </c>
      <c r="C1981" s="4">
        <v>218</v>
      </c>
      <c r="D1981" s="3" t="s">
        <v>104</v>
      </c>
      <c r="E1981" s="3" t="s">
        <v>16</v>
      </c>
      <c r="F1981" s="5">
        <v>225</v>
      </c>
      <c r="G1981" s="5">
        <v>303</v>
      </c>
      <c r="H1981" s="6">
        <v>12326.61</v>
      </c>
      <c r="I1981" s="22">
        <v>16296.33</v>
      </c>
      <c r="J1981" s="24">
        <f t="shared" si="90"/>
        <v>1.1291925770157282E-4</v>
      </c>
      <c r="K1981" s="25">
        <f t="shared" si="92"/>
        <v>0.84581607859117502</v>
      </c>
      <c r="L1981" s="26" t="s">
        <v>7517</v>
      </c>
      <c r="M1981" s="28"/>
      <c r="N1981" s="28"/>
      <c r="O1981" s="20" t="s">
        <v>7530</v>
      </c>
      <c r="P1981" s="27" t="str">
        <f t="shared" si="91"/>
        <v>vermelho</v>
      </c>
    </row>
    <row r="1982" spans="1:16" ht="25.5">
      <c r="A1982" s="3" t="s">
        <v>4</v>
      </c>
      <c r="B1982" s="3" t="s">
        <v>1267</v>
      </c>
      <c r="C1982" s="4">
        <v>317</v>
      </c>
      <c r="D1982" s="3" t="s">
        <v>78</v>
      </c>
      <c r="E1982" s="3" t="s">
        <v>10</v>
      </c>
      <c r="F1982" s="5">
        <v>0</v>
      </c>
      <c r="G1982" s="5">
        <v>261</v>
      </c>
      <c r="H1982" s="6">
        <v>0</v>
      </c>
      <c r="I1982" s="22">
        <v>16289.22</v>
      </c>
      <c r="J1982" s="24">
        <f t="shared" si="90"/>
        <v>1.1286999164459813E-4</v>
      </c>
      <c r="K1982" s="25">
        <f t="shared" si="92"/>
        <v>0.84592894858281964</v>
      </c>
      <c r="L1982" s="26" t="s">
        <v>7517</v>
      </c>
      <c r="M1982" s="28"/>
      <c r="N1982" s="28"/>
      <c r="O1982" s="20">
        <v>7700.34</v>
      </c>
      <c r="P1982" s="27" t="str">
        <f t="shared" si="91"/>
        <v>amarelo</v>
      </c>
    </row>
    <row r="1983" spans="1:16">
      <c r="A1983" s="3" t="s">
        <v>4</v>
      </c>
      <c r="B1983" s="3" t="s">
        <v>1268</v>
      </c>
      <c r="C1983" s="4">
        <v>334</v>
      </c>
      <c r="D1983" s="3" t="s">
        <v>531</v>
      </c>
      <c r="E1983" s="3" t="s">
        <v>7</v>
      </c>
      <c r="F1983" s="5">
        <v>60</v>
      </c>
      <c r="G1983" s="5">
        <v>293</v>
      </c>
      <c r="H1983" s="6">
        <v>4051.8</v>
      </c>
      <c r="I1983" s="22">
        <v>16288.089</v>
      </c>
      <c r="J1983" s="24">
        <f t="shared" si="90"/>
        <v>1.1286215480768696E-4</v>
      </c>
      <c r="K1983" s="25">
        <f t="shared" si="92"/>
        <v>0.8460418107376273</v>
      </c>
      <c r="L1983" s="26" t="s">
        <v>7517</v>
      </c>
      <c r="M1983" s="28">
        <v>-4.1244980209002816E-2</v>
      </c>
      <c r="N1983" s="28"/>
      <c r="O1983" s="20" t="s">
        <v>7530</v>
      </c>
      <c r="P1983" s="27" t="str">
        <f t="shared" si="91"/>
        <v>vermelho</v>
      </c>
    </row>
    <row r="1984" spans="1:16" ht="25.5">
      <c r="A1984" s="3" t="s">
        <v>6426</v>
      </c>
      <c r="B1984" s="3" t="s">
        <v>6427</v>
      </c>
      <c r="C1984" s="4">
        <v>19</v>
      </c>
      <c r="D1984" s="3" t="s">
        <v>72</v>
      </c>
      <c r="E1984" s="3" t="s">
        <v>41</v>
      </c>
      <c r="F1984" s="5">
        <v>1533</v>
      </c>
      <c r="G1984" s="5">
        <v>246</v>
      </c>
      <c r="H1984" s="6">
        <v>89045.726999999999</v>
      </c>
      <c r="I1984" s="22">
        <v>16281.26</v>
      </c>
      <c r="J1984" s="24">
        <f t="shared" si="90"/>
        <v>1.1281483583397669E-4</v>
      </c>
      <c r="K1984" s="25">
        <f t="shared" si="92"/>
        <v>0.84615462557346133</v>
      </c>
      <c r="L1984" s="26" t="s">
        <v>7517</v>
      </c>
      <c r="M1984" s="28"/>
      <c r="N1984" s="28"/>
      <c r="O1984" s="20" t="s">
        <v>7530</v>
      </c>
      <c r="P1984" s="27" t="str">
        <f t="shared" si="91"/>
        <v>vermelho</v>
      </c>
    </row>
    <row r="1985" spans="1:16" ht="38.25">
      <c r="A1985" s="3" t="s">
        <v>6428</v>
      </c>
      <c r="B1985" s="3" t="s">
        <v>6429</v>
      </c>
      <c r="C1985" s="4">
        <v>34</v>
      </c>
      <c r="D1985" s="3" t="s">
        <v>54</v>
      </c>
      <c r="E1985" s="3" t="s">
        <v>49</v>
      </c>
      <c r="F1985" s="5">
        <v>327</v>
      </c>
      <c r="G1985" s="5">
        <v>246</v>
      </c>
      <c r="H1985" s="6">
        <v>21013.26</v>
      </c>
      <c r="I1985" s="22">
        <v>16272.36</v>
      </c>
      <c r="J1985" s="24">
        <f t="shared" si="90"/>
        <v>1.1275316664873413E-4</v>
      </c>
      <c r="K1985" s="25">
        <f t="shared" si="92"/>
        <v>0.84626737874011004</v>
      </c>
      <c r="L1985" s="26" t="s">
        <v>7517</v>
      </c>
      <c r="M1985" s="28">
        <v>3.8315645293701781E-2</v>
      </c>
      <c r="N1985" s="28"/>
      <c r="O1985" s="20" t="s">
        <v>7530</v>
      </c>
      <c r="P1985" s="27" t="str">
        <f t="shared" si="91"/>
        <v>vermelho</v>
      </c>
    </row>
    <row r="1986" spans="1:16" ht="25.5">
      <c r="A1986" s="3" t="s">
        <v>4</v>
      </c>
      <c r="B1986" s="3" t="s">
        <v>1269</v>
      </c>
      <c r="C1986" s="4">
        <v>337</v>
      </c>
      <c r="D1986" s="3" t="s">
        <v>202</v>
      </c>
      <c r="E1986" s="3" t="s">
        <v>16</v>
      </c>
      <c r="F1986" s="5">
        <v>288</v>
      </c>
      <c r="G1986" s="5">
        <v>315</v>
      </c>
      <c r="H1986" s="6">
        <v>15260.88</v>
      </c>
      <c r="I1986" s="22">
        <v>16269.03</v>
      </c>
      <c r="J1986" s="24">
        <f t="shared" si="90"/>
        <v>1.1273009267268269E-4</v>
      </c>
      <c r="K1986" s="25">
        <f t="shared" si="92"/>
        <v>0.8463801088327827</v>
      </c>
      <c r="L1986" s="26" t="s">
        <v>7517</v>
      </c>
      <c r="M1986" s="28"/>
      <c r="N1986" s="28"/>
      <c r="O1986" s="20" t="s">
        <v>7530</v>
      </c>
      <c r="P1986" s="27" t="str">
        <f t="shared" si="91"/>
        <v>vermelho</v>
      </c>
    </row>
    <row r="1987" spans="1:16">
      <c r="A1987" s="3" t="s">
        <v>4</v>
      </c>
      <c r="B1987" s="3" t="s">
        <v>1270</v>
      </c>
      <c r="C1987" s="4">
        <v>167</v>
      </c>
      <c r="D1987" s="3" t="s">
        <v>251</v>
      </c>
      <c r="E1987" s="3" t="s">
        <v>49</v>
      </c>
      <c r="F1987" s="5">
        <v>0</v>
      </c>
      <c r="G1987" s="5">
        <v>255</v>
      </c>
      <c r="H1987" s="6">
        <v>0</v>
      </c>
      <c r="I1987" s="22">
        <v>16259.49</v>
      </c>
      <c r="J1987" s="24">
        <f t="shared" ref="J1987:J2050" si="93">I1987/$I$6364</f>
        <v>1.1266398884940021E-4</v>
      </c>
      <c r="K1987" s="25">
        <f t="shared" si="92"/>
        <v>0.84649277282163204</v>
      </c>
      <c r="L1987" s="26" t="s">
        <v>7517</v>
      </c>
      <c r="M1987" s="28"/>
      <c r="N1987" s="28"/>
      <c r="O1987" s="20" t="s">
        <v>7530</v>
      </c>
      <c r="P1987" s="27" t="str">
        <f t="shared" ref="P1987:P2050" si="94">IF(O1987&lt;=0,"vermelho",IFERROR(IF(O1987/I1987&lt;=0.5098,"amarelo",IF(O1987/I1987&lt;1,"laranja","verde")),"vermelho"))</f>
        <v>vermelho</v>
      </c>
    </row>
    <row r="1988" spans="1:16" ht="25.5">
      <c r="A1988" s="3" t="s">
        <v>4</v>
      </c>
      <c r="B1988" s="3" t="s">
        <v>1271</v>
      </c>
      <c r="C1988" s="4">
        <v>23</v>
      </c>
      <c r="D1988" s="3" t="s">
        <v>87</v>
      </c>
      <c r="E1988" s="3" t="s">
        <v>7</v>
      </c>
      <c r="F1988" s="5">
        <v>0</v>
      </c>
      <c r="G1988" s="5">
        <v>240</v>
      </c>
      <c r="H1988" s="6">
        <v>0</v>
      </c>
      <c r="I1988" s="22">
        <v>16245.6</v>
      </c>
      <c r="J1988" s="24">
        <f t="shared" si="93"/>
        <v>1.1256774334569019E-4</v>
      </c>
      <c r="K1988" s="25">
        <f t="shared" ref="K1988:K2051" si="95">J1988+K1987</f>
        <v>0.84660534056497772</v>
      </c>
      <c r="L1988" s="26" t="s">
        <v>7517</v>
      </c>
      <c r="M1988" s="28"/>
      <c r="N1988" s="28"/>
      <c r="O1988" s="20" t="s">
        <v>7530</v>
      </c>
      <c r="P1988" s="27" t="str">
        <f t="shared" si="94"/>
        <v>vermelho</v>
      </c>
    </row>
    <row r="1989" spans="1:16" ht="25.5">
      <c r="A1989" s="3" t="s">
        <v>6430</v>
      </c>
      <c r="B1989" s="3" t="s">
        <v>6431</v>
      </c>
      <c r="C1989" s="4">
        <v>74</v>
      </c>
      <c r="D1989" s="3" t="s">
        <v>6</v>
      </c>
      <c r="E1989" s="3" t="s">
        <v>7</v>
      </c>
      <c r="F1989" s="5">
        <v>300</v>
      </c>
      <c r="G1989" s="5">
        <v>276</v>
      </c>
      <c r="H1989" s="6">
        <v>20221.2</v>
      </c>
      <c r="I1989" s="22">
        <v>16245.48</v>
      </c>
      <c r="J1989" s="24">
        <f t="shared" si="93"/>
        <v>1.1256691185105769E-4</v>
      </c>
      <c r="K1989" s="25">
        <f t="shared" si="95"/>
        <v>0.84671790747682874</v>
      </c>
      <c r="L1989" s="26" t="s">
        <v>7517</v>
      </c>
      <c r="M1989" s="28"/>
      <c r="N1989" s="28"/>
      <c r="O1989" s="20" t="s">
        <v>7530</v>
      </c>
      <c r="P1989" s="27" t="str">
        <f t="shared" si="94"/>
        <v>vermelho</v>
      </c>
    </row>
    <row r="1990" spans="1:16" ht="25.5">
      <c r="A1990" s="3" t="s">
        <v>4</v>
      </c>
      <c r="B1990" s="3" t="s">
        <v>1272</v>
      </c>
      <c r="C1990" s="4">
        <v>321</v>
      </c>
      <c r="D1990" s="3" t="s">
        <v>136</v>
      </c>
      <c r="E1990" s="3" t="s">
        <v>41</v>
      </c>
      <c r="F1990" s="5">
        <v>183</v>
      </c>
      <c r="G1990" s="5">
        <v>270</v>
      </c>
      <c r="H1990" s="6">
        <v>9689.19</v>
      </c>
      <c r="I1990" s="22">
        <v>16220.79</v>
      </c>
      <c r="J1990" s="24">
        <f t="shared" si="93"/>
        <v>1.1239583183042412E-4</v>
      </c>
      <c r="K1990" s="25">
        <f t="shared" si="95"/>
        <v>0.84683030330865916</v>
      </c>
      <c r="L1990" s="26" t="s">
        <v>7517</v>
      </c>
      <c r="M1990" s="28"/>
      <c r="N1990" s="28"/>
      <c r="O1990" s="20">
        <v>9430.2000000000007</v>
      </c>
      <c r="P1990" s="27" t="str">
        <f t="shared" si="94"/>
        <v>laranja</v>
      </c>
    </row>
    <row r="1991" spans="1:16" ht="25.5">
      <c r="A1991" s="3" t="s">
        <v>4</v>
      </c>
      <c r="B1991" s="3" t="s">
        <v>1273</v>
      </c>
      <c r="C1991" s="4">
        <v>232</v>
      </c>
      <c r="D1991" s="3" t="s">
        <v>174</v>
      </c>
      <c r="E1991" s="3" t="s">
        <v>16</v>
      </c>
      <c r="F1991" s="5">
        <v>732</v>
      </c>
      <c r="G1991" s="5">
        <v>267</v>
      </c>
      <c r="H1991" s="6">
        <v>36829.08</v>
      </c>
      <c r="I1991" s="22">
        <v>16218.18</v>
      </c>
      <c r="J1991" s="24">
        <f t="shared" si="93"/>
        <v>1.1237774682216758E-4</v>
      </c>
      <c r="K1991" s="25">
        <f t="shared" si="95"/>
        <v>0.84694268105548132</v>
      </c>
      <c r="L1991" s="26" t="s">
        <v>7517</v>
      </c>
      <c r="M1991" s="28"/>
      <c r="N1991" s="28"/>
      <c r="O1991" s="20" t="s">
        <v>7530</v>
      </c>
      <c r="P1991" s="27" t="str">
        <f t="shared" si="94"/>
        <v>vermelho</v>
      </c>
    </row>
    <row r="1992" spans="1:16" ht="25.5">
      <c r="A1992" s="3" t="s">
        <v>6432</v>
      </c>
      <c r="B1992" s="3" t="s">
        <v>6433</v>
      </c>
      <c r="C1992" s="4">
        <v>299</v>
      </c>
      <c r="D1992" s="3" t="s">
        <v>111</v>
      </c>
      <c r="E1992" s="3" t="s">
        <v>49</v>
      </c>
      <c r="F1992" s="5">
        <v>486</v>
      </c>
      <c r="G1992" s="5">
        <v>276</v>
      </c>
      <c r="H1992" s="6">
        <v>30025.14</v>
      </c>
      <c r="I1992" s="22">
        <v>16217.52</v>
      </c>
      <c r="J1992" s="24">
        <f t="shared" si="93"/>
        <v>1.1237317360168892E-4</v>
      </c>
      <c r="K1992" s="25">
        <f t="shared" si="95"/>
        <v>0.847055054229083</v>
      </c>
      <c r="L1992" s="26" t="s">
        <v>7517</v>
      </c>
      <c r="M1992" s="28"/>
      <c r="N1992" s="28"/>
      <c r="O1992" s="20" t="s">
        <v>7530</v>
      </c>
      <c r="P1992" s="27" t="str">
        <f t="shared" si="94"/>
        <v>vermelho</v>
      </c>
    </row>
    <row r="1993" spans="1:16" ht="25.5">
      <c r="A1993" s="3" t="s">
        <v>4</v>
      </c>
      <c r="B1993" s="3" t="s">
        <v>1274</v>
      </c>
      <c r="C1993" s="4">
        <v>320</v>
      </c>
      <c r="D1993" s="3" t="s">
        <v>218</v>
      </c>
      <c r="E1993" s="3" t="s">
        <v>49</v>
      </c>
      <c r="F1993" s="5">
        <v>195</v>
      </c>
      <c r="G1993" s="5">
        <v>264</v>
      </c>
      <c r="H1993" s="6">
        <v>12001.32</v>
      </c>
      <c r="I1993" s="22">
        <v>16207.32</v>
      </c>
      <c r="J1993" s="24">
        <f t="shared" si="93"/>
        <v>1.1230249655792777E-4</v>
      </c>
      <c r="K1993" s="25">
        <f t="shared" si="95"/>
        <v>0.84716735672564092</v>
      </c>
      <c r="L1993" s="26" t="s">
        <v>7517</v>
      </c>
      <c r="M1993" s="28"/>
      <c r="N1993" s="28"/>
      <c r="O1993" s="20" t="s">
        <v>7530</v>
      </c>
      <c r="P1993" s="27" t="str">
        <f t="shared" si="94"/>
        <v>vermelho</v>
      </c>
    </row>
    <row r="1994" spans="1:16" ht="25.5">
      <c r="A1994" s="3" t="s">
        <v>4</v>
      </c>
      <c r="B1994" s="3" t="s">
        <v>1275</v>
      </c>
      <c r="C1994" s="4">
        <v>296</v>
      </c>
      <c r="D1994" s="3" t="s">
        <v>282</v>
      </c>
      <c r="E1994" s="3" t="s">
        <v>10</v>
      </c>
      <c r="F1994" s="5">
        <v>0</v>
      </c>
      <c r="G1994" s="5">
        <v>273</v>
      </c>
      <c r="H1994" s="6">
        <v>0</v>
      </c>
      <c r="I1994" s="22">
        <v>16201.069</v>
      </c>
      <c r="J1994" s="24">
        <f t="shared" si="93"/>
        <v>1.1225918261669729E-4</v>
      </c>
      <c r="K1994" s="25">
        <f t="shared" si="95"/>
        <v>0.84727961590825762</v>
      </c>
      <c r="L1994" s="26" t="s">
        <v>7517</v>
      </c>
      <c r="M1994" s="28"/>
      <c r="N1994" s="28">
        <v>-2.7679281192061533E-2</v>
      </c>
      <c r="O1994" s="20">
        <v>3940.701</v>
      </c>
      <c r="P1994" s="27" t="str">
        <f t="shared" si="94"/>
        <v>amarelo</v>
      </c>
    </row>
    <row r="1995" spans="1:16" ht="25.5">
      <c r="A1995" s="3" t="s">
        <v>4</v>
      </c>
      <c r="B1995" s="3" t="s">
        <v>1276</v>
      </c>
      <c r="C1995" s="4">
        <v>208</v>
      </c>
      <c r="D1995" s="3" t="s">
        <v>15</v>
      </c>
      <c r="E1995" s="3" t="s">
        <v>16</v>
      </c>
      <c r="F1995" s="5">
        <v>312</v>
      </c>
      <c r="G1995" s="5">
        <v>300</v>
      </c>
      <c r="H1995" s="6">
        <v>16082.4</v>
      </c>
      <c r="I1995" s="22">
        <v>16192.56</v>
      </c>
      <c r="J1995" s="24">
        <f t="shared" si="93"/>
        <v>1.1220022271813223E-4</v>
      </c>
      <c r="K1995" s="25">
        <f t="shared" si="95"/>
        <v>0.84739181613097581</v>
      </c>
      <c r="L1995" s="26" t="s">
        <v>7517</v>
      </c>
      <c r="M1995" s="28"/>
      <c r="N1995" s="28"/>
      <c r="O1995" s="20" t="s">
        <v>7530</v>
      </c>
      <c r="P1995" s="27" t="str">
        <f t="shared" si="94"/>
        <v>vermelho</v>
      </c>
    </row>
    <row r="1996" spans="1:16" ht="38.25">
      <c r="A1996" s="3" t="s">
        <v>4</v>
      </c>
      <c r="B1996" s="3" t="s">
        <v>1277</v>
      </c>
      <c r="C1996" s="4">
        <v>45</v>
      </c>
      <c r="D1996" s="3" t="s">
        <v>23</v>
      </c>
      <c r="E1996" s="3" t="s">
        <v>7</v>
      </c>
      <c r="F1996" s="5">
        <v>318</v>
      </c>
      <c r="G1996" s="5">
        <v>270</v>
      </c>
      <c r="H1996" s="6">
        <v>19415.25</v>
      </c>
      <c r="I1996" s="22">
        <v>16180.23</v>
      </c>
      <c r="J1996" s="24">
        <f t="shared" si="93"/>
        <v>1.121147866446445E-4</v>
      </c>
      <c r="K1996" s="25">
        <f t="shared" si="95"/>
        <v>0.84750393091762044</v>
      </c>
      <c r="L1996" s="26" t="s">
        <v>7517</v>
      </c>
      <c r="M1996" s="28"/>
      <c r="N1996" s="28"/>
      <c r="O1996" s="20">
        <v>14328.54</v>
      </c>
      <c r="P1996" s="27" t="str">
        <f t="shared" si="94"/>
        <v>laranja</v>
      </c>
    </row>
    <row r="1997" spans="1:16" ht="25.5">
      <c r="A1997" s="3" t="s">
        <v>4</v>
      </c>
      <c r="B1997" s="3" t="s">
        <v>1278</v>
      </c>
      <c r="C1997" s="4">
        <v>208</v>
      </c>
      <c r="D1997" s="3" t="s">
        <v>15</v>
      </c>
      <c r="E1997" s="3" t="s">
        <v>16</v>
      </c>
      <c r="F1997" s="5">
        <v>264</v>
      </c>
      <c r="G1997" s="5">
        <v>300</v>
      </c>
      <c r="H1997" s="6">
        <v>15561.72</v>
      </c>
      <c r="I1997" s="22">
        <v>16173</v>
      </c>
      <c r="J1997" s="24">
        <f t="shared" si="93"/>
        <v>1.1206468909303734E-4</v>
      </c>
      <c r="K1997" s="25">
        <f t="shared" si="95"/>
        <v>0.84761599560671352</v>
      </c>
      <c r="L1997" s="26" t="s">
        <v>7517</v>
      </c>
      <c r="M1997" s="28"/>
      <c r="N1997" s="28"/>
      <c r="O1997" s="20" t="s">
        <v>7530</v>
      </c>
      <c r="P1997" s="27" t="str">
        <f t="shared" si="94"/>
        <v>vermelho</v>
      </c>
    </row>
    <row r="1998" spans="1:16" ht="25.5">
      <c r="A1998" s="3" t="s">
        <v>6434</v>
      </c>
      <c r="B1998" s="3" t="s">
        <v>6435</v>
      </c>
      <c r="C1998" s="4">
        <v>197</v>
      </c>
      <c r="D1998" s="3" t="s">
        <v>66</v>
      </c>
      <c r="E1998" s="3" t="s">
        <v>41</v>
      </c>
      <c r="F1998" s="5">
        <v>312</v>
      </c>
      <c r="G1998" s="5">
        <v>285</v>
      </c>
      <c r="H1998" s="6">
        <v>19915.572</v>
      </c>
      <c r="I1998" s="22">
        <v>16170.09</v>
      </c>
      <c r="J1998" s="24">
        <f t="shared" si="93"/>
        <v>1.1204452534819959E-4</v>
      </c>
      <c r="K1998" s="25">
        <f t="shared" si="95"/>
        <v>0.84772804013206171</v>
      </c>
      <c r="L1998" s="26" t="s">
        <v>7517</v>
      </c>
      <c r="M1998" s="28"/>
      <c r="N1998" s="28"/>
      <c r="O1998" s="20" t="s">
        <v>7530</v>
      </c>
      <c r="P1998" s="27" t="str">
        <f t="shared" si="94"/>
        <v>vermelho</v>
      </c>
    </row>
    <row r="1999" spans="1:16" ht="25.5">
      <c r="A1999" s="3" t="s">
        <v>4</v>
      </c>
      <c r="B1999" s="3" t="s">
        <v>1279</v>
      </c>
      <c r="C1999" s="4">
        <v>317</v>
      </c>
      <c r="D1999" s="3" t="s">
        <v>78</v>
      </c>
      <c r="E1999" s="3" t="s">
        <v>10</v>
      </c>
      <c r="F1999" s="5">
        <v>678</v>
      </c>
      <c r="G1999" s="5">
        <v>228</v>
      </c>
      <c r="H1999" s="6">
        <v>44064.12</v>
      </c>
      <c r="I1999" s="22">
        <v>16166.34</v>
      </c>
      <c r="J1999" s="24">
        <f t="shared" si="93"/>
        <v>1.1201854114093447E-4</v>
      </c>
      <c r="K1999" s="25">
        <f t="shared" si="95"/>
        <v>0.84784005867320267</v>
      </c>
      <c r="L1999" s="26" t="s">
        <v>7517</v>
      </c>
      <c r="M1999" s="28"/>
      <c r="N1999" s="28"/>
      <c r="O1999" s="20" t="s">
        <v>7530</v>
      </c>
      <c r="P1999" s="27" t="str">
        <f t="shared" si="94"/>
        <v>vermelho</v>
      </c>
    </row>
    <row r="2000" spans="1:16" ht="25.5">
      <c r="A2000" s="3" t="s">
        <v>4</v>
      </c>
      <c r="B2000" s="3" t="s">
        <v>1280</v>
      </c>
      <c r="C2000" s="4">
        <v>315</v>
      </c>
      <c r="D2000" s="3" t="s">
        <v>63</v>
      </c>
      <c r="E2000" s="3" t="s">
        <v>7</v>
      </c>
      <c r="F2000" s="5">
        <v>75</v>
      </c>
      <c r="G2000" s="5">
        <v>300</v>
      </c>
      <c r="H2000" s="6">
        <v>3966.42</v>
      </c>
      <c r="I2000" s="22">
        <v>16160.464</v>
      </c>
      <c r="J2000" s="24">
        <f t="shared" si="93"/>
        <v>1.119778256204305E-4</v>
      </c>
      <c r="K2000" s="25">
        <f t="shared" si="95"/>
        <v>0.84795203649882311</v>
      </c>
      <c r="L2000" s="26" t="s">
        <v>7517</v>
      </c>
      <c r="M2000" s="28"/>
      <c r="N2000" s="28"/>
      <c r="O2000" s="20">
        <v>2356.1280000000002</v>
      </c>
      <c r="P2000" s="27" t="str">
        <f t="shared" si="94"/>
        <v>amarelo</v>
      </c>
    </row>
    <row r="2001" spans="1:16" ht="25.5">
      <c r="A2001" s="3" t="s">
        <v>4</v>
      </c>
      <c r="B2001" s="3" t="s">
        <v>1281</v>
      </c>
      <c r="C2001" s="4">
        <v>61</v>
      </c>
      <c r="D2001" s="3" t="s">
        <v>48</v>
      </c>
      <c r="E2001" s="3" t="s">
        <v>49</v>
      </c>
      <c r="F2001" s="5">
        <v>222</v>
      </c>
      <c r="G2001" s="5">
        <v>270</v>
      </c>
      <c r="H2001" s="6">
        <v>11166.36</v>
      </c>
      <c r="I2001" s="22">
        <v>16148.64</v>
      </c>
      <c r="J2001" s="24">
        <f t="shared" si="93"/>
        <v>1.1189589568264307E-4</v>
      </c>
      <c r="K2001" s="25">
        <f t="shared" si="95"/>
        <v>0.84806393239450573</v>
      </c>
      <c r="L2001" s="26" t="s">
        <v>7517</v>
      </c>
      <c r="M2001" s="28"/>
      <c r="N2001" s="28"/>
      <c r="O2001" s="20" t="s">
        <v>7530</v>
      </c>
      <c r="P2001" s="27" t="str">
        <f t="shared" si="94"/>
        <v>vermelho</v>
      </c>
    </row>
    <row r="2002" spans="1:16" ht="25.5">
      <c r="A2002" s="3" t="s">
        <v>6436</v>
      </c>
      <c r="B2002" s="3" t="s">
        <v>6437</v>
      </c>
      <c r="C2002" s="4">
        <v>41</v>
      </c>
      <c r="D2002" s="3" t="s">
        <v>178</v>
      </c>
      <c r="E2002" s="3" t="s">
        <v>41</v>
      </c>
      <c r="F2002" s="5">
        <v>330</v>
      </c>
      <c r="G2002" s="5">
        <v>246</v>
      </c>
      <c r="H2002" s="6">
        <v>19634.7</v>
      </c>
      <c r="I2002" s="22">
        <v>16123.56</v>
      </c>
      <c r="J2002" s="24">
        <f t="shared" si="93"/>
        <v>1.117221133044539E-4</v>
      </c>
      <c r="K2002" s="25">
        <f t="shared" si="95"/>
        <v>0.84817565450781018</v>
      </c>
      <c r="L2002" s="26" t="s">
        <v>7517</v>
      </c>
      <c r="M2002" s="28"/>
      <c r="N2002" s="28"/>
      <c r="O2002" s="20" t="s">
        <v>7530</v>
      </c>
      <c r="P2002" s="27" t="str">
        <f t="shared" si="94"/>
        <v>vermelho</v>
      </c>
    </row>
    <row r="2003" spans="1:16" ht="38.25">
      <c r="A2003" s="3" t="s">
        <v>4</v>
      </c>
      <c r="B2003" s="3" t="s">
        <v>1282</v>
      </c>
      <c r="C2003" s="4">
        <v>301</v>
      </c>
      <c r="D2003" s="3" t="s">
        <v>519</v>
      </c>
      <c r="E2003" s="3" t="s">
        <v>16</v>
      </c>
      <c r="F2003" s="5">
        <v>192</v>
      </c>
      <c r="G2003" s="5">
        <v>264</v>
      </c>
      <c r="H2003" s="6">
        <v>9862.08</v>
      </c>
      <c r="I2003" s="22">
        <v>16119.42</v>
      </c>
      <c r="J2003" s="24">
        <f t="shared" si="93"/>
        <v>1.116934267396332E-4</v>
      </c>
      <c r="K2003" s="25">
        <f t="shared" si="95"/>
        <v>0.84828734793454985</v>
      </c>
      <c r="L2003" s="26" t="s">
        <v>7517</v>
      </c>
      <c r="M2003" s="28"/>
      <c r="N2003" s="28"/>
      <c r="O2003" s="20">
        <v>10105.379999999999</v>
      </c>
      <c r="P2003" s="27" t="str">
        <f t="shared" si="94"/>
        <v>laranja</v>
      </c>
    </row>
    <row r="2004" spans="1:16" ht="38.25">
      <c r="A2004" s="3" t="s">
        <v>4</v>
      </c>
      <c r="B2004" s="3" t="s">
        <v>1283</v>
      </c>
      <c r="C2004" s="4">
        <v>143</v>
      </c>
      <c r="D2004" s="3" t="s">
        <v>44</v>
      </c>
      <c r="E2004" s="3" t="s">
        <v>41</v>
      </c>
      <c r="F2004" s="5">
        <v>132</v>
      </c>
      <c r="G2004" s="5">
        <v>252</v>
      </c>
      <c r="H2004" s="6">
        <v>8569.32</v>
      </c>
      <c r="I2004" s="22">
        <v>16112.52</v>
      </c>
      <c r="J2004" s="24">
        <f t="shared" si="93"/>
        <v>1.1164561579826537E-4</v>
      </c>
      <c r="K2004" s="25">
        <f t="shared" si="95"/>
        <v>0.84839899355034809</v>
      </c>
      <c r="L2004" s="26" t="s">
        <v>7517</v>
      </c>
      <c r="M2004" s="28"/>
      <c r="N2004" s="28"/>
      <c r="O2004" s="20" t="s">
        <v>7530</v>
      </c>
      <c r="P2004" s="27" t="str">
        <f t="shared" si="94"/>
        <v>vermelho</v>
      </c>
    </row>
    <row r="2005" spans="1:16">
      <c r="A2005" s="3" t="s">
        <v>4</v>
      </c>
      <c r="B2005" s="3" t="s">
        <v>1284</v>
      </c>
      <c r="C2005" s="4">
        <v>231</v>
      </c>
      <c r="D2005" s="3" t="s">
        <v>52</v>
      </c>
      <c r="E2005" s="3" t="s">
        <v>7</v>
      </c>
      <c r="F2005" s="5">
        <v>465</v>
      </c>
      <c r="G2005" s="5">
        <v>249</v>
      </c>
      <c r="H2005" s="6">
        <v>25480.41</v>
      </c>
      <c r="I2005" s="22">
        <v>16111.17</v>
      </c>
      <c r="J2005" s="24">
        <f t="shared" si="93"/>
        <v>1.1163626148364993E-4</v>
      </c>
      <c r="K2005" s="25">
        <f t="shared" si="95"/>
        <v>0.84851062981183178</v>
      </c>
      <c r="L2005" s="26" t="s">
        <v>7517</v>
      </c>
      <c r="M2005" s="28"/>
      <c r="N2005" s="28"/>
      <c r="O2005" s="20" t="s">
        <v>7530</v>
      </c>
      <c r="P2005" s="27" t="str">
        <f t="shared" si="94"/>
        <v>vermelho</v>
      </c>
    </row>
    <row r="2006" spans="1:16">
      <c r="A2006" s="3" t="s">
        <v>4</v>
      </c>
      <c r="B2006" s="3" t="s">
        <v>1285</v>
      </c>
      <c r="C2006" s="4">
        <v>217</v>
      </c>
      <c r="D2006" s="3" t="s">
        <v>91</v>
      </c>
      <c r="E2006" s="3" t="s">
        <v>16</v>
      </c>
      <c r="F2006" s="5">
        <v>324</v>
      </c>
      <c r="G2006" s="5">
        <v>306</v>
      </c>
      <c r="H2006" s="6">
        <v>16881.72</v>
      </c>
      <c r="I2006" s="22">
        <v>16103.04</v>
      </c>
      <c r="J2006" s="24">
        <f t="shared" si="93"/>
        <v>1.1157992772229914E-4</v>
      </c>
      <c r="K2006" s="25">
        <f t="shared" si="95"/>
        <v>0.84862220973955405</v>
      </c>
      <c r="L2006" s="26" t="s">
        <v>7517</v>
      </c>
      <c r="M2006" s="28"/>
      <c r="N2006" s="28"/>
      <c r="O2006" s="20" t="s">
        <v>7530</v>
      </c>
      <c r="P2006" s="27" t="str">
        <f t="shared" si="94"/>
        <v>vermelho</v>
      </c>
    </row>
    <row r="2007" spans="1:16" ht="25.5">
      <c r="A2007" s="3" t="s">
        <v>4</v>
      </c>
      <c r="B2007" s="3" t="s">
        <v>1286</v>
      </c>
      <c r="C2007" s="4">
        <v>320</v>
      </c>
      <c r="D2007" s="3" t="s">
        <v>218</v>
      </c>
      <c r="E2007" s="3" t="s">
        <v>49</v>
      </c>
      <c r="F2007" s="5">
        <v>156</v>
      </c>
      <c r="G2007" s="5">
        <v>264</v>
      </c>
      <c r="H2007" s="6">
        <v>8998.2000000000007</v>
      </c>
      <c r="I2007" s="22">
        <v>16097.64</v>
      </c>
      <c r="J2007" s="24">
        <f t="shared" si="93"/>
        <v>1.1154251046383735E-4</v>
      </c>
      <c r="K2007" s="25">
        <f t="shared" si="95"/>
        <v>0.8487337522500179</v>
      </c>
      <c r="L2007" s="26" t="s">
        <v>7517</v>
      </c>
      <c r="M2007" s="28"/>
      <c r="N2007" s="28"/>
      <c r="O2007" s="20" t="s">
        <v>7530</v>
      </c>
      <c r="P2007" s="27" t="str">
        <f t="shared" si="94"/>
        <v>vermelho</v>
      </c>
    </row>
    <row r="2008" spans="1:16" ht="25.5">
      <c r="A2008" s="3" t="s">
        <v>4</v>
      </c>
      <c r="B2008" s="3" t="s">
        <v>1287</v>
      </c>
      <c r="C2008" s="4">
        <v>266</v>
      </c>
      <c r="D2008" s="3" t="s">
        <v>80</v>
      </c>
      <c r="E2008" s="3" t="s">
        <v>10</v>
      </c>
      <c r="F2008" s="5">
        <v>102</v>
      </c>
      <c r="G2008" s="5">
        <v>282</v>
      </c>
      <c r="H2008" s="6">
        <v>5446.68</v>
      </c>
      <c r="I2008" s="22">
        <v>16097.36</v>
      </c>
      <c r="J2008" s="24">
        <f t="shared" si="93"/>
        <v>1.1154057030969489E-4</v>
      </c>
      <c r="K2008" s="25">
        <f t="shared" si="95"/>
        <v>0.84884529282032761</v>
      </c>
      <c r="L2008" s="26" t="s">
        <v>7517</v>
      </c>
      <c r="M2008" s="28"/>
      <c r="N2008" s="28"/>
      <c r="O2008" s="20" t="s">
        <v>7530</v>
      </c>
      <c r="P2008" s="27" t="str">
        <f t="shared" si="94"/>
        <v>vermelho</v>
      </c>
    </row>
    <row r="2009" spans="1:16">
      <c r="A2009" s="3" t="s">
        <v>4</v>
      </c>
      <c r="B2009" s="3" t="s">
        <v>1288</v>
      </c>
      <c r="C2009" s="4">
        <v>217</v>
      </c>
      <c r="D2009" s="3" t="s">
        <v>91</v>
      </c>
      <c r="E2009" s="3" t="s">
        <v>16</v>
      </c>
      <c r="F2009" s="5">
        <v>288</v>
      </c>
      <c r="G2009" s="5">
        <v>276</v>
      </c>
      <c r="H2009" s="6">
        <v>14483.16</v>
      </c>
      <c r="I2009" s="22">
        <v>16095.15</v>
      </c>
      <c r="J2009" s="24">
        <f t="shared" si="93"/>
        <v>1.115252569502133E-4</v>
      </c>
      <c r="K2009" s="25">
        <f t="shared" si="95"/>
        <v>0.84895681807727785</v>
      </c>
      <c r="L2009" s="26" t="s">
        <v>7517</v>
      </c>
      <c r="M2009" s="28"/>
      <c r="N2009" s="28"/>
      <c r="O2009" s="20">
        <v>6279.63</v>
      </c>
      <c r="P2009" s="27" t="str">
        <f t="shared" si="94"/>
        <v>amarelo</v>
      </c>
    </row>
    <row r="2010" spans="1:16" ht="25.5">
      <c r="A2010" s="3" t="s">
        <v>4</v>
      </c>
      <c r="B2010" s="3" t="s">
        <v>1289</v>
      </c>
      <c r="C2010" s="4">
        <v>337</v>
      </c>
      <c r="D2010" s="3" t="s">
        <v>202</v>
      </c>
      <c r="E2010" s="3" t="s">
        <v>16</v>
      </c>
      <c r="F2010" s="5">
        <v>108</v>
      </c>
      <c r="G2010" s="5">
        <v>264</v>
      </c>
      <c r="H2010" s="6">
        <v>7793.52</v>
      </c>
      <c r="I2010" s="22">
        <v>16089.24</v>
      </c>
      <c r="J2010" s="24">
        <f t="shared" si="93"/>
        <v>1.1148430583956346E-4</v>
      </c>
      <c r="K2010" s="25">
        <f t="shared" si="95"/>
        <v>0.84906830238311737</v>
      </c>
      <c r="L2010" s="26" t="s">
        <v>7517</v>
      </c>
      <c r="M2010" s="28"/>
      <c r="N2010" s="28">
        <v>3.6802701381259559E-2</v>
      </c>
      <c r="O2010" s="20">
        <v>15420.3</v>
      </c>
      <c r="P2010" s="27" t="str">
        <f t="shared" si="94"/>
        <v>laranja</v>
      </c>
    </row>
    <row r="2011" spans="1:16" ht="25.5">
      <c r="A2011" s="3" t="s">
        <v>4</v>
      </c>
      <c r="B2011" s="3" t="s">
        <v>1290</v>
      </c>
      <c r="C2011" s="4">
        <v>74</v>
      </c>
      <c r="D2011" s="3" t="s">
        <v>6</v>
      </c>
      <c r="E2011" s="3" t="s">
        <v>7</v>
      </c>
      <c r="F2011" s="5">
        <v>366</v>
      </c>
      <c r="G2011" s="5">
        <v>249</v>
      </c>
      <c r="H2011" s="6">
        <v>21659.13</v>
      </c>
      <c r="I2011" s="22">
        <v>16080.75</v>
      </c>
      <c r="J2011" s="24">
        <f t="shared" si="93"/>
        <v>1.1142547759431522E-4</v>
      </c>
      <c r="K2011" s="25">
        <f t="shared" si="95"/>
        <v>0.84917972786071172</v>
      </c>
      <c r="L2011" s="26" t="s">
        <v>7517</v>
      </c>
      <c r="M2011" s="28"/>
      <c r="N2011" s="28"/>
      <c r="O2011" s="20" t="s">
        <v>7530</v>
      </c>
      <c r="P2011" s="27" t="str">
        <f t="shared" si="94"/>
        <v>vermelho</v>
      </c>
    </row>
    <row r="2012" spans="1:16" ht="25.5">
      <c r="A2012" s="3" t="s">
        <v>4</v>
      </c>
      <c r="B2012" s="3" t="s">
        <v>1291</v>
      </c>
      <c r="C2012" s="4">
        <v>299</v>
      </c>
      <c r="D2012" s="3" t="s">
        <v>111</v>
      </c>
      <c r="E2012" s="3" t="s">
        <v>49</v>
      </c>
      <c r="F2012" s="5">
        <v>590</v>
      </c>
      <c r="G2012" s="5">
        <v>348</v>
      </c>
      <c r="H2012" s="6">
        <v>18706.356</v>
      </c>
      <c r="I2012" s="22">
        <v>16067.73</v>
      </c>
      <c r="J2012" s="24">
        <f t="shared" si="93"/>
        <v>1.113352604266907E-4</v>
      </c>
      <c r="K2012" s="25">
        <f t="shared" si="95"/>
        <v>0.84929106312113845</v>
      </c>
      <c r="L2012" s="26" t="s">
        <v>7517</v>
      </c>
      <c r="M2012" s="28"/>
      <c r="N2012" s="28"/>
      <c r="O2012" s="20" t="s">
        <v>7530</v>
      </c>
      <c r="P2012" s="27" t="str">
        <f t="shared" si="94"/>
        <v>vermelho</v>
      </c>
    </row>
    <row r="2013" spans="1:16" ht="38.25">
      <c r="A2013" s="3" t="s">
        <v>4</v>
      </c>
      <c r="B2013" s="3" t="s">
        <v>1292</v>
      </c>
      <c r="C2013" s="4">
        <v>11</v>
      </c>
      <c r="D2013" s="3" t="s">
        <v>61</v>
      </c>
      <c r="E2013" s="3" t="s">
        <v>10</v>
      </c>
      <c r="F2013" s="5">
        <v>360</v>
      </c>
      <c r="G2013" s="5">
        <v>264</v>
      </c>
      <c r="H2013" s="6">
        <v>21871.88</v>
      </c>
      <c r="I2013" s="22">
        <v>16065.36</v>
      </c>
      <c r="J2013" s="24">
        <f t="shared" si="93"/>
        <v>1.1131883840769915E-4</v>
      </c>
      <c r="K2013" s="25">
        <f t="shared" si="95"/>
        <v>0.84940238195954609</v>
      </c>
      <c r="L2013" s="26" t="s">
        <v>7517</v>
      </c>
      <c r="M2013" s="28"/>
      <c r="N2013" s="28"/>
      <c r="O2013" s="20" t="s">
        <v>7530</v>
      </c>
      <c r="P2013" s="27" t="str">
        <f t="shared" si="94"/>
        <v>vermelho</v>
      </c>
    </row>
    <row r="2014" spans="1:16" ht="25.5">
      <c r="A2014" s="3" t="s">
        <v>6438</v>
      </c>
      <c r="B2014" s="3" t="s">
        <v>6439</v>
      </c>
      <c r="C2014" s="4">
        <v>299</v>
      </c>
      <c r="D2014" s="3" t="s">
        <v>111</v>
      </c>
      <c r="E2014" s="3" t="s">
        <v>49</v>
      </c>
      <c r="F2014" s="5">
        <v>918</v>
      </c>
      <c r="G2014" s="5">
        <v>420</v>
      </c>
      <c r="H2014" s="6">
        <v>35742.095999999998</v>
      </c>
      <c r="I2014" s="22">
        <v>16061.52</v>
      </c>
      <c r="J2014" s="24">
        <f t="shared" si="93"/>
        <v>1.1129223057945966E-4</v>
      </c>
      <c r="K2014" s="25">
        <f t="shared" si="95"/>
        <v>0.84951367419012558</v>
      </c>
      <c r="L2014" s="26" t="s">
        <v>7517</v>
      </c>
      <c r="M2014" s="28"/>
      <c r="N2014" s="28"/>
      <c r="O2014" s="20" t="s">
        <v>7530</v>
      </c>
      <c r="P2014" s="27" t="str">
        <f t="shared" si="94"/>
        <v>vermelho</v>
      </c>
    </row>
    <row r="2015" spans="1:16" ht="38.25">
      <c r="A2015" s="3" t="s">
        <v>4</v>
      </c>
      <c r="B2015" s="3" t="s">
        <v>1293</v>
      </c>
      <c r="C2015" s="4">
        <v>45</v>
      </c>
      <c r="D2015" s="3" t="s">
        <v>23</v>
      </c>
      <c r="E2015" s="3" t="s">
        <v>7</v>
      </c>
      <c r="F2015" s="5">
        <v>129</v>
      </c>
      <c r="G2015" s="5">
        <v>279</v>
      </c>
      <c r="H2015" s="6">
        <v>6064.05</v>
      </c>
      <c r="I2015" s="22">
        <v>16058.34</v>
      </c>
      <c r="J2015" s="24">
        <f t="shared" si="93"/>
        <v>1.1127019597169883E-4</v>
      </c>
      <c r="K2015" s="25">
        <f t="shared" si="95"/>
        <v>0.84962494438609726</v>
      </c>
      <c r="L2015" s="26" t="s">
        <v>7517</v>
      </c>
      <c r="M2015" s="28"/>
      <c r="N2015" s="28"/>
      <c r="O2015" s="20" t="s">
        <v>7530</v>
      </c>
      <c r="P2015" s="27" t="str">
        <f t="shared" si="94"/>
        <v>vermelho</v>
      </c>
    </row>
    <row r="2016" spans="1:16" ht="25.5">
      <c r="A2016" s="3" t="s">
        <v>4</v>
      </c>
      <c r="B2016" s="3" t="s">
        <v>1294</v>
      </c>
      <c r="C2016" s="4">
        <v>19</v>
      </c>
      <c r="D2016" s="3" t="s">
        <v>72</v>
      </c>
      <c r="E2016" s="3" t="s">
        <v>41</v>
      </c>
      <c r="F2016" s="5">
        <v>0</v>
      </c>
      <c r="G2016" s="5">
        <v>273</v>
      </c>
      <c r="H2016" s="6">
        <v>0</v>
      </c>
      <c r="I2016" s="22">
        <v>16055.25</v>
      </c>
      <c r="J2016" s="24">
        <f t="shared" si="93"/>
        <v>1.1124878498491236E-4</v>
      </c>
      <c r="K2016" s="25">
        <f t="shared" si="95"/>
        <v>0.84973619317108218</v>
      </c>
      <c r="L2016" s="26" t="s">
        <v>7517</v>
      </c>
      <c r="M2016" s="28"/>
      <c r="N2016" s="28"/>
      <c r="O2016" s="20" t="s">
        <v>7530</v>
      </c>
      <c r="P2016" s="27" t="str">
        <f t="shared" si="94"/>
        <v>vermelho</v>
      </c>
    </row>
    <row r="2017" spans="1:16" ht="25.5">
      <c r="A2017" s="3" t="s">
        <v>4</v>
      </c>
      <c r="B2017" s="3" t="s">
        <v>1295</v>
      </c>
      <c r="C2017" s="4">
        <v>337</v>
      </c>
      <c r="D2017" s="3" t="s">
        <v>202</v>
      </c>
      <c r="E2017" s="3" t="s">
        <v>16</v>
      </c>
      <c r="F2017" s="5">
        <v>138</v>
      </c>
      <c r="G2017" s="5">
        <v>285</v>
      </c>
      <c r="H2017" s="6">
        <v>7835.76</v>
      </c>
      <c r="I2017" s="22">
        <v>16054.71</v>
      </c>
      <c r="J2017" s="24">
        <f t="shared" si="93"/>
        <v>1.1124504325906618E-4</v>
      </c>
      <c r="K2017" s="25">
        <f t="shared" si="95"/>
        <v>0.84984743821434128</v>
      </c>
      <c r="L2017" s="26" t="s">
        <v>7517</v>
      </c>
      <c r="M2017" s="28"/>
      <c r="N2017" s="28"/>
      <c r="O2017" s="20" t="s">
        <v>7530</v>
      </c>
      <c r="P2017" s="27" t="str">
        <f t="shared" si="94"/>
        <v>vermelho</v>
      </c>
    </row>
    <row r="2018" spans="1:16" ht="25.5">
      <c r="A2018" s="3" t="s">
        <v>4</v>
      </c>
      <c r="B2018" s="3" t="s">
        <v>1296</v>
      </c>
      <c r="C2018" s="4">
        <v>197</v>
      </c>
      <c r="D2018" s="3" t="s">
        <v>66</v>
      </c>
      <c r="E2018" s="3" t="s">
        <v>41</v>
      </c>
      <c r="F2018" s="5">
        <v>765</v>
      </c>
      <c r="G2018" s="5">
        <v>306</v>
      </c>
      <c r="H2018" s="6">
        <v>39864.15</v>
      </c>
      <c r="I2018" s="22">
        <v>16043.13</v>
      </c>
      <c r="J2018" s="24">
        <f t="shared" si="93"/>
        <v>1.1116480402703147E-4</v>
      </c>
      <c r="K2018" s="25">
        <f t="shared" si="95"/>
        <v>0.84995860301836834</v>
      </c>
      <c r="L2018" s="26" t="s">
        <v>7517</v>
      </c>
      <c r="M2018" s="28">
        <v>2.6490630172861008E-2</v>
      </c>
      <c r="N2018" s="28"/>
      <c r="O2018" s="20">
        <v>7423.32</v>
      </c>
      <c r="P2018" s="27" t="str">
        <f t="shared" si="94"/>
        <v>amarelo</v>
      </c>
    </row>
    <row r="2019" spans="1:16">
      <c r="A2019" s="3" t="s">
        <v>6440</v>
      </c>
      <c r="B2019" s="3" t="s">
        <v>6441</v>
      </c>
      <c r="C2019" s="4">
        <v>231</v>
      </c>
      <c r="D2019" s="3" t="s">
        <v>52</v>
      </c>
      <c r="E2019" s="3" t="s">
        <v>7</v>
      </c>
      <c r="F2019" s="5">
        <v>60</v>
      </c>
      <c r="G2019" s="5">
        <v>228</v>
      </c>
      <c r="H2019" s="6">
        <v>2191.8000000000002</v>
      </c>
      <c r="I2019" s="22">
        <v>16032.72</v>
      </c>
      <c r="J2019" s="24">
        <f t="shared" si="93"/>
        <v>1.1109267186766349E-4</v>
      </c>
      <c r="K2019" s="25">
        <f t="shared" si="95"/>
        <v>0.85006969569023605</v>
      </c>
      <c r="L2019" s="26" t="s">
        <v>7517</v>
      </c>
      <c r="M2019" s="28"/>
      <c r="N2019" s="28"/>
      <c r="O2019" s="20" t="s">
        <v>7530</v>
      </c>
      <c r="P2019" s="27" t="str">
        <f t="shared" si="94"/>
        <v>vermelho</v>
      </c>
    </row>
    <row r="2020" spans="1:16" ht="25.5">
      <c r="A2020" s="3" t="s">
        <v>4</v>
      </c>
      <c r="B2020" s="3" t="s">
        <v>1297</v>
      </c>
      <c r="C2020" s="4">
        <v>187</v>
      </c>
      <c r="D2020" s="3" t="s">
        <v>96</v>
      </c>
      <c r="E2020" s="3" t="s">
        <v>7</v>
      </c>
      <c r="F2020" s="5">
        <v>180</v>
      </c>
      <c r="G2020" s="5">
        <v>261</v>
      </c>
      <c r="H2020" s="6">
        <v>10784.16</v>
      </c>
      <c r="I2020" s="22">
        <v>16024.83</v>
      </c>
      <c r="J2020" s="24">
        <f t="shared" si="93"/>
        <v>1.1103800109557765E-4</v>
      </c>
      <c r="K2020" s="25">
        <f t="shared" si="95"/>
        <v>0.85018073369133162</v>
      </c>
      <c r="L2020" s="26" t="s">
        <v>7517</v>
      </c>
      <c r="M2020" s="28"/>
      <c r="N2020" s="28"/>
      <c r="O2020" s="20">
        <v>2923.56</v>
      </c>
      <c r="P2020" s="27" t="str">
        <f t="shared" si="94"/>
        <v>amarelo</v>
      </c>
    </row>
    <row r="2021" spans="1:16" ht="25.5">
      <c r="A2021" s="3" t="s">
        <v>4</v>
      </c>
      <c r="B2021" s="3" t="s">
        <v>1298</v>
      </c>
      <c r="C2021" s="4">
        <v>19</v>
      </c>
      <c r="D2021" s="3" t="s">
        <v>72</v>
      </c>
      <c r="E2021" s="3" t="s">
        <v>41</v>
      </c>
      <c r="F2021" s="5">
        <v>312</v>
      </c>
      <c r="G2021" s="5">
        <v>255</v>
      </c>
      <c r="H2021" s="6">
        <v>19241.28</v>
      </c>
      <c r="I2021" s="22">
        <v>16018.89</v>
      </c>
      <c r="J2021" s="24">
        <f t="shared" si="93"/>
        <v>1.1099684211126969E-4</v>
      </c>
      <c r="K2021" s="25">
        <f t="shared" si="95"/>
        <v>0.85029173053344287</v>
      </c>
      <c r="L2021" s="26" t="s">
        <v>7517</v>
      </c>
      <c r="M2021" s="28"/>
      <c r="N2021" s="28"/>
      <c r="O2021" s="20" t="s">
        <v>7530</v>
      </c>
      <c r="P2021" s="27" t="str">
        <f t="shared" si="94"/>
        <v>vermelho</v>
      </c>
    </row>
    <row r="2022" spans="1:16" ht="51">
      <c r="A2022" s="3" t="s">
        <v>4</v>
      </c>
      <c r="B2022" s="3" t="s">
        <v>1299</v>
      </c>
      <c r="C2022" s="4">
        <v>282</v>
      </c>
      <c r="D2022" s="3" t="s">
        <v>12</v>
      </c>
      <c r="E2022" s="3" t="s">
        <v>13</v>
      </c>
      <c r="F2022" s="5">
        <v>0</v>
      </c>
      <c r="G2022" s="5">
        <v>294</v>
      </c>
      <c r="H2022" s="6">
        <v>0</v>
      </c>
      <c r="I2022" s="22">
        <v>16016.767</v>
      </c>
      <c r="J2022" s="24">
        <f t="shared" si="93"/>
        <v>1.1098213158539666E-4</v>
      </c>
      <c r="K2022" s="25">
        <f t="shared" si="95"/>
        <v>0.85040271266502832</v>
      </c>
      <c r="L2022" s="26" t="s">
        <v>7517</v>
      </c>
      <c r="M2022" s="28"/>
      <c r="N2022" s="28"/>
      <c r="O2022" s="20">
        <v>0</v>
      </c>
      <c r="P2022" s="27" t="str">
        <f t="shared" si="94"/>
        <v>vermelho</v>
      </c>
    </row>
    <row r="2023" spans="1:16" ht="25.5">
      <c r="A2023" s="3" t="s">
        <v>4</v>
      </c>
      <c r="B2023" s="3" t="s">
        <v>1300</v>
      </c>
      <c r="C2023" s="4">
        <v>327</v>
      </c>
      <c r="D2023" s="3" t="s">
        <v>100</v>
      </c>
      <c r="E2023" s="3" t="s">
        <v>7</v>
      </c>
      <c r="F2023" s="5">
        <v>0</v>
      </c>
      <c r="G2023" s="5">
        <v>240</v>
      </c>
      <c r="H2023" s="6">
        <v>0</v>
      </c>
      <c r="I2023" s="22">
        <v>16011.6</v>
      </c>
      <c r="J2023" s="24">
        <f t="shared" si="93"/>
        <v>1.1094632881234629E-4</v>
      </c>
      <c r="K2023" s="25">
        <f t="shared" si="95"/>
        <v>0.85051365899384068</v>
      </c>
      <c r="L2023" s="26" t="s">
        <v>7517</v>
      </c>
      <c r="M2023" s="28"/>
      <c r="N2023" s="28"/>
      <c r="O2023" s="20" t="s">
        <v>7530</v>
      </c>
      <c r="P2023" s="27" t="str">
        <f t="shared" si="94"/>
        <v>vermelho</v>
      </c>
    </row>
    <row r="2024" spans="1:16" ht="38.25">
      <c r="A2024" s="3" t="s">
        <v>4</v>
      </c>
      <c r="B2024" s="3" t="s">
        <v>1301</v>
      </c>
      <c r="C2024" s="4">
        <v>371</v>
      </c>
      <c r="D2024" s="3" t="s">
        <v>82</v>
      </c>
      <c r="E2024" s="3" t="s">
        <v>49</v>
      </c>
      <c r="F2024" s="5">
        <v>555</v>
      </c>
      <c r="G2024" s="5">
        <v>294</v>
      </c>
      <c r="H2024" s="6">
        <v>28655.115000000002</v>
      </c>
      <c r="I2024" s="22">
        <v>16010.19</v>
      </c>
      <c r="J2024" s="24">
        <f t="shared" si="93"/>
        <v>1.1093655875041461E-4</v>
      </c>
      <c r="K2024" s="25">
        <f t="shared" si="95"/>
        <v>0.85062459555259107</v>
      </c>
      <c r="L2024" s="26" t="s">
        <v>7517</v>
      </c>
      <c r="M2024" s="28"/>
      <c r="N2024" s="28"/>
      <c r="O2024" s="20" t="s">
        <v>7530</v>
      </c>
      <c r="P2024" s="27" t="str">
        <f t="shared" si="94"/>
        <v>vermelho</v>
      </c>
    </row>
    <row r="2025" spans="1:16" ht="25.5">
      <c r="A2025" s="3" t="s">
        <v>4</v>
      </c>
      <c r="B2025" s="3" t="s">
        <v>1302</v>
      </c>
      <c r="C2025" s="4">
        <v>15</v>
      </c>
      <c r="D2025" s="3" t="s">
        <v>18</v>
      </c>
      <c r="E2025" s="3" t="s">
        <v>16</v>
      </c>
      <c r="F2025" s="5">
        <v>390</v>
      </c>
      <c r="G2025" s="5">
        <v>315</v>
      </c>
      <c r="H2025" s="6">
        <v>19850.52</v>
      </c>
      <c r="I2025" s="22">
        <v>16000.38</v>
      </c>
      <c r="J2025" s="24">
        <f t="shared" si="93"/>
        <v>1.1086858406420903E-4</v>
      </c>
      <c r="K2025" s="25">
        <f t="shared" si="95"/>
        <v>0.85073546413665524</v>
      </c>
      <c r="L2025" s="26" t="s">
        <v>7517</v>
      </c>
      <c r="M2025" s="28"/>
      <c r="N2025" s="28"/>
      <c r="O2025" s="20" t="s">
        <v>7530</v>
      </c>
      <c r="P2025" s="27" t="str">
        <f t="shared" si="94"/>
        <v>vermelho</v>
      </c>
    </row>
    <row r="2026" spans="1:16" ht="25.5">
      <c r="A2026" s="3" t="s">
        <v>4</v>
      </c>
      <c r="B2026" s="3" t="s">
        <v>1303</v>
      </c>
      <c r="C2026" s="4">
        <v>53</v>
      </c>
      <c r="D2026" s="3" t="s">
        <v>34</v>
      </c>
      <c r="E2026" s="3" t="s">
        <v>16</v>
      </c>
      <c r="F2026" s="5">
        <v>84</v>
      </c>
      <c r="G2026" s="5">
        <v>288</v>
      </c>
      <c r="H2026" s="6">
        <v>4390.4399999999996</v>
      </c>
      <c r="I2026" s="22">
        <v>15957.12</v>
      </c>
      <c r="J2026" s="24">
        <f t="shared" si="93"/>
        <v>1.1056883024919854E-4</v>
      </c>
      <c r="K2026" s="25">
        <f t="shared" si="95"/>
        <v>0.85084603296690442</v>
      </c>
      <c r="L2026" s="26" t="s">
        <v>7517</v>
      </c>
      <c r="M2026" s="28"/>
      <c r="N2026" s="28"/>
      <c r="O2026" s="20" t="s">
        <v>7530</v>
      </c>
      <c r="P2026" s="27" t="str">
        <f t="shared" si="94"/>
        <v>vermelho</v>
      </c>
    </row>
    <row r="2027" spans="1:16" ht="25.5">
      <c r="A2027" s="3" t="s">
        <v>4</v>
      </c>
      <c r="B2027" s="3" t="s">
        <v>1304</v>
      </c>
      <c r="C2027" s="4">
        <v>178</v>
      </c>
      <c r="D2027" s="3" t="s">
        <v>74</v>
      </c>
      <c r="E2027" s="3" t="s">
        <v>7</v>
      </c>
      <c r="F2027" s="5">
        <v>0</v>
      </c>
      <c r="G2027" s="5">
        <v>252</v>
      </c>
      <c r="H2027" s="6">
        <v>0</v>
      </c>
      <c r="I2027" s="22">
        <v>15939.84</v>
      </c>
      <c r="J2027" s="24">
        <f t="shared" si="93"/>
        <v>1.1044909502212084E-4</v>
      </c>
      <c r="K2027" s="25">
        <f t="shared" si="95"/>
        <v>0.85095648206192653</v>
      </c>
      <c r="L2027" s="26" t="s">
        <v>7517</v>
      </c>
      <c r="M2027" s="28"/>
      <c r="N2027" s="28"/>
      <c r="O2027" s="20">
        <v>3168.72</v>
      </c>
      <c r="P2027" s="27" t="str">
        <f t="shared" si="94"/>
        <v>amarelo</v>
      </c>
    </row>
    <row r="2028" spans="1:16" ht="25.5">
      <c r="A2028" s="3" t="s">
        <v>4</v>
      </c>
      <c r="B2028" s="3" t="s">
        <v>1305</v>
      </c>
      <c r="C2028" s="4">
        <v>261</v>
      </c>
      <c r="D2028" s="3" t="s">
        <v>9</v>
      </c>
      <c r="E2028" s="3" t="s">
        <v>10</v>
      </c>
      <c r="F2028" s="5">
        <v>0</v>
      </c>
      <c r="G2028" s="5">
        <v>294</v>
      </c>
      <c r="H2028" s="6">
        <v>0</v>
      </c>
      <c r="I2028" s="22">
        <v>15935.94</v>
      </c>
      <c r="J2028" s="24">
        <f t="shared" si="93"/>
        <v>1.104220714465651E-4</v>
      </c>
      <c r="K2028" s="25">
        <f t="shared" si="95"/>
        <v>0.85106690413337305</v>
      </c>
      <c r="L2028" s="26" t="s">
        <v>7517</v>
      </c>
      <c r="M2028" s="28"/>
      <c r="N2028" s="28"/>
      <c r="O2028" s="20" t="s">
        <v>7530</v>
      </c>
      <c r="P2028" s="27" t="str">
        <f t="shared" si="94"/>
        <v>vermelho</v>
      </c>
    </row>
    <row r="2029" spans="1:16" ht="25.5">
      <c r="A2029" s="3" t="s">
        <v>4</v>
      </c>
      <c r="B2029" s="3" t="s">
        <v>1306</v>
      </c>
      <c r="C2029" s="4">
        <v>19</v>
      </c>
      <c r="D2029" s="3" t="s">
        <v>72</v>
      </c>
      <c r="E2029" s="3" t="s">
        <v>41</v>
      </c>
      <c r="F2029" s="5">
        <v>342</v>
      </c>
      <c r="G2029" s="5">
        <v>255</v>
      </c>
      <c r="H2029" s="6">
        <v>19043.04</v>
      </c>
      <c r="I2029" s="22">
        <v>15913.79</v>
      </c>
      <c r="J2029" s="24">
        <f t="shared" si="93"/>
        <v>1.1026859139565243E-4</v>
      </c>
      <c r="K2029" s="25">
        <f t="shared" si="95"/>
        <v>0.85117717272476867</v>
      </c>
      <c r="L2029" s="26" t="s">
        <v>7517</v>
      </c>
      <c r="M2029" s="28"/>
      <c r="N2029" s="28"/>
      <c r="O2029" s="20" t="s">
        <v>7530</v>
      </c>
      <c r="P2029" s="27" t="str">
        <f t="shared" si="94"/>
        <v>vermelho</v>
      </c>
    </row>
    <row r="2030" spans="1:16" ht="25.5">
      <c r="A2030" s="3" t="s">
        <v>4</v>
      </c>
      <c r="B2030" s="3" t="s">
        <v>1307</v>
      </c>
      <c r="C2030" s="4">
        <v>335</v>
      </c>
      <c r="D2030" s="3" t="s">
        <v>36</v>
      </c>
      <c r="E2030" s="3" t="s">
        <v>7</v>
      </c>
      <c r="F2030" s="5">
        <v>126</v>
      </c>
      <c r="G2030" s="5">
        <v>252</v>
      </c>
      <c r="H2030" s="6">
        <v>7675.2</v>
      </c>
      <c r="I2030" s="22">
        <v>15899.04</v>
      </c>
      <c r="J2030" s="24">
        <f t="shared" si="93"/>
        <v>1.1016638684707627E-4</v>
      </c>
      <c r="K2030" s="25">
        <f t="shared" si="95"/>
        <v>0.85128733911161569</v>
      </c>
      <c r="L2030" s="26" t="s">
        <v>7517</v>
      </c>
      <c r="M2030" s="28"/>
      <c r="N2030" s="28"/>
      <c r="O2030" s="20">
        <v>16976.25</v>
      </c>
      <c r="P2030" s="27" t="str">
        <f t="shared" si="94"/>
        <v>verde</v>
      </c>
    </row>
    <row r="2031" spans="1:16" ht="25.5">
      <c r="A2031" s="3" t="s">
        <v>4</v>
      </c>
      <c r="B2031" s="3" t="s">
        <v>1308</v>
      </c>
      <c r="C2031" s="4">
        <v>74</v>
      </c>
      <c r="D2031" s="3" t="s">
        <v>6</v>
      </c>
      <c r="E2031" s="3" t="s">
        <v>7</v>
      </c>
      <c r="F2031" s="5">
        <v>309</v>
      </c>
      <c r="G2031" s="5">
        <v>294</v>
      </c>
      <c r="H2031" s="6">
        <v>19120.59</v>
      </c>
      <c r="I2031" s="22">
        <v>15867.78</v>
      </c>
      <c r="J2031" s="24">
        <f t="shared" si="93"/>
        <v>1.0994978249531416E-4</v>
      </c>
      <c r="K2031" s="25">
        <f t="shared" si="95"/>
        <v>0.85139728889411104</v>
      </c>
      <c r="L2031" s="26" t="s">
        <v>7517</v>
      </c>
      <c r="M2031" s="28"/>
      <c r="N2031" s="28"/>
      <c r="O2031" s="20">
        <v>12461.04</v>
      </c>
      <c r="P2031" s="27" t="str">
        <f t="shared" si="94"/>
        <v>laranja</v>
      </c>
    </row>
    <row r="2032" spans="1:16" ht="25.5">
      <c r="A2032" s="3" t="s">
        <v>4</v>
      </c>
      <c r="B2032" s="3" t="s">
        <v>1309</v>
      </c>
      <c r="C2032" s="4">
        <v>31</v>
      </c>
      <c r="D2032" s="3" t="s">
        <v>194</v>
      </c>
      <c r="E2032" s="3" t="s">
        <v>16</v>
      </c>
      <c r="F2032" s="5">
        <v>0</v>
      </c>
      <c r="G2032" s="5">
        <v>288</v>
      </c>
      <c r="H2032" s="6">
        <v>0</v>
      </c>
      <c r="I2032" s="22">
        <v>15864.48</v>
      </c>
      <c r="J2032" s="24">
        <f t="shared" si="93"/>
        <v>1.0992691639292085E-4</v>
      </c>
      <c r="K2032" s="25">
        <f t="shared" si="95"/>
        <v>0.85150721581050393</v>
      </c>
      <c r="L2032" s="26" t="s">
        <v>7517</v>
      </c>
      <c r="M2032" s="28"/>
      <c r="N2032" s="28"/>
      <c r="O2032" s="20" t="s">
        <v>7530</v>
      </c>
      <c r="P2032" s="27" t="str">
        <f t="shared" si="94"/>
        <v>vermelho</v>
      </c>
    </row>
    <row r="2033" spans="1:16" ht="25.5">
      <c r="A2033" s="3" t="s">
        <v>4</v>
      </c>
      <c r="B2033" s="3" t="s">
        <v>1310</v>
      </c>
      <c r="C2033" s="4">
        <v>270</v>
      </c>
      <c r="D2033" s="3" t="s">
        <v>266</v>
      </c>
      <c r="E2033" s="3" t="s">
        <v>49</v>
      </c>
      <c r="F2033" s="5">
        <v>240</v>
      </c>
      <c r="G2033" s="5">
        <v>243</v>
      </c>
      <c r="H2033" s="6">
        <v>13942.56</v>
      </c>
      <c r="I2033" s="22">
        <v>15832.74</v>
      </c>
      <c r="J2033" s="24">
        <f t="shared" si="93"/>
        <v>1.0970698606262882E-4</v>
      </c>
      <c r="K2033" s="25">
        <f t="shared" si="95"/>
        <v>0.85161692279656653</v>
      </c>
      <c r="L2033" s="26" t="s">
        <v>7517</v>
      </c>
      <c r="M2033" s="28"/>
      <c r="N2033" s="28"/>
      <c r="O2033" s="20">
        <v>5944.98</v>
      </c>
      <c r="P2033" s="27" t="str">
        <f t="shared" si="94"/>
        <v>amarelo</v>
      </c>
    </row>
    <row r="2034" spans="1:16" ht="25.5">
      <c r="A2034" s="3" t="s">
        <v>6442</v>
      </c>
      <c r="B2034" s="3" t="s">
        <v>6443</v>
      </c>
      <c r="C2034" s="4">
        <v>317</v>
      </c>
      <c r="D2034" s="3" t="s">
        <v>78</v>
      </c>
      <c r="E2034" s="3" t="s">
        <v>10</v>
      </c>
      <c r="F2034" s="5">
        <v>756</v>
      </c>
      <c r="G2034" s="5">
        <v>270</v>
      </c>
      <c r="H2034" s="6">
        <v>40722.81</v>
      </c>
      <c r="I2034" s="22">
        <v>15832.422</v>
      </c>
      <c r="J2034" s="24">
        <f t="shared" si="93"/>
        <v>1.0970478260185274E-4</v>
      </c>
      <c r="K2034" s="25">
        <f t="shared" si="95"/>
        <v>0.85172662757916839</v>
      </c>
      <c r="L2034" s="26" t="s">
        <v>7517</v>
      </c>
      <c r="M2034" s="28"/>
      <c r="N2034" s="28"/>
      <c r="O2034" s="20">
        <v>16856.88</v>
      </c>
      <c r="P2034" s="27" t="str">
        <f t="shared" si="94"/>
        <v>verde</v>
      </c>
    </row>
    <row r="2035" spans="1:16" ht="25.5">
      <c r="A2035" s="3" t="s">
        <v>4</v>
      </c>
      <c r="B2035" s="3" t="s">
        <v>1311</v>
      </c>
      <c r="C2035" s="4">
        <v>317</v>
      </c>
      <c r="D2035" s="3" t="s">
        <v>78</v>
      </c>
      <c r="E2035" s="3" t="s">
        <v>10</v>
      </c>
      <c r="F2035" s="5">
        <v>72</v>
      </c>
      <c r="G2035" s="5">
        <v>222</v>
      </c>
      <c r="H2035" s="6">
        <v>4042.53</v>
      </c>
      <c r="I2035" s="22">
        <v>15830.88</v>
      </c>
      <c r="J2035" s="24">
        <f t="shared" si="93"/>
        <v>1.0969409789582531E-4</v>
      </c>
      <c r="K2035" s="25">
        <f t="shared" si="95"/>
        <v>0.85183632167706425</v>
      </c>
      <c r="L2035" s="26" t="s">
        <v>7517</v>
      </c>
      <c r="M2035" s="28"/>
      <c r="N2035" s="28"/>
      <c r="O2035" s="20" t="s">
        <v>7530</v>
      </c>
      <c r="P2035" s="27" t="str">
        <f t="shared" si="94"/>
        <v>vermelho</v>
      </c>
    </row>
    <row r="2036" spans="1:16" ht="25.5">
      <c r="A2036" s="3" t="s">
        <v>4</v>
      </c>
      <c r="B2036" s="3" t="s">
        <v>1312</v>
      </c>
      <c r="C2036" s="4">
        <v>218</v>
      </c>
      <c r="D2036" s="3" t="s">
        <v>104</v>
      </c>
      <c r="E2036" s="3" t="s">
        <v>16</v>
      </c>
      <c r="F2036" s="5">
        <v>72</v>
      </c>
      <c r="G2036" s="5">
        <v>285</v>
      </c>
      <c r="H2036" s="6">
        <v>4103.28</v>
      </c>
      <c r="I2036" s="22">
        <v>15830.07</v>
      </c>
      <c r="J2036" s="24">
        <f t="shared" si="93"/>
        <v>1.0968848530705605E-4</v>
      </c>
      <c r="K2036" s="25">
        <f t="shared" si="95"/>
        <v>0.85194601016237126</v>
      </c>
      <c r="L2036" s="26" t="s">
        <v>7517</v>
      </c>
      <c r="M2036" s="28"/>
      <c r="N2036" s="28"/>
      <c r="O2036" s="20" t="s">
        <v>7530</v>
      </c>
      <c r="P2036" s="27" t="str">
        <f t="shared" si="94"/>
        <v>vermelho</v>
      </c>
    </row>
    <row r="2037" spans="1:16" ht="38.25">
      <c r="A2037" s="3" t="s">
        <v>4</v>
      </c>
      <c r="B2037" s="3" t="s">
        <v>1313</v>
      </c>
      <c r="C2037" s="4">
        <v>45</v>
      </c>
      <c r="D2037" s="3" t="s">
        <v>23</v>
      </c>
      <c r="E2037" s="3" t="s">
        <v>7</v>
      </c>
      <c r="F2037" s="5">
        <v>384</v>
      </c>
      <c r="G2037" s="5">
        <v>228</v>
      </c>
      <c r="H2037" s="6">
        <v>21116.928</v>
      </c>
      <c r="I2037" s="22">
        <v>15825.72</v>
      </c>
      <c r="J2037" s="24">
        <f t="shared" si="93"/>
        <v>1.0965834362662849E-4</v>
      </c>
      <c r="K2037" s="25">
        <f t="shared" si="95"/>
        <v>0.8520556685059979</v>
      </c>
      <c r="L2037" s="26" t="s">
        <v>7517</v>
      </c>
      <c r="M2037" s="28"/>
      <c r="N2037" s="28"/>
      <c r="O2037" s="20">
        <v>7154.46</v>
      </c>
      <c r="P2037" s="27" t="str">
        <f t="shared" si="94"/>
        <v>amarelo</v>
      </c>
    </row>
    <row r="2038" spans="1:16" ht="25.5">
      <c r="A2038" s="3" t="s">
        <v>4</v>
      </c>
      <c r="B2038" s="3" t="s">
        <v>1314</v>
      </c>
      <c r="C2038" s="4">
        <v>53</v>
      </c>
      <c r="D2038" s="3" t="s">
        <v>34</v>
      </c>
      <c r="E2038" s="3" t="s">
        <v>16</v>
      </c>
      <c r="F2038" s="5">
        <v>0</v>
      </c>
      <c r="G2038" s="5">
        <v>270</v>
      </c>
      <c r="H2038" s="6">
        <v>0</v>
      </c>
      <c r="I2038" s="22">
        <v>15813.3</v>
      </c>
      <c r="J2038" s="24">
        <f t="shared" si="93"/>
        <v>1.0957228393216641E-4</v>
      </c>
      <c r="K2038" s="25">
        <f t="shared" si="95"/>
        <v>0.85216524078993006</v>
      </c>
      <c r="L2038" s="26" t="s">
        <v>7517</v>
      </c>
      <c r="M2038" s="28"/>
      <c r="N2038" s="28"/>
      <c r="O2038" s="20" t="s">
        <v>7530</v>
      </c>
      <c r="P2038" s="27" t="str">
        <f t="shared" si="94"/>
        <v>vermelho</v>
      </c>
    </row>
    <row r="2039" spans="1:16" ht="25.5">
      <c r="A2039" s="3" t="s">
        <v>4</v>
      </c>
      <c r="B2039" s="3" t="s">
        <v>1315</v>
      </c>
      <c r="C2039" s="4">
        <v>266</v>
      </c>
      <c r="D2039" s="3" t="s">
        <v>80</v>
      </c>
      <c r="E2039" s="3" t="s">
        <v>10</v>
      </c>
      <c r="F2039" s="5">
        <v>0</v>
      </c>
      <c r="G2039" s="5">
        <v>246</v>
      </c>
      <c r="H2039" s="6">
        <v>0</v>
      </c>
      <c r="I2039" s="22">
        <v>15811.62</v>
      </c>
      <c r="J2039" s="24">
        <f t="shared" si="93"/>
        <v>1.0956064300731164E-4</v>
      </c>
      <c r="K2039" s="25">
        <f t="shared" si="95"/>
        <v>0.85227480143293732</v>
      </c>
      <c r="L2039" s="26" t="s">
        <v>7517</v>
      </c>
      <c r="M2039" s="28"/>
      <c r="N2039" s="28"/>
      <c r="O2039" s="20">
        <v>22830.57</v>
      </c>
      <c r="P2039" s="27" t="str">
        <f t="shared" si="94"/>
        <v>verde</v>
      </c>
    </row>
    <row r="2040" spans="1:16" ht="25.5">
      <c r="A2040" s="3" t="s">
        <v>4</v>
      </c>
      <c r="B2040" s="3" t="s">
        <v>1316</v>
      </c>
      <c r="C2040" s="4">
        <v>320</v>
      </c>
      <c r="D2040" s="3" t="s">
        <v>218</v>
      </c>
      <c r="E2040" s="3" t="s">
        <v>49</v>
      </c>
      <c r="F2040" s="5">
        <v>0</v>
      </c>
      <c r="G2040" s="5">
        <v>270</v>
      </c>
      <c r="H2040" s="6">
        <v>0</v>
      </c>
      <c r="I2040" s="22">
        <v>15806.28</v>
      </c>
      <c r="J2040" s="24">
        <f t="shared" si="93"/>
        <v>1.095236414961661E-4</v>
      </c>
      <c r="K2040" s="25">
        <f t="shared" si="95"/>
        <v>0.85238432507443351</v>
      </c>
      <c r="L2040" s="26" t="s">
        <v>7517</v>
      </c>
      <c r="M2040" s="28"/>
      <c r="N2040" s="28"/>
      <c r="O2040" s="20">
        <v>11818.609</v>
      </c>
      <c r="P2040" s="27" t="str">
        <f t="shared" si="94"/>
        <v>laranja</v>
      </c>
    </row>
    <row r="2041" spans="1:16" ht="25.5">
      <c r="A2041" s="3" t="s">
        <v>4</v>
      </c>
      <c r="B2041" s="3" t="s">
        <v>1317</v>
      </c>
      <c r="C2041" s="4">
        <v>267</v>
      </c>
      <c r="D2041" s="3" t="s">
        <v>125</v>
      </c>
      <c r="E2041" s="3" t="s">
        <v>16</v>
      </c>
      <c r="F2041" s="5">
        <v>0</v>
      </c>
      <c r="G2041" s="5">
        <v>282</v>
      </c>
      <c r="H2041" s="6">
        <v>0</v>
      </c>
      <c r="I2041" s="22">
        <v>15802.02</v>
      </c>
      <c r="J2041" s="24">
        <f t="shared" si="93"/>
        <v>1.0949412343671291E-4</v>
      </c>
      <c r="K2041" s="25">
        <f t="shared" si="95"/>
        <v>0.85249381919787026</v>
      </c>
      <c r="L2041" s="26" t="s">
        <v>7517</v>
      </c>
      <c r="M2041" s="28">
        <v>-1.326913096879008E-2</v>
      </c>
      <c r="N2041" s="28"/>
      <c r="O2041" s="20">
        <v>3195.6</v>
      </c>
      <c r="P2041" s="27" t="str">
        <f t="shared" si="94"/>
        <v>amarelo</v>
      </c>
    </row>
    <row r="2042" spans="1:16" ht="25.5">
      <c r="A2042" s="3" t="s">
        <v>4</v>
      </c>
      <c r="B2042" s="3" t="s">
        <v>1318</v>
      </c>
      <c r="C2042" s="4">
        <v>93</v>
      </c>
      <c r="D2042" s="3" t="s">
        <v>20</v>
      </c>
      <c r="E2042" s="3" t="s">
        <v>7</v>
      </c>
      <c r="F2042" s="5">
        <v>240</v>
      </c>
      <c r="G2042" s="5">
        <v>261</v>
      </c>
      <c r="H2042" s="6">
        <v>14514.72</v>
      </c>
      <c r="I2042" s="22">
        <v>15800.82</v>
      </c>
      <c r="J2042" s="24">
        <f t="shared" si="93"/>
        <v>1.0948580849038807E-4</v>
      </c>
      <c r="K2042" s="25">
        <f t="shared" si="95"/>
        <v>0.85260330500636061</v>
      </c>
      <c r="L2042" s="26" t="s">
        <v>7517</v>
      </c>
      <c r="M2042" s="28"/>
      <c r="N2042" s="28"/>
      <c r="O2042" s="20">
        <v>3893.28</v>
      </c>
      <c r="P2042" s="27" t="str">
        <f t="shared" si="94"/>
        <v>amarelo</v>
      </c>
    </row>
    <row r="2043" spans="1:16" ht="25.5">
      <c r="A2043" s="3" t="s">
        <v>4</v>
      </c>
      <c r="B2043" s="3" t="s">
        <v>1319</v>
      </c>
      <c r="C2043" s="4">
        <v>320</v>
      </c>
      <c r="D2043" s="3" t="s">
        <v>218</v>
      </c>
      <c r="E2043" s="3" t="s">
        <v>49</v>
      </c>
      <c r="F2043" s="5">
        <v>0</v>
      </c>
      <c r="G2043" s="5">
        <v>252</v>
      </c>
      <c r="H2043" s="6">
        <v>0</v>
      </c>
      <c r="I2043" s="22">
        <v>15785.76</v>
      </c>
      <c r="J2043" s="24">
        <f t="shared" si="93"/>
        <v>1.0938145591401133E-4</v>
      </c>
      <c r="K2043" s="25">
        <f t="shared" si="95"/>
        <v>0.8527126864622746</v>
      </c>
      <c r="L2043" s="26" t="s">
        <v>7517</v>
      </c>
      <c r="M2043" s="28"/>
      <c r="N2043" s="28"/>
      <c r="O2043" s="20" t="s">
        <v>7530</v>
      </c>
      <c r="P2043" s="27" t="str">
        <f t="shared" si="94"/>
        <v>vermelho</v>
      </c>
    </row>
    <row r="2044" spans="1:16" ht="25.5">
      <c r="A2044" s="3" t="s">
        <v>4</v>
      </c>
      <c r="B2044" s="3" t="s">
        <v>1320</v>
      </c>
      <c r="C2044" s="4">
        <v>218</v>
      </c>
      <c r="D2044" s="3" t="s">
        <v>104</v>
      </c>
      <c r="E2044" s="3" t="s">
        <v>16</v>
      </c>
      <c r="F2044" s="5">
        <v>309</v>
      </c>
      <c r="G2044" s="5">
        <v>300</v>
      </c>
      <c r="H2044" s="6">
        <v>14930.43</v>
      </c>
      <c r="I2044" s="22">
        <v>15762.24</v>
      </c>
      <c r="J2044" s="24">
        <f t="shared" si="93"/>
        <v>1.0921848296604445E-4</v>
      </c>
      <c r="K2044" s="25">
        <f t="shared" si="95"/>
        <v>0.85282190494524068</v>
      </c>
      <c r="L2044" s="26" t="s">
        <v>7517</v>
      </c>
      <c r="M2044" s="28"/>
      <c r="N2044" s="28">
        <v>5.1855491110688927E-2</v>
      </c>
      <c r="O2044" s="20">
        <v>6857.52</v>
      </c>
      <c r="P2044" s="27" t="str">
        <f t="shared" si="94"/>
        <v>amarelo</v>
      </c>
    </row>
    <row r="2045" spans="1:16" ht="25.5">
      <c r="A2045" s="3" t="s">
        <v>4</v>
      </c>
      <c r="B2045" s="3" t="s">
        <v>1321</v>
      </c>
      <c r="C2045" s="4">
        <v>23</v>
      </c>
      <c r="D2045" s="3" t="s">
        <v>87</v>
      </c>
      <c r="E2045" s="3" t="s">
        <v>7</v>
      </c>
      <c r="F2045" s="5">
        <v>159</v>
      </c>
      <c r="G2045" s="5">
        <v>252</v>
      </c>
      <c r="H2045" s="6">
        <v>9963.75</v>
      </c>
      <c r="I2045" s="22">
        <v>15751.32</v>
      </c>
      <c r="J2045" s="24">
        <f t="shared" si="93"/>
        <v>1.091428169544884E-4</v>
      </c>
      <c r="K2045" s="25">
        <f t="shared" si="95"/>
        <v>0.85293104776219519</v>
      </c>
      <c r="L2045" s="26" t="s">
        <v>7517</v>
      </c>
      <c r="M2045" s="28">
        <v>-2.7177960649733809E-2</v>
      </c>
      <c r="N2045" s="28"/>
      <c r="O2045" s="20">
        <v>4732.4399999999996</v>
      </c>
      <c r="P2045" s="27" t="str">
        <f t="shared" si="94"/>
        <v>amarelo</v>
      </c>
    </row>
    <row r="2046" spans="1:16" ht="25.5">
      <c r="A2046" s="3" t="s">
        <v>6444</v>
      </c>
      <c r="B2046" s="3" t="s">
        <v>6445</v>
      </c>
      <c r="C2046" s="4">
        <v>39</v>
      </c>
      <c r="D2046" s="3" t="s">
        <v>26</v>
      </c>
      <c r="E2046" s="3" t="s">
        <v>13</v>
      </c>
      <c r="F2046" s="5">
        <v>108</v>
      </c>
      <c r="G2046" s="5">
        <v>360</v>
      </c>
      <c r="H2046" s="6">
        <v>4809.8879999999999</v>
      </c>
      <c r="I2046" s="22">
        <v>15731.4</v>
      </c>
      <c r="J2046" s="24">
        <f t="shared" si="93"/>
        <v>1.0900478884549605E-4</v>
      </c>
      <c r="K2046" s="25">
        <f t="shared" si="95"/>
        <v>0.85304005255104065</v>
      </c>
      <c r="L2046" s="26" t="s">
        <v>7517</v>
      </c>
      <c r="M2046" s="28"/>
      <c r="N2046" s="28"/>
      <c r="O2046" s="20" t="s">
        <v>7530</v>
      </c>
      <c r="P2046" s="27" t="str">
        <f t="shared" si="94"/>
        <v>vermelho</v>
      </c>
    </row>
    <row r="2047" spans="1:16" ht="25.5">
      <c r="A2047" s="3" t="s">
        <v>4</v>
      </c>
      <c r="B2047" s="3" t="s">
        <v>1322</v>
      </c>
      <c r="C2047" s="4">
        <v>74</v>
      </c>
      <c r="D2047" s="3" t="s">
        <v>6</v>
      </c>
      <c r="E2047" s="3" t="s">
        <v>7</v>
      </c>
      <c r="F2047" s="5">
        <v>102</v>
      </c>
      <c r="G2047" s="5">
        <v>243</v>
      </c>
      <c r="H2047" s="6">
        <v>5236.8</v>
      </c>
      <c r="I2047" s="22">
        <v>15720.12</v>
      </c>
      <c r="J2047" s="24">
        <f t="shared" si="93"/>
        <v>1.0892662835004255E-4</v>
      </c>
      <c r="K2047" s="25">
        <f t="shared" si="95"/>
        <v>0.8531489791793907</v>
      </c>
      <c r="L2047" s="26" t="s">
        <v>7517</v>
      </c>
      <c r="M2047" s="28"/>
      <c r="N2047" s="28"/>
      <c r="O2047" s="20" t="s">
        <v>7530</v>
      </c>
      <c r="P2047" s="27" t="str">
        <f t="shared" si="94"/>
        <v>vermelho</v>
      </c>
    </row>
    <row r="2048" spans="1:16" ht="25.5">
      <c r="A2048" s="3" t="s">
        <v>4</v>
      </c>
      <c r="B2048" s="3" t="s">
        <v>1323</v>
      </c>
      <c r="C2048" s="4">
        <v>232</v>
      </c>
      <c r="D2048" s="3" t="s">
        <v>174</v>
      </c>
      <c r="E2048" s="3" t="s">
        <v>16</v>
      </c>
      <c r="F2048" s="5">
        <v>0</v>
      </c>
      <c r="G2048" s="5">
        <v>276</v>
      </c>
      <c r="H2048" s="6">
        <v>0</v>
      </c>
      <c r="I2048" s="22">
        <v>15701.16</v>
      </c>
      <c r="J2048" s="24">
        <f t="shared" si="93"/>
        <v>1.0879525219811007E-4</v>
      </c>
      <c r="K2048" s="25">
        <f t="shared" si="95"/>
        <v>0.85325777443158879</v>
      </c>
      <c r="L2048" s="26" t="s">
        <v>7517</v>
      </c>
      <c r="M2048" s="28"/>
      <c r="N2048" s="28"/>
      <c r="O2048" s="20" t="s">
        <v>7530</v>
      </c>
      <c r="P2048" s="27" t="str">
        <f t="shared" si="94"/>
        <v>vermelho</v>
      </c>
    </row>
    <row r="2049" spans="1:16" ht="25.5">
      <c r="A2049" s="3" t="s">
        <v>4</v>
      </c>
      <c r="B2049" s="3" t="s">
        <v>1324</v>
      </c>
      <c r="C2049" s="4">
        <v>23</v>
      </c>
      <c r="D2049" s="3" t="s">
        <v>87</v>
      </c>
      <c r="E2049" s="3" t="s">
        <v>7</v>
      </c>
      <c r="F2049" s="5">
        <v>318</v>
      </c>
      <c r="G2049" s="5">
        <v>252</v>
      </c>
      <c r="H2049" s="6">
        <v>18671.43</v>
      </c>
      <c r="I2049" s="22">
        <v>15661.35</v>
      </c>
      <c r="J2049" s="24">
        <f t="shared" si="93"/>
        <v>1.0851940385378349E-4</v>
      </c>
      <c r="K2049" s="25">
        <f t="shared" si="95"/>
        <v>0.8533662938354426</v>
      </c>
      <c r="L2049" s="26" t="s">
        <v>7517</v>
      </c>
      <c r="M2049" s="28"/>
      <c r="N2049" s="28">
        <v>5.1443803654191912E-2</v>
      </c>
      <c r="O2049" s="20">
        <v>4854.3</v>
      </c>
      <c r="P2049" s="27" t="str">
        <f t="shared" si="94"/>
        <v>amarelo</v>
      </c>
    </row>
    <row r="2050" spans="1:16" ht="25.5">
      <c r="A2050" s="3" t="s">
        <v>4</v>
      </c>
      <c r="B2050" s="3" t="s">
        <v>1325</v>
      </c>
      <c r="C2050" s="4">
        <v>194</v>
      </c>
      <c r="D2050" s="3" t="s">
        <v>145</v>
      </c>
      <c r="E2050" s="3" t="s">
        <v>16</v>
      </c>
      <c r="F2050" s="5">
        <v>336</v>
      </c>
      <c r="G2050" s="5">
        <v>273</v>
      </c>
      <c r="H2050" s="6">
        <v>19322.88</v>
      </c>
      <c r="I2050" s="22">
        <v>15658.38</v>
      </c>
      <c r="J2050" s="24">
        <f t="shared" si="93"/>
        <v>1.084988243616295E-4</v>
      </c>
      <c r="K2050" s="25">
        <f t="shared" si="95"/>
        <v>0.85347479265980419</v>
      </c>
      <c r="L2050" s="26" t="s">
        <v>7517</v>
      </c>
      <c r="M2050" s="28"/>
      <c r="N2050" s="28"/>
      <c r="O2050" s="20">
        <v>5718.12</v>
      </c>
      <c r="P2050" s="27" t="str">
        <f t="shared" si="94"/>
        <v>amarelo</v>
      </c>
    </row>
    <row r="2051" spans="1:16" ht="25.5">
      <c r="A2051" s="3" t="s">
        <v>6446</v>
      </c>
      <c r="B2051" s="3" t="s">
        <v>6447</v>
      </c>
      <c r="C2051" s="4">
        <v>316</v>
      </c>
      <c r="D2051" s="3" t="s">
        <v>247</v>
      </c>
      <c r="E2051" s="3" t="s">
        <v>10</v>
      </c>
      <c r="F2051" s="5">
        <v>767</v>
      </c>
      <c r="G2051" s="5">
        <v>252</v>
      </c>
      <c r="H2051" s="6">
        <v>29073.15</v>
      </c>
      <c r="I2051" s="22">
        <v>15623.652</v>
      </c>
      <c r="J2051" s="24">
        <f t="shared" ref="J2051:J2114" si="96">I2051/$I$6364</f>
        <v>1.0825818981498862E-4</v>
      </c>
      <c r="K2051" s="25">
        <f t="shared" si="95"/>
        <v>0.85358305084961916</v>
      </c>
      <c r="L2051" s="26" t="s">
        <v>7517</v>
      </c>
      <c r="M2051" s="28"/>
      <c r="N2051" s="28"/>
      <c r="O2051" s="20" t="s">
        <v>7530</v>
      </c>
      <c r="P2051" s="27" t="str">
        <f t="shared" ref="P2051:P2114" si="97">IF(O2051&lt;=0,"vermelho",IFERROR(IF(O2051/I2051&lt;=0.5098,"amarelo",IF(O2051/I2051&lt;1,"laranja","verde")),"vermelho"))</f>
        <v>vermelho</v>
      </c>
    </row>
    <row r="2052" spans="1:16" ht="25.5">
      <c r="A2052" s="3" t="s">
        <v>4</v>
      </c>
      <c r="B2052" s="3" t="s">
        <v>1326</v>
      </c>
      <c r="C2052" s="4">
        <v>231</v>
      </c>
      <c r="D2052" s="3" t="s">
        <v>52</v>
      </c>
      <c r="E2052" s="3" t="s">
        <v>7</v>
      </c>
      <c r="F2052" s="5">
        <v>144</v>
      </c>
      <c r="G2052" s="5">
        <v>270</v>
      </c>
      <c r="H2052" s="6">
        <v>7881.2520000000004</v>
      </c>
      <c r="I2052" s="22">
        <v>15611.76</v>
      </c>
      <c r="J2052" s="24">
        <f t="shared" si="96"/>
        <v>1.0817578869690946E-4</v>
      </c>
      <c r="K2052" s="25">
        <f t="shared" ref="K2052:K2115" si="98">J2052+K2051</f>
        <v>0.85369122663831609</v>
      </c>
      <c r="L2052" s="26" t="s">
        <v>7517</v>
      </c>
      <c r="M2052" s="28"/>
      <c r="N2052" s="28"/>
      <c r="O2052" s="20" t="s">
        <v>7530</v>
      </c>
      <c r="P2052" s="27" t="str">
        <f t="shared" si="97"/>
        <v>vermelho</v>
      </c>
    </row>
    <row r="2053" spans="1:16" ht="25.5">
      <c r="A2053" s="3" t="s">
        <v>6448</v>
      </c>
      <c r="B2053" s="3" t="s">
        <v>6449</v>
      </c>
      <c r="C2053" s="4">
        <v>197</v>
      </c>
      <c r="D2053" s="3" t="s">
        <v>66</v>
      </c>
      <c r="E2053" s="3" t="s">
        <v>41</v>
      </c>
      <c r="F2053" s="5">
        <v>270</v>
      </c>
      <c r="G2053" s="5">
        <v>261</v>
      </c>
      <c r="H2053" s="6">
        <v>15255.96</v>
      </c>
      <c r="I2053" s="22">
        <v>15606.75</v>
      </c>
      <c r="J2053" s="24">
        <f t="shared" si="96"/>
        <v>1.0814107379600324E-4</v>
      </c>
      <c r="K2053" s="25">
        <f t="shared" si="98"/>
        <v>0.85379936771211207</v>
      </c>
      <c r="L2053" s="26" t="s">
        <v>7517</v>
      </c>
      <c r="M2053" s="28"/>
      <c r="N2053" s="28"/>
      <c r="O2053" s="20">
        <v>5546.22</v>
      </c>
      <c r="P2053" s="27" t="str">
        <f t="shared" si="97"/>
        <v>amarelo</v>
      </c>
    </row>
    <row r="2054" spans="1:16" ht="25.5">
      <c r="A2054" s="3" t="s">
        <v>4</v>
      </c>
      <c r="B2054" s="3" t="s">
        <v>1327</v>
      </c>
      <c r="C2054" s="4">
        <v>337</v>
      </c>
      <c r="D2054" s="3" t="s">
        <v>202</v>
      </c>
      <c r="E2054" s="3" t="s">
        <v>16</v>
      </c>
      <c r="F2054" s="5">
        <v>0</v>
      </c>
      <c r="G2054" s="5">
        <v>231</v>
      </c>
      <c r="H2054" s="6">
        <v>0</v>
      </c>
      <c r="I2054" s="22">
        <v>15604.134</v>
      </c>
      <c r="J2054" s="24">
        <f t="shared" si="96"/>
        <v>1.0812294721301509E-4</v>
      </c>
      <c r="K2054" s="25">
        <f t="shared" si="98"/>
        <v>0.85390749065932503</v>
      </c>
      <c r="L2054" s="26" t="s">
        <v>7517</v>
      </c>
      <c r="M2054" s="28"/>
      <c r="N2054" s="28"/>
      <c r="O2054" s="20" t="s">
        <v>7530</v>
      </c>
      <c r="P2054" s="27" t="str">
        <f t="shared" si="97"/>
        <v>vermelho</v>
      </c>
    </row>
    <row r="2055" spans="1:16">
      <c r="A2055" s="3" t="s">
        <v>4</v>
      </c>
      <c r="B2055" s="3" t="s">
        <v>1328</v>
      </c>
      <c r="C2055" s="4">
        <v>232</v>
      </c>
      <c r="D2055" s="3" t="s">
        <v>174</v>
      </c>
      <c r="E2055" s="3" t="s">
        <v>16</v>
      </c>
      <c r="F2055" s="5">
        <v>438</v>
      </c>
      <c r="G2055" s="5">
        <v>321</v>
      </c>
      <c r="H2055" s="6">
        <v>19316.52</v>
      </c>
      <c r="I2055" s="22">
        <v>15581.49</v>
      </c>
      <c r="J2055" s="24">
        <f t="shared" si="96"/>
        <v>1.0796604417586535E-4</v>
      </c>
      <c r="K2055" s="25">
        <f t="shared" si="98"/>
        <v>0.85401545670350087</v>
      </c>
      <c r="L2055" s="26" t="s">
        <v>7517</v>
      </c>
      <c r="M2055" s="28"/>
      <c r="N2055" s="28"/>
      <c r="O2055" s="20">
        <v>10345.83</v>
      </c>
      <c r="P2055" s="27" t="str">
        <f t="shared" si="97"/>
        <v>laranja</v>
      </c>
    </row>
    <row r="2056" spans="1:16" ht="25.5">
      <c r="A2056" s="3" t="s">
        <v>4</v>
      </c>
      <c r="B2056" s="3" t="s">
        <v>1329</v>
      </c>
      <c r="C2056" s="4">
        <v>53</v>
      </c>
      <c r="D2056" s="3" t="s">
        <v>34</v>
      </c>
      <c r="E2056" s="3" t="s">
        <v>16</v>
      </c>
      <c r="F2056" s="5">
        <v>0</v>
      </c>
      <c r="G2056" s="5">
        <v>282</v>
      </c>
      <c r="H2056" s="6">
        <v>0</v>
      </c>
      <c r="I2056" s="22">
        <v>15577.36</v>
      </c>
      <c r="J2056" s="24">
        <f t="shared" si="96"/>
        <v>1.0793742690226403E-4</v>
      </c>
      <c r="K2056" s="25">
        <f t="shared" si="98"/>
        <v>0.85412339413040317</v>
      </c>
      <c r="L2056" s="26" t="s">
        <v>7517</v>
      </c>
      <c r="M2056" s="28"/>
      <c r="N2056" s="28"/>
      <c r="O2056" s="20">
        <v>6383.1</v>
      </c>
      <c r="P2056" s="27" t="str">
        <f t="shared" si="97"/>
        <v>amarelo</v>
      </c>
    </row>
    <row r="2057" spans="1:16" ht="25.5">
      <c r="A2057" s="3" t="s">
        <v>4</v>
      </c>
      <c r="B2057" s="3" t="s">
        <v>1330</v>
      </c>
      <c r="C2057" s="4">
        <v>299</v>
      </c>
      <c r="D2057" s="3" t="s">
        <v>111</v>
      </c>
      <c r="E2057" s="3" t="s">
        <v>49</v>
      </c>
      <c r="F2057" s="5">
        <v>0</v>
      </c>
      <c r="G2057" s="5">
        <v>306</v>
      </c>
      <c r="H2057" s="6">
        <v>0</v>
      </c>
      <c r="I2057" s="22">
        <v>15576.9</v>
      </c>
      <c r="J2057" s="24">
        <f t="shared" si="96"/>
        <v>1.0793423950617283E-4</v>
      </c>
      <c r="K2057" s="25">
        <f t="shared" si="98"/>
        <v>0.85423132836990934</v>
      </c>
      <c r="L2057" s="26" t="s">
        <v>7517</v>
      </c>
      <c r="M2057" s="28">
        <v>2.6843566232242832E-2</v>
      </c>
      <c r="N2057" s="28"/>
      <c r="O2057" s="20" t="s">
        <v>7530</v>
      </c>
      <c r="P2057" s="27" t="str">
        <f t="shared" si="97"/>
        <v>vermelho</v>
      </c>
    </row>
    <row r="2058" spans="1:16" ht="38.25">
      <c r="A2058" s="3" t="s">
        <v>4</v>
      </c>
      <c r="B2058" s="3" t="s">
        <v>1331</v>
      </c>
      <c r="C2058" s="4">
        <v>143</v>
      </c>
      <c r="D2058" s="3" t="s">
        <v>44</v>
      </c>
      <c r="E2058" s="3" t="s">
        <v>41</v>
      </c>
      <c r="F2058" s="5">
        <v>876</v>
      </c>
      <c r="G2058" s="5">
        <v>288</v>
      </c>
      <c r="H2058" s="6">
        <v>38848.92</v>
      </c>
      <c r="I2058" s="22">
        <v>15574.95</v>
      </c>
      <c r="J2058" s="24">
        <f t="shared" si="96"/>
        <v>1.0792072771839498E-4</v>
      </c>
      <c r="K2058" s="25">
        <f t="shared" si="98"/>
        <v>0.85433924909762771</v>
      </c>
      <c r="L2058" s="26" t="s">
        <v>7517</v>
      </c>
      <c r="M2058" s="28"/>
      <c r="N2058" s="28"/>
      <c r="O2058" s="20" t="s">
        <v>7530</v>
      </c>
      <c r="P2058" s="27" t="str">
        <f t="shared" si="97"/>
        <v>vermelho</v>
      </c>
    </row>
    <row r="2059" spans="1:16" ht="25.5">
      <c r="A2059" s="3" t="s">
        <v>4</v>
      </c>
      <c r="B2059" s="3" t="s">
        <v>1332</v>
      </c>
      <c r="C2059" s="4">
        <v>194</v>
      </c>
      <c r="D2059" s="3" t="s">
        <v>145</v>
      </c>
      <c r="E2059" s="3" t="s">
        <v>16</v>
      </c>
      <c r="F2059" s="5">
        <v>96</v>
      </c>
      <c r="G2059" s="5">
        <v>252</v>
      </c>
      <c r="H2059" s="6">
        <v>4703.04</v>
      </c>
      <c r="I2059" s="22">
        <v>15560.22</v>
      </c>
      <c r="J2059" s="24">
        <f t="shared" si="96"/>
        <v>1.0781866175225754E-4</v>
      </c>
      <c r="K2059" s="25">
        <f t="shared" si="98"/>
        <v>0.85444706775937995</v>
      </c>
      <c r="L2059" s="26" t="s">
        <v>7517</v>
      </c>
      <c r="M2059" s="28">
        <v>2.9110275593604431E-2</v>
      </c>
      <c r="N2059" s="28"/>
      <c r="O2059" s="20">
        <v>11569.56</v>
      </c>
      <c r="P2059" s="27" t="str">
        <f t="shared" si="97"/>
        <v>laranja</v>
      </c>
    </row>
    <row r="2060" spans="1:16" ht="25.5">
      <c r="A2060" s="3" t="s">
        <v>6450</v>
      </c>
      <c r="B2060" s="3" t="s">
        <v>6451</v>
      </c>
      <c r="C2060" s="4">
        <v>267</v>
      </c>
      <c r="D2060" s="3" t="s">
        <v>125</v>
      </c>
      <c r="E2060" s="3" t="s">
        <v>16</v>
      </c>
      <c r="F2060" s="5">
        <v>216</v>
      </c>
      <c r="G2060" s="5">
        <v>294</v>
      </c>
      <c r="H2060" s="6">
        <v>11642.52</v>
      </c>
      <c r="I2060" s="22">
        <v>15560.22</v>
      </c>
      <c r="J2060" s="24">
        <f t="shared" si="96"/>
        <v>1.0781866175225754E-4</v>
      </c>
      <c r="K2060" s="25">
        <f t="shared" si="98"/>
        <v>0.8545548864211322</v>
      </c>
      <c r="L2060" s="26" t="s">
        <v>7517</v>
      </c>
      <c r="M2060" s="28"/>
      <c r="N2060" s="28"/>
      <c r="O2060" s="20">
        <v>17736.18</v>
      </c>
      <c r="P2060" s="27" t="str">
        <f t="shared" si="97"/>
        <v>verde</v>
      </c>
    </row>
    <row r="2061" spans="1:16" ht="25.5">
      <c r="A2061" s="3" t="s">
        <v>4</v>
      </c>
      <c r="B2061" s="3" t="s">
        <v>1333</v>
      </c>
      <c r="C2061" s="4">
        <v>167</v>
      </c>
      <c r="D2061" s="3" t="s">
        <v>251</v>
      </c>
      <c r="E2061" s="3" t="s">
        <v>49</v>
      </c>
      <c r="F2061" s="5">
        <v>234</v>
      </c>
      <c r="G2061" s="5">
        <v>285</v>
      </c>
      <c r="H2061" s="6">
        <v>12495.66</v>
      </c>
      <c r="I2061" s="22">
        <v>15553.05</v>
      </c>
      <c r="J2061" s="24">
        <f t="shared" si="96"/>
        <v>1.0776897994796662E-4</v>
      </c>
      <c r="K2061" s="25">
        <f t="shared" si="98"/>
        <v>0.85466265540108022</v>
      </c>
      <c r="L2061" s="26" t="s">
        <v>7517</v>
      </c>
      <c r="M2061" s="28"/>
      <c r="N2061" s="28"/>
      <c r="O2061" s="20">
        <v>10935.66</v>
      </c>
      <c r="P2061" s="27" t="str">
        <f t="shared" si="97"/>
        <v>laranja</v>
      </c>
    </row>
    <row r="2062" spans="1:16" ht="25.5">
      <c r="A2062" s="3" t="s">
        <v>6454</v>
      </c>
      <c r="B2062" s="3" t="s">
        <v>6455</v>
      </c>
      <c r="C2062" s="4">
        <v>296</v>
      </c>
      <c r="D2062" s="3" t="s">
        <v>282</v>
      </c>
      <c r="E2062" s="3" t="s">
        <v>10</v>
      </c>
      <c r="F2062" s="5">
        <v>66</v>
      </c>
      <c r="G2062" s="5">
        <v>252</v>
      </c>
      <c r="H2062" s="6">
        <v>4302.42</v>
      </c>
      <c r="I2062" s="22">
        <v>15539.981</v>
      </c>
      <c r="J2062" s="24">
        <f t="shared" si="96"/>
        <v>1.0767842325336718E-4</v>
      </c>
      <c r="K2062" s="25">
        <f t="shared" si="98"/>
        <v>0.85477033382433354</v>
      </c>
      <c r="L2062" s="26" t="s">
        <v>7517</v>
      </c>
      <c r="M2062" s="28"/>
      <c r="N2062" s="28"/>
      <c r="O2062" s="20" t="s">
        <v>7530</v>
      </c>
      <c r="P2062" s="27" t="str">
        <f t="shared" si="97"/>
        <v>vermelho</v>
      </c>
    </row>
    <row r="2063" spans="1:16">
      <c r="A2063" s="3" t="s">
        <v>4</v>
      </c>
      <c r="B2063" s="3" t="s">
        <v>1334</v>
      </c>
      <c r="C2063" s="4">
        <v>232</v>
      </c>
      <c r="D2063" s="3" t="s">
        <v>174</v>
      </c>
      <c r="E2063" s="3" t="s">
        <v>16</v>
      </c>
      <c r="F2063" s="5">
        <v>180</v>
      </c>
      <c r="G2063" s="5">
        <v>264</v>
      </c>
      <c r="H2063" s="6">
        <v>10490.79</v>
      </c>
      <c r="I2063" s="22">
        <v>15538.08</v>
      </c>
      <c r="J2063" s="24">
        <f t="shared" si="96"/>
        <v>1.0766525099256425E-4</v>
      </c>
      <c r="K2063" s="25">
        <f t="shared" si="98"/>
        <v>0.85487799907532613</v>
      </c>
      <c r="L2063" s="26" t="s">
        <v>7517</v>
      </c>
      <c r="M2063" s="28"/>
      <c r="N2063" s="28"/>
      <c r="O2063" s="20" t="s">
        <v>7530</v>
      </c>
      <c r="P2063" s="27" t="str">
        <f t="shared" si="97"/>
        <v>vermelho</v>
      </c>
    </row>
    <row r="2064" spans="1:16" ht="25.5">
      <c r="A2064" s="3" t="s">
        <v>4</v>
      </c>
      <c r="B2064" s="3" t="s">
        <v>1335</v>
      </c>
      <c r="C2064" s="4">
        <v>194</v>
      </c>
      <c r="D2064" s="3" t="s">
        <v>145</v>
      </c>
      <c r="E2064" s="3" t="s">
        <v>16</v>
      </c>
      <c r="F2064" s="5">
        <v>0</v>
      </c>
      <c r="G2064" s="5">
        <v>252</v>
      </c>
      <c r="H2064" s="6">
        <v>0</v>
      </c>
      <c r="I2064" s="22">
        <v>15524.64</v>
      </c>
      <c r="J2064" s="24">
        <f t="shared" si="96"/>
        <v>1.0757212359372603E-4</v>
      </c>
      <c r="K2064" s="25">
        <f t="shared" si="98"/>
        <v>0.85498557119891982</v>
      </c>
      <c r="L2064" s="26" t="s">
        <v>7517</v>
      </c>
      <c r="M2064" s="28"/>
      <c r="N2064" s="28"/>
      <c r="O2064" s="20" t="s">
        <v>7530</v>
      </c>
      <c r="P2064" s="27" t="str">
        <f t="shared" si="97"/>
        <v>vermelho</v>
      </c>
    </row>
    <row r="2065" spans="1:16">
      <c r="A2065" s="3" t="s">
        <v>4</v>
      </c>
      <c r="B2065" s="3" t="s">
        <v>1336</v>
      </c>
      <c r="C2065" s="4">
        <v>240</v>
      </c>
      <c r="D2065" s="3" t="s">
        <v>69</v>
      </c>
      <c r="E2065" s="3" t="s">
        <v>16</v>
      </c>
      <c r="F2065" s="5">
        <v>315</v>
      </c>
      <c r="G2065" s="5">
        <v>252</v>
      </c>
      <c r="H2065" s="6">
        <v>16817.490000000002</v>
      </c>
      <c r="I2065" s="22">
        <v>15522.72</v>
      </c>
      <c r="J2065" s="24">
        <f t="shared" si="96"/>
        <v>1.0755881967960628E-4</v>
      </c>
      <c r="K2065" s="25">
        <f t="shared" si="98"/>
        <v>0.85509313001859943</v>
      </c>
      <c r="L2065" s="26" t="s">
        <v>7517</v>
      </c>
      <c r="M2065" s="28"/>
      <c r="N2065" s="28"/>
      <c r="O2065" s="20" t="s">
        <v>7530</v>
      </c>
      <c r="P2065" s="27" t="str">
        <f t="shared" si="97"/>
        <v>vermelho</v>
      </c>
    </row>
    <row r="2066" spans="1:16" ht="38.25">
      <c r="A2066" s="3" t="s">
        <v>4</v>
      </c>
      <c r="B2066" s="3" t="s">
        <v>1337</v>
      </c>
      <c r="C2066" s="4">
        <v>38</v>
      </c>
      <c r="D2066" s="3" t="s">
        <v>184</v>
      </c>
      <c r="E2066" s="3" t="s">
        <v>49</v>
      </c>
      <c r="F2066" s="5">
        <v>0</v>
      </c>
      <c r="G2066" s="5">
        <v>270</v>
      </c>
      <c r="H2066" s="6">
        <v>0</v>
      </c>
      <c r="I2066" s="22">
        <v>15521.856</v>
      </c>
      <c r="J2066" s="24">
        <f t="shared" si="96"/>
        <v>1.075528329182524E-4</v>
      </c>
      <c r="K2066" s="25">
        <f t="shared" si="98"/>
        <v>0.85520068285151774</v>
      </c>
      <c r="L2066" s="26" t="s">
        <v>7517</v>
      </c>
      <c r="M2066" s="28"/>
      <c r="N2066" s="28"/>
      <c r="O2066" s="20" t="s">
        <v>7530</v>
      </c>
      <c r="P2066" s="27" t="str">
        <f t="shared" si="97"/>
        <v>vermelho</v>
      </c>
    </row>
    <row r="2067" spans="1:16" ht="25.5">
      <c r="A2067" s="3" t="s">
        <v>4</v>
      </c>
      <c r="B2067" s="3" t="s">
        <v>1338</v>
      </c>
      <c r="C2067" s="4">
        <v>267</v>
      </c>
      <c r="D2067" s="3" t="s">
        <v>125</v>
      </c>
      <c r="E2067" s="3" t="s">
        <v>16</v>
      </c>
      <c r="F2067" s="5">
        <v>531</v>
      </c>
      <c r="G2067" s="5">
        <v>288</v>
      </c>
      <c r="H2067" s="6">
        <v>28778.25</v>
      </c>
      <c r="I2067" s="22">
        <v>15511.86</v>
      </c>
      <c r="J2067" s="24">
        <f t="shared" si="96"/>
        <v>1.0748356941536649E-4</v>
      </c>
      <c r="K2067" s="25">
        <f t="shared" si="98"/>
        <v>0.8553081664209331</v>
      </c>
      <c r="L2067" s="26" t="s">
        <v>7517</v>
      </c>
      <c r="M2067" s="28"/>
      <c r="N2067" s="28"/>
      <c r="O2067" s="20" t="s">
        <v>7530</v>
      </c>
      <c r="P2067" s="27" t="str">
        <f t="shared" si="97"/>
        <v>vermelho</v>
      </c>
    </row>
    <row r="2068" spans="1:16" ht="25.5">
      <c r="A2068" s="3" t="s">
        <v>4</v>
      </c>
      <c r="B2068" s="3" t="s">
        <v>1339</v>
      </c>
      <c r="C2068" s="4">
        <v>194</v>
      </c>
      <c r="D2068" s="3" t="s">
        <v>145</v>
      </c>
      <c r="E2068" s="3" t="s">
        <v>16</v>
      </c>
      <c r="F2068" s="5">
        <v>195</v>
      </c>
      <c r="G2068" s="5">
        <v>276</v>
      </c>
      <c r="H2068" s="6">
        <v>9278.73</v>
      </c>
      <c r="I2068" s="22">
        <v>15505.92</v>
      </c>
      <c r="J2068" s="24">
        <f t="shared" si="96"/>
        <v>1.0744241043105852E-4</v>
      </c>
      <c r="K2068" s="25">
        <f t="shared" si="98"/>
        <v>0.85541560883136414</v>
      </c>
      <c r="L2068" s="26" t="s">
        <v>7517</v>
      </c>
      <c r="M2068" s="28"/>
      <c r="N2068" s="28"/>
      <c r="O2068" s="20">
        <v>16248.18</v>
      </c>
      <c r="P2068" s="27" t="str">
        <f t="shared" si="97"/>
        <v>verde</v>
      </c>
    </row>
    <row r="2069" spans="1:16" ht="25.5">
      <c r="A2069" s="3" t="s">
        <v>4</v>
      </c>
      <c r="B2069" s="3" t="s">
        <v>1340</v>
      </c>
      <c r="C2069" s="4">
        <v>266</v>
      </c>
      <c r="D2069" s="3" t="s">
        <v>80</v>
      </c>
      <c r="E2069" s="3" t="s">
        <v>10</v>
      </c>
      <c r="F2069" s="5">
        <v>750</v>
      </c>
      <c r="G2069" s="5">
        <v>264</v>
      </c>
      <c r="H2069" s="6">
        <v>38851.35</v>
      </c>
      <c r="I2069" s="22">
        <v>15502.92</v>
      </c>
      <c r="J2069" s="24">
        <f t="shared" si="96"/>
        <v>1.0742162306524642E-4</v>
      </c>
      <c r="K2069" s="25">
        <f t="shared" si="98"/>
        <v>0.85552303045442935</v>
      </c>
      <c r="L2069" s="26" t="s">
        <v>7517</v>
      </c>
      <c r="M2069" s="28"/>
      <c r="N2069" s="28"/>
      <c r="O2069" s="20">
        <v>30841.23</v>
      </c>
      <c r="P2069" s="27" t="str">
        <f t="shared" si="97"/>
        <v>verde</v>
      </c>
    </row>
    <row r="2070" spans="1:16">
      <c r="A2070" s="3" t="s">
        <v>6456</v>
      </c>
      <c r="B2070" s="3" t="s">
        <v>6457</v>
      </c>
      <c r="C2070" s="4">
        <v>240</v>
      </c>
      <c r="D2070" s="3" t="s">
        <v>69</v>
      </c>
      <c r="E2070" s="3" t="s">
        <v>16</v>
      </c>
      <c r="F2070" s="5">
        <v>147</v>
      </c>
      <c r="G2070" s="5">
        <v>288</v>
      </c>
      <c r="H2070" s="6">
        <v>8179.53</v>
      </c>
      <c r="I2070" s="22">
        <v>15484.68</v>
      </c>
      <c r="J2070" s="24">
        <f t="shared" si="96"/>
        <v>1.0729523588110884E-4</v>
      </c>
      <c r="K2070" s="25">
        <f t="shared" si="98"/>
        <v>0.8556303256903105</v>
      </c>
      <c r="L2070" s="26" t="s">
        <v>7517</v>
      </c>
      <c r="M2070" s="28"/>
      <c r="N2070" s="28"/>
      <c r="O2070" s="20">
        <v>14906.4</v>
      </c>
      <c r="P2070" s="27" t="str">
        <f t="shared" si="97"/>
        <v>laranja</v>
      </c>
    </row>
    <row r="2071" spans="1:16" ht="25.5">
      <c r="A2071" s="3" t="s">
        <v>4</v>
      </c>
      <c r="B2071" s="3" t="s">
        <v>1341</v>
      </c>
      <c r="C2071" s="4">
        <v>320</v>
      </c>
      <c r="D2071" s="3" t="s">
        <v>218</v>
      </c>
      <c r="E2071" s="3" t="s">
        <v>49</v>
      </c>
      <c r="F2071" s="5">
        <v>0</v>
      </c>
      <c r="G2071" s="5">
        <v>243</v>
      </c>
      <c r="H2071" s="6">
        <v>0</v>
      </c>
      <c r="I2071" s="22">
        <v>15473.46</v>
      </c>
      <c r="J2071" s="24">
        <f t="shared" si="96"/>
        <v>1.0721749113297159E-4</v>
      </c>
      <c r="K2071" s="25">
        <f t="shared" si="98"/>
        <v>0.85573754318144346</v>
      </c>
      <c r="L2071" s="26" t="s">
        <v>7517</v>
      </c>
      <c r="M2071" s="28"/>
      <c r="N2071" s="28"/>
      <c r="O2071" s="20" t="s">
        <v>7530</v>
      </c>
      <c r="P2071" s="27" t="str">
        <f t="shared" si="97"/>
        <v>vermelho</v>
      </c>
    </row>
    <row r="2072" spans="1:16" ht="25.5">
      <c r="A2072" s="3" t="s">
        <v>6458</v>
      </c>
      <c r="B2072" s="3" t="s">
        <v>6459</v>
      </c>
      <c r="C2072" s="4">
        <v>328</v>
      </c>
      <c r="D2072" s="3" t="s">
        <v>215</v>
      </c>
      <c r="E2072" s="3" t="s">
        <v>41</v>
      </c>
      <c r="F2072" s="5">
        <v>0</v>
      </c>
      <c r="G2072" s="5">
        <v>258</v>
      </c>
      <c r="H2072" s="6">
        <v>0</v>
      </c>
      <c r="I2072" s="22">
        <v>15471.21</v>
      </c>
      <c r="J2072" s="24">
        <f t="shared" si="96"/>
        <v>1.072019006086125E-4</v>
      </c>
      <c r="K2072" s="25">
        <f t="shared" si="98"/>
        <v>0.85584474508205211</v>
      </c>
      <c r="L2072" s="26" t="s">
        <v>7517</v>
      </c>
      <c r="M2072" s="28"/>
      <c r="N2072" s="28"/>
      <c r="O2072" s="20" t="s">
        <v>7530</v>
      </c>
      <c r="P2072" s="27" t="str">
        <f t="shared" si="97"/>
        <v>vermelho</v>
      </c>
    </row>
    <row r="2073" spans="1:16" ht="38.25">
      <c r="A2073" s="3" t="s">
        <v>4</v>
      </c>
      <c r="B2073" s="3" t="s">
        <v>1342</v>
      </c>
      <c r="C2073" s="4">
        <v>45</v>
      </c>
      <c r="D2073" s="3" t="s">
        <v>23</v>
      </c>
      <c r="E2073" s="3" t="s">
        <v>7</v>
      </c>
      <c r="F2073" s="5">
        <v>120</v>
      </c>
      <c r="G2073" s="5">
        <v>261</v>
      </c>
      <c r="H2073" s="6">
        <v>7224.12</v>
      </c>
      <c r="I2073" s="22">
        <v>15468.06</v>
      </c>
      <c r="J2073" s="24">
        <f t="shared" si="96"/>
        <v>1.0718007387450979E-4</v>
      </c>
      <c r="K2073" s="25">
        <f t="shared" si="98"/>
        <v>0.85595192515592666</v>
      </c>
      <c r="L2073" s="26" t="s">
        <v>7517</v>
      </c>
      <c r="M2073" s="28"/>
      <c r="N2073" s="28"/>
      <c r="O2073" s="20">
        <v>11110.68</v>
      </c>
      <c r="P2073" s="27" t="str">
        <f t="shared" si="97"/>
        <v>laranja</v>
      </c>
    </row>
    <row r="2074" spans="1:16" ht="25.5">
      <c r="A2074" s="3" t="s">
        <v>4</v>
      </c>
      <c r="B2074" s="3" t="s">
        <v>1343</v>
      </c>
      <c r="C2074" s="4">
        <v>187</v>
      </c>
      <c r="D2074" s="3" t="s">
        <v>96</v>
      </c>
      <c r="E2074" s="3" t="s">
        <v>7</v>
      </c>
      <c r="F2074" s="5">
        <v>0</v>
      </c>
      <c r="G2074" s="5">
        <v>252</v>
      </c>
      <c r="H2074" s="6">
        <v>0</v>
      </c>
      <c r="I2074" s="22">
        <v>15448.593999999999</v>
      </c>
      <c r="J2074" s="24">
        <f t="shared" si="96"/>
        <v>1.0704519158687701E-4</v>
      </c>
      <c r="K2074" s="25">
        <f t="shared" si="98"/>
        <v>0.85605897034751355</v>
      </c>
      <c r="L2074" s="26" t="s">
        <v>7517</v>
      </c>
      <c r="M2074" s="28"/>
      <c r="N2074" s="28"/>
      <c r="O2074" s="20" t="s">
        <v>7530</v>
      </c>
      <c r="P2074" s="27" t="str">
        <f t="shared" si="97"/>
        <v>vermelho</v>
      </c>
    </row>
    <row r="2075" spans="1:16" ht="25.5">
      <c r="A2075" s="3" t="s">
        <v>4</v>
      </c>
      <c r="B2075" s="3" t="s">
        <v>1344</v>
      </c>
      <c r="C2075" s="4">
        <v>297</v>
      </c>
      <c r="D2075" s="3" t="s">
        <v>115</v>
      </c>
      <c r="E2075" s="3" t="s">
        <v>41</v>
      </c>
      <c r="F2075" s="5">
        <v>408</v>
      </c>
      <c r="G2075" s="5">
        <v>264</v>
      </c>
      <c r="H2075" s="6">
        <v>22109.844000000001</v>
      </c>
      <c r="I2075" s="22">
        <v>15443.592000000001</v>
      </c>
      <c r="J2075" s="24">
        <f t="shared" si="96"/>
        <v>1.0701053211894631E-4</v>
      </c>
      <c r="K2075" s="25">
        <f t="shared" si="98"/>
        <v>0.85616598087963247</v>
      </c>
      <c r="L2075" s="26" t="s">
        <v>7517</v>
      </c>
      <c r="M2075" s="28"/>
      <c r="N2075" s="28"/>
      <c r="O2075" s="20">
        <v>8685.3700000000008</v>
      </c>
      <c r="P2075" s="27" t="str">
        <f t="shared" si="97"/>
        <v>laranja</v>
      </c>
    </row>
    <row r="2076" spans="1:16">
      <c r="A2076" s="3" t="s">
        <v>4</v>
      </c>
      <c r="B2076" s="3" t="s">
        <v>1345</v>
      </c>
      <c r="C2076" s="4">
        <v>315</v>
      </c>
      <c r="D2076" s="3" t="s">
        <v>63</v>
      </c>
      <c r="E2076" s="3" t="s">
        <v>7</v>
      </c>
      <c r="F2076" s="5">
        <v>315</v>
      </c>
      <c r="G2076" s="5">
        <v>303</v>
      </c>
      <c r="H2076" s="6">
        <v>16463.777999999998</v>
      </c>
      <c r="I2076" s="22">
        <v>15418.411</v>
      </c>
      <c r="J2076" s="24">
        <f t="shared" si="96"/>
        <v>1.0683604989944146E-4</v>
      </c>
      <c r="K2076" s="25">
        <f t="shared" si="98"/>
        <v>0.85627281692953194</v>
      </c>
      <c r="L2076" s="26" t="s">
        <v>7517</v>
      </c>
      <c r="M2076" s="28"/>
      <c r="N2076" s="28"/>
      <c r="O2076" s="20" t="s">
        <v>7530</v>
      </c>
      <c r="P2076" s="27" t="str">
        <f t="shared" si="97"/>
        <v>vermelho</v>
      </c>
    </row>
    <row r="2077" spans="1:16" ht="25.5">
      <c r="A2077" s="3" t="s">
        <v>4</v>
      </c>
      <c r="B2077" s="3" t="s">
        <v>1346</v>
      </c>
      <c r="C2077" s="4">
        <v>53</v>
      </c>
      <c r="D2077" s="3" t="s">
        <v>34</v>
      </c>
      <c r="E2077" s="3" t="s">
        <v>16</v>
      </c>
      <c r="F2077" s="5">
        <v>0</v>
      </c>
      <c r="G2077" s="5">
        <v>300</v>
      </c>
      <c r="H2077" s="6">
        <v>0</v>
      </c>
      <c r="I2077" s="22">
        <v>15417</v>
      </c>
      <c r="J2077" s="24">
        <f t="shared" si="96"/>
        <v>1.0682627290838785E-4</v>
      </c>
      <c r="K2077" s="25">
        <f t="shared" si="98"/>
        <v>0.85637964320244031</v>
      </c>
      <c r="L2077" s="26" t="s">
        <v>7517</v>
      </c>
      <c r="M2077" s="28"/>
      <c r="N2077" s="28"/>
      <c r="O2077" s="20" t="s">
        <v>7530</v>
      </c>
      <c r="P2077" s="27" t="str">
        <f t="shared" si="97"/>
        <v>vermelho</v>
      </c>
    </row>
    <row r="2078" spans="1:16" ht="25.5">
      <c r="A2078" s="3" t="s">
        <v>4</v>
      </c>
      <c r="B2078" s="3" t="s">
        <v>1347</v>
      </c>
      <c r="C2078" s="4">
        <v>267</v>
      </c>
      <c r="D2078" s="3" t="s">
        <v>125</v>
      </c>
      <c r="E2078" s="3" t="s">
        <v>16</v>
      </c>
      <c r="F2078" s="5">
        <v>0</v>
      </c>
      <c r="G2078" s="5">
        <v>282</v>
      </c>
      <c r="H2078" s="6">
        <v>0</v>
      </c>
      <c r="I2078" s="22">
        <v>15401.58</v>
      </c>
      <c r="J2078" s="24">
        <f t="shared" si="96"/>
        <v>1.0671942584811364E-4</v>
      </c>
      <c r="K2078" s="25">
        <f t="shared" si="98"/>
        <v>0.85648636262828848</v>
      </c>
      <c r="L2078" s="26" t="s">
        <v>7517</v>
      </c>
      <c r="M2078" s="28"/>
      <c r="N2078" s="28"/>
      <c r="O2078" s="20" t="s">
        <v>7530</v>
      </c>
      <c r="P2078" s="27" t="str">
        <f t="shared" si="97"/>
        <v>vermelho</v>
      </c>
    </row>
    <row r="2079" spans="1:16" ht="38.25">
      <c r="A2079" s="3" t="s">
        <v>4</v>
      </c>
      <c r="B2079" s="3" t="s">
        <v>1348</v>
      </c>
      <c r="C2079" s="4">
        <v>371</v>
      </c>
      <c r="D2079" s="3" t="s">
        <v>82</v>
      </c>
      <c r="E2079" s="3" t="s">
        <v>49</v>
      </c>
      <c r="F2079" s="5">
        <v>150</v>
      </c>
      <c r="G2079" s="5">
        <v>249</v>
      </c>
      <c r="H2079" s="6">
        <v>8997.9660000000003</v>
      </c>
      <c r="I2079" s="22">
        <v>15380.406000000001</v>
      </c>
      <c r="J2079" s="24">
        <f t="shared" si="96"/>
        <v>1.0657270862021183E-4</v>
      </c>
      <c r="K2079" s="25">
        <f t="shared" si="98"/>
        <v>0.85659293533690872</v>
      </c>
      <c r="L2079" s="26" t="s">
        <v>7517</v>
      </c>
      <c r="M2079" s="28"/>
      <c r="N2079" s="28"/>
      <c r="O2079" s="20" t="s">
        <v>7530</v>
      </c>
      <c r="P2079" s="27" t="str">
        <f t="shared" si="97"/>
        <v>vermelho</v>
      </c>
    </row>
    <row r="2080" spans="1:16">
      <c r="A2080" s="3" t="s">
        <v>6460</v>
      </c>
      <c r="B2080" s="3" t="s">
        <v>6461</v>
      </c>
      <c r="C2080" s="4">
        <v>231</v>
      </c>
      <c r="D2080" s="3" t="s">
        <v>52</v>
      </c>
      <c r="E2080" s="3" t="s">
        <v>7</v>
      </c>
      <c r="F2080" s="5">
        <v>60</v>
      </c>
      <c r="G2080" s="5">
        <v>291</v>
      </c>
      <c r="H2080" s="6">
        <v>3600.45</v>
      </c>
      <c r="I2080" s="22">
        <v>15364.62</v>
      </c>
      <c r="J2080" s="24">
        <f t="shared" si="96"/>
        <v>1.0646332550130857E-4</v>
      </c>
      <c r="K2080" s="25">
        <f t="shared" si="98"/>
        <v>0.85669939866241007</v>
      </c>
      <c r="L2080" s="26" t="s">
        <v>7517</v>
      </c>
      <c r="M2080" s="28"/>
      <c r="N2080" s="28"/>
      <c r="O2080" s="20" t="s">
        <v>7530</v>
      </c>
      <c r="P2080" s="27" t="str">
        <f t="shared" si="97"/>
        <v>vermelho</v>
      </c>
    </row>
    <row r="2081" spans="1:16" ht="25.5">
      <c r="A2081" s="3" t="s">
        <v>4</v>
      </c>
      <c r="B2081" s="3" t="s">
        <v>1349</v>
      </c>
      <c r="C2081" s="4">
        <v>218</v>
      </c>
      <c r="D2081" s="3" t="s">
        <v>104</v>
      </c>
      <c r="E2081" s="3" t="s">
        <v>16</v>
      </c>
      <c r="F2081" s="5">
        <v>390</v>
      </c>
      <c r="G2081" s="5">
        <v>264</v>
      </c>
      <c r="H2081" s="6">
        <v>20488.98</v>
      </c>
      <c r="I2081" s="22">
        <v>15341.16</v>
      </c>
      <c r="J2081" s="24">
        <f t="shared" si="96"/>
        <v>1.0630076830065793E-4</v>
      </c>
      <c r="K2081" s="25">
        <f t="shared" si="98"/>
        <v>0.85680569943071072</v>
      </c>
      <c r="L2081" s="26" t="s">
        <v>7517</v>
      </c>
      <c r="M2081" s="28"/>
      <c r="N2081" s="28"/>
      <c r="O2081" s="20">
        <v>12051.06</v>
      </c>
      <c r="P2081" s="27" t="str">
        <f t="shared" si="97"/>
        <v>laranja</v>
      </c>
    </row>
    <row r="2082" spans="1:16">
      <c r="A2082" s="3" t="s">
        <v>4</v>
      </c>
      <c r="B2082" s="3" t="s">
        <v>1350</v>
      </c>
      <c r="C2082" s="4">
        <v>315</v>
      </c>
      <c r="D2082" s="3" t="s">
        <v>63</v>
      </c>
      <c r="E2082" s="3" t="s">
        <v>7</v>
      </c>
      <c r="F2082" s="5">
        <v>72</v>
      </c>
      <c r="G2082" s="5">
        <v>279</v>
      </c>
      <c r="H2082" s="6">
        <v>3217.08</v>
      </c>
      <c r="I2082" s="22">
        <v>15311.025</v>
      </c>
      <c r="J2082" s="24">
        <f t="shared" si="96"/>
        <v>1.0609195921107537E-4</v>
      </c>
      <c r="K2082" s="25">
        <f t="shared" si="98"/>
        <v>0.8569117913899218</v>
      </c>
      <c r="L2082" s="26" t="s">
        <v>7517</v>
      </c>
      <c r="M2082" s="28"/>
      <c r="N2082" s="28"/>
      <c r="O2082" s="20" t="s">
        <v>7530</v>
      </c>
      <c r="P2082" s="27" t="str">
        <f t="shared" si="97"/>
        <v>vermelho</v>
      </c>
    </row>
    <row r="2083" spans="1:16" ht="25.5">
      <c r="A2083" s="3" t="s">
        <v>4</v>
      </c>
      <c r="B2083" s="3" t="s">
        <v>1351</v>
      </c>
      <c r="C2083" s="4">
        <v>261</v>
      </c>
      <c r="D2083" s="3" t="s">
        <v>9</v>
      </c>
      <c r="E2083" s="3" t="s">
        <v>10</v>
      </c>
      <c r="F2083" s="5">
        <v>132</v>
      </c>
      <c r="G2083" s="5">
        <v>240</v>
      </c>
      <c r="H2083" s="6">
        <v>8566.59</v>
      </c>
      <c r="I2083" s="22">
        <v>15305.28</v>
      </c>
      <c r="J2083" s="24">
        <f t="shared" si="96"/>
        <v>1.060521514055452E-4</v>
      </c>
      <c r="K2083" s="25">
        <f t="shared" si="98"/>
        <v>0.85701784354132737</v>
      </c>
      <c r="L2083" s="26" t="s">
        <v>7517</v>
      </c>
      <c r="M2083" s="28"/>
      <c r="N2083" s="28"/>
      <c r="O2083" s="20">
        <v>9190.44</v>
      </c>
      <c r="P2083" s="27" t="str">
        <f t="shared" si="97"/>
        <v>laranja</v>
      </c>
    </row>
    <row r="2084" spans="1:16" ht="25.5">
      <c r="A2084" s="3" t="s">
        <v>4</v>
      </c>
      <c r="B2084" s="3" t="s">
        <v>1352</v>
      </c>
      <c r="C2084" s="4">
        <v>335</v>
      </c>
      <c r="D2084" s="3" t="s">
        <v>36</v>
      </c>
      <c r="E2084" s="3" t="s">
        <v>7</v>
      </c>
      <c r="F2084" s="5">
        <v>120</v>
      </c>
      <c r="G2084" s="5">
        <v>246</v>
      </c>
      <c r="H2084" s="6">
        <v>7775.1</v>
      </c>
      <c r="I2084" s="22">
        <v>15294.42</v>
      </c>
      <c r="J2084" s="24">
        <f t="shared" si="96"/>
        <v>1.0597690114130539E-4</v>
      </c>
      <c r="K2084" s="25">
        <f t="shared" si="98"/>
        <v>0.85712382044246871</v>
      </c>
      <c r="L2084" s="26" t="s">
        <v>7517</v>
      </c>
      <c r="M2084" s="28"/>
      <c r="N2084" s="28"/>
      <c r="O2084" s="20">
        <v>14208.27</v>
      </c>
      <c r="P2084" s="27" t="str">
        <f t="shared" si="97"/>
        <v>laranja</v>
      </c>
    </row>
    <row r="2085" spans="1:16" ht="25.5">
      <c r="A2085" s="3" t="s">
        <v>4</v>
      </c>
      <c r="B2085" s="3" t="s">
        <v>1353</v>
      </c>
      <c r="C2085" s="4">
        <v>15</v>
      </c>
      <c r="D2085" s="3" t="s">
        <v>18</v>
      </c>
      <c r="E2085" s="3" t="s">
        <v>16</v>
      </c>
      <c r="F2085" s="5">
        <v>210</v>
      </c>
      <c r="G2085" s="5">
        <v>246</v>
      </c>
      <c r="H2085" s="6">
        <v>12475.86</v>
      </c>
      <c r="I2085" s="22">
        <v>15288.54</v>
      </c>
      <c r="J2085" s="24">
        <f t="shared" si="96"/>
        <v>1.0593615790431367E-4</v>
      </c>
      <c r="K2085" s="25">
        <f t="shared" si="98"/>
        <v>0.85722975660037304</v>
      </c>
      <c r="L2085" s="26" t="s">
        <v>7517</v>
      </c>
      <c r="M2085" s="28"/>
      <c r="N2085" s="28"/>
      <c r="O2085" s="20" t="s">
        <v>7530</v>
      </c>
      <c r="P2085" s="27" t="str">
        <f t="shared" si="97"/>
        <v>vermelho</v>
      </c>
    </row>
    <row r="2086" spans="1:16" ht="25.5">
      <c r="A2086" s="3" t="s">
        <v>6462</v>
      </c>
      <c r="B2086" s="3" t="s">
        <v>6463</v>
      </c>
      <c r="C2086" s="4">
        <v>328</v>
      </c>
      <c r="D2086" s="3" t="s">
        <v>215</v>
      </c>
      <c r="E2086" s="3" t="s">
        <v>41</v>
      </c>
      <c r="F2086" s="5">
        <v>318</v>
      </c>
      <c r="G2086" s="5">
        <v>234</v>
      </c>
      <c r="H2086" s="6">
        <v>19126.02</v>
      </c>
      <c r="I2086" s="22">
        <v>15285.42</v>
      </c>
      <c r="J2086" s="24">
        <f t="shared" si="96"/>
        <v>1.0591453904386909E-4</v>
      </c>
      <c r="K2086" s="25">
        <f t="shared" si="98"/>
        <v>0.85733567113941689</v>
      </c>
      <c r="L2086" s="26" t="s">
        <v>7517</v>
      </c>
      <c r="M2086" s="28"/>
      <c r="N2086" s="28"/>
      <c r="O2086" s="20">
        <v>12223.44</v>
      </c>
      <c r="P2086" s="27" t="str">
        <f t="shared" si="97"/>
        <v>laranja</v>
      </c>
    </row>
    <row r="2087" spans="1:16" ht="38.25">
      <c r="A2087" s="3" t="s">
        <v>4</v>
      </c>
      <c r="B2087" s="3" t="s">
        <v>1354</v>
      </c>
      <c r="C2087" s="4">
        <v>31</v>
      </c>
      <c r="D2087" s="3" t="s">
        <v>194</v>
      </c>
      <c r="E2087" s="3" t="s">
        <v>16</v>
      </c>
      <c r="F2087" s="5">
        <v>0</v>
      </c>
      <c r="G2087" s="5">
        <v>270</v>
      </c>
      <c r="H2087" s="6">
        <v>0</v>
      </c>
      <c r="I2087" s="22">
        <v>15283.86</v>
      </c>
      <c r="J2087" s="24">
        <f t="shared" si="96"/>
        <v>1.0590372961364679E-4</v>
      </c>
      <c r="K2087" s="25">
        <f t="shared" si="98"/>
        <v>0.8574415748690305</v>
      </c>
      <c r="L2087" s="26" t="s">
        <v>7517</v>
      </c>
      <c r="M2087" s="28"/>
      <c r="N2087" s="28"/>
      <c r="O2087" s="20" t="s">
        <v>7530</v>
      </c>
      <c r="P2087" s="27" t="str">
        <f t="shared" si="97"/>
        <v>vermelho</v>
      </c>
    </row>
    <row r="2088" spans="1:16" ht="38.25">
      <c r="A2088" s="3" t="s">
        <v>4</v>
      </c>
      <c r="B2088" s="3" t="s">
        <v>1355</v>
      </c>
      <c r="C2088" s="4">
        <v>38</v>
      </c>
      <c r="D2088" s="3" t="s">
        <v>184</v>
      </c>
      <c r="E2088" s="3" t="s">
        <v>49</v>
      </c>
      <c r="F2088" s="5">
        <v>303</v>
      </c>
      <c r="G2088" s="5">
        <v>282</v>
      </c>
      <c r="H2088" s="6">
        <v>16853.07</v>
      </c>
      <c r="I2088" s="22">
        <v>15275.73</v>
      </c>
      <c r="J2088" s="24">
        <f t="shared" si="96"/>
        <v>1.05847395852296E-4</v>
      </c>
      <c r="K2088" s="25">
        <f t="shared" si="98"/>
        <v>0.85754742226488279</v>
      </c>
      <c r="L2088" s="26" t="s">
        <v>7517</v>
      </c>
      <c r="M2088" s="28"/>
      <c r="N2088" s="28"/>
      <c r="O2088" s="20">
        <v>2836.08</v>
      </c>
      <c r="P2088" s="27" t="str">
        <f t="shared" si="97"/>
        <v>amarelo</v>
      </c>
    </row>
    <row r="2089" spans="1:16" ht="38.25">
      <c r="A2089" s="3" t="s">
        <v>4</v>
      </c>
      <c r="B2089" s="3" t="s">
        <v>1356</v>
      </c>
      <c r="C2089" s="4">
        <v>34</v>
      </c>
      <c r="D2089" s="3" t="s">
        <v>54</v>
      </c>
      <c r="E2089" s="3" t="s">
        <v>49</v>
      </c>
      <c r="F2089" s="5">
        <v>162</v>
      </c>
      <c r="G2089" s="5">
        <v>219</v>
      </c>
      <c r="H2089" s="6">
        <v>9642.66</v>
      </c>
      <c r="I2089" s="22">
        <v>15275.4</v>
      </c>
      <c r="J2089" s="24">
        <f t="shared" si="96"/>
        <v>1.0584510924205667E-4</v>
      </c>
      <c r="K2089" s="25">
        <f t="shared" si="98"/>
        <v>0.85765326737412484</v>
      </c>
      <c r="L2089" s="26" t="s">
        <v>7517</v>
      </c>
      <c r="M2089" s="28"/>
      <c r="N2089" s="28"/>
      <c r="O2089" s="20" t="s">
        <v>7530</v>
      </c>
      <c r="P2089" s="27" t="str">
        <f t="shared" si="97"/>
        <v>vermelho</v>
      </c>
    </row>
    <row r="2090" spans="1:16" ht="25.5">
      <c r="A2090" s="3" t="s">
        <v>4</v>
      </c>
      <c r="B2090" s="3" t="s">
        <v>1357</v>
      </c>
      <c r="C2090" s="4">
        <v>178</v>
      </c>
      <c r="D2090" s="3" t="s">
        <v>74</v>
      </c>
      <c r="E2090" s="3" t="s">
        <v>7</v>
      </c>
      <c r="F2090" s="5">
        <v>204</v>
      </c>
      <c r="G2090" s="5">
        <v>216</v>
      </c>
      <c r="H2090" s="6">
        <v>10881.96</v>
      </c>
      <c r="I2090" s="22">
        <v>15275.4</v>
      </c>
      <c r="J2090" s="24">
        <f t="shared" si="96"/>
        <v>1.0584510924205667E-4</v>
      </c>
      <c r="K2090" s="25">
        <f t="shared" si="98"/>
        <v>0.85775911248336689</v>
      </c>
      <c r="L2090" s="26" t="s">
        <v>7517</v>
      </c>
      <c r="M2090" s="28"/>
      <c r="N2090" s="28"/>
      <c r="O2090" s="20">
        <v>12124.68</v>
      </c>
      <c r="P2090" s="27" t="str">
        <f t="shared" si="97"/>
        <v>laranja</v>
      </c>
    </row>
    <row r="2091" spans="1:16">
      <c r="A2091" s="3" t="s">
        <v>4962</v>
      </c>
      <c r="B2091" s="3" t="s">
        <v>4963</v>
      </c>
      <c r="C2091" s="4">
        <v>232</v>
      </c>
      <c r="D2091" s="3" t="s">
        <v>174</v>
      </c>
      <c r="E2091" s="3" t="s">
        <v>16</v>
      </c>
      <c r="F2091" s="5">
        <v>0</v>
      </c>
      <c r="G2091" s="5">
        <v>276</v>
      </c>
      <c r="H2091" s="6">
        <v>0</v>
      </c>
      <c r="I2091" s="22">
        <v>15272.76</v>
      </c>
      <c r="J2091" s="24">
        <f t="shared" si="96"/>
        <v>1.0582681636014202E-4</v>
      </c>
      <c r="K2091" s="25">
        <f t="shared" si="98"/>
        <v>0.85786493929972707</v>
      </c>
      <c r="L2091" s="26" t="s">
        <v>7517</v>
      </c>
      <c r="M2091" s="28"/>
      <c r="N2091" s="28"/>
      <c r="O2091" s="20">
        <v>284940.21000000002</v>
      </c>
      <c r="P2091" s="27" t="str">
        <f t="shared" si="97"/>
        <v>verde</v>
      </c>
    </row>
    <row r="2092" spans="1:16" ht="25.5">
      <c r="A2092" s="3" t="s">
        <v>4</v>
      </c>
      <c r="B2092" s="3" t="s">
        <v>1358</v>
      </c>
      <c r="C2092" s="4">
        <v>167</v>
      </c>
      <c r="D2092" s="3" t="s">
        <v>251</v>
      </c>
      <c r="E2092" s="3" t="s">
        <v>49</v>
      </c>
      <c r="F2092" s="5">
        <v>291</v>
      </c>
      <c r="G2092" s="5">
        <v>306</v>
      </c>
      <c r="H2092" s="6">
        <v>13193.34</v>
      </c>
      <c r="I2092" s="22">
        <v>15260.4</v>
      </c>
      <c r="J2092" s="24">
        <f t="shared" si="96"/>
        <v>1.0574117241299615E-4</v>
      </c>
      <c r="K2092" s="25">
        <f t="shared" si="98"/>
        <v>0.85797068047214009</v>
      </c>
      <c r="L2092" s="26" t="s">
        <v>7517</v>
      </c>
      <c r="M2092" s="28"/>
      <c r="N2092" s="28"/>
      <c r="O2092" s="20" t="s">
        <v>7530</v>
      </c>
      <c r="P2092" s="27" t="str">
        <f t="shared" si="97"/>
        <v>vermelho</v>
      </c>
    </row>
    <row r="2093" spans="1:16" ht="25.5">
      <c r="A2093" s="3" t="s">
        <v>4</v>
      </c>
      <c r="B2093" s="3" t="s">
        <v>1359</v>
      </c>
      <c r="C2093" s="4">
        <v>264</v>
      </c>
      <c r="D2093" s="3" t="s">
        <v>40</v>
      </c>
      <c r="E2093" s="3" t="s">
        <v>7</v>
      </c>
      <c r="F2093" s="5">
        <v>0</v>
      </c>
      <c r="G2093" s="5">
        <v>177</v>
      </c>
      <c r="H2093" s="6">
        <v>0</v>
      </c>
      <c r="I2093" s="22">
        <v>15243.24</v>
      </c>
      <c r="J2093" s="24">
        <f t="shared" si="96"/>
        <v>1.0562226868055094E-4</v>
      </c>
      <c r="K2093" s="25">
        <f t="shared" si="98"/>
        <v>0.8580763027408207</v>
      </c>
      <c r="L2093" s="26" t="s">
        <v>7517</v>
      </c>
      <c r="M2093" s="28"/>
      <c r="N2093" s="28"/>
      <c r="O2093" s="20" t="s">
        <v>7530</v>
      </c>
      <c r="P2093" s="27" t="str">
        <f t="shared" si="97"/>
        <v>vermelho</v>
      </c>
    </row>
    <row r="2094" spans="1:16" ht="25.5">
      <c r="A2094" s="3" t="s">
        <v>4</v>
      </c>
      <c r="B2094" s="3" t="s">
        <v>1360</v>
      </c>
      <c r="C2094" s="4">
        <v>337</v>
      </c>
      <c r="D2094" s="3" t="s">
        <v>202</v>
      </c>
      <c r="E2094" s="3" t="s">
        <v>16</v>
      </c>
      <c r="F2094" s="5">
        <v>480</v>
      </c>
      <c r="G2094" s="5">
        <v>240</v>
      </c>
      <c r="H2094" s="6">
        <v>25591.919999999998</v>
      </c>
      <c r="I2094" s="22">
        <v>15212.4</v>
      </c>
      <c r="J2094" s="24">
        <f t="shared" si="96"/>
        <v>1.0540857456000254E-4</v>
      </c>
      <c r="K2094" s="25">
        <f t="shared" si="98"/>
        <v>0.85818171131538068</v>
      </c>
      <c r="L2094" s="26" t="s">
        <v>7517</v>
      </c>
      <c r="M2094" s="28"/>
      <c r="N2094" s="28"/>
      <c r="O2094" s="20" t="s">
        <v>7530</v>
      </c>
      <c r="P2094" s="27" t="str">
        <f t="shared" si="97"/>
        <v>vermelho</v>
      </c>
    </row>
    <row r="2095" spans="1:16" ht="25.5">
      <c r="A2095" s="3" t="s">
        <v>4</v>
      </c>
      <c r="B2095" s="3" t="s">
        <v>1361</v>
      </c>
      <c r="C2095" s="4">
        <v>31</v>
      </c>
      <c r="D2095" s="3" t="s">
        <v>194</v>
      </c>
      <c r="E2095" s="3" t="s">
        <v>16</v>
      </c>
      <c r="F2095" s="5">
        <v>0</v>
      </c>
      <c r="G2095" s="5">
        <v>264</v>
      </c>
      <c r="H2095" s="6">
        <v>0</v>
      </c>
      <c r="I2095" s="22">
        <v>15212.16</v>
      </c>
      <c r="J2095" s="24">
        <f t="shared" si="96"/>
        <v>1.0540691157073758E-4</v>
      </c>
      <c r="K2095" s="25">
        <f t="shared" si="98"/>
        <v>0.85828711822695136</v>
      </c>
      <c r="L2095" s="26" t="s">
        <v>7517</v>
      </c>
      <c r="M2095" s="28"/>
      <c r="N2095" s="28"/>
      <c r="O2095" s="20" t="s">
        <v>7530</v>
      </c>
      <c r="P2095" s="27" t="str">
        <f t="shared" si="97"/>
        <v>vermelho</v>
      </c>
    </row>
    <row r="2096" spans="1:16" ht="25.5">
      <c r="A2096" s="3" t="s">
        <v>4</v>
      </c>
      <c r="B2096" s="3" t="s">
        <v>1362</v>
      </c>
      <c r="C2096" s="4">
        <v>194</v>
      </c>
      <c r="D2096" s="3" t="s">
        <v>145</v>
      </c>
      <c r="E2096" s="3" t="s">
        <v>16</v>
      </c>
      <c r="F2096" s="5">
        <v>366</v>
      </c>
      <c r="G2096" s="5">
        <v>306</v>
      </c>
      <c r="H2096" s="6">
        <v>20591.55</v>
      </c>
      <c r="I2096" s="22">
        <v>15191.58</v>
      </c>
      <c r="J2096" s="24">
        <f t="shared" si="96"/>
        <v>1.0526431024126656E-4</v>
      </c>
      <c r="K2096" s="25">
        <f t="shared" si="98"/>
        <v>0.85839238253719263</v>
      </c>
      <c r="L2096" s="26" t="s">
        <v>7517</v>
      </c>
      <c r="M2096" s="28"/>
      <c r="N2096" s="28"/>
      <c r="O2096" s="20" t="s">
        <v>7530</v>
      </c>
      <c r="P2096" s="27" t="str">
        <f t="shared" si="97"/>
        <v>vermelho</v>
      </c>
    </row>
    <row r="2097" spans="1:16" ht="25.5">
      <c r="A2097" s="3" t="s">
        <v>6464</v>
      </c>
      <c r="B2097" s="3" t="s">
        <v>6465</v>
      </c>
      <c r="C2097" s="4">
        <v>273</v>
      </c>
      <c r="D2097" s="3" t="s">
        <v>149</v>
      </c>
      <c r="E2097" s="3" t="s">
        <v>16</v>
      </c>
      <c r="F2097" s="5">
        <v>456</v>
      </c>
      <c r="G2097" s="5">
        <v>294</v>
      </c>
      <c r="H2097" s="6">
        <v>24512.94</v>
      </c>
      <c r="I2097" s="22">
        <v>15188.25</v>
      </c>
      <c r="J2097" s="24">
        <f t="shared" si="96"/>
        <v>1.0524123626521513E-4</v>
      </c>
      <c r="K2097" s="25">
        <f t="shared" si="98"/>
        <v>0.85849762377345784</v>
      </c>
      <c r="L2097" s="26" t="s">
        <v>7517</v>
      </c>
      <c r="M2097" s="28"/>
      <c r="N2097" s="28"/>
      <c r="O2097" s="20" t="s">
        <v>7530</v>
      </c>
      <c r="P2097" s="27" t="str">
        <f t="shared" si="97"/>
        <v>vermelho</v>
      </c>
    </row>
    <row r="2098" spans="1:16" ht="25.5">
      <c r="A2098" s="3" t="s">
        <v>6466</v>
      </c>
      <c r="B2098" s="3" t="s">
        <v>6467</v>
      </c>
      <c r="C2098" s="4">
        <v>321</v>
      </c>
      <c r="D2098" s="3" t="s">
        <v>136</v>
      </c>
      <c r="E2098" s="3" t="s">
        <v>41</v>
      </c>
      <c r="F2098" s="5">
        <v>258</v>
      </c>
      <c r="G2098" s="5">
        <v>240</v>
      </c>
      <c r="H2098" s="6">
        <v>14691.921</v>
      </c>
      <c r="I2098" s="22">
        <v>15180.73</v>
      </c>
      <c r="J2098" s="24">
        <f t="shared" si="96"/>
        <v>1.0518912926824613E-4</v>
      </c>
      <c r="K2098" s="25">
        <f t="shared" si="98"/>
        <v>0.85860281290272611</v>
      </c>
      <c r="L2098" s="26" t="s">
        <v>7517</v>
      </c>
      <c r="M2098" s="28"/>
      <c r="N2098" s="28"/>
      <c r="O2098" s="20" t="s">
        <v>7530</v>
      </c>
      <c r="P2098" s="27" t="str">
        <f t="shared" si="97"/>
        <v>vermelho</v>
      </c>
    </row>
    <row r="2099" spans="1:16" ht="25.5">
      <c r="A2099" s="3" t="s">
        <v>6468</v>
      </c>
      <c r="B2099" s="3" t="s">
        <v>6469</v>
      </c>
      <c r="C2099" s="4">
        <v>327</v>
      </c>
      <c r="D2099" s="3" t="s">
        <v>100</v>
      </c>
      <c r="E2099" s="3" t="s">
        <v>7</v>
      </c>
      <c r="F2099" s="5">
        <v>0</v>
      </c>
      <c r="G2099" s="5">
        <v>288</v>
      </c>
      <c r="H2099" s="6">
        <v>0</v>
      </c>
      <c r="I2099" s="22">
        <v>15180.656999999999</v>
      </c>
      <c r="J2099" s="24">
        <f t="shared" si="96"/>
        <v>1.051886234423447E-4</v>
      </c>
      <c r="K2099" s="25">
        <f t="shared" si="98"/>
        <v>0.85870800152616844</v>
      </c>
      <c r="L2099" s="26" t="s">
        <v>7517</v>
      </c>
      <c r="M2099" s="28"/>
      <c r="N2099" s="28"/>
      <c r="O2099" s="20">
        <v>10386.555</v>
      </c>
      <c r="P2099" s="27" t="str">
        <f t="shared" si="97"/>
        <v>laranja</v>
      </c>
    </row>
    <row r="2100" spans="1:16" ht="25.5">
      <c r="A2100" s="3" t="s">
        <v>6470</v>
      </c>
      <c r="B2100" s="3" t="s">
        <v>6471</v>
      </c>
      <c r="C2100" s="4">
        <v>299</v>
      </c>
      <c r="D2100" s="3" t="s">
        <v>111</v>
      </c>
      <c r="E2100" s="3" t="s">
        <v>49</v>
      </c>
      <c r="F2100" s="5">
        <v>216</v>
      </c>
      <c r="G2100" s="5">
        <v>237</v>
      </c>
      <c r="H2100" s="6">
        <v>11223.72</v>
      </c>
      <c r="I2100" s="22">
        <v>15162.78</v>
      </c>
      <c r="J2100" s="24">
        <f t="shared" si="96"/>
        <v>1.0506475152947039E-4</v>
      </c>
      <c r="K2100" s="25">
        <f t="shared" si="98"/>
        <v>0.85881306627769793</v>
      </c>
      <c r="L2100" s="26" t="s">
        <v>7517</v>
      </c>
      <c r="M2100" s="28"/>
      <c r="N2100" s="28"/>
      <c r="O2100" s="20">
        <v>7199.52</v>
      </c>
      <c r="P2100" s="27" t="str">
        <f t="shared" si="97"/>
        <v>amarelo</v>
      </c>
    </row>
    <row r="2101" spans="1:16">
      <c r="A2101" s="3" t="s">
        <v>4</v>
      </c>
      <c r="B2101" s="3" t="s">
        <v>1363</v>
      </c>
      <c r="C2101" s="4">
        <v>231</v>
      </c>
      <c r="D2101" s="3" t="s">
        <v>52</v>
      </c>
      <c r="E2101" s="3" t="s">
        <v>7</v>
      </c>
      <c r="F2101" s="5">
        <v>0</v>
      </c>
      <c r="G2101" s="5">
        <v>279</v>
      </c>
      <c r="H2101" s="6">
        <v>0</v>
      </c>
      <c r="I2101" s="22">
        <v>15140.25</v>
      </c>
      <c r="J2101" s="24">
        <f t="shared" si="96"/>
        <v>1.0490863841222152E-4</v>
      </c>
      <c r="K2101" s="25">
        <f t="shared" si="98"/>
        <v>0.85891797491611011</v>
      </c>
      <c r="L2101" s="26" t="s">
        <v>7517</v>
      </c>
      <c r="M2101" s="28"/>
      <c r="N2101" s="28"/>
      <c r="O2101" s="20" t="s">
        <v>7530</v>
      </c>
      <c r="P2101" s="27" t="str">
        <f t="shared" si="97"/>
        <v>vermelho</v>
      </c>
    </row>
    <row r="2102" spans="1:16" ht="25.5">
      <c r="A2102" s="3" t="s">
        <v>4</v>
      </c>
      <c r="B2102" s="3" t="s">
        <v>1364</v>
      </c>
      <c r="C2102" s="4">
        <v>41</v>
      </c>
      <c r="D2102" s="3" t="s">
        <v>178</v>
      </c>
      <c r="E2102" s="3" t="s">
        <v>41</v>
      </c>
      <c r="F2102" s="5">
        <v>0</v>
      </c>
      <c r="G2102" s="5">
        <v>240</v>
      </c>
      <c r="H2102" s="6">
        <v>0</v>
      </c>
      <c r="I2102" s="22">
        <v>15138.84</v>
      </c>
      <c r="J2102" s="24">
        <f t="shared" si="96"/>
        <v>1.0489886835028982E-4</v>
      </c>
      <c r="K2102" s="25">
        <f t="shared" si="98"/>
        <v>0.85902287378446041</v>
      </c>
      <c r="L2102" s="26" t="s">
        <v>7517</v>
      </c>
      <c r="M2102" s="28"/>
      <c r="N2102" s="28"/>
      <c r="O2102" s="20" t="s">
        <v>7530</v>
      </c>
      <c r="P2102" s="27" t="str">
        <f t="shared" si="97"/>
        <v>vermelho</v>
      </c>
    </row>
    <row r="2103" spans="1:16" ht="25.5">
      <c r="A2103" s="3" t="s">
        <v>4</v>
      </c>
      <c r="B2103" s="3" t="s">
        <v>1365</v>
      </c>
      <c r="C2103" s="4">
        <v>197</v>
      </c>
      <c r="D2103" s="3" t="s">
        <v>66</v>
      </c>
      <c r="E2103" s="3" t="s">
        <v>41</v>
      </c>
      <c r="F2103" s="5">
        <v>198</v>
      </c>
      <c r="G2103" s="5">
        <v>237</v>
      </c>
      <c r="H2103" s="6">
        <v>9835.92</v>
      </c>
      <c r="I2103" s="22">
        <v>15135.18</v>
      </c>
      <c r="J2103" s="24">
        <f t="shared" si="96"/>
        <v>1.0487350776399906E-4</v>
      </c>
      <c r="K2103" s="25">
        <f t="shared" si="98"/>
        <v>0.85912774729222441</v>
      </c>
      <c r="L2103" s="26" t="s">
        <v>7517</v>
      </c>
      <c r="M2103" s="28"/>
      <c r="N2103" s="28"/>
      <c r="O2103" s="20" t="s">
        <v>7530</v>
      </c>
      <c r="P2103" s="27" t="str">
        <f t="shared" si="97"/>
        <v>vermelho</v>
      </c>
    </row>
    <row r="2104" spans="1:16" ht="38.25">
      <c r="A2104" s="3" t="s">
        <v>4</v>
      </c>
      <c r="B2104" s="3" t="s">
        <v>1366</v>
      </c>
      <c r="C2104" s="4">
        <v>11</v>
      </c>
      <c r="D2104" s="3" t="s">
        <v>61</v>
      </c>
      <c r="E2104" s="3" t="s">
        <v>10</v>
      </c>
      <c r="F2104" s="5">
        <v>0</v>
      </c>
      <c r="G2104" s="5">
        <v>240</v>
      </c>
      <c r="H2104" s="6">
        <v>0</v>
      </c>
      <c r="I2104" s="22">
        <v>15130.35</v>
      </c>
      <c r="J2104" s="24">
        <f t="shared" si="96"/>
        <v>1.0484004010504158E-4</v>
      </c>
      <c r="K2104" s="25">
        <f t="shared" si="98"/>
        <v>0.85923258733232943</v>
      </c>
      <c r="L2104" s="26" t="s">
        <v>7517</v>
      </c>
      <c r="M2104" s="28">
        <v>-2.9847331402598494E-2</v>
      </c>
      <c r="N2104" s="28"/>
      <c r="O2104" s="20">
        <v>15130.35</v>
      </c>
      <c r="P2104" s="27" t="str">
        <f t="shared" si="97"/>
        <v>verde</v>
      </c>
    </row>
    <row r="2105" spans="1:16" ht="25.5">
      <c r="A2105" s="3" t="s">
        <v>4</v>
      </c>
      <c r="B2105" s="3" t="s">
        <v>1367</v>
      </c>
      <c r="C2105" s="4">
        <v>321</v>
      </c>
      <c r="D2105" s="3" t="s">
        <v>136</v>
      </c>
      <c r="E2105" s="3" t="s">
        <v>41</v>
      </c>
      <c r="F2105" s="5">
        <v>174</v>
      </c>
      <c r="G2105" s="5">
        <v>231</v>
      </c>
      <c r="H2105" s="6">
        <v>9619.26</v>
      </c>
      <c r="I2105" s="22">
        <v>15111.69</v>
      </c>
      <c r="J2105" s="24">
        <f t="shared" si="96"/>
        <v>1.0471074268969031E-4</v>
      </c>
      <c r="K2105" s="25">
        <f t="shared" si="98"/>
        <v>0.85933729807501913</v>
      </c>
      <c r="L2105" s="26" t="s">
        <v>7517</v>
      </c>
      <c r="M2105" s="28"/>
      <c r="N2105" s="28"/>
      <c r="O2105" s="20" t="s">
        <v>7530</v>
      </c>
      <c r="P2105" s="27" t="str">
        <f t="shared" si="97"/>
        <v>vermelho</v>
      </c>
    </row>
    <row r="2106" spans="1:16" ht="25.5">
      <c r="A2106" s="3" t="s">
        <v>4</v>
      </c>
      <c r="B2106" s="3" t="s">
        <v>1368</v>
      </c>
      <c r="C2106" s="4">
        <v>317</v>
      </c>
      <c r="D2106" s="3" t="s">
        <v>78</v>
      </c>
      <c r="E2106" s="3" t="s">
        <v>10</v>
      </c>
      <c r="F2106" s="5">
        <v>249</v>
      </c>
      <c r="G2106" s="5">
        <v>213</v>
      </c>
      <c r="H2106" s="6">
        <v>14423.04</v>
      </c>
      <c r="I2106" s="22">
        <v>15111.21</v>
      </c>
      <c r="J2106" s="24">
        <f t="shared" si="96"/>
        <v>1.0470741671116037E-4</v>
      </c>
      <c r="K2106" s="25">
        <f t="shared" si="98"/>
        <v>0.85944200549173033</v>
      </c>
      <c r="L2106" s="26" t="s">
        <v>7517</v>
      </c>
      <c r="M2106" s="28"/>
      <c r="N2106" s="28"/>
      <c r="O2106" s="20" t="s">
        <v>7530</v>
      </c>
      <c r="P2106" s="27" t="str">
        <f t="shared" si="97"/>
        <v>vermelho</v>
      </c>
    </row>
    <row r="2107" spans="1:16" ht="25.5">
      <c r="A2107" s="3" t="s">
        <v>4</v>
      </c>
      <c r="B2107" s="3" t="s">
        <v>1369</v>
      </c>
      <c r="C2107" s="4">
        <v>218</v>
      </c>
      <c r="D2107" s="3" t="s">
        <v>104</v>
      </c>
      <c r="E2107" s="3" t="s">
        <v>16</v>
      </c>
      <c r="F2107" s="5">
        <v>0</v>
      </c>
      <c r="G2107" s="5">
        <v>249</v>
      </c>
      <c r="H2107" s="6">
        <v>0</v>
      </c>
      <c r="I2107" s="22">
        <v>15089.13</v>
      </c>
      <c r="J2107" s="24">
        <f t="shared" si="96"/>
        <v>1.045544216987833E-4</v>
      </c>
      <c r="K2107" s="25">
        <f t="shared" si="98"/>
        <v>0.8595465599134291</v>
      </c>
      <c r="L2107" s="26" t="s">
        <v>7517</v>
      </c>
      <c r="M2107" s="28"/>
      <c r="N2107" s="28"/>
      <c r="O2107" s="20" t="s">
        <v>7530</v>
      </c>
      <c r="P2107" s="27" t="str">
        <f t="shared" si="97"/>
        <v>vermelho</v>
      </c>
    </row>
    <row r="2108" spans="1:16" ht="38.25">
      <c r="A2108" s="3" t="s">
        <v>4</v>
      </c>
      <c r="B2108" s="3" t="s">
        <v>1370</v>
      </c>
      <c r="C2108" s="4">
        <v>371</v>
      </c>
      <c r="D2108" s="3" t="s">
        <v>82</v>
      </c>
      <c r="E2108" s="3" t="s">
        <v>49</v>
      </c>
      <c r="F2108" s="5">
        <v>156</v>
      </c>
      <c r="G2108" s="5">
        <v>258</v>
      </c>
      <c r="H2108" s="6">
        <v>8134.44</v>
      </c>
      <c r="I2108" s="22">
        <v>15080.01</v>
      </c>
      <c r="J2108" s="24">
        <f t="shared" si="96"/>
        <v>1.0449122810671452E-4</v>
      </c>
      <c r="K2108" s="25">
        <f t="shared" si="98"/>
        <v>0.85965105114153584</v>
      </c>
      <c r="L2108" s="26" t="s">
        <v>7517</v>
      </c>
      <c r="M2108" s="28"/>
      <c r="N2108" s="28"/>
      <c r="O2108" s="20" t="s">
        <v>7530</v>
      </c>
      <c r="P2108" s="27" t="str">
        <f t="shared" si="97"/>
        <v>vermelho</v>
      </c>
    </row>
    <row r="2109" spans="1:16">
      <c r="A2109" s="3" t="s">
        <v>6472</v>
      </c>
      <c r="B2109" s="3" t="s">
        <v>6473</v>
      </c>
      <c r="C2109" s="4">
        <v>232</v>
      </c>
      <c r="D2109" s="3" t="s">
        <v>174</v>
      </c>
      <c r="E2109" s="3" t="s">
        <v>16</v>
      </c>
      <c r="F2109" s="5">
        <v>240</v>
      </c>
      <c r="G2109" s="5">
        <v>249</v>
      </c>
      <c r="H2109" s="6">
        <v>12923.04</v>
      </c>
      <c r="I2109" s="22">
        <v>15076.44</v>
      </c>
      <c r="J2109" s="24">
        <f t="shared" si="96"/>
        <v>1.0446649114139813E-4</v>
      </c>
      <c r="K2109" s="25">
        <f t="shared" si="98"/>
        <v>0.85975551763267721</v>
      </c>
      <c r="L2109" s="26" t="s">
        <v>7517</v>
      </c>
      <c r="M2109" s="28"/>
      <c r="N2109" s="28"/>
      <c r="O2109" s="20" t="s">
        <v>7530</v>
      </c>
      <c r="P2109" s="27" t="str">
        <f t="shared" si="97"/>
        <v>vermelho</v>
      </c>
    </row>
    <row r="2110" spans="1:16" ht="25.5">
      <c r="A2110" s="3" t="s">
        <v>6474</v>
      </c>
      <c r="B2110" s="3" t="s">
        <v>6475</v>
      </c>
      <c r="C2110" s="4">
        <v>197</v>
      </c>
      <c r="D2110" s="3" t="s">
        <v>66</v>
      </c>
      <c r="E2110" s="3" t="s">
        <v>41</v>
      </c>
      <c r="F2110" s="5">
        <v>396</v>
      </c>
      <c r="G2110" s="5">
        <v>264</v>
      </c>
      <c r="H2110" s="6">
        <v>18772.608</v>
      </c>
      <c r="I2110" s="22">
        <v>15072.64</v>
      </c>
      <c r="J2110" s="24">
        <f t="shared" si="96"/>
        <v>1.0444016047803612E-4</v>
      </c>
      <c r="K2110" s="25">
        <f t="shared" si="98"/>
        <v>0.85985995779315527</v>
      </c>
      <c r="L2110" s="26" t="s">
        <v>7517</v>
      </c>
      <c r="M2110" s="28"/>
      <c r="N2110" s="28"/>
      <c r="O2110" s="20" t="s">
        <v>7530</v>
      </c>
      <c r="P2110" s="27" t="str">
        <f t="shared" si="97"/>
        <v>vermelho</v>
      </c>
    </row>
    <row r="2111" spans="1:16" ht="25.5">
      <c r="A2111" s="3" t="s">
        <v>4</v>
      </c>
      <c r="B2111" s="3" t="s">
        <v>1371</v>
      </c>
      <c r="C2111" s="4">
        <v>297</v>
      </c>
      <c r="D2111" s="3" t="s">
        <v>115</v>
      </c>
      <c r="E2111" s="3" t="s">
        <v>41</v>
      </c>
      <c r="F2111" s="5">
        <v>504</v>
      </c>
      <c r="G2111" s="5">
        <v>228</v>
      </c>
      <c r="H2111" s="6">
        <v>29498.04</v>
      </c>
      <c r="I2111" s="22">
        <v>15055.74</v>
      </c>
      <c r="J2111" s="24">
        <f t="shared" si="96"/>
        <v>1.0432305831729462E-4</v>
      </c>
      <c r="K2111" s="25">
        <f t="shared" si="98"/>
        <v>0.85996428085147258</v>
      </c>
      <c r="L2111" s="26" t="s">
        <v>7517</v>
      </c>
      <c r="M2111" s="28"/>
      <c r="N2111" s="28">
        <v>0.1211973700301224</v>
      </c>
      <c r="O2111" s="20">
        <v>10630.89</v>
      </c>
      <c r="P2111" s="27" t="str">
        <f t="shared" si="97"/>
        <v>laranja</v>
      </c>
    </row>
    <row r="2112" spans="1:16" ht="25.5">
      <c r="A2112" s="3" t="s">
        <v>4</v>
      </c>
      <c r="B2112" s="3" t="s">
        <v>1372</v>
      </c>
      <c r="C2112" s="4">
        <v>23</v>
      </c>
      <c r="D2112" s="3" t="s">
        <v>87</v>
      </c>
      <c r="E2112" s="3" t="s">
        <v>7</v>
      </c>
      <c r="F2112" s="5">
        <v>801</v>
      </c>
      <c r="G2112" s="5">
        <v>258</v>
      </c>
      <c r="H2112" s="6">
        <v>47551.08</v>
      </c>
      <c r="I2112" s="22">
        <v>15033.72</v>
      </c>
      <c r="J2112" s="24">
        <f t="shared" si="96"/>
        <v>1.041704790522338E-4</v>
      </c>
      <c r="K2112" s="25">
        <f t="shared" si="98"/>
        <v>0.86006845133052479</v>
      </c>
      <c r="L2112" s="26" t="s">
        <v>7517</v>
      </c>
      <c r="M2112" s="28"/>
      <c r="N2112" s="28"/>
      <c r="O2112" s="20">
        <v>9370.3799999999992</v>
      </c>
      <c r="P2112" s="27" t="str">
        <f t="shared" si="97"/>
        <v>laranja</v>
      </c>
    </row>
    <row r="2113" spans="1:16" ht="25.5">
      <c r="A2113" s="3" t="s">
        <v>4</v>
      </c>
      <c r="B2113" s="3" t="s">
        <v>1373</v>
      </c>
      <c r="C2113" s="4">
        <v>19</v>
      </c>
      <c r="D2113" s="3" t="s">
        <v>72</v>
      </c>
      <c r="E2113" s="3" t="s">
        <v>41</v>
      </c>
      <c r="F2113" s="5">
        <v>270</v>
      </c>
      <c r="G2113" s="5">
        <v>240</v>
      </c>
      <c r="H2113" s="6">
        <v>15147.3</v>
      </c>
      <c r="I2113" s="22">
        <v>15033.6</v>
      </c>
      <c r="J2113" s="24">
        <f t="shared" si="96"/>
        <v>1.0416964755760132E-4</v>
      </c>
      <c r="K2113" s="25">
        <f t="shared" si="98"/>
        <v>0.86017262097808234</v>
      </c>
      <c r="L2113" s="26" t="s">
        <v>7517</v>
      </c>
      <c r="M2113" s="28"/>
      <c r="N2113" s="28"/>
      <c r="O2113" s="20">
        <v>3272.52</v>
      </c>
      <c r="P2113" s="27" t="str">
        <f t="shared" si="97"/>
        <v>amarelo</v>
      </c>
    </row>
    <row r="2114" spans="1:16" ht="38.25">
      <c r="A2114" s="3" t="s">
        <v>4</v>
      </c>
      <c r="B2114" s="3" t="s">
        <v>1374</v>
      </c>
      <c r="C2114" s="4">
        <v>197</v>
      </c>
      <c r="D2114" s="3" t="s">
        <v>66</v>
      </c>
      <c r="E2114" s="3" t="s">
        <v>41</v>
      </c>
      <c r="F2114" s="5">
        <v>222</v>
      </c>
      <c r="G2114" s="5">
        <v>237</v>
      </c>
      <c r="H2114" s="6">
        <v>12990.78</v>
      </c>
      <c r="I2114" s="22">
        <v>15020.49</v>
      </c>
      <c r="J2114" s="24">
        <f t="shared" si="96"/>
        <v>1.0407880676900244E-4</v>
      </c>
      <c r="K2114" s="25">
        <f t="shared" si="98"/>
        <v>0.86027669978485133</v>
      </c>
      <c r="L2114" s="26" t="s">
        <v>7517</v>
      </c>
      <c r="M2114" s="28"/>
      <c r="N2114" s="28"/>
      <c r="O2114" s="20" t="s">
        <v>7530</v>
      </c>
      <c r="P2114" s="27" t="str">
        <f t="shared" si="97"/>
        <v>vermelho</v>
      </c>
    </row>
    <row r="2115" spans="1:16" ht="25.5">
      <c r="A2115" s="3" t="s">
        <v>4</v>
      </c>
      <c r="B2115" s="3" t="s">
        <v>1375</v>
      </c>
      <c r="C2115" s="4">
        <v>23</v>
      </c>
      <c r="D2115" s="3" t="s">
        <v>87</v>
      </c>
      <c r="E2115" s="3" t="s">
        <v>7</v>
      </c>
      <c r="F2115" s="5">
        <v>72</v>
      </c>
      <c r="G2115" s="5">
        <v>264</v>
      </c>
      <c r="H2115" s="6">
        <v>4554.24</v>
      </c>
      <c r="I2115" s="22">
        <v>15020.4</v>
      </c>
      <c r="J2115" s="24">
        <f t="shared" ref="J2115:J2178" si="99">I2115/$I$6364</f>
        <v>1.0407818314802806E-4</v>
      </c>
      <c r="K2115" s="25">
        <f t="shared" si="98"/>
        <v>0.86038077796799939</v>
      </c>
      <c r="L2115" s="26" t="s">
        <v>7517</v>
      </c>
      <c r="M2115" s="28"/>
      <c r="N2115" s="28"/>
      <c r="O2115" s="20">
        <v>11346.12</v>
      </c>
      <c r="P2115" s="27" t="str">
        <f t="shared" ref="P2115:P2178" si="100">IF(O2115&lt;=0,"vermelho",IFERROR(IF(O2115/I2115&lt;=0.5098,"amarelo",IF(O2115/I2115&lt;1,"laranja","verde")),"vermelho"))</f>
        <v>laranja</v>
      </c>
    </row>
    <row r="2116" spans="1:16" ht="25.5">
      <c r="A2116" s="3" t="s">
        <v>4</v>
      </c>
      <c r="B2116" s="3" t="s">
        <v>1376</v>
      </c>
      <c r="C2116" s="4">
        <v>335</v>
      </c>
      <c r="D2116" s="3" t="s">
        <v>36</v>
      </c>
      <c r="E2116" s="3" t="s">
        <v>7</v>
      </c>
      <c r="F2116" s="5">
        <v>393</v>
      </c>
      <c r="G2116" s="5">
        <v>228</v>
      </c>
      <c r="H2116" s="6">
        <v>23789.79</v>
      </c>
      <c r="I2116" s="22">
        <v>15019.088</v>
      </c>
      <c r="J2116" s="24">
        <f t="shared" si="99"/>
        <v>1.0406909214004624E-4</v>
      </c>
      <c r="K2116" s="25">
        <f t="shared" ref="K2116:K2179" si="101">J2116+K2115</f>
        <v>0.86048484706013939</v>
      </c>
      <c r="L2116" s="26" t="s">
        <v>7517</v>
      </c>
      <c r="M2116" s="28"/>
      <c r="N2116" s="28"/>
      <c r="O2116" s="20">
        <v>5345.16</v>
      </c>
      <c r="P2116" s="27" t="str">
        <f t="shared" si="100"/>
        <v>amarelo</v>
      </c>
    </row>
    <row r="2117" spans="1:16">
      <c r="A2117" s="3" t="s">
        <v>4</v>
      </c>
      <c r="B2117" s="3" t="s">
        <v>1377</v>
      </c>
      <c r="C2117" s="4">
        <v>232</v>
      </c>
      <c r="D2117" s="3" t="s">
        <v>174</v>
      </c>
      <c r="E2117" s="3" t="s">
        <v>16</v>
      </c>
      <c r="F2117" s="5">
        <v>0</v>
      </c>
      <c r="G2117" s="5">
        <v>261</v>
      </c>
      <c r="H2117" s="6">
        <v>0</v>
      </c>
      <c r="I2117" s="22">
        <v>15014.07</v>
      </c>
      <c r="J2117" s="24">
        <f t="shared" si="99"/>
        <v>1.0403432180616453E-4</v>
      </c>
      <c r="K2117" s="25">
        <f t="shared" si="101"/>
        <v>0.86058888138194556</v>
      </c>
      <c r="L2117" s="26" t="s">
        <v>7517</v>
      </c>
      <c r="M2117" s="28"/>
      <c r="N2117" s="28">
        <v>2.1812387511148154E-2</v>
      </c>
      <c r="O2117" s="20">
        <v>11191.98</v>
      </c>
      <c r="P2117" s="27" t="str">
        <f t="shared" si="100"/>
        <v>laranja</v>
      </c>
    </row>
    <row r="2118" spans="1:16" ht="38.25">
      <c r="A2118" s="3" t="s">
        <v>4</v>
      </c>
      <c r="B2118" s="3" t="s">
        <v>1378</v>
      </c>
      <c r="C2118" s="4">
        <v>45</v>
      </c>
      <c r="D2118" s="3" t="s">
        <v>23</v>
      </c>
      <c r="E2118" s="3" t="s">
        <v>7</v>
      </c>
      <c r="F2118" s="5">
        <v>435</v>
      </c>
      <c r="G2118" s="5">
        <v>228</v>
      </c>
      <c r="H2118" s="6">
        <v>24991.89</v>
      </c>
      <c r="I2118" s="22">
        <v>15005.76</v>
      </c>
      <c r="J2118" s="24">
        <f t="shared" si="99"/>
        <v>1.0397674080286502E-4</v>
      </c>
      <c r="K2118" s="25">
        <f t="shared" si="101"/>
        <v>0.86069285812274843</v>
      </c>
      <c r="L2118" s="26" t="s">
        <v>7517</v>
      </c>
      <c r="M2118" s="28"/>
      <c r="N2118" s="28"/>
      <c r="O2118" s="20">
        <v>16244.13</v>
      </c>
      <c r="P2118" s="27" t="str">
        <f t="shared" si="100"/>
        <v>verde</v>
      </c>
    </row>
    <row r="2119" spans="1:16" ht="25.5">
      <c r="A2119" s="3" t="s">
        <v>4</v>
      </c>
      <c r="B2119" s="3" t="s">
        <v>1379</v>
      </c>
      <c r="C2119" s="4">
        <v>231</v>
      </c>
      <c r="D2119" s="3" t="s">
        <v>52</v>
      </c>
      <c r="E2119" s="3" t="s">
        <v>7</v>
      </c>
      <c r="F2119" s="5">
        <v>192</v>
      </c>
      <c r="G2119" s="5">
        <v>234</v>
      </c>
      <c r="H2119" s="6">
        <v>11488.08</v>
      </c>
      <c r="I2119" s="22">
        <v>15003.54</v>
      </c>
      <c r="J2119" s="24">
        <f t="shared" si="99"/>
        <v>1.0396135815216407E-4</v>
      </c>
      <c r="K2119" s="25">
        <f t="shared" si="101"/>
        <v>0.86079681948090059</v>
      </c>
      <c r="L2119" s="26" t="s">
        <v>7517</v>
      </c>
      <c r="M2119" s="28"/>
      <c r="N2119" s="28">
        <v>4.7127512541718673E-2</v>
      </c>
      <c r="O2119" s="20">
        <v>3280.68</v>
      </c>
      <c r="P2119" s="27" t="str">
        <f t="shared" si="100"/>
        <v>amarelo</v>
      </c>
    </row>
    <row r="2120" spans="1:16" ht="38.25">
      <c r="A2120" s="3" t="s">
        <v>4</v>
      </c>
      <c r="B2120" s="3" t="s">
        <v>1380</v>
      </c>
      <c r="C2120" s="4">
        <v>38</v>
      </c>
      <c r="D2120" s="3" t="s">
        <v>184</v>
      </c>
      <c r="E2120" s="3" t="s">
        <v>49</v>
      </c>
      <c r="F2120" s="5">
        <v>0</v>
      </c>
      <c r="G2120" s="5">
        <v>240</v>
      </c>
      <c r="H2120" s="6">
        <v>0</v>
      </c>
      <c r="I2120" s="22">
        <v>15001.56</v>
      </c>
      <c r="J2120" s="24">
        <f t="shared" si="99"/>
        <v>1.0394763849072808E-4</v>
      </c>
      <c r="K2120" s="25">
        <f t="shared" si="101"/>
        <v>0.86090076711939134</v>
      </c>
      <c r="L2120" s="26" t="s">
        <v>7517</v>
      </c>
      <c r="M2120" s="28"/>
      <c r="N2120" s="28"/>
      <c r="O2120" s="20" t="s">
        <v>7530</v>
      </c>
      <c r="P2120" s="27" t="str">
        <f t="shared" si="100"/>
        <v>vermelho</v>
      </c>
    </row>
    <row r="2121" spans="1:16" ht="25.5">
      <c r="A2121" s="3" t="s">
        <v>4</v>
      </c>
      <c r="B2121" s="3" t="s">
        <v>1381</v>
      </c>
      <c r="C2121" s="4">
        <v>167</v>
      </c>
      <c r="D2121" s="3" t="s">
        <v>251</v>
      </c>
      <c r="E2121" s="3" t="s">
        <v>49</v>
      </c>
      <c r="F2121" s="5">
        <v>423</v>
      </c>
      <c r="G2121" s="5">
        <v>243</v>
      </c>
      <c r="H2121" s="6">
        <v>23384.25</v>
      </c>
      <c r="I2121" s="22">
        <v>14980.77</v>
      </c>
      <c r="J2121" s="24">
        <f t="shared" si="99"/>
        <v>1.0380358204565021E-4</v>
      </c>
      <c r="K2121" s="25">
        <f t="shared" si="101"/>
        <v>0.86100457070143699</v>
      </c>
      <c r="L2121" s="26" t="s">
        <v>7517</v>
      </c>
      <c r="M2121" s="28"/>
      <c r="N2121" s="28"/>
      <c r="O2121" s="20" t="s">
        <v>7530</v>
      </c>
      <c r="P2121" s="27" t="str">
        <f t="shared" si="100"/>
        <v>vermelho</v>
      </c>
    </row>
    <row r="2122" spans="1:16" ht="25.5">
      <c r="A2122" s="3" t="s">
        <v>4</v>
      </c>
      <c r="B2122" s="3" t="s">
        <v>1382</v>
      </c>
      <c r="C2122" s="4">
        <v>19</v>
      </c>
      <c r="D2122" s="3" t="s">
        <v>72</v>
      </c>
      <c r="E2122" s="3" t="s">
        <v>41</v>
      </c>
      <c r="F2122" s="5">
        <v>582</v>
      </c>
      <c r="G2122" s="5">
        <v>240</v>
      </c>
      <c r="H2122" s="6">
        <v>36084.6</v>
      </c>
      <c r="I2122" s="22">
        <v>14979.41</v>
      </c>
      <c r="J2122" s="24">
        <f t="shared" si="99"/>
        <v>1.0379415843981539E-4</v>
      </c>
      <c r="K2122" s="25">
        <f t="shared" si="101"/>
        <v>0.86110836485987685</v>
      </c>
      <c r="L2122" s="26" t="s">
        <v>7517</v>
      </c>
      <c r="M2122" s="28"/>
      <c r="N2122" s="28"/>
      <c r="O2122" s="20" t="s">
        <v>7530</v>
      </c>
      <c r="P2122" s="27" t="str">
        <f t="shared" si="100"/>
        <v>vermelho</v>
      </c>
    </row>
    <row r="2123" spans="1:16" ht="25.5">
      <c r="A2123" s="3" t="s">
        <v>4</v>
      </c>
      <c r="B2123" s="3" t="s">
        <v>1383</v>
      </c>
      <c r="C2123" s="4">
        <v>267</v>
      </c>
      <c r="D2123" s="3" t="s">
        <v>125</v>
      </c>
      <c r="E2123" s="3" t="s">
        <v>16</v>
      </c>
      <c r="F2123" s="5">
        <v>180</v>
      </c>
      <c r="G2123" s="5">
        <v>263</v>
      </c>
      <c r="H2123" s="6">
        <v>8922.1200000000008</v>
      </c>
      <c r="I2123" s="22">
        <v>14978.29</v>
      </c>
      <c r="J2123" s="24">
        <f t="shared" si="99"/>
        <v>1.0378639782324555E-4</v>
      </c>
      <c r="K2123" s="25">
        <f t="shared" si="101"/>
        <v>0.86121215125770012</v>
      </c>
      <c r="L2123" s="26" t="s">
        <v>7517</v>
      </c>
      <c r="M2123" s="28"/>
      <c r="N2123" s="28"/>
      <c r="O2123" s="20">
        <v>5539.44</v>
      </c>
      <c r="P2123" s="27" t="str">
        <f t="shared" si="100"/>
        <v>amarelo</v>
      </c>
    </row>
    <row r="2124" spans="1:16" ht="25.5">
      <c r="A2124" s="3" t="s">
        <v>4</v>
      </c>
      <c r="B2124" s="3" t="s">
        <v>1384</v>
      </c>
      <c r="C2124" s="4">
        <v>317</v>
      </c>
      <c r="D2124" s="3" t="s">
        <v>78</v>
      </c>
      <c r="E2124" s="3" t="s">
        <v>10</v>
      </c>
      <c r="F2124" s="5">
        <v>0</v>
      </c>
      <c r="G2124" s="5">
        <v>252</v>
      </c>
      <c r="H2124" s="6">
        <v>0</v>
      </c>
      <c r="I2124" s="22">
        <v>14969.64</v>
      </c>
      <c r="J2124" s="24">
        <f t="shared" si="99"/>
        <v>1.0372646091848731E-4</v>
      </c>
      <c r="K2124" s="25">
        <f t="shared" si="101"/>
        <v>0.86131587771861862</v>
      </c>
      <c r="L2124" s="26" t="s">
        <v>7517</v>
      </c>
      <c r="M2124" s="28"/>
      <c r="N2124" s="28"/>
      <c r="O2124" s="20" t="s">
        <v>7530</v>
      </c>
      <c r="P2124" s="27" t="str">
        <f t="shared" si="100"/>
        <v>vermelho</v>
      </c>
    </row>
    <row r="2125" spans="1:16">
      <c r="A2125" s="3" t="s">
        <v>4</v>
      </c>
      <c r="B2125" s="3" t="s">
        <v>1385</v>
      </c>
      <c r="C2125" s="4">
        <v>334</v>
      </c>
      <c r="D2125" s="3" t="s">
        <v>531</v>
      </c>
      <c r="E2125" s="3" t="s">
        <v>7</v>
      </c>
      <c r="F2125" s="5">
        <v>0</v>
      </c>
      <c r="G2125" s="5">
        <v>330</v>
      </c>
      <c r="H2125" s="6">
        <v>0</v>
      </c>
      <c r="I2125" s="22">
        <v>14968.812</v>
      </c>
      <c r="J2125" s="24">
        <f t="shared" si="99"/>
        <v>1.0372072360552317E-4</v>
      </c>
      <c r="K2125" s="25">
        <f t="shared" si="101"/>
        <v>0.86141959844222415</v>
      </c>
      <c r="L2125" s="26" t="s">
        <v>7517</v>
      </c>
      <c r="M2125" s="28"/>
      <c r="N2125" s="28"/>
      <c r="O2125" s="20">
        <v>70902.899999999994</v>
      </c>
      <c r="P2125" s="27" t="str">
        <f t="shared" si="100"/>
        <v>verde</v>
      </c>
    </row>
    <row r="2126" spans="1:16" ht="51">
      <c r="A2126" s="3" t="s">
        <v>4</v>
      </c>
      <c r="B2126" s="3" t="s">
        <v>1386</v>
      </c>
      <c r="C2126" s="4">
        <v>282</v>
      </c>
      <c r="D2126" s="3" t="s">
        <v>12</v>
      </c>
      <c r="E2126" s="3" t="s">
        <v>13</v>
      </c>
      <c r="F2126" s="5">
        <v>0</v>
      </c>
      <c r="G2126" s="5">
        <v>216</v>
      </c>
      <c r="H2126" s="6">
        <v>0</v>
      </c>
      <c r="I2126" s="22">
        <v>14967.36</v>
      </c>
      <c r="J2126" s="24">
        <f t="shared" si="99"/>
        <v>1.0371066252047012E-4</v>
      </c>
      <c r="K2126" s="25">
        <f t="shared" si="101"/>
        <v>0.86152330910474462</v>
      </c>
      <c r="L2126" s="26" t="s">
        <v>7517</v>
      </c>
      <c r="M2126" s="28"/>
      <c r="N2126" s="28"/>
      <c r="O2126" s="20" t="s">
        <v>7530</v>
      </c>
      <c r="P2126" s="27" t="str">
        <f t="shared" si="100"/>
        <v>vermelho</v>
      </c>
    </row>
    <row r="2127" spans="1:16" ht="25.5">
      <c r="A2127" s="3" t="s">
        <v>4</v>
      </c>
      <c r="B2127" s="3" t="s">
        <v>1387</v>
      </c>
      <c r="C2127" s="4">
        <v>93</v>
      </c>
      <c r="D2127" s="3" t="s">
        <v>20</v>
      </c>
      <c r="E2127" s="3" t="s">
        <v>7</v>
      </c>
      <c r="F2127" s="5">
        <v>315</v>
      </c>
      <c r="G2127" s="5">
        <v>225</v>
      </c>
      <c r="H2127" s="6">
        <v>18352.53</v>
      </c>
      <c r="I2127" s="22">
        <v>14966.67</v>
      </c>
      <c r="J2127" s="24">
        <f t="shared" si="99"/>
        <v>1.0370588142633334E-4</v>
      </c>
      <c r="K2127" s="25">
        <f t="shared" si="101"/>
        <v>0.861627014986171</v>
      </c>
      <c r="L2127" s="26" t="s">
        <v>7517</v>
      </c>
      <c r="M2127" s="28"/>
      <c r="N2127" s="28"/>
      <c r="O2127" s="20" t="s">
        <v>7530</v>
      </c>
      <c r="P2127" s="27" t="str">
        <f t="shared" si="100"/>
        <v>vermelho</v>
      </c>
    </row>
    <row r="2128" spans="1:16">
      <c r="A2128" s="3" t="s">
        <v>4</v>
      </c>
      <c r="B2128" s="3" t="s">
        <v>1388</v>
      </c>
      <c r="C2128" s="4">
        <v>217</v>
      </c>
      <c r="D2128" s="3" t="s">
        <v>91</v>
      </c>
      <c r="E2128" s="3" t="s">
        <v>16</v>
      </c>
      <c r="F2128" s="5">
        <v>180</v>
      </c>
      <c r="G2128" s="5">
        <v>279</v>
      </c>
      <c r="H2128" s="6">
        <v>9415.7999999999993</v>
      </c>
      <c r="I2128" s="22">
        <v>14954.46</v>
      </c>
      <c r="J2128" s="24">
        <f t="shared" si="99"/>
        <v>1.0362127684747808E-4</v>
      </c>
      <c r="K2128" s="25">
        <f t="shared" si="101"/>
        <v>0.86173063626301849</v>
      </c>
      <c r="L2128" s="26" t="s">
        <v>7517</v>
      </c>
      <c r="M2128" s="28"/>
      <c r="N2128" s="28"/>
      <c r="O2128" s="20" t="s">
        <v>7530</v>
      </c>
      <c r="P2128" s="27" t="str">
        <f t="shared" si="100"/>
        <v>vermelho</v>
      </c>
    </row>
    <row r="2129" spans="1:16" ht="25.5">
      <c r="A2129" s="3" t="s">
        <v>4</v>
      </c>
      <c r="B2129" s="3" t="s">
        <v>1389</v>
      </c>
      <c r="C2129" s="4">
        <v>266</v>
      </c>
      <c r="D2129" s="3" t="s">
        <v>80</v>
      </c>
      <c r="E2129" s="3" t="s">
        <v>10</v>
      </c>
      <c r="F2129" s="5">
        <v>0</v>
      </c>
      <c r="G2129" s="5">
        <v>228</v>
      </c>
      <c r="H2129" s="6">
        <v>0</v>
      </c>
      <c r="I2129" s="22">
        <v>14940.9</v>
      </c>
      <c r="J2129" s="24">
        <f t="shared" si="99"/>
        <v>1.0352731795400739E-4</v>
      </c>
      <c r="K2129" s="25">
        <f t="shared" si="101"/>
        <v>0.86183416358097253</v>
      </c>
      <c r="L2129" s="26" t="s">
        <v>7517</v>
      </c>
      <c r="M2129" s="28"/>
      <c r="N2129" s="28"/>
      <c r="O2129" s="20" t="s">
        <v>7530</v>
      </c>
      <c r="P2129" s="27" t="str">
        <f t="shared" si="100"/>
        <v>vermelho</v>
      </c>
    </row>
    <row r="2130" spans="1:16" ht="25.5">
      <c r="A2130" s="3" t="s">
        <v>4</v>
      </c>
      <c r="B2130" s="3" t="s">
        <v>1390</v>
      </c>
      <c r="C2130" s="4">
        <v>53</v>
      </c>
      <c r="D2130" s="3" t="s">
        <v>34</v>
      </c>
      <c r="E2130" s="3" t="s">
        <v>16</v>
      </c>
      <c r="F2130" s="5">
        <v>0</v>
      </c>
      <c r="G2130" s="5">
        <v>288</v>
      </c>
      <c r="H2130" s="6">
        <v>0</v>
      </c>
      <c r="I2130" s="22">
        <v>14926.83</v>
      </c>
      <c r="J2130" s="24">
        <f t="shared" si="99"/>
        <v>1.0342982520834864E-4</v>
      </c>
      <c r="K2130" s="25">
        <f t="shared" si="101"/>
        <v>0.86193759340618092</v>
      </c>
      <c r="L2130" s="26" t="s">
        <v>7517</v>
      </c>
      <c r="M2130" s="28"/>
      <c r="N2130" s="28"/>
      <c r="O2130" s="20" t="s">
        <v>7530</v>
      </c>
      <c r="P2130" s="27" t="str">
        <f t="shared" si="100"/>
        <v>vermelho</v>
      </c>
    </row>
    <row r="2131" spans="1:16" ht="25.5">
      <c r="A2131" s="3" t="s">
        <v>4</v>
      </c>
      <c r="B2131" s="3" t="s">
        <v>1391</v>
      </c>
      <c r="C2131" s="4">
        <v>264</v>
      </c>
      <c r="D2131" s="3" t="s">
        <v>40</v>
      </c>
      <c r="E2131" s="3" t="s">
        <v>41</v>
      </c>
      <c r="F2131" s="5">
        <v>0</v>
      </c>
      <c r="G2131" s="5">
        <v>309</v>
      </c>
      <c r="H2131" s="6">
        <v>0</v>
      </c>
      <c r="I2131" s="22">
        <v>14916.853999999999</v>
      </c>
      <c r="J2131" s="24">
        <f t="shared" si="99"/>
        <v>1.0336070028790145E-4</v>
      </c>
      <c r="K2131" s="25">
        <f t="shared" si="101"/>
        <v>0.86204095410646886</v>
      </c>
      <c r="L2131" s="26" t="s">
        <v>7517</v>
      </c>
      <c r="M2131" s="28">
        <v>-1.326913096879008E-2</v>
      </c>
      <c r="N2131" s="28"/>
      <c r="O2131" s="20" t="s">
        <v>7530</v>
      </c>
      <c r="P2131" s="27" t="str">
        <f t="shared" si="100"/>
        <v>vermelho</v>
      </c>
    </row>
    <row r="2132" spans="1:16" ht="25.5">
      <c r="A2132" s="3" t="s">
        <v>4</v>
      </c>
      <c r="B2132" s="3" t="s">
        <v>1392</v>
      </c>
      <c r="C2132" s="4">
        <v>321</v>
      </c>
      <c r="D2132" s="3" t="s">
        <v>136</v>
      </c>
      <c r="E2132" s="3" t="s">
        <v>41</v>
      </c>
      <c r="F2132" s="5">
        <v>0</v>
      </c>
      <c r="G2132" s="5">
        <v>270</v>
      </c>
      <c r="H2132" s="6">
        <v>0</v>
      </c>
      <c r="I2132" s="22">
        <v>14915.502</v>
      </c>
      <c r="J2132" s="24">
        <f t="shared" si="99"/>
        <v>1.0335133211504214E-4</v>
      </c>
      <c r="K2132" s="25">
        <f t="shared" si="101"/>
        <v>0.86214430543858389</v>
      </c>
      <c r="L2132" s="26" t="s">
        <v>7517</v>
      </c>
      <c r="M2132" s="28"/>
      <c r="N2132" s="28"/>
      <c r="O2132" s="20" t="s">
        <v>7530</v>
      </c>
      <c r="P2132" s="27" t="str">
        <f t="shared" si="100"/>
        <v>vermelho</v>
      </c>
    </row>
    <row r="2133" spans="1:16" ht="38.25">
      <c r="A2133" s="3" t="s">
        <v>4</v>
      </c>
      <c r="B2133" s="3" t="s">
        <v>1393</v>
      </c>
      <c r="C2133" s="4">
        <v>333</v>
      </c>
      <c r="D2133" s="3" t="s">
        <v>1394</v>
      </c>
      <c r="E2133" s="3" t="s">
        <v>41</v>
      </c>
      <c r="F2133" s="5">
        <v>0</v>
      </c>
      <c r="G2133" s="5">
        <v>204</v>
      </c>
      <c r="H2133" s="6">
        <v>0</v>
      </c>
      <c r="I2133" s="22">
        <v>14915.04</v>
      </c>
      <c r="J2133" s="24">
        <f t="shared" si="99"/>
        <v>1.0334813086070708E-4</v>
      </c>
      <c r="K2133" s="25">
        <f t="shared" si="101"/>
        <v>0.86224765356944455</v>
      </c>
      <c r="L2133" s="26" t="s">
        <v>7517</v>
      </c>
      <c r="M2133" s="28"/>
      <c r="N2133" s="28"/>
      <c r="O2133" s="20">
        <v>14915.04</v>
      </c>
      <c r="P2133" s="27" t="str">
        <f t="shared" si="100"/>
        <v>verde</v>
      </c>
    </row>
    <row r="2134" spans="1:16" ht="25.5">
      <c r="A2134" s="3" t="s">
        <v>4</v>
      </c>
      <c r="B2134" s="3" t="s">
        <v>1395</v>
      </c>
      <c r="C2134" s="4">
        <v>266</v>
      </c>
      <c r="D2134" s="3" t="s">
        <v>80</v>
      </c>
      <c r="E2134" s="3" t="s">
        <v>10</v>
      </c>
      <c r="F2134" s="5">
        <v>237</v>
      </c>
      <c r="G2134" s="5">
        <v>222</v>
      </c>
      <c r="H2134" s="6">
        <v>11748.99</v>
      </c>
      <c r="I2134" s="22">
        <v>14912.22</v>
      </c>
      <c r="J2134" s="24">
        <f t="shared" si="99"/>
        <v>1.033285907368437E-4</v>
      </c>
      <c r="K2134" s="25">
        <f t="shared" si="101"/>
        <v>0.86235098216018136</v>
      </c>
      <c r="L2134" s="26" t="s">
        <v>7517</v>
      </c>
      <c r="M2134" s="28"/>
      <c r="N2134" s="28"/>
      <c r="O2134" s="20">
        <v>2582.2800000000002</v>
      </c>
      <c r="P2134" s="27" t="str">
        <f t="shared" si="100"/>
        <v>amarelo</v>
      </c>
    </row>
    <row r="2135" spans="1:16" ht="38.25">
      <c r="A2135" s="3" t="s">
        <v>4</v>
      </c>
      <c r="B2135" s="3" t="s">
        <v>1396</v>
      </c>
      <c r="C2135" s="4">
        <v>143</v>
      </c>
      <c r="D2135" s="3" t="s">
        <v>44</v>
      </c>
      <c r="E2135" s="3" t="s">
        <v>41</v>
      </c>
      <c r="F2135" s="5">
        <v>240</v>
      </c>
      <c r="G2135" s="5">
        <v>234</v>
      </c>
      <c r="H2135" s="6">
        <v>15020.4</v>
      </c>
      <c r="I2135" s="22">
        <v>14907.66</v>
      </c>
      <c r="J2135" s="24">
        <f t="shared" si="99"/>
        <v>1.032969939408093E-4</v>
      </c>
      <c r="K2135" s="25">
        <f t="shared" si="101"/>
        <v>0.86245427915412221</v>
      </c>
      <c r="L2135" s="26" t="s">
        <v>7517</v>
      </c>
      <c r="M2135" s="28"/>
      <c r="N2135" s="28"/>
      <c r="O2135" s="20" t="s">
        <v>7530</v>
      </c>
      <c r="P2135" s="27" t="str">
        <f t="shared" si="100"/>
        <v>vermelho</v>
      </c>
    </row>
    <row r="2136" spans="1:16" ht="25.5">
      <c r="A2136" s="3" t="s">
        <v>4</v>
      </c>
      <c r="B2136" s="3" t="s">
        <v>1397</v>
      </c>
      <c r="C2136" s="4">
        <v>299</v>
      </c>
      <c r="D2136" s="3" t="s">
        <v>111</v>
      </c>
      <c r="E2136" s="3" t="s">
        <v>49</v>
      </c>
      <c r="F2136" s="5">
        <v>315</v>
      </c>
      <c r="G2136" s="5">
        <v>264</v>
      </c>
      <c r="H2136" s="6">
        <v>16937.310000000001</v>
      </c>
      <c r="I2136" s="22">
        <v>14904.9</v>
      </c>
      <c r="J2136" s="24">
        <f t="shared" si="99"/>
        <v>1.0327786956426217E-4</v>
      </c>
      <c r="K2136" s="25">
        <f t="shared" si="101"/>
        <v>0.86255755702368642</v>
      </c>
      <c r="L2136" s="26" t="s">
        <v>7517</v>
      </c>
      <c r="M2136" s="28"/>
      <c r="N2136" s="28"/>
      <c r="O2136" s="20">
        <v>14971.71</v>
      </c>
      <c r="P2136" s="27" t="str">
        <f t="shared" si="100"/>
        <v>verde</v>
      </c>
    </row>
    <row r="2137" spans="1:16" ht="51">
      <c r="A2137" s="3" t="s">
        <v>4</v>
      </c>
      <c r="B2137" s="3" t="s">
        <v>1398</v>
      </c>
      <c r="C2137" s="4">
        <v>282</v>
      </c>
      <c r="D2137" s="3" t="s">
        <v>12</v>
      </c>
      <c r="E2137" s="3" t="s">
        <v>13</v>
      </c>
      <c r="F2137" s="5">
        <v>399</v>
      </c>
      <c r="G2137" s="5">
        <v>240</v>
      </c>
      <c r="H2137" s="6">
        <v>20576.808000000001</v>
      </c>
      <c r="I2137" s="22">
        <v>14896.656000000001</v>
      </c>
      <c r="J2137" s="24">
        <f t="shared" si="99"/>
        <v>1.0322074588301052E-4</v>
      </c>
      <c r="K2137" s="25">
        <f t="shared" si="101"/>
        <v>0.8626607777695694</v>
      </c>
      <c r="L2137" s="26" t="s">
        <v>7517</v>
      </c>
      <c r="M2137" s="28"/>
      <c r="N2137" s="28"/>
      <c r="O2137" s="20">
        <v>5140.5600000000004</v>
      </c>
      <c r="P2137" s="27" t="str">
        <f t="shared" si="100"/>
        <v>amarelo</v>
      </c>
    </row>
    <row r="2138" spans="1:16" ht="51">
      <c r="A2138" s="3" t="s">
        <v>4</v>
      </c>
      <c r="B2138" s="3" t="s">
        <v>1399</v>
      </c>
      <c r="C2138" s="4">
        <v>282</v>
      </c>
      <c r="D2138" s="3" t="s">
        <v>12</v>
      </c>
      <c r="E2138" s="3" t="s">
        <v>13</v>
      </c>
      <c r="F2138" s="5">
        <v>0</v>
      </c>
      <c r="G2138" s="5">
        <v>288</v>
      </c>
      <c r="H2138" s="6">
        <v>0</v>
      </c>
      <c r="I2138" s="22">
        <v>14892.609</v>
      </c>
      <c r="J2138" s="24">
        <f t="shared" si="99"/>
        <v>1.0319270372653E-4</v>
      </c>
      <c r="K2138" s="25">
        <f t="shared" si="101"/>
        <v>0.86276397047329589</v>
      </c>
      <c r="L2138" s="26" t="s">
        <v>7517</v>
      </c>
      <c r="M2138" s="28"/>
      <c r="N2138" s="28"/>
      <c r="O2138" s="20" t="s">
        <v>7530</v>
      </c>
      <c r="P2138" s="27" t="str">
        <f t="shared" si="100"/>
        <v>vermelho</v>
      </c>
    </row>
    <row r="2139" spans="1:16" ht="25.5">
      <c r="A2139" s="3" t="s">
        <v>4</v>
      </c>
      <c r="B2139" s="3" t="s">
        <v>1400</v>
      </c>
      <c r="C2139" s="4">
        <v>267</v>
      </c>
      <c r="D2139" s="3" t="s">
        <v>125</v>
      </c>
      <c r="E2139" s="3" t="s">
        <v>16</v>
      </c>
      <c r="F2139" s="5">
        <v>264</v>
      </c>
      <c r="G2139" s="5">
        <v>252</v>
      </c>
      <c r="H2139" s="6">
        <v>14268.12</v>
      </c>
      <c r="I2139" s="22">
        <v>14873.1</v>
      </c>
      <c r="J2139" s="24">
        <f t="shared" si="99"/>
        <v>1.030575234866539E-4</v>
      </c>
      <c r="K2139" s="25">
        <f t="shared" si="101"/>
        <v>0.8628670279967825</v>
      </c>
      <c r="L2139" s="26" t="s">
        <v>7517</v>
      </c>
      <c r="M2139" s="28"/>
      <c r="N2139" s="28"/>
      <c r="O2139" s="20" t="s">
        <v>7530</v>
      </c>
      <c r="P2139" s="27" t="str">
        <f t="shared" si="100"/>
        <v>vermelho</v>
      </c>
    </row>
    <row r="2140" spans="1:16" ht="25.5">
      <c r="A2140" s="3" t="s">
        <v>4</v>
      </c>
      <c r="B2140" s="3" t="s">
        <v>1401</v>
      </c>
      <c r="C2140" s="4">
        <v>270</v>
      </c>
      <c r="D2140" s="3" t="s">
        <v>266</v>
      </c>
      <c r="E2140" s="3" t="s">
        <v>49</v>
      </c>
      <c r="F2140" s="5">
        <v>348</v>
      </c>
      <c r="G2140" s="5">
        <v>252</v>
      </c>
      <c r="H2140" s="6">
        <v>18383.009999999998</v>
      </c>
      <c r="I2140" s="22">
        <v>14872.32</v>
      </c>
      <c r="J2140" s="24">
        <f t="shared" si="99"/>
        <v>1.0305211877154276E-4</v>
      </c>
      <c r="K2140" s="25">
        <f t="shared" si="101"/>
        <v>0.86297008011555409</v>
      </c>
      <c r="L2140" s="26" t="s">
        <v>7517</v>
      </c>
      <c r="M2140" s="28"/>
      <c r="N2140" s="28"/>
      <c r="O2140" s="20">
        <v>6544.92</v>
      </c>
      <c r="P2140" s="27" t="str">
        <f t="shared" si="100"/>
        <v>amarelo</v>
      </c>
    </row>
    <row r="2141" spans="1:16" ht="25.5">
      <c r="A2141" s="3" t="s">
        <v>4</v>
      </c>
      <c r="B2141" s="3" t="s">
        <v>1402</v>
      </c>
      <c r="C2141" s="4">
        <v>232</v>
      </c>
      <c r="D2141" s="3" t="s">
        <v>174</v>
      </c>
      <c r="E2141" s="3" t="s">
        <v>16</v>
      </c>
      <c r="F2141" s="5">
        <v>426</v>
      </c>
      <c r="G2141" s="5">
        <v>270</v>
      </c>
      <c r="H2141" s="6">
        <v>20222.34</v>
      </c>
      <c r="I2141" s="22">
        <v>14859.36</v>
      </c>
      <c r="J2141" s="24">
        <f t="shared" si="99"/>
        <v>1.0296231735123448E-4</v>
      </c>
      <c r="K2141" s="25">
        <f t="shared" si="101"/>
        <v>0.86307304243290528</v>
      </c>
      <c r="L2141" s="26" t="s">
        <v>7517</v>
      </c>
      <c r="M2141" s="28"/>
      <c r="N2141" s="28">
        <v>2.8972211409691626E-2</v>
      </c>
      <c r="O2141" s="20">
        <v>2988</v>
      </c>
      <c r="P2141" s="27" t="str">
        <f t="shared" si="100"/>
        <v>amarelo</v>
      </c>
    </row>
    <row r="2142" spans="1:16" ht="25.5">
      <c r="A2142" s="3" t="s">
        <v>4</v>
      </c>
      <c r="B2142" s="3" t="s">
        <v>1403</v>
      </c>
      <c r="C2142" s="4">
        <v>178</v>
      </c>
      <c r="D2142" s="3" t="s">
        <v>74</v>
      </c>
      <c r="E2142" s="3" t="s">
        <v>7</v>
      </c>
      <c r="F2142" s="5">
        <v>0</v>
      </c>
      <c r="G2142" s="5">
        <v>246</v>
      </c>
      <c r="H2142" s="6">
        <v>0</v>
      </c>
      <c r="I2142" s="22">
        <v>14841.18</v>
      </c>
      <c r="J2142" s="24">
        <f t="shared" si="99"/>
        <v>1.0283634591441315E-4</v>
      </c>
      <c r="K2142" s="25">
        <f t="shared" si="101"/>
        <v>0.86317587877881974</v>
      </c>
      <c r="L2142" s="26" t="s">
        <v>7517</v>
      </c>
      <c r="M2142" s="28"/>
      <c r="N2142" s="28"/>
      <c r="O2142" s="20" t="s">
        <v>7530</v>
      </c>
      <c r="P2142" s="27" t="str">
        <f t="shared" si="100"/>
        <v>vermelho</v>
      </c>
    </row>
    <row r="2143" spans="1:16" ht="25.5">
      <c r="A2143" s="3" t="s">
        <v>4</v>
      </c>
      <c r="B2143" s="3" t="s">
        <v>1404</v>
      </c>
      <c r="C2143" s="4">
        <v>218</v>
      </c>
      <c r="D2143" s="3" t="s">
        <v>104</v>
      </c>
      <c r="E2143" s="3" t="s">
        <v>16</v>
      </c>
      <c r="F2143" s="5">
        <v>207</v>
      </c>
      <c r="G2143" s="5">
        <v>264</v>
      </c>
      <c r="H2143" s="6">
        <v>10224.93</v>
      </c>
      <c r="I2143" s="22">
        <v>14833.92</v>
      </c>
      <c r="J2143" s="24">
        <f t="shared" si="99"/>
        <v>1.0278604048914786E-4</v>
      </c>
      <c r="K2143" s="25">
        <f t="shared" si="101"/>
        <v>0.86327866481930893</v>
      </c>
      <c r="L2143" s="26" t="s">
        <v>7517</v>
      </c>
      <c r="M2143" s="28"/>
      <c r="N2143" s="28"/>
      <c r="O2143" s="20">
        <v>2396.88</v>
      </c>
      <c r="P2143" s="27" t="str">
        <f t="shared" si="100"/>
        <v>amarelo</v>
      </c>
    </row>
    <row r="2144" spans="1:16" ht="38.25">
      <c r="A2144" s="3" t="s">
        <v>6476</v>
      </c>
      <c r="B2144" s="3" t="s">
        <v>5033</v>
      </c>
      <c r="C2144" s="4">
        <v>301</v>
      </c>
      <c r="D2144" s="3" t="s">
        <v>519</v>
      </c>
      <c r="E2144" s="3" t="s">
        <v>16</v>
      </c>
      <c r="F2144" s="5">
        <v>900</v>
      </c>
      <c r="G2144" s="5">
        <v>192</v>
      </c>
      <c r="H2144" s="6">
        <v>50658.6</v>
      </c>
      <c r="I2144" s="22">
        <v>14820</v>
      </c>
      <c r="J2144" s="24">
        <f t="shared" si="99"/>
        <v>1.0268958711177972E-4</v>
      </c>
      <c r="K2144" s="25">
        <f t="shared" si="101"/>
        <v>0.86338135440642072</v>
      </c>
      <c r="L2144" s="26" t="s">
        <v>7517</v>
      </c>
      <c r="M2144" s="28"/>
      <c r="N2144" s="28"/>
      <c r="O2144" s="20">
        <v>12100.59</v>
      </c>
      <c r="P2144" s="27" t="str">
        <f t="shared" si="100"/>
        <v>laranja</v>
      </c>
    </row>
    <row r="2145" spans="1:16" ht="25.5">
      <c r="A2145" s="3" t="s">
        <v>4</v>
      </c>
      <c r="B2145" s="3" t="s">
        <v>1405</v>
      </c>
      <c r="C2145" s="4">
        <v>31</v>
      </c>
      <c r="D2145" s="3" t="s">
        <v>194</v>
      </c>
      <c r="E2145" s="3" t="s">
        <v>16</v>
      </c>
      <c r="F2145" s="5">
        <v>183</v>
      </c>
      <c r="G2145" s="5">
        <v>252</v>
      </c>
      <c r="H2145" s="6">
        <v>10354.17</v>
      </c>
      <c r="I2145" s="22">
        <v>14807.28</v>
      </c>
      <c r="J2145" s="24">
        <f t="shared" si="99"/>
        <v>1.0260144868073641E-4</v>
      </c>
      <c r="K2145" s="25">
        <f t="shared" si="101"/>
        <v>0.8634839558551014</v>
      </c>
      <c r="L2145" s="26" t="s">
        <v>7517</v>
      </c>
      <c r="M2145" s="28"/>
      <c r="N2145" s="28"/>
      <c r="O2145" s="20">
        <v>7629.96</v>
      </c>
      <c r="P2145" s="27" t="str">
        <f t="shared" si="100"/>
        <v>laranja</v>
      </c>
    </row>
    <row r="2146" spans="1:16" ht="25.5">
      <c r="A2146" s="3" t="s">
        <v>4</v>
      </c>
      <c r="B2146" s="3" t="s">
        <v>1406</v>
      </c>
      <c r="C2146" s="4">
        <v>93</v>
      </c>
      <c r="D2146" s="3" t="s">
        <v>20</v>
      </c>
      <c r="E2146" s="3" t="s">
        <v>7</v>
      </c>
      <c r="F2146" s="5">
        <v>936</v>
      </c>
      <c r="G2146" s="5">
        <v>240</v>
      </c>
      <c r="H2146" s="6">
        <v>53382.36</v>
      </c>
      <c r="I2146" s="22">
        <v>14789.52</v>
      </c>
      <c r="J2146" s="24">
        <f t="shared" si="99"/>
        <v>1.0247838747512877E-4</v>
      </c>
      <c r="K2146" s="25">
        <f t="shared" si="101"/>
        <v>0.86358643424257653</v>
      </c>
      <c r="L2146" s="26" t="s">
        <v>7517</v>
      </c>
      <c r="M2146" s="28"/>
      <c r="N2146" s="28">
        <v>2.5732410624272901E-2</v>
      </c>
      <c r="O2146" s="20">
        <v>21826.799999999999</v>
      </c>
      <c r="P2146" s="27" t="str">
        <f t="shared" si="100"/>
        <v>verde</v>
      </c>
    </row>
    <row r="2147" spans="1:16" ht="25.5">
      <c r="A2147" s="3" t="s">
        <v>4</v>
      </c>
      <c r="B2147" s="3" t="s">
        <v>1407</v>
      </c>
      <c r="C2147" s="4">
        <v>317</v>
      </c>
      <c r="D2147" s="3" t="s">
        <v>78</v>
      </c>
      <c r="E2147" s="3" t="s">
        <v>10</v>
      </c>
      <c r="F2147" s="5">
        <v>228</v>
      </c>
      <c r="G2147" s="5">
        <v>216</v>
      </c>
      <c r="H2147" s="6">
        <v>14638.44</v>
      </c>
      <c r="I2147" s="22">
        <v>14783.04</v>
      </c>
      <c r="J2147" s="24">
        <f t="shared" si="99"/>
        <v>1.0243348676497463E-4</v>
      </c>
      <c r="K2147" s="25">
        <f t="shared" si="101"/>
        <v>0.8636888677293415</v>
      </c>
      <c r="L2147" s="26" t="s">
        <v>7517</v>
      </c>
      <c r="M2147" s="28"/>
      <c r="N2147" s="28"/>
      <c r="O2147" s="20" t="s">
        <v>7530</v>
      </c>
      <c r="P2147" s="27" t="str">
        <f t="shared" si="100"/>
        <v>vermelho</v>
      </c>
    </row>
    <row r="2148" spans="1:16" ht="25.5">
      <c r="A2148" s="3" t="s">
        <v>4</v>
      </c>
      <c r="B2148" s="3" t="s">
        <v>1408</v>
      </c>
      <c r="C2148" s="4">
        <v>266</v>
      </c>
      <c r="D2148" s="3" t="s">
        <v>80</v>
      </c>
      <c r="E2148" s="3" t="s">
        <v>10</v>
      </c>
      <c r="F2148" s="5">
        <v>144</v>
      </c>
      <c r="G2148" s="5">
        <v>204</v>
      </c>
      <c r="H2148" s="6">
        <v>8395.2000000000007</v>
      </c>
      <c r="I2148" s="22">
        <v>14778.24</v>
      </c>
      <c r="J2148" s="24">
        <f t="shared" si="99"/>
        <v>1.0240022697967526E-4</v>
      </c>
      <c r="K2148" s="25">
        <f t="shared" si="101"/>
        <v>0.86379126795632122</v>
      </c>
      <c r="L2148" s="26" t="s">
        <v>7517</v>
      </c>
      <c r="M2148" s="28"/>
      <c r="N2148" s="28"/>
      <c r="O2148" s="20">
        <v>19632.18</v>
      </c>
      <c r="P2148" s="27" t="str">
        <f t="shared" si="100"/>
        <v>verde</v>
      </c>
    </row>
    <row r="2149" spans="1:16" ht="38.25">
      <c r="A2149" s="3" t="s">
        <v>4</v>
      </c>
      <c r="B2149" s="3" t="s">
        <v>1409</v>
      </c>
      <c r="C2149" s="4">
        <v>45</v>
      </c>
      <c r="D2149" s="3" t="s">
        <v>23</v>
      </c>
      <c r="E2149" s="3" t="s">
        <v>7</v>
      </c>
      <c r="F2149" s="5">
        <v>435</v>
      </c>
      <c r="G2149" s="5">
        <v>237</v>
      </c>
      <c r="H2149" s="6">
        <v>25688.04</v>
      </c>
      <c r="I2149" s="22">
        <v>14767.44</v>
      </c>
      <c r="J2149" s="24">
        <f t="shared" si="99"/>
        <v>1.023253924627517E-4</v>
      </c>
      <c r="K2149" s="25">
        <f t="shared" si="101"/>
        <v>0.86389359334878402</v>
      </c>
      <c r="L2149" s="26" t="s">
        <v>7517</v>
      </c>
      <c r="M2149" s="28"/>
      <c r="N2149" s="28"/>
      <c r="O2149" s="20" t="s">
        <v>7530</v>
      </c>
      <c r="P2149" s="27" t="str">
        <f t="shared" si="100"/>
        <v>vermelho</v>
      </c>
    </row>
    <row r="2150" spans="1:16" ht="25.5">
      <c r="A2150" s="3" t="s">
        <v>4</v>
      </c>
      <c r="B2150" s="3" t="s">
        <v>1410</v>
      </c>
      <c r="C2150" s="4">
        <v>93</v>
      </c>
      <c r="D2150" s="3" t="s">
        <v>20</v>
      </c>
      <c r="E2150" s="3" t="s">
        <v>7</v>
      </c>
      <c r="F2150" s="5">
        <v>0</v>
      </c>
      <c r="G2150" s="5">
        <v>336</v>
      </c>
      <c r="H2150" s="6">
        <v>0</v>
      </c>
      <c r="I2150" s="22">
        <v>14767.2</v>
      </c>
      <c r="J2150" s="24">
        <f t="shared" si="99"/>
        <v>1.0232372947348673E-4</v>
      </c>
      <c r="K2150" s="25">
        <f t="shared" si="101"/>
        <v>0.86399591707825751</v>
      </c>
      <c r="L2150" s="26" t="s">
        <v>7517</v>
      </c>
      <c r="M2150" s="28"/>
      <c r="N2150" s="28"/>
      <c r="O2150" s="20" t="s">
        <v>7530</v>
      </c>
      <c r="P2150" s="27" t="str">
        <f t="shared" si="100"/>
        <v>vermelho</v>
      </c>
    </row>
    <row r="2151" spans="1:16" ht="25.5">
      <c r="A2151" s="3" t="s">
        <v>4</v>
      </c>
      <c r="B2151" s="3" t="s">
        <v>1411</v>
      </c>
      <c r="C2151" s="4">
        <v>266</v>
      </c>
      <c r="D2151" s="3" t="s">
        <v>80</v>
      </c>
      <c r="E2151" s="3" t="s">
        <v>10</v>
      </c>
      <c r="F2151" s="5">
        <v>216</v>
      </c>
      <c r="G2151" s="5">
        <v>279</v>
      </c>
      <c r="H2151" s="6">
        <v>10335</v>
      </c>
      <c r="I2151" s="22">
        <v>14764.62</v>
      </c>
      <c r="J2151" s="24">
        <f t="shared" si="99"/>
        <v>1.0230585233888833E-4</v>
      </c>
      <c r="K2151" s="25">
        <f t="shared" si="101"/>
        <v>0.86409822293059635</v>
      </c>
      <c r="L2151" s="26" t="s">
        <v>7517</v>
      </c>
      <c r="M2151" s="28"/>
      <c r="N2151" s="28"/>
      <c r="O2151" s="20" t="s">
        <v>7530</v>
      </c>
      <c r="P2151" s="27" t="str">
        <f t="shared" si="100"/>
        <v>vermelho</v>
      </c>
    </row>
    <row r="2152" spans="1:16">
      <c r="A2152" s="3" t="s">
        <v>4</v>
      </c>
      <c r="B2152" s="3" t="s">
        <v>1412</v>
      </c>
      <c r="C2152" s="4">
        <v>167</v>
      </c>
      <c r="D2152" s="3" t="s">
        <v>251</v>
      </c>
      <c r="E2152" s="3" t="s">
        <v>49</v>
      </c>
      <c r="F2152" s="5">
        <v>279</v>
      </c>
      <c r="G2152" s="5">
        <v>264</v>
      </c>
      <c r="H2152" s="6">
        <v>15645.39</v>
      </c>
      <c r="I2152" s="22">
        <v>14763.06</v>
      </c>
      <c r="J2152" s="24">
        <f t="shared" si="99"/>
        <v>1.0229504290866604E-4</v>
      </c>
      <c r="K2152" s="25">
        <f t="shared" si="101"/>
        <v>0.86420051797350506</v>
      </c>
      <c r="L2152" s="26" t="s">
        <v>7517</v>
      </c>
      <c r="M2152" s="28"/>
      <c r="N2152" s="28"/>
      <c r="O2152" s="20">
        <v>7635.69</v>
      </c>
      <c r="P2152" s="27" t="str">
        <f t="shared" si="100"/>
        <v>laranja</v>
      </c>
    </row>
    <row r="2153" spans="1:16" ht="25.5">
      <c r="A2153" s="3" t="s">
        <v>4</v>
      </c>
      <c r="B2153" s="3" t="s">
        <v>1413</v>
      </c>
      <c r="C2153" s="4">
        <v>297</v>
      </c>
      <c r="D2153" s="3" t="s">
        <v>115</v>
      </c>
      <c r="E2153" s="3" t="s">
        <v>41</v>
      </c>
      <c r="F2153" s="5">
        <v>240</v>
      </c>
      <c r="G2153" s="5">
        <v>240</v>
      </c>
      <c r="H2153" s="6">
        <v>14589.96</v>
      </c>
      <c r="I2153" s="22">
        <v>14757.286</v>
      </c>
      <c r="J2153" s="24">
        <f t="shared" si="99"/>
        <v>1.0225503415859967E-4</v>
      </c>
      <c r="K2153" s="25">
        <f t="shared" si="101"/>
        <v>0.86430277300766367</v>
      </c>
      <c r="L2153" s="26" t="s">
        <v>7517</v>
      </c>
      <c r="M2153" s="28"/>
      <c r="N2153" s="28"/>
      <c r="O2153" s="20" t="s">
        <v>7530</v>
      </c>
      <c r="P2153" s="27" t="str">
        <f t="shared" si="100"/>
        <v>vermelho</v>
      </c>
    </row>
    <row r="2154" spans="1:16" ht="25.5">
      <c r="A2154" s="3" t="s">
        <v>4</v>
      </c>
      <c r="B2154" s="3" t="s">
        <v>1414</v>
      </c>
      <c r="C2154" s="4">
        <v>337</v>
      </c>
      <c r="D2154" s="3" t="s">
        <v>202</v>
      </c>
      <c r="E2154" s="3" t="s">
        <v>16</v>
      </c>
      <c r="F2154" s="5">
        <v>0</v>
      </c>
      <c r="G2154" s="5">
        <v>276</v>
      </c>
      <c r="H2154" s="6">
        <v>0</v>
      </c>
      <c r="I2154" s="22">
        <v>14756.4</v>
      </c>
      <c r="J2154" s="24">
        <f t="shared" si="99"/>
        <v>1.0224889495656316E-4</v>
      </c>
      <c r="K2154" s="25">
        <f t="shared" si="101"/>
        <v>0.86440502190262025</v>
      </c>
      <c r="L2154" s="26" t="s">
        <v>7517</v>
      </c>
      <c r="M2154" s="28"/>
      <c r="N2154" s="28"/>
      <c r="O2154" s="20" t="s">
        <v>7530</v>
      </c>
      <c r="P2154" s="27" t="str">
        <f t="shared" si="100"/>
        <v>vermelho</v>
      </c>
    </row>
    <row r="2155" spans="1:16">
      <c r="A2155" s="3" t="s">
        <v>4</v>
      </c>
      <c r="B2155" s="3" t="s">
        <v>1415</v>
      </c>
      <c r="C2155" s="4">
        <v>167</v>
      </c>
      <c r="D2155" s="3" t="s">
        <v>251</v>
      </c>
      <c r="E2155" s="3" t="s">
        <v>49</v>
      </c>
      <c r="F2155" s="5">
        <v>459</v>
      </c>
      <c r="G2155" s="5">
        <v>270</v>
      </c>
      <c r="H2155" s="6">
        <v>26919.15</v>
      </c>
      <c r="I2155" s="22">
        <v>14752.2</v>
      </c>
      <c r="J2155" s="24">
        <f t="shared" si="99"/>
        <v>1.0221979264442623E-4</v>
      </c>
      <c r="K2155" s="25">
        <f t="shared" si="101"/>
        <v>0.86450724169526472</v>
      </c>
      <c r="L2155" s="26" t="s">
        <v>7517</v>
      </c>
      <c r="M2155" s="28"/>
      <c r="N2155" s="28"/>
      <c r="O2155" s="20" t="s">
        <v>7530</v>
      </c>
      <c r="P2155" s="27" t="str">
        <f t="shared" si="100"/>
        <v>vermelho</v>
      </c>
    </row>
    <row r="2156" spans="1:16" ht="25.5">
      <c r="A2156" s="3" t="s">
        <v>4</v>
      </c>
      <c r="B2156" s="3" t="s">
        <v>1416</v>
      </c>
      <c r="C2156" s="4">
        <v>218</v>
      </c>
      <c r="D2156" s="3" t="s">
        <v>104</v>
      </c>
      <c r="E2156" s="3" t="s">
        <v>16</v>
      </c>
      <c r="F2156" s="5">
        <v>0</v>
      </c>
      <c r="G2156" s="5">
        <v>273</v>
      </c>
      <c r="H2156" s="6">
        <v>0</v>
      </c>
      <c r="I2156" s="22">
        <v>14736.99</v>
      </c>
      <c r="J2156" s="24">
        <f t="shared" si="99"/>
        <v>1.0211440069975887E-4</v>
      </c>
      <c r="K2156" s="25">
        <f t="shared" si="101"/>
        <v>0.86460935609596445</v>
      </c>
      <c r="L2156" s="26" t="s">
        <v>7517</v>
      </c>
      <c r="M2156" s="28"/>
      <c r="N2156" s="28"/>
      <c r="O2156" s="20" t="s">
        <v>7530</v>
      </c>
      <c r="P2156" s="27" t="str">
        <f t="shared" si="100"/>
        <v>vermelho</v>
      </c>
    </row>
    <row r="2157" spans="1:16" ht="25.5">
      <c r="A2157" s="3" t="s">
        <v>4</v>
      </c>
      <c r="B2157" s="3" t="s">
        <v>1417</v>
      </c>
      <c r="C2157" s="4">
        <v>61</v>
      </c>
      <c r="D2157" s="3" t="s">
        <v>48</v>
      </c>
      <c r="E2157" s="3" t="s">
        <v>49</v>
      </c>
      <c r="F2157" s="5">
        <v>96</v>
      </c>
      <c r="G2157" s="5">
        <v>270</v>
      </c>
      <c r="H2157" s="6">
        <v>4799.04</v>
      </c>
      <c r="I2157" s="22">
        <v>14722.74</v>
      </c>
      <c r="J2157" s="24">
        <f t="shared" si="99"/>
        <v>1.0201566071215139E-4</v>
      </c>
      <c r="K2157" s="25">
        <f t="shared" si="101"/>
        <v>0.86471137175667656</v>
      </c>
      <c r="L2157" s="26" t="s">
        <v>7517</v>
      </c>
      <c r="M2157" s="28"/>
      <c r="N2157" s="28"/>
      <c r="O2157" s="20" t="s">
        <v>7530</v>
      </c>
      <c r="P2157" s="27" t="str">
        <f t="shared" si="100"/>
        <v>vermelho</v>
      </c>
    </row>
    <row r="2158" spans="1:16" ht="25.5">
      <c r="A2158" s="3" t="s">
        <v>6477</v>
      </c>
      <c r="B2158" s="3" t="s">
        <v>6478</v>
      </c>
      <c r="C2158" s="4">
        <v>218</v>
      </c>
      <c r="D2158" s="3" t="s">
        <v>104</v>
      </c>
      <c r="E2158" s="3" t="s">
        <v>16</v>
      </c>
      <c r="F2158" s="5">
        <v>216</v>
      </c>
      <c r="G2158" s="5">
        <v>288</v>
      </c>
      <c r="H2158" s="6">
        <v>9464.4</v>
      </c>
      <c r="I2158" s="22">
        <v>14712.96</v>
      </c>
      <c r="J2158" s="24">
        <f t="shared" si="99"/>
        <v>1.0194789389960393E-4</v>
      </c>
      <c r="K2158" s="25">
        <f t="shared" si="101"/>
        <v>0.86481331965057617</v>
      </c>
      <c r="L2158" s="26" t="s">
        <v>7517</v>
      </c>
      <c r="M2158" s="28"/>
      <c r="N2158" s="28"/>
      <c r="O2158" s="20" t="s">
        <v>7530</v>
      </c>
      <c r="P2158" s="27" t="str">
        <f t="shared" si="100"/>
        <v>vermelho</v>
      </c>
    </row>
    <row r="2159" spans="1:16" ht="25.5">
      <c r="A2159" s="3" t="s">
        <v>4</v>
      </c>
      <c r="B2159" s="3" t="s">
        <v>1418</v>
      </c>
      <c r="C2159" s="4">
        <v>261</v>
      </c>
      <c r="D2159" s="3" t="s">
        <v>9</v>
      </c>
      <c r="E2159" s="3" t="s">
        <v>10</v>
      </c>
      <c r="F2159" s="5">
        <v>0</v>
      </c>
      <c r="G2159" s="5">
        <v>261</v>
      </c>
      <c r="H2159" s="6">
        <v>0</v>
      </c>
      <c r="I2159" s="22">
        <v>14709.93</v>
      </c>
      <c r="J2159" s="24">
        <f t="shared" si="99"/>
        <v>1.0192689866013372E-4</v>
      </c>
      <c r="K2159" s="25">
        <f t="shared" si="101"/>
        <v>0.86491524654923635</v>
      </c>
      <c r="L2159" s="26" t="s">
        <v>7517</v>
      </c>
      <c r="M2159" s="28"/>
      <c r="N2159" s="28"/>
      <c r="O2159" s="20" t="s">
        <v>7530</v>
      </c>
      <c r="P2159" s="27" t="str">
        <f t="shared" si="100"/>
        <v>vermelho</v>
      </c>
    </row>
    <row r="2160" spans="1:16" ht="25.5">
      <c r="A2160" s="3" t="s">
        <v>6479</v>
      </c>
      <c r="B2160" s="3" t="s">
        <v>6480</v>
      </c>
      <c r="C2160" s="4">
        <v>266</v>
      </c>
      <c r="D2160" s="3" t="s">
        <v>80</v>
      </c>
      <c r="E2160" s="3" t="s">
        <v>10</v>
      </c>
      <c r="F2160" s="5">
        <v>0</v>
      </c>
      <c r="G2160" s="5">
        <v>240</v>
      </c>
      <c r="H2160" s="6">
        <v>0</v>
      </c>
      <c r="I2160" s="22">
        <v>14682.54</v>
      </c>
      <c r="J2160" s="24">
        <f t="shared" si="99"/>
        <v>1.0173711001026925E-4</v>
      </c>
      <c r="K2160" s="25">
        <f t="shared" si="101"/>
        <v>0.86501698365924662</v>
      </c>
      <c r="L2160" s="26" t="s">
        <v>7517</v>
      </c>
      <c r="M2160" s="28"/>
      <c r="N2160" s="28"/>
      <c r="O2160" s="20" t="s">
        <v>7530</v>
      </c>
      <c r="P2160" s="27" t="str">
        <f t="shared" si="100"/>
        <v>vermelho</v>
      </c>
    </row>
    <row r="2161" spans="1:16" ht="25.5">
      <c r="A2161" s="3" t="s">
        <v>6481</v>
      </c>
      <c r="B2161" s="3" t="s">
        <v>6482</v>
      </c>
      <c r="C2161" s="4">
        <v>320</v>
      </c>
      <c r="D2161" s="3" t="s">
        <v>218</v>
      </c>
      <c r="E2161" s="3" t="s">
        <v>49</v>
      </c>
      <c r="F2161" s="5">
        <v>0</v>
      </c>
      <c r="G2161" s="5">
        <v>252</v>
      </c>
      <c r="H2161" s="6">
        <v>0</v>
      </c>
      <c r="I2161" s="22">
        <v>14673.36</v>
      </c>
      <c r="J2161" s="24">
        <f t="shared" si="99"/>
        <v>1.0167350067088421E-4</v>
      </c>
      <c r="K2161" s="25">
        <f t="shared" si="101"/>
        <v>0.86511865715991754</v>
      </c>
      <c r="L2161" s="26" t="s">
        <v>7517</v>
      </c>
      <c r="M2161" s="28"/>
      <c r="N2161" s="28"/>
      <c r="O2161" s="20" t="s">
        <v>7530</v>
      </c>
      <c r="P2161" s="27" t="str">
        <f t="shared" si="100"/>
        <v>vermelho</v>
      </c>
    </row>
    <row r="2162" spans="1:16" ht="51">
      <c r="A2162" s="3" t="s">
        <v>4</v>
      </c>
      <c r="B2162" s="3" t="s">
        <v>1419</v>
      </c>
      <c r="C2162" s="4">
        <v>282</v>
      </c>
      <c r="D2162" s="3" t="s">
        <v>12</v>
      </c>
      <c r="E2162" s="3" t="s">
        <v>13</v>
      </c>
      <c r="F2162" s="5">
        <v>0</v>
      </c>
      <c r="G2162" s="5">
        <v>252</v>
      </c>
      <c r="H2162" s="6">
        <v>0</v>
      </c>
      <c r="I2162" s="22">
        <v>14670.316000000001</v>
      </c>
      <c r="J2162" s="24">
        <f t="shared" si="99"/>
        <v>1.0165240842370686E-4</v>
      </c>
      <c r="K2162" s="25">
        <f t="shared" si="101"/>
        <v>0.86522030956834128</v>
      </c>
      <c r="L2162" s="26" t="s">
        <v>7517</v>
      </c>
      <c r="M2162" s="28"/>
      <c r="N2162" s="28"/>
      <c r="O2162" s="20">
        <v>5563.44</v>
      </c>
      <c r="P2162" s="27" t="str">
        <f t="shared" si="100"/>
        <v>amarelo</v>
      </c>
    </row>
    <row r="2163" spans="1:16" ht="25.5">
      <c r="A2163" s="3" t="s">
        <v>4</v>
      </c>
      <c r="B2163" s="3" t="s">
        <v>1420</v>
      </c>
      <c r="C2163" s="4">
        <v>194</v>
      </c>
      <c r="D2163" s="3" t="s">
        <v>145</v>
      </c>
      <c r="E2163" s="3" t="s">
        <v>16</v>
      </c>
      <c r="F2163" s="5">
        <v>324</v>
      </c>
      <c r="G2163" s="5">
        <v>252</v>
      </c>
      <c r="H2163" s="6">
        <v>18305.28</v>
      </c>
      <c r="I2163" s="22">
        <v>14669.01</v>
      </c>
      <c r="J2163" s="24">
        <f t="shared" si="99"/>
        <v>1.0164335899045667E-4</v>
      </c>
      <c r="K2163" s="25">
        <f t="shared" si="101"/>
        <v>0.86532195292733172</v>
      </c>
      <c r="L2163" s="26" t="s">
        <v>7517</v>
      </c>
      <c r="M2163" s="28"/>
      <c r="N2163" s="28"/>
      <c r="O2163" s="20">
        <v>10950.12</v>
      </c>
      <c r="P2163" s="27" t="str">
        <f t="shared" si="100"/>
        <v>laranja</v>
      </c>
    </row>
    <row r="2164" spans="1:16" ht="25.5">
      <c r="A2164" s="3" t="s">
        <v>6483</v>
      </c>
      <c r="B2164" s="3" t="s">
        <v>6484</v>
      </c>
      <c r="C2164" s="4">
        <v>167</v>
      </c>
      <c r="D2164" s="3" t="s">
        <v>251</v>
      </c>
      <c r="E2164" s="3" t="s">
        <v>49</v>
      </c>
      <c r="F2164" s="5">
        <v>309</v>
      </c>
      <c r="G2164" s="5">
        <v>282</v>
      </c>
      <c r="H2164" s="6">
        <v>18250.8</v>
      </c>
      <c r="I2164" s="22">
        <v>14666.58</v>
      </c>
      <c r="J2164" s="24">
        <f t="shared" si="99"/>
        <v>1.0162652122414886E-4</v>
      </c>
      <c r="K2164" s="25">
        <f t="shared" si="101"/>
        <v>0.86542357944855586</v>
      </c>
      <c r="L2164" s="26" t="s">
        <v>7517</v>
      </c>
      <c r="M2164" s="28"/>
      <c r="N2164" s="28"/>
      <c r="O2164" s="20" t="s">
        <v>7530</v>
      </c>
      <c r="P2164" s="27" t="str">
        <f t="shared" si="100"/>
        <v>vermelho</v>
      </c>
    </row>
    <row r="2165" spans="1:16" ht="25.5">
      <c r="A2165" s="3" t="s">
        <v>4</v>
      </c>
      <c r="B2165" s="3" t="s">
        <v>1421</v>
      </c>
      <c r="C2165" s="4">
        <v>261</v>
      </c>
      <c r="D2165" s="3" t="s">
        <v>9</v>
      </c>
      <c r="E2165" s="3" t="s">
        <v>10</v>
      </c>
      <c r="F2165" s="5">
        <v>237</v>
      </c>
      <c r="G2165" s="5">
        <v>264</v>
      </c>
      <c r="H2165" s="6">
        <v>12284.91</v>
      </c>
      <c r="I2165" s="22">
        <v>14656.252</v>
      </c>
      <c r="J2165" s="24">
        <f t="shared" si="99"/>
        <v>1.0155495725277974E-4</v>
      </c>
      <c r="K2165" s="25">
        <f t="shared" si="101"/>
        <v>0.86552513440580858</v>
      </c>
      <c r="L2165" s="26" t="s">
        <v>7517</v>
      </c>
      <c r="M2165" s="28"/>
      <c r="N2165" s="28"/>
      <c r="O2165" s="20">
        <v>8470.0730000000003</v>
      </c>
      <c r="P2165" s="27" t="str">
        <f t="shared" si="100"/>
        <v>laranja</v>
      </c>
    </row>
    <row r="2166" spans="1:16" ht="25.5">
      <c r="A2166" s="3" t="s">
        <v>4</v>
      </c>
      <c r="B2166" s="3" t="s">
        <v>1422</v>
      </c>
      <c r="C2166" s="4">
        <v>194</v>
      </c>
      <c r="D2166" s="3" t="s">
        <v>145</v>
      </c>
      <c r="E2166" s="3" t="s">
        <v>16</v>
      </c>
      <c r="F2166" s="5">
        <v>444</v>
      </c>
      <c r="G2166" s="5">
        <v>225</v>
      </c>
      <c r="H2166" s="6">
        <v>23403.72</v>
      </c>
      <c r="I2166" s="22">
        <v>14652.75</v>
      </c>
      <c r="J2166" s="24">
        <f t="shared" si="99"/>
        <v>1.0153069146775507E-4</v>
      </c>
      <c r="K2166" s="25">
        <f t="shared" si="101"/>
        <v>0.86562666509727637</v>
      </c>
      <c r="L2166" s="26" t="s">
        <v>7517</v>
      </c>
      <c r="M2166" s="28"/>
      <c r="N2166" s="28"/>
      <c r="O2166" s="20">
        <v>19266.78</v>
      </c>
      <c r="P2166" s="27" t="str">
        <f t="shared" si="100"/>
        <v>verde</v>
      </c>
    </row>
    <row r="2167" spans="1:16" ht="25.5">
      <c r="A2167" s="3" t="s">
        <v>4</v>
      </c>
      <c r="B2167" s="3" t="s">
        <v>1423</v>
      </c>
      <c r="C2167" s="4">
        <v>337</v>
      </c>
      <c r="D2167" s="3" t="s">
        <v>202</v>
      </c>
      <c r="E2167" s="3" t="s">
        <v>16</v>
      </c>
      <c r="F2167" s="5">
        <v>1074</v>
      </c>
      <c r="G2167" s="5">
        <v>252</v>
      </c>
      <c r="H2167" s="6">
        <v>60040.78</v>
      </c>
      <c r="I2167" s="22">
        <v>14649.48</v>
      </c>
      <c r="J2167" s="24">
        <f t="shared" si="99"/>
        <v>1.0150803323901989E-4</v>
      </c>
      <c r="K2167" s="25">
        <f t="shared" si="101"/>
        <v>0.86572817313051542</v>
      </c>
      <c r="L2167" s="26" t="s">
        <v>7517</v>
      </c>
      <c r="M2167" s="28"/>
      <c r="N2167" s="28"/>
      <c r="O2167" s="20" t="s">
        <v>7530</v>
      </c>
      <c r="P2167" s="27" t="str">
        <f t="shared" si="100"/>
        <v>vermelho</v>
      </c>
    </row>
    <row r="2168" spans="1:16" ht="25.5">
      <c r="A2168" s="3" t="s">
        <v>4</v>
      </c>
      <c r="B2168" s="3" t="s">
        <v>1424</v>
      </c>
      <c r="C2168" s="4">
        <v>187</v>
      </c>
      <c r="D2168" s="3" t="s">
        <v>96</v>
      </c>
      <c r="E2168" s="3" t="s">
        <v>7</v>
      </c>
      <c r="F2168" s="5">
        <v>0</v>
      </c>
      <c r="G2168" s="5">
        <v>240</v>
      </c>
      <c r="H2168" s="6">
        <v>0</v>
      </c>
      <c r="I2168" s="22">
        <v>14647.56</v>
      </c>
      <c r="J2168" s="24">
        <f t="shared" si="99"/>
        <v>1.0149472932490013E-4</v>
      </c>
      <c r="K2168" s="25">
        <f t="shared" si="101"/>
        <v>0.86582966785984028</v>
      </c>
      <c r="L2168" s="26" t="s">
        <v>7517</v>
      </c>
      <c r="M2168" s="28"/>
      <c r="N2168" s="28"/>
      <c r="O2168" s="20" t="s">
        <v>7530</v>
      </c>
      <c r="P2168" s="27" t="str">
        <f t="shared" si="100"/>
        <v>vermelho</v>
      </c>
    </row>
    <row r="2169" spans="1:16" ht="25.5">
      <c r="A2169" s="3" t="s">
        <v>4</v>
      </c>
      <c r="B2169" s="3" t="s">
        <v>1425</v>
      </c>
      <c r="C2169" s="4">
        <v>267</v>
      </c>
      <c r="D2169" s="3" t="s">
        <v>125</v>
      </c>
      <c r="E2169" s="3" t="s">
        <v>16</v>
      </c>
      <c r="F2169" s="5">
        <v>168</v>
      </c>
      <c r="G2169" s="5">
        <v>270</v>
      </c>
      <c r="H2169" s="6">
        <v>9078.42</v>
      </c>
      <c r="I2169" s="22">
        <v>14647.32</v>
      </c>
      <c r="J2169" s="24">
        <f t="shared" si="99"/>
        <v>1.0149306633563517E-4</v>
      </c>
      <c r="K2169" s="25">
        <f t="shared" si="101"/>
        <v>0.86593116092617595</v>
      </c>
      <c r="L2169" s="26" t="s">
        <v>7517</v>
      </c>
      <c r="M2169" s="28"/>
      <c r="N2169" s="28"/>
      <c r="O2169" s="20" t="s">
        <v>7530</v>
      </c>
      <c r="P2169" s="27" t="str">
        <f t="shared" si="100"/>
        <v>vermelho</v>
      </c>
    </row>
    <row r="2170" spans="1:16" ht="25.5">
      <c r="A2170" s="3" t="s">
        <v>4</v>
      </c>
      <c r="B2170" s="3" t="s">
        <v>1426</v>
      </c>
      <c r="C2170" s="4">
        <v>178</v>
      </c>
      <c r="D2170" s="3" t="s">
        <v>74</v>
      </c>
      <c r="E2170" s="3" t="s">
        <v>7</v>
      </c>
      <c r="F2170" s="5">
        <v>348</v>
      </c>
      <c r="G2170" s="5">
        <v>216</v>
      </c>
      <c r="H2170" s="6">
        <v>20661.84</v>
      </c>
      <c r="I2170" s="22">
        <v>14635.08</v>
      </c>
      <c r="J2170" s="24">
        <f t="shared" si="99"/>
        <v>1.014082538831218E-4</v>
      </c>
      <c r="K2170" s="25">
        <f t="shared" si="101"/>
        <v>0.86603256918005911</v>
      </c>
      <c r="L2170" s="26" t="s">
        <v>7517</v>
      </c>
      <c r="M2170" s="28"/>
      <c r="N2170" s="28"/>
      <c r="O2170" s="20">
        <v>7175.52</v>
      </c>
      <c r="P2170" s="27" t="str">
        <f t="shared" si="100"/>
        <v>amarelo</v>
      </c>
    </row>
    <row r="2171" spans="1:16">
      <c r="A2171" s="3" t="s">
        <v>4</v>
      </c>
      <c r="B2171" s="3" t="s">
        <v>1427</v>
      </c>
      <c r="C2171" s="4">
        <v>232</v>
      </c>
      <c r="D2171" s="3" t="s">
        <v>174</v>
      </c>
      <c r="E2171" s="3" t="s">
        <v>16</v>
      </c>
      <c r="F2171" s="5">
        <v>0</v>
      </c>
      <c r="G2171" s="5">
        <v>264</v>
      </c>
      <c r="H2171" s="6">
        <v>0</v>
      </c>
      <c r="I2171" s="22">
        <v>14621.76</v>
      </c>
      <c r="J2171" s="24">
        <f t="shared" si="99"/>
        <v>1.0131595797891607E-4</v>
      </c>
      <c r="K2171" s="25">
        <f t="shared" si="101"/>
        <v>0.86613388513803802</v>
      </c>
      <c r="L2171" s="26" t="s">
        <v>7517</v>
      </c>
      <c r="M2171" s="28"/>
      <c r="N2171" s="28"/>
      <c r="O2171" s="20" t="s">
        <v>7530</v>
      </c>
      <c r="P2171" s="27" t="str">
        <f t="shared" si="100"/>
        <v>vermelho</v>
      </c>
    </row>
    <row r="2172" spans="1:16" ht="25.5">
      <c r="A2172" s="3" t="s">
        <v>4</v>
      </c>
      <c r="B2172" s="3" t="s">
        <v>1428</v>
      </c>
      <c r="C2172" s="4">
        <v>74</v>
      </c>
      <c r="D2172" s="3" t="s">
        <v>6</v>
      </c>
      <c r="E2172" s="3" t="s">
        <v>7</v>
      </c>
      <c r="F2172" s="5">
        <v>60</v>
      </c>
      <c r="G2172" s="5">
        <v>237</v>
      </c>
      <c r="H2172" s="6">
        <v>2951.4</v>
      </c>
      <c r="I2172" s="22">
        <v>14611.02</v>
      </c>
      <c r="J2172" s="24">
        <f t="shared" si="99"/>
        <v>1.0124153920930876E-4</v>
      </c>
      <c r="K2172" s="25">
        <f t="shared" si="101"/>
        <v>0.86623512667724734</v>
      </c>
      <c r="L2172" s="26" t="s">
        <v>7517</v>
      </c>
      <c r="M2172" s="28"/>
      <c r="N2172" s="28"/>
      <c r="O2172" s="20" t="s">
        <v>7530</v>
      </c>
      <c r="P2172" s="27" t="str">
        <f t="shared" si="100"/>
        <v>vermelho</v>
      </c>
    </row>
    <row r="2173" spans="1:16" ht="25.5">
      <c r="A2173" s="3" t="s">
        <v>4</v>
      </c>
      <c r="B2173" s="3" t="s">
        <v>1429</v>
      </c>
      <c r="C2173" s="4">
        <v>267</v>
      </c>
      <c r="D2173" s="3" t="s">
        <v>125</v>
      </c>
      <c r="E2173" s="3" t="s">
        <v>16</v>
      </c>
      <c r="F2173" s="5">
        <v>147</v>
      </c>
      <c r="G2173" s="5">
        <v>279</v>
      </c>
      <c r="H2173" s="6">
        <v>7292.94</v>
      </c>
      <c r="I2173" s="22">
        <v>14594.85</v>
      </c>
      <c r="J2173" s="24">
        <f t="shared" si="99"/>
        <v>1.0112949530758153E-4</v>
      </c>
      <c r="K2173" s="25">
        <f t="shared" si="101"/>
        <v>0.86633625617255494</v>
      </c>
      <c r="L2173" s="26" t="s">
        <v>7517</v>
      </c>
      <c r="M2173" s="28"/>
      <c r="N2173" s="28"/>
      <c r="O2173" s="20">
        <v>3375.36</v>
      </c>
      <c r="P2173" s="27" t="str">
        <f t="shared" si="100"/>
        <v>amarelo</v>
      </c>
    </row>
    <row r="2174" spans="1:16" ht="25.5">
      <c r="A2174" s="3" t="s">
        <v>4</v>
      </c>
      <c r="B2174" s="3" t="s">
        <v>1430</v>
      </c>
      <c r="C2174" s="4">
        <v>15</v>
      </c>
      <c r="D2174" s="3" t="s">
        <v>18</v>
      </c>
      <c r="E2174" s="3" t="s">
        <v>16</v>
      </c>
      <c r="F2174" s="5">
        <v>168</v>
      </c>
      <c r="G2174" s="5">
        <v>270</v>
      </c>
      <c r="H2174" s="6">
        <v>8088</v>
      </c>
      <c r="I2174" s="22">
        <v>14588.46</v>
      </c>
      <c r="J2174" s="24">
        <f t="shared" si="99"/>
        <v>1.0108521821840173E-4</v>
      </c>
      <c r="K2174" s="25">
        <f t="shared" si="101"/>
        <v>0.86643734139077333</v>
      </c>
      <c r="L2174" s="26" t="s">
        <v>7517</v>
      </c>
      <c r="M2174" s="28"/>
      <c r="N2174" s="28"/>
      <c r="O2174" s="20">
        <v>16759.919999999998</v>
      </c>
      <c r="P2174" s="27" t="str">
        <f t="shared" si="100"/>
        <v>verde</v>
      </c>
    </row>
    <row r="2175" spans="1:16">
      <c r="A2175" s="3" t="s">
        <v>4</v>
      </c>
      <c r="B2175" s="3" t="s">
        <v>1431</v>
      </c>
      <c r="C2175" s="4">
        <v>217</v>
      </c>
      <c r="D2175" s="3" t="s">
        <v>91</v>
      </c>
      <c r="E2175" s="3" t="s">
        <v>16</v>
      </c>
      <c r="F2175" s="5">
        <v>528</v>
      </c>
      <c r="G2175" s="5">
        <v>276</v>
      </c>
      <c r="H2175" s="6">
        <v>31196.52</v>
      </c>
      <c r="I2175" s="22">
        <v>14578.68</v>
      </c>
      <c r="J2175" s="24">
        <f t="shared" si="99"/>
        <v>1.010174514058543E-4</v>
      </c>
      <c r="K2175" s="25">
        <f t="shared" si="101"/>
        <v>0.86653835884217922</v>
      </c>
      <c r="L2175" s="26" t="s">
        <v>7517</v>
      </c>
      <c r="M2175" s="28"/>
      <c r="N2175" s="28"/>
      <c r="O2175" s="20" t="s">
        <v>7530</v>
      </c>
      <c r="P2175" s="27" t="str">
        <f t="shared" si="100"/>
        <v>vermelho</v>
      </c>
    </row>
    <row r="2176" spans="1:16" ht="25.5">
      <c r="A2176" s="3" t="s">
        <v>4</v>
      </c>
      <c r="B2176" s="3" t="s">
        <v>1432</v>
      </c>
      <c r="C2176" s="4">
        <v>167</v>
      </c>
      <c r="D2176" s="3" t="s">
        <v>251</v>
      </c>
      <c r="E2176" s="3" t="s">
        <v>49</v>
      </c>
      <c r="F2176" s="5">
        <v>0</v>
      </c>
      <c r="G2176" s="5">
        <v>270</v>
      </c>
      <c r="H2176" s="6">
        <v>0</v>
      </c>
      <c r="I2176" s="22">
        <v>14575.38</v>
      </c>
      <c r="J2176" s="24">
        <f t="shared" si="99"/>
        <v>1.0099458530346097E-4</v>
      </c>
      <c r="K2176" s="25">
        <f t="shared" si="101"/>
        <v>0.86663935342748266</v>
      </c>
      <c r="L2176" s="26" t="s">
        <v>7517</v>
      </c>
      <c r="M2176" s="28"/>
      <c r="N2176" s="28"/>
      <c r="O2176" s="20" t="s">
        <v>7530</v>
      </c>
      <c r="P2176" s="27" t="str">
        <f t="shared" si="100"/>
        <v>vermelho</v>
      </c>
    </row>
    <row r="2177" spans="1:16" ht="25.5">
      <c r="A2177" s="3" t="s">
        <v>4</v>
      </c>
      <c r="B2177" s="3" t="s">
        <v>1433</v>
      </c>
      <c r="C2177" s="4">
        <v>273</v>
      </c>
      <c r="D2177" s="3" t="s">
        <v>149</v>
      </c>
      <c r="E2177" s="3" t="s">
        <v>16</v>
      </c>
      <c r="F2177" s="5">
        <v>0</v>
      </c>
      <c r="G2177" s="5">
        <v>264</v>
      </c>
      <c r="H2177" s="6">
        <v>0</v>
      </c>
      <c r="I2177" s="22">
        <v>14561.132</v>
      </c>
      <c r="J2177" s="24">
        <f t="shared" si="99"/>
        <v>1.0089585917409738E-4</v>
      </c>
      <c r="K2177" s="25">
        <f t="shared" si="101"/>
        <v>0.86674024928665672</v>
      </c>
      <c r="L2177" s="26" t="s">
        <v>7517</v>
      </c>
      <c r="M2177" s="28"/>
      <c r="N2177" s="28"/>
      <c r="O2177" s="20" t="s">
        <v>7530</v>
      </c>
      <c r="P2177" s="27" t="str">
        <f t="shared" si="100"/>
        <v>vermelho</v>
      </c>
    </row>
    <row r="2178" spans="1:16" ht="25.5">
      <c r="A2178" s="3" t="s">
        <v>4</v>
      </c>
      <c r="B2178" s="3" t="s">
        <v>1434</v>
      </c>
      <c r="C2178" s="4">
        <v>261</v>
      </c>
      <c r="D2178" s="3" t="s">
        <v>9</v>
      </c>
      <c r="E2178" s="3" t="s">
        <v>10</v>
      </c>
      <c r="F2178" s="5">
        <v>234</v>
      </c>
      <c r="G2178" s="5">
        <v>246</v>
      </c>
      <c r="H2178" s="6">
        <v>13896.51</v>
      </c>
      <c r="I2178" s="22">
        <v>14556.03</v>
      </c>
      <c r="J2178" s="24">
        <f t="shared" si="99"/>
        <v>1.0086050679397294E-4</v>
      </c>
      <c r="K2178" s="25">
        <f t="shared" si="101"/>
        <v>0.86684110979345064</v>
      </c>
      <c r="L2178" s="26" t="s">
        <v>7517</v>
      </c>
      <c r="M2178" s="28"/>
      <c r="N2178" s="28"/>
      <c r="O2178" s="20">
        <v>5781.48</v>
      </c>
      <c r="P2178" s="27" t="str">
        <f t="shared" si="100"/>
        <v>amarelo</v>
      </c>
    </row>
    <row r="2179" spans="1:16" ht="25.5">
      <c r="A2179" s="3" t="s">
        <v>4</v>
      </c>
      <c r="B2179" s="3" t="s">
        <v>1435</v>
      </c>
      <c r="C2179" s="4">
        <v>23</v>
      </c>
      <c r="D2179" s="3" t="s">
        <v>87</v>
      </c>
      <c r="E2179" s="3" t="s">
        <v>7</v>
      </c>
      <c r="F2179" s="5">
        <v>351</v>
      </c>
      <c r="G2179" s="5">
        <v>240</v>
      </c>
      <c r="H2179" s="6">
        <v>20241.599999999999</v>
      </c>
      <c r="I2179" s="22">
        <v>14554.23</v>
      </c>
      <c r="J2179" s="24">
        <f t="shared" ref="J2179:J2242" si="102">I2179/$I$6364</f>
        <v>1.0084803437448567E-4</v>
      </c>
      <c r="K2179" s="25">
        <f t="shared" si="101"/>
        <v>0.86694195782782513</v>
      </c>
      <c r="L2179" s="26" t="s">
        <v>7517</v>
      </c>
      <c r="M2179" s="28"/>
      <c r="N2179" s="28"/>
      <c r="O2179" s="20" t="s">
        <v>7530</v>
      </c>
      <c r="P2179" s="27" t="str">
        <f t="shared" ref="P2179:P2242" si="103">IF(O2179&lt;=0,"vermelho",IFERROR(IF(O2179/I2179&lt;=0.5098,"amarelo",IF(O2179/I2179&lt;1,"laranja","verde")),"vermelho"))</f>
        <v>vermelho</v>
      </c>
    </row>
    <row r="2180" spans="1:16" ht="25.5">
      <c r="A2180" s="3" t="s">
        <v>4</v>
      </c>
      <c r="B2180" s="3" t="s">
        <v>1436</v>
      </c>
      <c r="C2180" s="4">
        <v>93</v>
      </c>
      <c r="D2180" s="3" t="s">
        <v>20</v>
      </c>
      <c r="E2180" s="3" t="s">
        <v>7</v>
      </c>
      <c r="F2180" s="5">
        <v>300</v>
      </c>
      <c r="G2180" s="5">
        <v>228</v>
      </c>
      <c r="H2180" s="6">
        <v>17683.68</v>
      </c>
      <c r="I2180" s="22">
        <v>14551.92</v>
      </c>
      <c r="J2180" s="24">
        <f t="shared" si="102"/>
        <v>1.0083202810281035E-4</v>
      </c>
      <c r="K2180" s="25">
        <f t="shared" ref="K2180:K2243" si="104">J2180+K2179</f>
        <v>0.86704278985592798</v>
      </c>
      <c r="L2180" s="26" t="s">
        <v>7517</v>
      </c>
      <c r="M2180" s="28"/>
      <c r="N2180" s="28"/>
      <c r="O2180" s="20">
        <v>4672.08</v>
      </c>
      <c r="P2180" s="27" t="str">
        <f t="shared" si="103"/>
        <v>amarelo</v>
      </c>
    </row>
    <row r="2181" spans="1:16">
      <c r="A2181" s="3" t="s">
        <v>6487</v>
      </c>
      <c r="B2181" s="3" t="s">
        <v>6488</v>
      </c>
      <c r="C2181" s="4">
        <v>217</v>
      </c>
      <c r="D2181" s="3" t="s">
        <v>91</v>
      </c>
      <c r="E2181" s="3" t="s">
        <v>16</v>
      </c>
      <c r="F2181" s="5">
        <v>909</v>
      </c>
      <c r="G2181" s="5">
        <v>207</v>
      </c>
      <c r="H2181" s="6">
        <v>51908.37</v>
      </c>
      <c r="I2181" s="22">
        <v>14548.05</v>
      </c>
      <c r="J2181" s="24">
        <f t="shared" si="102"/>
        <v>1.0080521240091274E-4</v>
      </c>
      <c r="K2181" s="25">
        <f t="shared" si="104"/>
        <v>0.86714359506832894</v>
      </c>
      <c r="L2181" s="26" t="s">
        <v>7517</v>
      </c>
      <c r="M2181" s="28"/>
      <c r="N2181" s="28"/>
      <c r="O2181" s="20" t="s">
        <v>7530</v>
      </c>
      <c r="P2181" s="27" t="str">
        <f t="shared" si="103"/>
        <v>vermelho</v>
      </c>
    </row>
    <row r="2182" spans="1:16" ht="38.25">
      <c r="A2182" s="3" t="s">
        <v>4</v>
      </c>
      <c r="B2182" s="3" t="s">
        <v>1437</v>
      </c>
      <c r="C2182" s="4">
        <v>331</v>
      </c>
      <c r="D2182" s="3" t="s">
        <v>603</v>
      </c>
      <c r="E2182" s="3" t="s">
        <v>13</v>
      </c>
      <c r="F2182" s="5">
        <v>0</v>
      </c>
      <c r="G2182" s="5">
        <v>288</v>
      </c>
      <c r="H2182" s="6">
        <v>0</v>
      </c>
      <c r="I2182" s="22">
        <v>14546.88</v>
      </c>
      <c r="J2182" s="24">
        <f t="shared" si="102"/>
        <v>1.0079710532824602E-4</v>
      </c>
      <c r="K2182" s="25">
        <f t="shared" si="104"/>
        <v>0.86724439217365723</v>
      </c>
      <c r="L2182" s="26" t="s">
        <v>7517</v>
      </c>
      <c r="M2182" s="28"/>
      <c r="N2182" s="28"/>
      <c r="O2182" s="20">
        <v>11345.204</v>
      </c>
      <c r="P2182" s="27" t="str">
        <f t="shared" si="103"/>
        <v>laranja</v>
      </c>
    </row>
    <row r="2183" spans="1:16" ht="25.5">
      <c r="A2183" s="3" t="s">
        <v>4</v>
      </c>
      <c r="B2183" s="3" t="s">
        <v>1438</v>
      </c>
      <c r="C2183" s="4">
        <v>297</v>
      </c>
      <c r="D2183" s="3" t="s">
        <v>115</v>
      </c>
      <c r="E2183" s="3" t="s">
        <v>41</v>
      </c>
      <c r="F2183" s="5">
        <v>438</v>
      </c>
      <c r="G2183" s="5">
        <v>228</v>
      </c>
      <c r="H2183" s="6">
        <v>26467.208999999999</v>
      </c>
      <c r="I2183" s="22">
        <v>14534.56</v>
      </c>
      <c r="J2183" s="24">
        <f t="shared" si="102"/>
        <v>1.0071173854597766E-4</v>
      </c>
      <c r="K2183" s="25">
        <f t="shared" si="104"/>
        <v>0.86734510391220321</v>
      </c>
      <c r="L2183" s="26" t="s">
        <v>7517</v>
      </c>
      <c r="M2183" s="28">
        <v>-1.3269128519587463E-2</v>
      </c>
      <c r="N2183" s="28"/>
      <c r="O2183" s="20">
        <v>5083.95</v>
      </c>
      <c r="P2183" s="27" t="str">
        <f t="shared" si="103"/>
        <v>amarelo</v>
      </c>
    </row>
    <row r="2184" spans="1:16" ht="38.25">
      <c r="A2184" s="3" t="s">
        <v>4</v>
      </c>
      <c r="B2184" s="3" t="s">
        <v>1439</v>
      </c>
      <c r="C2184" s="4">
        <v>45</v>
      </c>
      <c r="D2184" s="3" t="s">
        <v>23</v>
      </c>
      <c r="E2184" s="3" t="s">
        <v>7</v>
      </c>
      <c r="F2184" s="5">
        <v>570</v>
      </c>
      <c r="G2184" s="5">
        <v>246</v>
      </c>
      <c r="H2184" s="6">
        <v>29374.937999999998</v>
      </c>
      <c r="I2184" s="22">
        <v>14532.81</v>
      </c>
      <c r="J2184" s="24">
        <f t="shared" si="102"/>
        <v>1.0069961258258727E-4</v>
      </c>
      <c r="K2184" s="25">
        <f t="shared" si="104"/>
        <v>0.86744580352478584</v>
      </c>
      <c r="L2184" s="26" t="s">
        <v>7517</v>
      </c>
      <c r="M2184" s="28"/>
      <c r="N2184" s="28"/>
      <c r="O2184" s="20" t="s">
        <v>7530</v>
      </c>
      <c r="P2184" s="27" t="str">
        <f t="shared" si="103"/>
        <v>vermelho</v>
      </c>
    </row>
    <row r="2185" spans="1:16" ht="25.5">
      <c r="A2185" s="3" t="s">
        <v>4</v>
      </c>
      <c r="B2185" s="3" t="s">
        <v>1440</v>
      </c>
      <c r="C2185" s="4">
        <v>321</v>
      </c>
      <c r="D2185" s="3" t="s">
        <v>136</v>
      </c>
      <c r="E2185" s="3" t="s">
        <v>41</v>
      </c>
      <c r="F2185" s="5">
        <v>270</v>
      </c>
      <c r="G2185" s="5">
        <v>225</v>
      </c>
      <c r="H2185" s="6">
        <v>17062.68</v>
      </c>
      <c r="I2185" s="22">
        <v>14531.01</v>
      </c>
      <c r="J2185" s="24">
        <f t="shared" si="102"/>
        <v>1.0068714016310001E-4</v>
      </c>
      <c r="K2185" s="25">
        <f t="shared" si="104"/>
        <v>0.86754649066494893</v>
      </c>
      <c r="L2185" s="26" t="s">
        <v>7517</v>
      </c>
      <c r="M2185" s="28"/>
      <c r="N2185" s="28"/>
      <c r="O2185" s="20">
        <v>4908.8999999999996</v>
      </c>
      <c r="P2185" s="27" t="str">
        <f t="shared" si="103"/>
        <v>amarelo</v>
      </c>
    </row>
    <row r="2186" spans="1:16" ht="38.25">
      <c r="A2186" s="3" t="s">
        <v>4</v>
      </c>
      <c r="B2186" s="3" t="s">
        <v>1441</v>
      </c>
      <c r="C2186" s="4">
        <v>217</v>
      </c>
      <c r="D2186" s="3" t="s">
        <v>91</v>
      </c>
      <c r="E2186" s="3" t="s">
        <v>16</v>
      </c>
      <c r="F2186" s="5">
        <v>312</v>
      </c>
      <c r="G2186" s="5">
        <v>255</v>
      </c>
      <c r="H2186" s="6">
        <v>18046.560000000001</v>
      </c>
      <c r="I2186" s="22">
        <v>14521.77</v>
      </c>
      <c r="J2186" s="24">
        <f t="shared" si="102"/>
        <v>1.0062311507639874E-4</v>
      </c>
      <c r="K2186" s="25">
        <f t="shared" si="104"/>
        <v>0.86764711378002535</v>
      </c>
      <c r="L2186" s="26" t="s">
        <v>7517</v>
      </c>
      <c r="M2186" s="28"/>
      <c r="N2186" s="28"/>
      <c r="O2186" s="20" t="s">
        <v>7530</v>
      </c>
      <c r="P2186" s="27" t="str">
        <f t="shared" si="103"/>
        <v>vermelho</v>
      </c>
    </row>
    <row r="2187" spans="1:16">
      <c r="A2187" s="3" t="s">
        <v>4</v>
      </c>
      <c r="B2187" s="3" t="s">
        <v>1442</v>
      </c>
      <c r="C2187" s="4">
        <v>15</v>
      </c>
      <c r="D2187" s="3" t="s">
        <v>18</v>
      </c>
      <c r="E2187" s="3" t="s">
        <v>16</v>
      </c>
      <c r="F2187" s="5">
        <v>132</v>
      </c>
      <c r="G2187" s="5">
        <v>227</v>
      </c>
      <c r="H2187" s="6">
        <v>6965.52</v>
      </c>
      <c r="I2187" s="22">
        <v>14489.36</v>
      </c>
      <c r="J2187" s="24">
        <f t="shared" si="102"/>
        <v>1.0039854223440867E-4</v>
      </c>
      <c r="K2187" s="25">
        <f t="shared" si="104"/>
        <v>0.86774751232225977</v>
      </c>
      <c r="L2187" s="26" t="s">
        <v>7517</v>
      </c>
      <c r="M2187" s="28"/>
      <c r="N2187" s="28"/>
      <c r="O2187" s="20" t="s">
        <v>7530</v>
      </c>
      <c r="P2187" s="27" t="str">
        <f t="shared" si="103"/>
        <v>vermelho</v>
      </c>
    </row>
    <row r="2188" spans="1:16" ht="25.5">
      <c r="A2188" s="3" t="s">
        <v>4</v>
      </c>
      <c r="B2188" s="3" t="s">
        <v>1443</v>
      </c>
      <c r="C2188" s="4">
        <v>31</v>
      </c>
      <c r="D2188" s="3" t="s">
        <v>194</v>
      </c>
      <c r="E2188" s="3" t="s">
        <v>16</v>
      </c>
      <c r="F2188" s="5">
        <v>264</v>
      </c>
      <c r="G2188" s="5">
        <v>264</v>
      </c>
      <c r="H2188" s="6">
        <v>14034.72</v>
      </c>
      <c r="I2188" s="22">
        <v>14481.36</v>
      </c>
      <c r="J2188" s="24">
        <f t="shared" si="102"/>
        <v>1.0034310925890974E-4</v>
      </c>
      <c r="K2188" s="25">
        <f t="shared" si="104"/>
        <v>0.86784785543151866</v>
      </c>
      <c r="L2188" s="26" t="s">
        <v>7517</v>
      </c>
      <c r="M2188" s="28"/>
      <c r="N2188" s="28"/>
      <c r="O2188" s="20" t="s">
        <v>7530</v>
      </c>
      <c r="P2188" s="27" t="str">
        <f t="shared" si="103"/>
        <v>vermelho</v>
      </c>
    </row>
    <row r="2189" spans="1:16" ht="25.5">
      <c r="A2189" s="3" t="s">
        <v>6489</v>
      </c>
      <c r="B2189" s="3" t="s">
        <v>6490</v>
      </c>
      <c r="C2189" s="4">
        <v>208</v>
      </c>
      <c r="D2189" s="3" t="s">
        <v>15</v>
      </c>
      <c r="E2189" s="3" t="s">
        <v>16</v>
      </c>
      <c r="F2189" s="5">
        <v>255</v>
      </c>
      <c r="G2189" s="5">
        <v>255</v>
      </c>
      <c r="H2189" s="6">
        <v>12769.65</v>
      </c>
      <c r="I2189" s="22">
        <v>14475.45</v>
      </c>
      <c r="J2189" s="24">
        <f t="shared" si="102"/>
        <v>1.003021581482599E-4</v>
      </c>
      <c r="K2189" s="25">
        <f t="shared" si="104"/>
        <v>0.86794815758966692</v>
      </c>
      <c r="L2189" s="26" t="s">
        <v>7517</v>
      </c>
      <c r="M2189" s="28"/>
      <c r="N2189" s="28"/>
      <c r="O2189" s="20">
        <v>3487.68</v>
      </c>
      <c r="P2189" s="27" t="str">
        <f t="shared" si="103"/>
        <v>amarelo</v>
      </c>
    </row>
    <row r="2190" spans="1:16" ht="25.5">
      <c r="A2190" s="3" t="s">
        <v>4</v>
      </c>
      <c r="B2190" s="3" t="s">
        <v>1444</v>
      </c>
      <c r="C2190" s="4">
        <v>267</v>
      </c>
      <c r="D2190" s="3" t="s">
        <v>125</v>
      </c>
      <c r="E2190" s="3" t="s">
        <v>16</v>
      </c>
      <c r="F2190" s="5">
        <v>0</v>
      </c>
      <c r="G2190" s="5">
        <v>312</v>
      </c>
      <c r="H2190" s="6">
        <v>0</v>
      </c>
      <c r="I2190" s="22">
        <v>14473.68</v>
      </c>
      <c r="J2190" s="24">
        <f t="shared" si="102"/>
        <v>1.0028989360243075E-4</v>
      </c>
      <c r="K2190" s="25">
        <f t="shared" si="104"/>
        <v>0.86804844748326937</v>
      </c>
      <c r="L2190" s="26" t="s">
        <v>7517</v>
      </c>
      <c r="M2190" s="28"/>
      <c r="N2190" s="28"/>
      <c r="O2190" s="20" t="s">
        <v>7530</v>
      </c>
      <c r="P2190" s="27" t="str">
        <f t="shared" si="103"/>
        <v>vermelho</v>
      </c>
    </row>
    <row r="2191" spans="1:16" ht="25.5">
      <c r="A2191" s="3" t="s">
        <v>4</v>
      </c>
      <c r="B2191" s="3" t="s">
        <v>1445</v>
      </c>
      <c r="C2191" s="4">
        <v>317</v>
      </c>
      <c r="D2191" s="3" t="s">
        <v>78</v>
      </c>
      <c r="E2191" s="3" t="s">
        <v>10</v>
      </c>
      <c r="F2191" s="5">
        <v>333</v>
      </c>
      <c r="G2191" s="5">
        <v>276</v>
      </c>
      <c r="H2191" s="6">
        <v>15956.67</v>
      </c>
      <c r="I2191" s="22">
        <v>14458.38</v>
      </c>
      <c r="J2191" s="24">
        <f t="shared" si="102"/>
        <v>1.0018387803678904E-4</v>
      </c>
      <c r="K2191" s="25">
        <f t="shared" si="104"/>
        <v>0.86814863136130616</v>
      </c>
      <c r="L2191" s="26" t="s">
        <v>7517</v>
      </c>
      <c r="M2191" s="28"/>
      <c r="N2191" s="28"/>
      <c r="O2191" s="20">
        <v>3888.36</v>
      </c>
      <c r="P2191" s="27" t="str">
        <f t="shared" si="103"/>
        <v>amarelo</v>
      </c>
    </row>
    <row r="2192" spans="1:16">
      <c r="A2192" s="3" t="s">
        <v>4</v>
      </c>
      <c r="B2192" s="3" t="s">
        <v>1446</v>
      </c>
      <c r="C2192" s="4">
        <v>217</v>
      </c>
      <c r="D2192" s="3" t="s">
        <v>91</v>
      </c>
      <c r="E2192" s="3" t="s">
        <v>16</v>
      </c>
      <c r="F2192" s="5">
        <v>285</v>
      </c>
      <c r="G2192" s="5">
        <v>240</v>
      </c>
      <c r="H2192" s="6">
        <v>15640.83</v>
      </c>
      <c r="I2192" s="22">
        <v>14456.1</v>
      </c>
      <c r="J2192" s="24">
        <f t="shared" si="102"/>
        <v>1.0016807963877185E-4</v>
      </c>
      <c r="K2192" s="25">
        <f t="shared" si="104"/>
        <v>0.86824879944094491</v>
      </c>
      <c r="L2192" s="26" t="s">
        <v>7517</v>
      </c>
      <c r="M2192" s="28"/>
      <c r="N2192" s="28"/>
      <c r="O2192" s="20" t="s">
        <v>7530</v>
      </c>
      <c r="P2192" s="27" t="str">
        <f t="shared" si="103"/>
        <v>vermelho</v>
      </c>
    </row>
    <row r="2193" spans="1:16" ht="25.5">
      <c r="A2193" s="3" t="s">
        <v>4</v>
      </c>
      <c r="B2193" s="3" t="s">
        <v>1447</v>
      </c>
      <c r="C2193" s="4">
        <v>93</v>
      </c>
      <c r="D2193" s="3" t="s">
        <v>20</v>
      </c>
      <c r="E2193" s="3" t="s">
        <v>7</v>
      </c>
      <c r="F2193" s="5">
        <v>93</v>
      </c>
      <c r="G2193" s="5">
        <v>240</v>
      </c>
      <c r="H2193" s="6">
        <v>4656.3900000000003</v>
      </c>
      <c r="I2193" s="22">
        <v>14440.68</v>
      </c>
      <c r="J2193" s="24">
        <f t="shared" si="102"/>
        <v>1.0006123257849764E-4</v>
      </c>
      <c r="K2193" s="25">
        <f t="shared" si="104"/>
        <v>0.86834886067352346</v>
      </c>
      <c r="L2193" s="26" t="s">
        <v>7517</v>
      </c>
      <c r="M2193" s="28"/>
      <c r="N2193" s="28"/>
      <c r="O2193" s="20">
        <v>13842.84</v>
      </c>
      <c r="P2193" s="27" t="str">
        <f t="shared" si="103"/>
        <v>laranja</v>
      </c>
    </row>
    <row r="2194" spans="1:16" ht="25.5">
      <c r="A2194" s="3" t="s">
        <v>4</v>
      </c>
      <c r="B2194" s="3" t="s">
        <v>1448</v>
      </c>
      <c r="C2194" s="4">
        <v>321</v>
      </c>
      <c r="D2194" s="3" t="s">
        <v>136</v>
      </c>
      <c r="E2194" s="3" t="s">
        <v>41</v>
      </c>
      <c r="F2194" s="5">
        <v>84</v>
      </c>
      <c r="G2194" s="5">
        <v>264</v>
      </c>
      <c r="H2194" s="6">
        <v>5609.28</v>
      </c>
      <c r="I2194" s="22">
        <v>14426.52</v>
      </c>
      <c r="J2194" s="24">
        <f t="shared" si="102"/>
        <v>9.9963116211864532E-5</v>
      </c>
      <c r="K2194" s="25">
        <f t="shared" si="104"/>
        <v>0.86844882378973531</v>
      </c>
      <c r="L2194" s="26" t="s">
        <v>7517</v>
      </c>
      <c r="M2194" s="28"/>
      <c r="N2194" s="28"/>
      <c r="O2194" s="20">
        <v>5324.76</v>
      </c>
      <c r="P2194" s="27" t="str">
        <f t="shared" si="103"/>
        <v>amarelo</v>
      </c>
    </row>
    <row r="2195" spans="1:16" ht="38.25">
      <c r="A2195" s="3" t="s">
        <v>4</v>
      </c>
      <c r="B2195" s="3" t="s">
        <v>1449</v>
      </c>
      <c r="C2195" s="4">
        <v>38</v>
      </c>
      <c r="D2195" s="3" t="s">
        <v>184</v>
      </c>
      <c r="E2195" s="3" t="s">
        <v>49</v>
      </c>
      <c r="F2195" s="5">
        <v>180</v>
      </c>
      <c r="G2195" s="5">
        <v>246</v>
      </c>
      <c r="H2195" s="6">
        <v>9616.2000000000007</v>
      </c>
      <c r="I2195" s="22">
        <v>14422.26</v>
      </c>
      <c r="J2195" s="24">
        <f t="shared" si="102"/>
        <v>9.9933598152411344E-5</v>
      </c>
      <c r="K2195" s="25">
        <f t="shared" si="104"/>
        <v>0.86854875738788773</v>
      </c>
      <c r="L2195" s="26" t="s">
        <v>7517</v>
      </c>
      <c r="M2195" s="28"/>
      <c r="N2195" s="28"/>
      <c r="O2195" s="20" t="s">
        <v>7530</v>
      </c>
      <c r="P2195" s="27" t="str">
        <f t="shared" si="103"/>
        <v>vermelho</v>
      </c>
    </row>
    <row r="2196" spans="1:16" ht="25.5">
      <c r="A2196" s="3" t="s">
        <v>6491</v>
      </c>
      <c r="B2196" s="3" t="s">
        <v>6492</v>
      </c>
      <c r="C2196" s="4">
        <v>266</v>
      </c>
      <c r="D2196" s="3" t="s">
        <v>80</v>
      </c>
      <c r="E2196" s="3" t="s">
        <v>10</v>
      </c>
      <c r="F2196" s="5">
        <v>642</v>
      </c>
      <c r="G2196" s="5">
        <v>225</v>
      </c>
      <c r="H2196" s="6">
        <v>36884.22</v>
      </c>
      <c r="I2196" s="22">
        <v>14405.67</v>
      </c>
      <c r="J2196" s="24">
        <f t="shared" si="102"/>
        <v>9.9818644019470428E-5</v>
      </c>
      <c r="K2196" s="25">
        <f t="shared" si="104"/>
        <v>0.86864857603190715</v>
      </c>
      <c r="L2196" s="26" t="s">
        <v>7517</v>
      </c>
      <c r="M2196" s="28"/>
      <c r="N2196" s="28"/>
      <c r="O2196" s="20" t="s">
        <v>7530</v>
      </c>
      <c r="P2196" s="27" t="str">
        <f t="shared" si="103"/>
        <v>vermelho</v>
      </c>
    </row>
    <row r="2197" spans="1:16" ht="25.5">
      <c r="A2197" s="3" t="s">
        <v>4</v>
      </c>
      <c r="B2197" s="3" t="s">
        <v>1450</v>
      </c>
      <c r="C2197" s="4">
        <v>74</v>
      </c>
      <c r="D2197" s="3" t="s">
        <v>6</v>
      </c>
      <c r="E2197" s="3" t="s">
        <v>7</v>
      </c>
      <c r="F2197" s="5">
        <v>0</v>
      </c>
      <c r="G2197" s="5">
        <v>219</v>
      </c>
      <c r="H2197" s="6">
        <v>0</v>
      </c>
      <c r="I2197" s="22">
        <v>14402.31</v>
      </c>
      <c r="J2197" s="24">
        <f t="shared" si="102"/>
        <v>9.9795362169760872E-5</v>
      </c>
      <c r="K2197" s="25">
        <f t="shared" si="104"/>
        <v>0.8687483713940769</v>
      </c>
      <c r="L2197" s="26" t="s">
        <v>7517</v>
      </c>
      <c r="M2197" s="28"/>
      <c r="N2197" s="28"/>
      <c r="O2197" s="20" t="s">
        <v>7530</v>
      </c>
      <c r="P2197" s="27" t="str">
        <f t="shared" si="103"/>
        <v>vermelho</v>
      </c>
    </row>
    <row r="2198" spans="1:16" ht="25.5">
      <c r="A2198" s="3" t="s">
        <v>4</v>
      </c>
      <c r="B2198" s="3" t="s">
        <v>1451</v>
      </c>
      <c r="C2198" s="4">
        <v>39</v>
      </c>
      <c r="D2198" s="3" t="s">
        <v>26</v>
      </c>
      <c r="E2198" s="3" t="s">
        <v>13</v>
      </c>
      <c r="F2198" s="5">
        <v>582</v>
      </c>
      <c r="G2198" s="5">
        <v>282</v>
      </c>
      <c r="H2198" s="6">
        <v>23909.964</v>
      </c>
      <c r="I2198" s="22">
        <v>14400.96</v>
      </c>
      <c r="J2198" s="24">
        <f t="shared" si="102"/>
        <v>9.9786007855145418E-5</v>
      </c>
      <c r="K2198" s="25">
        <f t="shared" si="104"/>
        <v>0.868848157401932</v>
      </c>
      <c r="L2198" s="26" t="s">
        <v>7517</v>
      </c>
      <c r="M2198" s="28"/>
      <c r="N2198" s="28"/>
      <c r="O2198" s="20" t="s">
        <v>7530</v>
      </c>
      <c r="P2198" s="27" t="str">
        <f t="shared" si="103"/>
        <v>vermelho</v>
      </c>
    </row>
    <row r="2199" spans="1:16" ht="25.5">
      <c r="A2199" s="3" t="s">
        <v>4</v>
      </c>
      <c r="B2199" s="3" t="s">
        <v>1452</v>
      </c>
      <c r="C2199" s="4">
        <v>194</v>
      </c>
      <c r="D2199" s="3" t="s">
        <v>145</v>
      </c>
      <c r="E2199" s="3" t="s">
        <v>16</v>
      </c>
      <c r="F2199" s="5">
        <v>852</v>
      </c>
      <c r="G2199" s="5">
        <v>252</v>
      </c>
      <c r="H2199" s="6">
        <v>46338.96</v>
      </c>
      <c r="I2199" s="22">
        <v>14391.72</v>
      </c>
      <c r="J2199" s="24">
        <f t="shared" si="102"/>
        <v>9.9721982768444142E-5</v>
      </c>
      <c r="K2199" s="25">
        <f t="shared" si="104"/>
        <v>0.86894787938470042</v>
      </c>
      <c r="L2199" s="26" t="s">
        <v>7517</v>
      </c>
      <c r="M2199" s="28"/>
      <c r="N2199" s="28"/>
      <c r="O2199" s="20">
        <v>13983.6</v>
      </c>
      <c r="P2199" s="27" t="str">
        <f t="shared" si="103"/>
        <v>laranja</v>
      </c>
    </row>
    <row r="2200" spans="1:16" ht="25.5">
      <c r="A2200" s="3" t="s">
        <v>4</v>
      </c>
      <c r="B2200" s="3" t="s">
        <v>1453</v>
      </c>
      <c r="C2200" s="4">
        <v>328</v>
      </c>
      <c r="D2200" s="3" t="s">
        <v>215</v>
      </c>
      <c r="E2200" s="3" t="s">
        <v>41</v>
      </c>
      <c r="F2200" s="5">
        <v>192</v>
      </c>
      <c r="G2200" s="5">
        <v>240</v>
      </c>
      <c r="H2200" s="6">
        <v>10235.879999999999</v>
      </c>
      <c r="I2200" s="22">
        <v>14370.96</v>
      </c>
      <c r="J2200" s="24">
        <f t="shared" si="102"/>
        <v>9.9578134197024411E-5</v>
      </c>
      <c r="K2200" s="25">
        <f t="shared" si="104"/>
        <v>0.86904745751889745</v>
      </c>
      <c r="L2200" s="26" t="s">
        <v>7517</v>
      </c>
      <c r="M2200" s="28"/>
      <c r="N2200" s="28"/>
      <c r="O2200" s="20" t="s">
        <v>7530</v>
      </c>
      <c r="P2200" s="27" t="str">
        <f t="shared" si="103"/>
        <v>vermelho</v>
      </c>
    </row>
    <row r="2201" spans="1:16">
      <c r="A2201" s="3" t="s">
        <v>6493</v>
      </c>
      <c r="B2201" s="3" t="s">
        <v>6494</v>
      </c>
      <c r="C2201" s="4">
        <v>231</v>
      </c>
      <c r="D2201" s="3" t="s">
        <v>52</v>
      </c>
      <c r="E2201" s="3" t="s">
        <v>7</v>
      </c>
      <c r="F2201" s="5">
        <v>366</v>
      </c>
      <c r="G2201" s="5">
        <v>198</v>
      </c>
      <c r="H2201" s="6">
        <v>19627.031999999999</v>
      </c>
      <c r="I2201" s="22">
        <v>14297.76</v>
      </c>
      <c r="J2201" s="24">
        <f t="shared" si="102"/>
        <v>9.9070922471209145E-5</v>
      </c>
      <c r="K2201" s="25">
        <f t="shared" si="104"/>
        <v>0.86914652844136864</v>
      </c>
      <c r="L2201" s="26" t="s">
        <v>7517</v>
      </c>
      <c r="M2201" s="28"/>
      <c r="N2201" s="28"/>
      <c r="O2201" s="20" t="s">
        <v>7530</v>
      </c>
      <c r="P2201" s="27" t="str">
        <f t="shared" si="103"/>
        <v>vermelho</v>
      </c>
    </row>
    <row r="2202" spans="1:16" ht="25.5">
      <c r="A2202" s="3" t="s">
        <v>4</v>
      </c>
      <c r="B2202" s="3" t="s">
        <v>1454</v>
      </c>
      <c r="C2202" s="4">
        <v>23</v>
      </c>
      <c r="D2202" s="3" t="s">
        <v>87</v>
      </c>
      <c r="E2202" s="3" t="s">
        <v>7</v>
      </c>
      <c r="F2202" s="5">
        <v>351</v>
      </c>
      <c r="G2202" s="5">
        <v>240</v>
      </c>
      <c r="H2202" s="6">
        <v>20316.63</v>
      </c>
      <c r="I2202" s="22">
        <v>14291.4</v>
      </c>
      <c r="J2202" s="24">
        <f t="shared" si="102"/>
        <v>9.9026853255687483E-5</v>
      </c>
      <c r="K2202" s="25">
        <f t="shared" si="104"/>
        <v>0.86924555529462433</v>
      </c>
      <c r="L2202" s="26" t="s">
        <v>7517</v>
      </c>
      <c r="M2202" s="28"/>
      <c r="N2202" s="28"/>
      <c r="O2202" s="20" t="s">
        <v>7530</v>
      </c>
      <c r="P2202" s="27" t="str">
        <f t="shared" si="103"/>
        <v>vermelho</v>
      </c>
    </row>
    <row r="2203" spans="1:16" ht="25.5">
      <c r="A2203" s="3" t="s">
        <v>6495</v>
      </c>
      <c r="B2203" s="3" t="s">
        <v>6496</v>
      </c>
      <c r="C2203" s="4">
        <v>299</v>
      </c>
      <c r="D2203" s="3" t="s">
        <v>111</v>
      </c>
      <c r="E2203" s="3" t="s">
        <v>49</v>
      </c>
      <c r="F2203" s="5">
        <v>60</v>
      </c>
      <c r="G2203" s="5">
        <v>270</v>
      </c>
      <c r="H2203" s="6">
        <v>3149.16</v>
      </c>
      <c r="I2203" s="22">
        <v>14281.8</v>
      </c>
      <c r="J2203" s="24">
        <f t="shared" si="102"/>
        <v>9.8960333685088757E-5</v>
      </c>
      <c r="K2203" s="25">
        <f t="shared" si="104"/>
        <v>0.86934451562830939</v>
      </c>
      <c r="L2203" s="26" t="s">
        <v>7517</v>
      </c>
      <c r="M2203" s="28"/>
      <c r="N2203" s="28"/>
      <c r="O2203" s="20" t="s">
        <v>7530</v>
      </c>
      <c r="P2203" s="27" t="str">
        <f t="shared" si="103"/>
        <v>vermelho</v>
      </c>
    </row>
    <row r="2204" spans="1:16" ht="25.5">
      <c r="A2204" s="3" t="s">
        <v>4</v>
      </c>
      <c r="B2204" s="3" t="s">
        <v>1455</v>
      </c>
      <c r="C2204" s="4">
        <v>23</v>
      </c>
      <c r="D2204" s="3" t="s">
        <v>87</v>
      </c>
      <c r="E2204" s="3" t="s">
        <v>7</v>
      </c>
      <c r="F2204" s="5">
        <v>72</v>
      </c>
      <c r="G2204" s="5">
        <v>228</v>
      </c>
      <c r="H2204" s="6">
        <v>3586.68</v>
      </c>
      <c r="I2204" s="22">
        <v>14262.48</v>
      </c>
      <c r="J2204" s="24">
        <f t="shared" si="102"/>
        <v>9.8826463049258827E-5</v>
      </c>
      <c r="K2204" s="25">
        <f t="shared" si="104"/>
        <v>0.86944334209135865</v>
      </c>
      <c r="L2204" s="26" t="s">
        <v>7517</v>
      </c>
      <c r="M2204" s="28"/>
      <c r="N2204" s="28"/>
      <c r="O2204" s="20">
        <v>18503.52</v>
      </c>
      <c r="P2204" s="27" t="str">
        <f t="shared" si="103"/>
        <v>verde</v>
      </c>
    </row>
    <row r="2205" spans="1:16">
      <c r="A2205" s="3" t="s">
        <v>6497</v>
      </c>
      <c r="B2205" s="3" t="s">
        <v>6498</v>
      </c>
      <c r="C2205" s="4">
        <v>231</v>
      </c>
      <c r="D2205" s="3" t="s">
        <v>52</v>
      </c>
      <c r="E2205" s="3" t="s">
        <v>7</v>
      </c>
      <c r="F2205" s="5">
        <v>0</v>
      </c>
      <c r="G2205" s="5">
        <v>222</v>
      </c>
      <c r="H2205" s="6">
        <v>0</v>
      </c>
      <c r="I2205" s="22">
        <v>14262</v>
      </c>
      <c r="J2205" s="24">
        <f t="shared" si="102"/>
        <v>9.8823137070728898E-5</v>
      </c>
      <c r="K2205" s="25">
        <f t="shared" si="104"/>
        <v>0.86954216522842942</v>
      </c>
      <c r="L2205" s="26" t="s">
        <v>7517</v>
      </c>
      <c r="M2205" s="28"/>
      <c r="N2205" s="28"/>
      <c r="O2205" s="20">
        <v>18101.22</v>
      </c>
      <c r="P2205" s="27" t="str">
        <f t="shared" si="103"/>
        <v>verde</v>
      </c>
    </row>
    <row r="2206" spans="1:16" ht="38.25">
      <c r="A2206" s="3" t="s">
        <v>4</v>
      </c>
      <c r="B2206" s="3" t="s">
        <v>1456</v>
      </c>
      <c r="C2206" s="4">
        <v>34</v>
      </c>
      <c r="D2206" s="3" t="s">
        <v>54</v>
      </c>
      <c r="E2206" s="3" t="s">
        <v>49</v>
      </c>
      <c r="F2206" s="5">
        <v>699</v>
      </c>
      <c r="G2206" s="5">
        <v>216</v>
      </c>
      <c r="H2206" s="6">
        <v>38658.03</v>
      </c>
      <c r="I2206" s="22">
        <v>14260.2</v>
      </c>
      <c r="J2206" s="24">
        <f t="shared" si="102"/>
        <v>9.8810664651241648E-5</v>
      </c>
      <c r="K2206" s="25">
        <f t="shared" si="104"/>
        <v>0.86964097589308065</v>
      </c>
      <c r="L2206" s="26" t="s">
        <v>7517</v>
      </c>
      <c r="M2206" s="28"/>
      <c r="N2206" s="28"/>
      <c r="O2206" s="20" t="s">
        <v>7530</v>
      </c>
      <c r="P2206" s="27" t="str">
        <f t="shared" si="103"/>
        <v>vermelho</v>
      </c>
    </row>
    <row r="2207" spans="1:16" ht="25.5">
      <c r="A2207" s="3" t="s">
        <v>6499</v>
      </c>
      <c r="B2207" s="3" t="s">
        <v>6500</v>
      </c>
      <c r="C2207" s="4">
        <v>39</v>
      </c>
      <c r="D2207" s="3" t="s">
        <v>26</v>
      </c>
      <c r="E2207" s="3" t="s">
        <v>13</v>
      </c>
      <c r="F2207" s="5">
        <v>2112</v>
      </c>
      <c r="G2207" s="5">
        <v>204</v>
      </c>
      <c r="H2207" s="6">
        <v>105121.68</v>
      </c>
      <c r="I2207" s="22">
        <v>14248.782999999999</v>
      </c>
      <c r="J2207" s="24">
        <f t="shared" si="102"/>
        <v>9.8731554866082714E-5</v>
      </c>
      <c r="K2207" s="25">
        <f t="shared" si="104"/>
        <v>0.86973970744794671</v>
      </c>
      <c r="L2207" s="26" t="s">
        <v>7517</v>
      </c>
      <c r="M2207" s="28"/>
      <c r="N2207" s="28"/>
      <c r="O2207" s="20" t="s">
        <v>7530</v>
      </c>
      <c r="P2207" s="27" t="str">
        <f t="shared" si="103"/>
        <v>vermelho</v>
      </c>
    </row>
    <row r="2208" spans="1:16">
      <c r="A2208" s="3" t="s">
        <v>4</v>
      </c>
      <c r="B2208" s="3" t="s">
        <v>1457</v>
      </c>
      <c r="C2208" s="4">
        <v>315</v>
      </c>
      <c r="D2208" s="3" t="s">
        <v>63</v>
      </c>
      <c r="E2208" s="3" t="s">
        <v>7</v>
      </c>
      <c r="F2208" s="5">
        <v>0</v>
      </c>
      <c r="G2208" s="5">
        <v>246</v>
      </c>
      <c r="H2208" s="6">
        <v>0</v>
      </c>
      <c r="I2208" s="22">
        <v>14242.044</v>
      </c>
      <c r="J2208" s="24">
        <f t="shared" si="102"/>
        <v>9.86848595133468E-5</v>
      </c>
      <c r="K2208" s="25">
        <f t="shared" si="104"/>
        <v>0.86983839230746007</v>
      </c>
      <c r="L2208" s="26" t="s">
        <v>7517</v>
      </c>
      <c r="M2208" s="28">
        <v>4.4920129408732599E-2</v>
      </c>
      <c r="N2208" s="28"/>
      <c r="O2208" s="20">
        <v>9459.9850000000006</v>
      </c>
      <c r="P2208" s="27" t="str">
        <f t="shared" si="103"/>
        <v>laranja</v>
      </c>
    </row>
    <row r="2209" spans="1:16" ht="38.25">
      <c r="A2209" s="3" t="s">
        <v>4</v>
      </c>
      <c r="B2209" s="3" t="s">
        <v>1458</v>
      </c>
      <c r="C2209" s="4">
        <v>143</v>
      </c>
      <c r="D2209" s="3" t="s">
        <v>44</v>
      </c>
      <c r="E2209" s="3" t="s">
        <v>41</v>
      </c>
      <c r="F2209" s="5">
        <v>144</v>
      </c>
      <c r="G2209" s="5">
        <v>240</v>
      </c>
      <c r="H2209" s="6">
        <v>8765.0040000000008</v>
      </c>
      <c r="I2209" s="22">
        <v>14241.6</v>
      </c>
      <c r="J2209" s="24">
        <f t="shared" si="102"/>
        <v>9.8681782983206618E-5</v>
      </c>
      <c r="K2209" s="25">
        <f t="shared" si="104"/>
        <v>0.8699370740904433</v>
      </c>
      <c r="L2209" s="26" t="s">
        <v>7517</v>
      </c>
      <c r="M2209" s="28"/>
      <c r="N2209" s="28"/>
      <c r="O2209" s="20" t="s">
        <v>7530</v>
      </c>
      <c r="P2209" s="27" t="str">
        <f t="shared" si="103"/>
        <v>vermelho</v>
      </c>
    </row>
    <row r="2210" spans="1:16">
      <c r="A2210" s="3" t="s">
        <v>4</v>
      </c>
      <c r="B2210" s="3" t="s">
        <v>1459</v>
      </c>
      <c r="C2210" s="4">
        <v>15</v>
      </c>
      <c r="D2210" s="3" t="s">
        <v>18</v>
      </c>
      <c r="E2210" s="3" t="s">
        <v>16</v>
      </c>
      <c r="F2210" s="5">
        <v>300</v>
      </c>
      <c r="G2210" s="5">
        <v>216</v>
      </c>
      <c r="H2210" s="6">
        <v>15934.08</v>
      </c>
      <c r="I2210" s="22">
        <v>14238.12</v>
      </c>
      <c r="J2210" s="24">
        <f t="shared" si="102"/>
        <v>9.8657669638864583E-5</v>
      </c>
      <c r="K2210" s="25">
        <f t="shared" si="104"/>
        <v>0.8700357317600822</v>
      </c>
      <c r="L2210" s="26" t="s">
        <v>7517</v>
      </c>
      <c r="M2210" s="28"/>
      <c r="N2210" s="28"/>
      <c r="O2210" s="20" t="s">
        <v>7530</v>
      </c>
      <c r="P2210" s="27" t="str">
        <f t="shared" si="103"/>
        <v>vermelho</v>
      </c>
    </row>
    <row r="2211" spans="1:16" ht="25.5">
      <c r="A2211" s="3" t="s">
        <v>4</v>
      </c>
      <c r="B2211" s="3" t="s">
        <v>1460</v>
      </c>
      <c r="C2211" s="4">
        <v>217</v>
      </c>
      <c r="D2211" s="3" t="s">
        <v>91</v>
      </c>
      <c r="E2211" s="3" t="s">
        <v>16</v>
      </c>
      <c r="F2211" s="5">
        <v>216</v>
      </c>
      <c r="G2211" s="5">
        <v>234</v>
      </c>
      <c r="H2211" s="6">
        <v>10794.96</v>
      </c>
      <c r="I2211" s="22">
        <v>14234.52</v>
      </c>
      <c r="J2211" s="24">
        <f t="shared" si="102"/>
        <v>9.8632724799890055E-5</v>
      </c>
      <c r="K2211" s="25">
        <f t="shared" si="104"/>
        <v>0.87013436448488213</v>
      </c>
      <c r="L2211" s="26" t="s">
        <v>7517</v>
      </c>
      <c r="M2211" s="28"/>
      <c r="N2211" s="28"/>
      <c r="O2211" s="20" t="s">
        <v>7530</v>
      </c>
      <c r="P2211" s="27" t="str">
        <f t="shared" si="103"/>
        <v>vermelho</v>
      </c>
    </row>
    <row r="2212" spans="1:16" ht="25.5">
      <c r="A2212" s="3" t="s">
        <v>6501</v>
      </c>
      <c r="B2212" s="3" t="s">
        <v>6502</v>
      </c>
      <c r="C2212" s="4">
        <v>337</v>
      </c>
      <c r="D2212" s="3" t="s">
        <v>202</v>
      </c>
      <c r="E2212" s="3" t="s">
        <v>16</v>
      </c>
      <c r="F2212" s="5">
        <v>432</v>
      </c>
      <c r="G2212" s="5">
        <v>240</v>
      </c>
      <c r="H2212" s="6">
        <v>23317.67</v>
      </c>
      <c r="I2212" s="22">
        <v>14224.56</v>
      </c>
      <c r="J2212" s="24">
        <f t="shared" si="102"/>
        <v>9.8563710745393866E-5</v>
      </c>
      <c r="K2212" s="25">
        <f t="shared" si="104"/>
        <v>0.87023292819562748</v>
      </c>
      <c r="L2212" s="26" t="s">
        <v>7517</v>
      </c>
      <c r="M2212" s="28"/>
      <c r="N2212" s="28"/>
      <c r="O2212" s="20" t="s">
        <v>7530</v>
      </c>
      <c r="P2212" s="27" t="str">
        <f t="shared" si="103"/>
        <v>vermelho</v>
      </c>
    </row>
    <row r="2213" spans="1:16" ht="25.5">
      <c r="A2213" s="3" t="s">
        <v>6503</v>
      </c>
      <c r="B2213" s="3" t="s">
        <v>6504</v>
      </c>
      <c r="C2213" s="4">
        <v>261</v>
      </c>
      <c r="D2213" s="3" t="s">
        <v>9</v>
      </c>
      <c r="E2213" s="3" t="s">
        <v>10</v>
      </c>
      <c r="F2213" s="5">
        <v>813</v>
      </c>
      <c r="G2213" s="5">
        <v>216</v>
      </c>
      <c r="H2213" s="6">
        <v>49197.59</v>
      </c>
      <c r="I2213" s="22">
        <v>14168.16</v>
      </c>
      <c r="J2213" s="24">
        <f t="shared" si="102"/>
        <v>9.8172908268126367E-5</v>
      </c>
      <c r="K2213" s="25">
        <f t="shared" si="104"/>
        <v>0.87033110110389555</v>
      </c>
      <c r="L2213" s="26" t="s">
        <v>7517</v>
      </c>
      <c r="M2213" s="28"/>
      <c r="N2213" s="28"/>
      <c r="O2213" s="20" t="s">
        <v>7530</v>
      </c>
      <c r="P2213" s="27" t="str">
        <f t="shared" si="103"/>
        <v>vermelho</v>
      </c>
    </row>
    <row r="2214" spans="1:16" ht="25.5">
      <c r="A2214" s="3" t="s">
        <v>4</v>
      </c>
      <c r="B2214" s="3" t="s">
        <v>1462</v>
      </c>
      <c r="C2214" s="4">
        <v>93</v>
      </c>
      <c r="D2214" s="3" t="s">
        <v>20</v>
      </c>
      <c r="E2214" s="3" t="s">
        <v>7</v>
      </c>
      <c r="F2214" s="5">
        <v>402</v>
      </c>
      <c r="G2214" s="5">
        <v>204</v>
      </c>
      <c r="H2214" s="6">
        <v>24128.82</v>
      </c>
      <c r="I2214" s="22">
        <v>14160.96</v>
      </c>
      <c r="J2214" s="24">
        <f t="shared" si="102"/>
        <v>9.8123018590177326E-5</v>
      </c>
      <c r="K2214" s="25">
        <f t="shared" si="104"/>
        <v>0.87042922412248569</v>
      </c>
      <c r="L2214" s="26" t="s">
        <v>7517</v>
      </c>
      <c r="M2214" s="28"/>
      <c r="N2214" s="28"/>
      <c r="O2214" s="20" t="s">
        <v>7530</v>
      </c>
      <c r="P2214" s="27" t="str">
        <f t="shared" si="103"/>
        <v>vermelho</v>
      </c>
    </row>
    <row r="2215" spans="1:16" ht="25.5">
      <c r="A2215" s="3" t="s">
        <v>4</v>
      </c>
      <c r="B2215" s="3" t="s">
        <v>1463</v>
      </c>
      <c r="C2215" s="4">
        <v>218</v>
      </c>
      <c r="D2215" s="3" t="s">
        <v>104</v>
      </c>
      <c r="E2215" s="3" t="s">
        <v>16</v>
      </c>
      <c r="F2215" s="5">
        <v>0</v>
      </c>
      <c r="G2215" s="5">
        <v>219</v>
      </c>
      <c r="H2215" s="6">
        <v>0</v>
      </c>
      <c r="I2215" s="22">
        <v>14158.26</v>
      </c>
      <c r="J2215" s="24">
        <f t="shared" si="102"/>
        <v>9.8104309960946444E-5</v>
      </c>
      <c r="K2215" s="25">
        <f t="shared" si="104"/>
        <v>0.87052732843244662</v>
      </c>
      <c r="L2215" s="26" t="s">
        <v>7517</v>
      </c>
      <c r="M2215" s="28"/>
      <c r="N2215" s="28"/>
      <c r="O2215" s="20" t="s">
        <v>7530</v>
      </c>
      <c r="P2215" s="27" t="str">
        <f t="shared" si="103"/>
        <v>vermelho</v>
      </c>
    </row>
    <row r="2216" spans="1:16" ht="25.5">
      <c r="A2216" s="3" t="s">
        <v>6505</v>
      </c>
      <c r="B2216" s="3" t="s">
        <v>6506</v>
      </c>
      <c r="C2216" s="4">
        <v>194</v>
      </c>
      <c r="D2216" s="3" t="s">
        <v>145</v>
      </c>
      <c r="E2216" s="3" t="s">
        <v>16</v>
      </c>
      <c r="F2216" s="5">
        <v>0</v>
      </c>
      <c r="G2216" s="5">
        <v>276</v>
      </c>
      <c r="H2216" s="6">
        <v>0</v>
      </c>
      <c r="I2216" s="22">
        <v>14133.24</v>
      </c>
      <c r="J2216" s="24">
        <f t="shared" si="102"/>
        <v>9.7930943330073512E-5</v>
      </c>
      <c r="K2216" s="25">
        <f t="shared" si="104"/>
        <v>0.87062525937577673</v>
      </c>
      <c r="L2216" s="26" t="s">
        <v>7517</v>
      </c>
      <c r="M2216" s="28"/>
      <c r="N2216" s="28"/>
      <c r="O2216" s="20" t="s">
        <v>7530</v>
      </c>
      <c r="P2216" s="27" t="str">
        <f t="shared" si="103"/>
        <v>vermelho</v>
      </c>
    </row>
    <row r="2217" spans="1:16" ht="38.25">
      <c r="A2217" s="3" t="s">
        <v>4</v>
      </c>
      <c r="B2217" s="3" t="s">
        <v>1464</v>
      </c>
      <c r="C2217" s="4">
        <v>45</v>
      </c>
      <c r="D2217" s="3" t="s">
        <v>23</v>
      </c>
      <c r="E2217" s="3" t="s">
        <v>7</v>
      </c>
      <c r="F2217" s="5">
        <v>0</v>
      </c>
      <c r="G2217" s="5">
        <v>258</v>
      </c>
      <c r="H2217" s="6">
        <v>0</v>
      </c>
      <c r="I2217" s="22">
        <v>14128.41</v>
      </c>
      <c r="J2217" s="24">
        <f t="shared" si="102"/>
        <v>9.7897475671116036E-5</v>
      </c>
      <c r="K2217" s="25">
        <f t="shared" si="104"/>
        <v>0.87072315685144785</v>
      </c>
      <c r="L2217" s="26" t="s">
        <v>7517</v>
      </c>
      <c r="M2217" s="28"/>
      <c r="N2217" s="28"/>
      <c r="O2217" s="20" t="s">
        <v>7530</v>
      </c>
      <c r="P2217" s="27" t="str">
        <f t="shared" si="103"/>
        <v>vermelho</v>
      </c>
    </row>
    <row r="2218" spans="1:16" ht="25.5">
      <c r="A2218" s="3" t="s">
        <v>4</v>
      </c>
      <c r="B2218" s="3" t="s">
        <v>1465</v>
      </c>
      <c r="C2218" s="4">
        <v>299</v>
      </c>
      <c r="D2218" s="3" t="s">
        <v>111</v>
      </c>
      <c r="E2218" s="3" t="s">
        <v>49</v>
      </c>
      <c r="F2218" s="5">
        <v>339</v>
      </c>
      <c r="G2218" s="5">
        <v>234</v>
      </c>
      <c r="H2218" s="6">
        <v>17852.580000000002</v>
      </c>
      <c r="I2218" s="22">
        <v>14128.14</v>
      </c>
      <c r="J2218" s="24">
        <f t="shared" si="102"/>
        <v>9.7895604808192945E-5</v>
      </c>
      <c r="K2218" s="25">
        <f t="shared" si="104"/>
        <v>0.87082105245625607</v>
      </c>
      <c r="L2218" s="26" t="s">
        <v>7517</v>
      </c>
      <c r="M2218" s="28"/>
      <c r="N2218" s="28"/>
      <c r="O2218" s="20">
        <v>8167.65</v>
      </c>
      <c r="P2218" s="27" t="str">
        <f t="shared" si="103"/>
        <v>laranja</v>
      </c>
    </row>
    <row r="2219" spans="1:16" ht="25.5">
      <c r="A2219" s="3" t="s">
        <v>6507</v>
      </c>
      <c r="B2219" s="3" t="s">
        <v>6508</v>
      </c>
      <c r="C2219" s="4">
        <v>296</v>
      </c>
      <c r="D2219" s="3" t="s">
        <v>282</v>
      </c>
      <c r="E2219" s="3" t="s">
        <v>10</v>
      </c>
      <c r="F2219" s="5">
        <v>0</v>
      </c>
      <c r="G2219" s="5">
        <v>204</v>
      </c>
      <c r="H2219" s="6">
        <v>0</v>
      </c>
      <c r="I2219" s="22">
        <v>14124.09</v>
      </c>
      <c r="J2219" s="24">
        <f t="shared" si="102"/>
        <v>9.7867541864346609E-5</v>
      </c>
      <c r="K2219" s="25">
        <f t="shared" si="104"/>
        <v>0.87091891999812043</v>
      </c>
      <c r="L2219" s="26" t="s">
        <v>7517</v>
      </c>
      <c r="M2219" s="28"/>
      <c r="N2219" s="28"/>
      <c r="O2219" s="20" t="s">
        <v>7530</v>
      </c>
      <c r="P2219" s="27" t="str">
        <f t="shared" si="103"/>
        <v>vermelho</v>
      </c>
    </row>
    <row r="2220" spans="1:16" ht="25.5">
      <c r="A2220" s="3" t="s">
        <v>6509</v>
      </c>
      <c r="B2220" s="3" t="s">
        <v>6510</v>
      </c>
      <c r="C2220" s="4">
        <v>327</v>
      </c>
      <c r="D2220" s="3" t="s">
        <v>100</v>
      </c>
      <c r="E2220" s="3" t="s">
        <v>7</v>
      </c>
      <c r="F2220" s="5">
        <v>399</v>
      </c>
      <c r="G2220" s="5">
        <v>249</v>
      </c>
      <c r="H2220" s="6">
        <v>24851.55</v>
      </c>
      <c r="I2220" s="22">
        <v>14104.95</v>
      </c>
      <c r="J2220" s="24">
        <f t="shared" si="102"/>
        <v>9.773491847046541E-5</v>
      </c>
      <c r="K2220" s="25">
        <f t="shared" si="104"/>
        <v>0.87101665491659086</v>
      </c>
      <c r="L2220" s="26" t="s">
        <v>7517</v>
      </c>
      <c r="M2220" s="28"/>
      <c r="N2220" s="28"/>
      <c r="O2220" s="20">
        <v>11660.28</v>
      </c>
      <c r="P2220" s="27" t="str">
        <f t="shared" si="103"/>
        <v>laranja</v>
      </c>
    </row>
    <row r="2221" spans="1:16" ht="25.5">
      <c r="A2221" s="3" t="s">
        <v>6511</v>
      </c>
      <c r="B2221" s="3" t="s">
        <v>6512</v>
      </c>
      <c r="C2221" s="4">
        <v>317</v>
      </c>
      <c r="D2221" s="3" t="s">
        <v>78</v>
      </c>
      <c r="E2221" s="3" t="s">
        <v>10</v>
      </c>
      <c r="F2221" s="5">
        <v>1362</v>
      </c>
      <c r="G2221" s="5">
        <v>240</v>
      </c>
      <c r="H2221" s="6">
        <v>50611.86</v>
      </c>
      <c r="I2221" s="22">
        <v>14103.12</v>
      </c>
      <c r="J2221" s="24">
        <f t="shared" si="102"/>
        <v>9.7722238177320027E-5</v>
      </c>
      <c r="K2221" s="25">
        <f t="shared" si="104"/>
        <v>0.87111437715476814</v>
      </c>
      <c r="L2221" s="26" t="s">
        <v>7517</v>
      </c>
      <c r="M2221" s="28"/>
      <c r="N2221" s="28"/>
      <c r="O2221" s="20" t="s">
        <v>7530</v>
      </c>
      <c r="P2221" s="27" t="str">
        <f t="shared" si="103"/>
        <v>vermelho</v>
      </c>
    </row>
    <row r="2222" spans="1:16" ht="25.5">
      <c r="A2222" s="3" t="s">
        <v>6513</v>
      </c>
      <c r="B2222" s="3" t="s">
        <v>6514</v>
      </c>
      <c r="C2222" s="4">
        <v>218</v>
      </c>
      <c r="D2222" s="3" t="s">
        <v>104</v>
      </c>
      <c r="E2222" s="3" t="s">
        <v>16</v>
      </c>
      <c r="F2222" s="5">
        <v>312</v>
      </c>
      <c r="G2222" s="5">
        <v>243</v>
      </c>
      <c r="H2222" s="6">
        <v>16253.28</v>
      </c>
      <c r="I2222" s="22">
        <v>14101.68</v>
      </c>
      <c r="J2222" s="24">
        <f t="shared" si="102"/>
        <v>9.7712260241730213E-5</v>
      </c>
      <c r="K2222" s="25">
        <f t="shared" si="104"/>
        <v>0.87121208941500983</v>
      </c>
      <c r="L2222" s="26" t="s">
        <v>7517</v>
      </c>
      <c r="M2222" s="28"/>
      <c r="N2222" s="28"/>
      <c r="O2222" s="20">
        <v>7150.77</v>
      </c>
      <c r="P2222" s="27" t="str">
        <f t="shared" si="103"/>
        <v>amarelo</v>
      </c>
    </row>
    <row r="2223" spans="1:16" ht="25.5">
      <c r="A2223" s="3" t="s">
        <v>4</v>
      </c>
      <c r="B2223" s="3" t="s">
        <v>1466</v>
      </c>
      <c r="C2223" s="4">
        <v>218</v>
      </c>
      <c r="D2223" s="3" t="s">
        <v>104</v>
      </c>
      <c r="E2223" s="3" t="s">
        <v>16</v>
      </c>
      <c r="F2223" s="5">
        <v>72</v>
      </c>
      <c r="G2223" s="5">
        <v>216</v>
      </c>
      <c r="H2223" s="6">
        <v>3186</v>
      </c>
      <c r="I2223" s="22">
        <v>14061.96</v>
      </c>
      <c r="J2223" s="24">
        <f t="shared" si="102"/>
        <v>9.7437035518377989E-5</v>
      </c>
      <c r="K2223" s="25">
        <f t="shared" si="104"/>
        <v>0.87130952645052817</v>
      </c>
      <c r="L2223" s="26" t="s">
        <v>7517</v>
      </c>
      <c r="M2223" s="28"/>
      <c r="N2223" s="28"/>
      <c r="O2223" s="20" t="s">
        <v>7530</v>
      </c>
      <c r="P2223" s="27" t="str">
        <f t="shared" si="103"/>
        <v>vermelho</v>
      </c>
    </row>
    <row r="2224" spans="1:16" ht="25.5">
      <c r="A2224" s="3" t="s">
        <v>4</v>
      </c>
      <c r="B2224" s="3" t="s">
        <v>1467</v>
      </c>
      <c r="C2224" s="4">
        <v>93</v>
      </c>
      <c r="D2224" s="3" t="s">
        <v>20</v>
      </c>
      <c r="E2224" s="3" t="s">
        <v>7</v>
      </c>
      <c r="F2224" s="5">
        <v>120</v>
      </c>
      <c r="G2224" s="5">
        <v>198</v>
      </c>
      <c r="H2224" s="6">
        <v>5794.8</v>
      </c>
      <c r="I2224" s="22">
        <v>14054.94</v>
      </c>
      <c r="J2224" s="24">
        <f t="shared" si="102"/>
        <v>9.7388393082377679E-5</v>
      </c>
      <c r="K2224" s="25">
        <f t="shared" si="104"/>
        <v>0.87140691484361055</v>
      </c>
      <c r="L2224" s="26" t="s">
        <v>7517</v>
      </c>
      <c r="M2224" s="28"/>
      <c r="N2224" s="28"/>
      <c r="O2224" s="20" t="s">
        <v>7530</v>
      </c>
      <c r="P2224" s="27" t="str">
        <f t="shared" si="103"/>
        <v>vermelho</v>
      </c>
    </row>
    <row r="2225" spans="1:16" ht="25.5">
      <c r="A2225" s="3" t="s">
        <v>4</v>
      </c>
      <c r="B2225" s="3" t="s">
        <v>1468</v>
      </c>
      <c r="C2225" s="4">
        <v>266</v>
      </c>
      <c r="D2225" s="3" t="s">
        <v>80</v>
      </c>
      <c r="E2225" s="3" t="s">
        <v>10</v>
      </c>
      <c r="F2225" s="5">
        <v>786</v>
      </c>
      <c r="G2225" s="5">
        <v>246</v>
      </c>
      <c r="H2225" s="6">
        <v>44048.97</v>
      </c>
      <c r="I2225" s="22">
        <v>14044.26</v>
      </c>
      <c r="J2225" s="24">
        <f t="shared" si="102"/>
        <v>9.7314390060086604E-5</v>
      </c>
      <c r="K2225" s="25">
        <f t="shared" si="104"/>
        <v>0.87150422923367066</v>
      </c>
      <c r="L2225" s="26" t="s">
        <v>7517</v>
      </c>
      <c r="M2225" s="28"/>
      <c r="N2225" s="28"/>
      <c r="O2225" s="20" t="s">
        <v>7530</v>
      </c>
      <c r="P2225" s="27" t="str">
        <f t="shared" si="103"/>
        <v>vermelho</v>
      </c>
    </row>
    <row r="2226" spans="1:16" ht="25.5">
      <c r="A2226" s="3" t="s">
        <v>4</v>
      </c>
      <c r="B2226" s="3" t="s">
        <v>1469</v>
      </c>
      <c r="C2226" s="4">
        <v>332</v>
      </c>
      <c r="D2226" s="3" t="s">
        <v>1470</v>
      </c>
      <c r="E2226" s="3" t="s">
        <v>13</v>
      </c>
      <c r="F2226" s="5">
        <v>0</v>
      </c>
      <c r="G2226" s="5">
        <v>198</v>
      </c>
      <c r="H2226" s="6">
        <v>0</v>
      </c>
      <c r="I2226" s="22">
        <v>14031.3</v>
      </c>
      <c r="J2226" s="24">
        <f t="shared" si="102"/>
        <v>9.7224588639778308E-5</v>
      </c>
      <c r="K2226" s="25">
        <f t="shared" si="104"/>
        <v>0.87160145382231047</v>
      </c>
      <c r="L2226" s="26" t="s">
        <v>7517</v>
      </c>
      <c r="M2226" s="28"/>
      <c r="N2226" s="28"/>
      <c r="O2226" s="20">
        <v>2157.3000000000002</v>
      </c>
      <c r="P2226" s="27" t="str">
        <f t="shared" si="103"/>
        <v>amarelo</v>
      </c>
    </row>
    <row r="2227" spans="1:16" ht="38.25">
      <c r="A2227" s="3" t="s">
        <v>4</v>
      </c>
      <c r="B2227" s="3" t="s">
        <v>1471</v>
      </c>
      <c r="C2227" s="4">
        <v>231</v>
      </c>
      <c r="D2227" s="3" t="s">
        <v>52</v>
      </c>
      <c r="E2227" s="3" t="s">
        <v>7</v>
      </c>
      <c r="F2227" s="5">
        <v>135</v>
      </c>
      <c r="G2227" s="5">
        <v>252</v>
      </c>
      <c r="H2227" s="6">
        <v>7102.65</v>
      </c>
      <c r="I2227" s="22">
        <v>14031.12</v>
      </c>
      <c r="J2227" s="24">
        <f t="shared" si="102"/>
        <v>9.7223341397829603E-5</v>
      </c>
      <c r="K2227" s="25">
        <f t="shared" si="104"/>
        <v>0.8716986771637083</v>
      </c>
      <c r="L2227" s="26" t="s">
        <v>7517</v>
      </c>
      <c r="M2227" s="28"/>
      <c r="N2227" s="28"/>
      <c r="O2227" s="20">
        <v>5730.84</v>
      </c>
      <c r="P2227" s="27" t="str">
        <f t="shared" si="103"/>
        <v>amarelo</v>
      </c>
    </row>
    <row r="2228" spans="1:16" ht="25.5">
      <c r="A2228" s="3" t="s">
        <v>4</v>
      </c>
      <c r="B2228" s="3" t="s">
        <v>1472</v>
      </c>
      <c r="C2228" s="4">
        <v>317</v>
      </c>
      <c r="D2228" s="3" t="s">
        <v>78</v>
      </c>
      <c r="E2228" s="3" t="s">
        <v>10</v>
      </c>
      <c r="F2228" s="5">
        <v>0</v>
      </c>
      <c r="G2228" s="5">
        <v>225</v>
      </c>
      <c r="H2228" s="6">
        <v>0</v>
      </c>
      <c r="I2228" s="22">
        <v>14018.67</v>
      </c>
      <c r="J2228" s="24">
        <f t="shared" si="102"/>
        <v>9.713707382970937E-5</v>
      </c>
      <c r="K2228" s="25">
        <f t="shared" si="104"/>
        <v>0.87179581423753805</v>
      </c>
      <c r="L2228" s="26" t="s">
        <v>7517</v>
      </c>
      <c r="M2228" s="28"/>
      <c r="N2228" s="28"/>
      <c r="O2228" s="20" t="s">
        <v>7530</v>
      </c>
      <c r="P2228" s="27" t="str">
        <f t="shared" si="103"/>
        <v>vermelho</v>
      </c>
    </row>
    <row r="2229" spans="1:16">
      <c r="A2229" s="3" t="s">
        <v>4</v>
      </c>
      <c r="B2229" s="3" t="s">
        <v>1473</v>
      </c>
      <c r="C2229" s="4">
        <v>15</v>
      </c>
      <c r="D2229" s="3" t="s">
        <v>18</v>
      </c>
      <c r="E2229" s="3" t="s">
        <v>16</v>
      </c>
      <c r="F2229" s="5">
        <v>312</v>
      </c>
      <c r="G2229" s="5">
        <v>228</v>
      </c>
      <c r="H2229" s="6">
        <v>16884.72</v>
      </c>
      <c r="I2229" s="22">
        <v>14016.84</v>
      </c>
      <c r="J2229" s="24">
        <f t="shared" si="102"/>
        <v>9.7124393536563987E-5</v>
      </c>
      <c r="K2229" s="25">
        <f t="shared" si="104"/>
        <v>0.87189293863107464</v>
      </c>
      <c r="L2229" s="26" t="s">
        <v>7517</v>
      </c>
      <c r="M2229" s="28"/>
      <c r="N2229" s="28"/>
      <c r="O2229" s="20" t="s">
        <v>7530</v>
      </c>
      <c r="P2229" s="27" t="str">
        <f t="shared" si="103"/>
        <v>vermelho</v>
      </c>
    </row>
    <row r="2230" spans="1:16" ht="25.5">
      <c r="A2230" s="3" t="s">
        <v>4</v>
      </c>
      <c r="B2230" s="3" t="s">
        <v>1474</v>
      </c>
      <c r="C2230" s="4">
        <v>167</v>
      </c>
      <c r="D2230" s="3" t="s">
        <v>251</v>
      </c>
      <c r="E2230" s="3" t="s">
        <v>49</v>
      </c>
      <c r="F2230" s="5">
        <v>177</v>
      </c>
      <c r="G2230" s="5">
        <v>249</v>
      </c>
      <c r="H2230" s="6">
        <v>10018.75</v>
      </c>
      <c r="I2230" s="22">
        <v>14016.51</v>
      </c>
      <c r="J2230" s="24">
        <f t="shared" si="102"/>
        <v>9.7122106926324656E-5</v>
      </c>
      <c r="K2230" s="25">
        <f t="shared" si="104"/>
        <v>0.871990060738001</v>
      </c>
      <c r="L2230" s="26" t="s">
        <v>7517</v>
      </c>
      <c r="M2230" s="28"/>
      <c r="N2230" s="28"/>
      <c r="O2230" s="20">
        <v>28892.400000000001</v>
      </c>
      <c r="P2230" s="27" t="str">
        <f t="shared" si="103"/>
        <v>verde</v>
      </c>
    </row>
    <row r="2231" spans="1:16" ht="25.5">
      <c r="A2231" s="3" t="s">
        <v>4</v>
      </c>
      <c r="B2231" s="3" t="s">
        <v>1475</v>
      </c>
      <c r="C2231" s="4">
        <v>273</v>
      </c>
      <c r="D2231" s="3" t="s">
        <v>149</v>
      </c>
      <c r="E2231" s="3" t="s">
        <v>16</v>
      </c>
      <c r="F2231" s="5">
        <v>0</v>
      </c>
      <c r="G2231" s="5">
        <v>222</v>
      </c>
      <c r="H2231" s="6">
        <v>0</v>
      </c>
      <c r="I2231" s="22">
        <v>14016.18</v>
      </c>
      <c r="J2231" s="24">
        <f t="shared" si="102"/>
        <v>9.7119820316085326E-5</v>
      </c>
      <c r="K2231" s="25">
        <f t="shared" si="104"/>
        <v>0.87208718055831713</v>
      </c>
      <c r="L2231" s="26" t="s">
        <v>7517</v>
      </c>
      <c r="M2231" s="28"/>
      <c r="N2231" s="28"/>
      <c r="O2231" s="20" t="s">
        <v>7530</v>
      </c>
      <c r="P2231" s="27" t="str">
        <f t="shared" si="103"/>
        <v>vermelho</v>
      </c>
    </row>
    <row r="2232" spans="1:16" ht="25.5">
      <c r="A2232" s="3" t="s">
        <v>4</v>
      </c>
      <c r="B2232" s="3" t="s">
        <v>1476</v>
      </c>
      <c r="C2232" s="4">
        <v>194</v>
      </c>
      <c r="D2232" s="3" t="s">
        <v>145</v>
      </c>
      <c r="E2232" s="3" t="s">
        <v>16</v>
      </c>
      <c r="F2232" s="5">
        <v>384</v>
      </c>
      <c r="G2232" s="5">
        <v>216</v>
      </c>
      <c r="H2232" s="6">
        <v>21012.27</v>
      </c>
      <c r="I2232" s="22">
        <v>14015.7</v>
      </c>
      <c r="J2232" s="24">
        <f t="shared" si="102"/>
        <v>9.7116494337555397E-5</v>
      </c>
      <c r="K2232" s="25">
        <f t="shared" si="104"/>
        <v>0.87218429705265466</v>
      </c>
      <c r="L2232" s="26" t="s">
        <v>7517</v>
      </c>
      <c r="M2232" s="28"/>
      <c r="N2232" s="28"/>
      <c r="O2232" s="20">
        <v>23044.44</v>
      </c>
      <c r="P2232" s="27" t="str">
        <f t="shared" si="103"/>
        <v>verde</v>
      </c>
    </row>
    <row r="2233" spans="1:16" ht="25.5">
      <c r="A2233" s="3" t="s">
        <v>6515</v>
      </c>
      <c r="B2233" s="3" t="s">
        <v>6516</v>
      </c>
      <c r="C2233" s="4">
        <v>335</v>
      </c>
      <c r="D2233" s="3" t="s">
        <v>36</v>
      </c>
      <c r="E2233" s="3" t="s">
        <v>7</v>
      </c>
      <c r="F2233" s="5">
        <v>327</v>
      </c>
      <c r="G2233" s="5">
        <v>219</v>
      </c>
      <c r="H2233" s="6">
        <v>17150.597000000002</v>
      </c>
      <c r="I2233" s="22">
        <v>14005.41</v>
      </c>
      <c r="J2233" s="24">
        <f t="shared" si="102"/>
        <v>9.7045193672819891E-5</v>
      </c>
      <c r="K2233" s="25">
        <f t="shared" si="104"/>
        <v>0.87228134224632747</v>
      </c>
      <c r="L2233" s="26" t="s">
        <v>7517</v>
      </c>
      <c r="M2233" s="28"/>
      <c r="N2233" s="28"/>
      <c r="O2233" s="20">
        <v>20344.2</v>
      </c>
      <c r="P2233" s="27" t="str">
        <f t="shared" si="103"/>
        <v>verde</v>
      </c>
    </row>
    <row r="2234" spans="1:16">
      <c r="A2234" s="3" t="s">
        <v>4</v>
      </c>
      <c r="B2234" s="3" t="s">
        <v>1477</v>
      </c>
      <c r="C2234" s="4">
        <v>231</v>
      </c>
      <c r="D2234" s="3" t="s">
        <v>52</v>
      </c>
      <c r="E2234" s="3" t="s">
        <v>7</v>
      </c>
      <c r="F2234" s="5">
        <v>192</v>
      </c>
      <c r="G2234" s="5">
        <v>235</v>
      </c>
      <c r="H2234" s="6">
        <v>12409.56</v>
      </c>
      <c r="I2234" s="22">
        <v>14002.5</v>
      </c>
      <c r="J2234" s="24">
        <f t="shared" si="102"/>
        <v>9.7025029927982144E-5</v>
      </c>
      <c r="K2234" s="25">
        <f t="shared" si="104"/>
        <v>0.87237836727625551</v>
      </c>
      <c r="L2234" s="26" t="s">
        <v>7517</v>
      </c>
      <c r="M2234" s="28">
        <v>-5.1659540100780516E-3</v>
      </c>
      <c r="N2234" s="28">
        <v>3.7177734699967262E-2</v>
      </c>
      <c r="O2234" s="20">
        <v>4005.36</v>
      </c>
      <c r="P2234" s="27" t="str">
        <f t="shared" si="103"/>
        <v>amarelo</v>
      </c>
    </row>
    <row r="2235" spans="1:16" ht="25.5">
      <c r="A2235" s="3" t="s">
        <v>6517</v>
      </c>
      <c r="B2235" s="3" t="s">
        <v>6518</v>
      </c>
      <c r="C2235" s="4">
        <v>41</v>
      </c>
      <c r="D2235" s="3" t="s">
        <v>178</v>
      </c>
      <c r="E2235" s="3" t="s">
        <v>41</v>
      </c>
      <c r="F2235" s="5">
        <v>240</v>
      </c>
      <c r="G2235" s="5">
        <v>231</v>
      </c>
      <c r="H2235" s="6">
        <v>12602.13</v>
      </c>
      <c r="I2235" s="22">
        <v>14002.37</v>
      </c>
      <c r="J2235" s="24">
        <f t="shared" si="102"/>
        <v>9.7024129142130297E-5</v>
      </c>
      <c r="K2235" s="25">
        <f t="shared" si="104"/>
        <v>0.87247539140539765</v>
      </c>
      <c r="L2235" s="26" t="s">
        <v>7517</v>
      </c>
      <c r="M2235" s="28"/>
      <c r="N2235" s="28"/>
      <c r="O2235" s="20">
        <v>11502.08</v>
      </c>
      <c r="P2235" s="27" t="str">
        <f t="shared" si="103"/>
        <v>laranja</v>
      </c>
    </row>
    <row r="2236" spans="1:16" ht="25.5">
      <c r="A2236" s="3" t="s">
        <v>4</v>
      </c>
      <c r="B2236" s="3" t="s">
        <v>1478</v>
      </c>
      <c r="C2236" s="4">
        <v>266</v>
      </c>
      <c r="D2236" s="3" t="s">
        <v>80</v>
      </c>
      <c r="E2236" s="3" t="s">
        <v>10</v>
      </c>
      <c r="F2236" s="5">
        <v>0</v>
      </c>
      <c r="G2236" s="5">
        <v>246</v>
      </c>
      <c r="H2236" s="6">
        <v>0</v>
      </c>
      <c r="I2236" s="22">
        <v>14002.14</v>
      </c>
      <c r="J2236" s="24">
        <f t="shared" si="102"/>
        <v>9.7022535444084694E-5</v>
      </c>
      <c r="K2236" s="25">
        <f t="shared" si="104"/>
        <v>0.87257241394084173</v>
      </c>
      <c r="L2236" s="26" t="s">
        <v>7517</v>
      </c>
      <c r="M2236" s="28"/>
      <c r="N2236" s="28"/>
      <c r="O2236" s="20" t="s">
        <v>7530</v>
      </c>
      <c r="P2236" s="27" t="str">
        <f t="shared" si="103"/>
        <v>vermelho</v>
      </c>
    </row>
    <row r="2237" spans="1:16" ht="25.5">
      <c r="A2237" s="3" t="s">
        <v>4</v>
      </c>
      <c r="B2237" s="3" t="s">
        <v>1479</v>
      </c>
      <c r="C2237" s="4">
        <v>328</v>
      </c>
      <c r="D2237" s="3" t="s">
        <v>215</v>
      </c>
      <c r="E2237" s="3" t="s">
        <v>41</v>
      </c>
      <c r="F2237" s="5">
        <v>120</v>
      </c>
      <c r="G2237" s="5">
        <v>246</v>
      </c>
      <c r="H2237" s="6">
        <v>7153.08</v>
      </c>
      <c r="I2237" s="22">
        <v>13989.548000000001</v>
      </c>
      <c r="J2237" s="24">
        <f t="shared" si="102"/>
        <v>9.6935283940649373E-5</v>
      </c>
      <c r="K2237" s="25">
        <f t="shared" si="104"/>
        <v>0.87266934922478234</v>
      </c>
      <c r="L2237" s="26" t="s">
        <v>7517</v>
      </c>
      <c r="M2237" s="28"/>
      <c r="N2237" s="28"/>
      <c r="O2237" s="20">
        <v>5000.04</v>
      </c>
      <c r="P2237" s="27" t="str">
        <f t="shared" si="103"/>
        <v>amarelo</v>
      </c>
    </row>
    <row r="2238" spans="1:16" ht="38.25">
      <c r="A2238" s="3" t="s">
        <v>4</v>
      </c>
      <c r="B2238" s="3" t="s">
        <v>1480</v>
      </c>
      <c r="C2238" s="4">
        <v>208</v>
      </c>
      <c r="D2238" s="3" t="s">
        <v>15</v>
      </c>
      <c r="E2238" s="3" t="s">
        <v>16</v>
      </c>
      <c r="F2238" s="5">
        <v>336</v>
      </c>
      <c r="G2238" s="5">
        <v>252</v>
      </c>
      <c r="H2238" s="6">
        <v>19036.32</v>
      </c>
      <c r="I2238" s="22">
        <v>13970.976000000001</v>
      </c>
      <c r="J2238" s="24">
        <f t="shared" si="102"/>
        <v>9.6806596288028592E-5</v>
      </c>
      <c r="K2238" s="25">
        <f t="shared" si="104"/>
        <v>0.87276615582107042</v>
      </c>
      <c r="L2238" s="26" t="s">
        <v>7517</v>
      </c>
      <c r="M2238" s="28"/>
      <c r="N2238" s="28"/>
      <c r="O2238" s="20" t="s">
        <v>7530</v>
      </c>
      <c r="P2238" s="27" t="str">
        <f t="shared" si="103"/>
        <v>vermelho</v>
      </c>
    </row>
    <row r="2239" spans="1:16" ht="25.5">
      <c r="A2239" s="3" t="s">
        <v>6519</v>
      </c>
      <c r="B2239" s="3" t="s">
        <v>6520</v>
      </c>
      <c r="C2239" s="4">
        <v>320</v>
      </c>
      <c r="D2239" s="3" t="s">
        <v>218</v>
      </c>
      <c r="E2239" s="3" t="s">
        <v>49</v>
      </c>
      <c r="F2239" s="5">
        <v>144</v>
      </c>
      <c r="G2239" s="5">
        <v>285</v>
      </c>
      <c r="H2239" s="6">
        <v>7620.48</v>
      </c>
      <c r="I2239" s="22">
        <v>13963.35</v>
      </c>
      <c r="J2239" s="24">
        <f t="shared" si="102"/>
        <v>9.6753754804134235E-5</v>
      </c>
      <c r="K2239" s="25">
        <f t="shared" si="104"/>
        <v>0.87286290957587453</v>
      </c>
      <c r="L2239" s="26" t="s">
        <v>7517</v>
      </c>
      <c r="M2239" s="28"/>
      <c r="N2239" s="28"/>
      <c r="O2239" s="20" t="s">
        <v>7530</v>
      </c>
      <c r="P2239" s="27" t="str">
        <f t="shared" si="103"/>
        <v>vermelho</v>
      </c>
    </row>
    <row r="2240" spans="1:16" ht="38.25">
      <c r="A2240" s="3" t="s">
        <v>4</v>
      </c>
      <c r="B2240" s="3" t="s">
        <v>1482</v>
      </c>
      <c r="C2240" s="4">
        <v>34</v>
      </c>
      <c r="D2240" s="3" t="s">
        <v>54</v>
      </c>
      <c r="E2240" s="3" t="s">
        <v>49</v>
      </c>
      <c r="F2240" s="5">
        <v>204</v>
      </c>
      <c r="G2240" s="5">
        <v>204</v>
      </c>
      <c r="H2240" s="6">
        <v>8819.52</v>
      </c>
      <c r="I2240" s="22">
        <v>13955.28</v>
      </c>
      <c r="J2240" s="24">
        <f t="shared" si="102"/>
        <v>9.6697836790099681E-5</v>
      </c>
      <c r="K2240" s="25">
        <f t="shared" si="104"/>
        <v>0.87295960741266465</v>
      </c>
      <c r="L2240" s="26" t="s">
        <v>7517</v>
      </c>
      <c r="M2240" s="28"/>
      <c r="N2240" s="28"/>
      <c r="O2240" s="20" t="s">
        <v>7530</v>
      </c>
      <c r="P2240" s="27" t="str">
        <f t="shared" si="103"/>
        <v>vermelho</v>
      </c>
    </row>
    <row r="2241" spans="1:16" ht="25.5">
      <c r="A2241" s="3" t="s">
        <v>4</v>
      </c>
      <c r="B2241" s="3" t="s">
        <v>1483</v>
      </c>
      <c r="C2241" s="4">
        <v>332</v>
      </c>
      <c r="D2241" s="3" t="s">
        <v>1470</v>
      </c>
      <c r="E2241" s="3" t="s">
        <v>13</v>
      </c>
      <c r="F2241" s="5">
        <v>0</v>
      </c>
      <c r="G2241" s="5">
        <v>204</v>
      </c>
      <c r="H2241" s="6">
        <v>0</v>
      </c>
      <c r="I2241" s="22">
        <v>13955.28</v>
      </c>
      <c r="J2241" s="24">
        <f t="shared" si="102"/>
        <v>9.6697836790099681E-5</v>
      </c>
      <c r="K2241" s="25">
        <f t="shared" si="104"/>
        <v>0.87305630524945477</v>
      </c>
      <c r="L2241" s="26" t="s">
        <v>7517</v>
      </c>
      <c r="M2241" s="28"/>
      <c r="N2241" s="28"/>
      <c r="O2241" s="20" t="s">
        <v>7530</v>
      </c>
      <c r="P2241" s="27" t="str">
        <f t="shared" si="103"/>
        <v>vermelho</v>
      </c>
    </row>
    <row r="2242" spans="1:16">
      <c r="A2242" s="3" t="s">
        <v>4</v>
      </c>
      <c r="B2242" s="3" t="s">
        <v>1484</v>
      </c>
      <c r="C2242" s="4">
        <v>232</v>
      </c>
      <c r="D2242" s="3" t="s">
        <v>174</v>
      </c>
      <c r="E2242" s="3" t="s">
        <v>16</v>
      </c>
      <c r="F2242" s="5">
        <v>132</v>
      </c>
      <c r="G2242" s="5">
        <v>240</v>
      </c>
      <c r="H2242" s="6">
        <v>6255.12</v>
      </c>
      <c r="I2242" s="22">
        <v>13949.76</v>
      </c>
      <c r="J2242" s="24">
        <f t="shared" si="102"/>
        <v>9.6659588037005412E-5</v>
      </c>
      <c r="K2242" s="25">
        <f t="shared" si="104"/>
        <v>0.87315296483749172</v>
      </c>
      <c r="L2242" s="26" t="s">
        <v>7517</v>
      </c>
      <c r="M2242" s="28">
        <v>1.4938668352681452E-2</v>
      </c>
      <c r="N2242" s="28"/>
      <c r="O2242" s="20">
        <v>13949.76</v>
      </c>
      <c r="P2242" s="27" t="str">
        <f t="shared" si="103"/>
        <v>verde</v>
      </c>
    </row>
    <row r="2243" spans="1:16" ht="25.5">
      <c r="A2243" s="3" t="s">
        <v>4</v>
      </c>
      <c r="B2243" s="3" t="s">
        <v>1485</v>
      </c>
      <c r="C2243" s="4">
        <v>197</v>
      </c>
      <c r="D2243" s="3" t="s">
        <v>66</v>
      </c>
      <c r="E2243" s="3" t="s">
        <v>41</v>
      </c>
      <c r="F2243" s="5">
        <v>336</v>
      </c>
      <c r="G2243" s="5">
        <v>252</v>
      </c>
      <c r="H2243" s="6">
        <v>17700.666000000001</v>
      </c>
      <c r="I2243" s="22">
        <v>13942.477999999999</v>
      </c>
      <c r="J2243" s="24">
        <f t="shared" ref="J2243:J2306" si="105">I2243/$I$6364</f>
        <v>9.6609130171057496E-5</v>
      </c>
      <c r="K2243" s="25">
        <f t="shared" si="104"/>
        <v>0.87324957396766278</v>
      </c>
      <c r="L2243" s="26" t="s">
        <v>7517</v>
      </c>
      <c r="M2243" s="28"/>
      <c r="N2243" s="28"/>
      <c r="O2243" s="20">
        <v>11143</v>
      </c>
      <c r="P2243" s="27" t="str">
        <f t="shared" ref="P2243:P2306" si="106">IF(O2243&lt;=0,"vermelho",IFERROR(IF(O2243/I2243&lt;=0.5098,"amarelo",IF(O2243/I2243&lt;1,"laranja","verde")),"vermelho"))</f>
        <v>laranja</v>
      </c>
    </row>
    <row r="2244" spans="1:16" ht="25.5">
      <c r="A2244" s="3" t="s">
        <v>4</v>
      </c>
      <c r="B2244" s="3" t="s">
        <v>1486</v>
      </c>
      <c r="C2244" s="4">
        <v>178</v>
      </c>
      <c r="D2244" s="3" t="s">
        <v>74</v>
      </c>
      <c r="E2244" s="3" t="s">
        <v>7</v>
      </c>
      <c r="F2244" s="5">
        <v>309</v>
      </c>
      <c r="G2244" s="5">
        <v>216</v>
      </c>
      <c r="H2244" s="6">
        <v>19566.060000000001</v>
      </c>
      <c r="I2244" s="22">
        <v>13941.84</v>
      </c>
      <c r="J2244" s="24">
        <f t="shared" si="105"/>
        <v>9.6604709391261457E-5</v>
      </c>
      <c r="K2244" s="25">
        <f t="shared" ref="K2244:K2307" si="107">J2244+K2243</f>
        <v>0.873346178677054</v>
      </c>
      <c r="L2244" s="26" t="s">
        <v>7517</v>
      </c>
      <c r="M2244" s="28"/>
      <c r="N2244" s="28"/>
      <c r="O2244" s="20">
        <v>16743.36</v>
      </c>
      <c r="P2244" s="27" t="str">
        <f t="shared" si="106"/>
        <v>verde</v>
      </c>
    </row>
    <row r="2245" spans="1:16" ht="25.5">
      <c r="A2245" s="3" t="s">
        <v>6521</v>
      </c>
      <c r="B2245" s="3" t="s">
        <v>6522</v>
      </c>
      <c r="C2245" s="4">
        <v>31</v>
      </c>
      <c r="D2245" s="3" t="s">
        <v>194</v>
      </c>
      <c r="E2245" s="3" t="s">
        <v>16</v>
      </c>
      <c r="F2245" s="5">
        <v>318</v>
      </c>
      <c r="G2245" s="5">
        <v>258</v>
      </c>
      <c r="H2245" s="6">
        <v>20430.060000000001</v>
      </c>
      <c r="I2245" s="22">
        <v>13908.18</v>
      </c>
      <c r="J2245" s="24">
        <f t="shared" si="105"/>
        <v>9.6371475146849684E-5</v>
      </c>
      <c r="K2245" s="25">
        <f t="shared" si="107"/>
        <v>0.87344255015220085</v>
      </c>
      <c r="L2245" s="26" t="s">
        <v>7517</v>
      </c>
      <c r="M2245" s="28"/>
      <c r="N2245" s="28"/>
      <c r="O2245" s="20" t="s">
        <v>7530</v>
      </c>
      <c r="P2245" s="27" t="str">
        <f t="shared" si="106"/>
        <v>vermelho</v>
      </c>
    </row>
    <row r="2246" spans="1:16" ht="38.25">
      <c r="A2246" s="3" t="s">
        <v>4</v>
      </c>
      <c r="B2246" s="3" t="s">
        <v>1487</v>
      </c>
      <c r="C2246" s="4">
        <v>38</v>
      </c>
      <c r="D2246" s="3" t="s">
        <v>184</v>
      </c>
      <c r="E2246" s="3" t="s">
        <v>49</v>
      </c>
      <c r="F2246" s="5">
        <v>288</v>
      </c>
      <c r="G2246" s="5">
        <v>246</v>
      </c>
      <c r="H2246" s="6">
        <v>15949.74</v>
      </c>
      <c r="I2246" s="22">
        <v>13906.11</v>
      </c>
      <c r="J2246" s="24">
        <f t="shared" si="105"/>
        <v>9.6357131864439343E-5</v>
      </c>
      <c r="K2246" s="25">
        <f t="shared" si="107"/>
        <v>0.87353890728406525</v>
      </c>
      <c r="L2246" s="26" t="s">
        <v>7517</v>
      </c>
      <c r="M2246" s="28"/>
      <c r="N2246" s="28"/>
      <c r="O2246" s="20" t="s">
        <v>7530</v>
      </c>
      <c r="P2246" s="27" t="str">
        <f t="shared" si="106"/>
        <v>vermelho</v>
      </c>
    </row>
    <row r="2247" spans="1:16" ht="25.5">
      <c r="A2247" s="3" t="s">
        <v>4</v>
      </c>
      <c r="B2247" s="3" t="s">
        <v>1488</v>
      </c>
      <c r="C2247" s="4">
        <v>264</v>
      </c>
      <c r="D2247" s="3" t="s">
        <v>40</v>
      </c>
      <c r="E2247" s="3" t="s">
        <v>41</v>
      </c>
      <c r="F2247" s="5">
        <v>0</v>
      </c>
      <c r="G2247" s="5">
        <v>216</v>
      </c>
      <c r="H2247" s="6">
        <v>0</v>
      </c>
      <c r="I2247" s="22">
        <v>13892.183999999999</v>
      </c>
      <c r="J2247" s="24">
        <f t="shared" si="105"/>
        <v>9.6260636912339563E-5</v>
      </c>
      <c r="K2247" s="25">
        <f t="shared" si="107"/>
        <v>0.87363516792097762</v>
      </c>
      <c r="L2247" s="26" t="s">
        <v>7517</v>
      </c>
      <c r="M2247" s="28"/>
      <c r="N2247" s="28"/>
      <c r="O2247" s="20" t="s">
        <v>7530</v>
      </c>
      <c r="P2247" s="27" t="str">
        <f t="shared" si="106"/>
        <v>vermelho</v>
      </c>
    </row>
    <row r="2248" spans="1:16" ht="25.5">
      <c r="A2248" s="3" t="s">
        <v>4</v>
      </c>
      <c r="B2248" s="3" t="s">
        <v>1489</v>
      </c>
      <c r="C2248" s="4">
        <v>315</v>
      </c>
      <c r="D2248" s="3" t="s">
        <v>63</v>
      </c>
      <c r="E2248" s="3" t="s">
        <v>7</v>
      </c>
      <c r="F2248" s="5">
        <v>276</v>
      </c>
      <c r="G2248" s="5">
        <v>222</v>
      </c>
      <c r="H2248" s="6">
        <v>15833.88</v>
      </c>
      <c r="I2248" s="22">
        <v>13892.003000000001</v>
      </c>
      <c r="J2248" s="24">
        <f t="shared" si="105"/>
        <v>9.625938274126891E-5</v>
      </c>
      <c r="K2248" s="25">
        <f t="shared" si="107"/>
        <v>0.87373142730371889</v>
      </c>
      <c r="L2248" s="26" t="s">
        <v>7517</v>
      </c>
      <c r="M2248" s="28"/>
      <c r="N2248" s="28"/>
      <c r="O2248" s="20" t="s">
        <v>7530</v>
      </c>
      <c r="P2248" s="27" t="str">
        <f t="shared" si="106"/>
        <v>vermelho</v>
      </c>
    </row>
    <row r="2249" spans="1:16" ht="25.5">
      <c r="A2249" s="3" t="s">
        <v>4</v>
      </c>
      <c r="B2249" s="3" t="s">
        <v>1490</v>
      </c>
      <c r="C2249" s="4">
        <v>178</v>
      </c>
      <c r="D2249" s="3" t="s">
        <v>74</v>
      </c>
      <c r="E2249" s="3" t="s">
        <v>7</v>
      </c>
      <c r="F2249" s="5">
        <v>390</v>
      </c>
      <c r="G2249" s="5">
        <v>240</v>
      </c>
      <c r="H2249" s="6">
        <v>21093.54</v>
      </c>
      <c r="I2249" s="22">
        <v>13890.84</v>
      </c>
      <c r="J2249" s="24">
        <f t="shared" si="105"/>
        <v>9.6251324172455749E-5</v>
      </c>
      <c r="K2249" s="25">
        <f t="shared" si="107"/>
        <v>0.87382767862789135</v>
      </c>
      <c r="L2249" s="26" t="s">
        <v>7517</v>
      </c>
      <c r="M2249" s="28"/>
      <c r="N2249" s="28"/>
      <c r="O2249" s="20" t="s">
        <v>7530</v>
      </c>
      <c r="P2249" s="27" t="str">
        <f t="shared" si="106"/>
        <v>vermelho</v>
      </c>
    </row>
    <row r="2250" spans="1:16" ht="38.25">
      <c r="A2250" s="3" t="s">
        <v>6523</v>
      </c>
      <c r="B2250" s="3" t="s">
        <v>6524</v>
      </c>
      <c r="C2250" s="4">
        <v>45</v>
      </c>
      <c r="D2250" s="3" t="s">
        <v>23</v>
      </c>
      <c r="E2250" s="3" t="s">
        <v>7</v>
      </c>
      <c r="F2250" s="5">
        <v>204</v>
      </c>
      <c r="G2250" s="5">
        <v>216</v>
      </c>
      <c r="H2250" s="6">
        <v>13314.96</v>
      </c>
      <c r="I2250" s="22">
        <v>13888.68</v>
      </c>
      <c r="J2250" s="24">
        <f t="shared" si="105"/>
        <v>9.6236357269071035E-5</v>
      </c>
      <c r="K2250" s="25">
        <f t="shared" si="107"/>
        <v>0.87392391498516042</v>
      </c>
      <c r="L2250" s="26" t="s">
        <v>7517</v>
      </c>
      <c r="M2250" s="28"/>
      <c r="N2250" s="28"/>
      <c r="O2250" s="20">
        <v>8713.77</v>
      </c>
      <c r="P2250" s="27" t="str">
        <f t="shared" si="106"/>
        <v>laranja</v>
      </c>
    </row>
    <row r="2251" spans="1:16" ht="38.25">
      <c r="A2251" s="3" t="s">
        <v>4</v>
      </c>
      <c r="B2251" s="3" t="s">
        <v>1491</v>
      </c>
      <c r="C2251" s="4">
        <v>11</v>
      </c>
      <c r="D2251" s="3" t="s">
        <v>61</v>
      </c>
      <c r="E2251" s="3" t="s">
        <v>10</v>
      </c>
      <c r="F2251" s="5">
        <v>0</v>
      </c>
      <c r="G2251" s="5">
        <v>231</v>
      </c>
      <c r="H2251" s="6">
        <v>0</v>
      </c>
      <c r="I2251" s="22">
        <v>13887.69</v>
      </c>
      <c r="J2251" s="24">
        <f t="shared" si="105"/>
        <v>9.6229497438353044E-5</v>
      </c>
      <c r="K2251" s="25">
        <f t="shared" si="107"/>
        <v>0.87402014448259879</v>
      </c>
      <c r="L2251" s="26" t="s">
        <v>7517</v>
      </c>
      <c r="M2251" s="28"/>
      <c r="N2251" s="28"/>
      <c r="O2251" s="20">
        <v>11975.64</v>
      </c>
      <c r="P2251" s="27" t="str">
        <f t="shared" si="106"/>
        <v>laranja</v>
      </c>
    </row>
    <row r="2252" spans="1:16" ht="25.5">
      <c r="A2252" s="3" t="s">
        <v>4</v>
      </c>
      <c r="B2252" s="3" t="s">
        <v>1492</v>
      </c>
      <c r="C2252" s="4">
        <v>267</v>
      </c>
      <c r="D2252" s="3" t="s">
        <v>125</v>
      </c>
      <c r="E2252" s="3" t="s">
        <v>16</v>
      </c>
      <c r="F2252" s="5">
        <v>96</v>
      </c>
      <c r="G2252" s="5">
        <v>249</v>
      </c>
      <c r="H2252" s="6">
        <v>5916.6</v>
      </c>
      <c r="I2252" s="22">
        <v>13880.76</v>
      </c>
      <c r="J2252" s="24">
        <f t="shared" si="105"/>
        <v>9.6181478623327081E-5</v>
      </c>
      <c r="K2252" s="25">
        <f t="shared" si="107"/>
        <v>0.87411632596122213</v>
      </c>
      <c r="L2252" s="26" t="s">
        <v>7517</v>
      </c>
      <c r="M2252" s="28"/>
      <c r="N2252" s="28">
        <v>1.1327321405466134E-2</v>
      </c>
      <c r="O2252" s="20">
        <v>3131.4</v>
      </c>
      <c r="P2252" s="27" t="str">
        <f t="shared" si="106"/>
        <v>amarelo</v>
      </c>
    </row>
    <row r="2253" spans="1:16" ht="25.5">
      <c r="A2253" s="3" t="s">
        <v>4</v>
      </c>
      <c r="B2253" s="3" t="s">
        <v>1493</v>
      </c>
      <c r="C2253" s="4">
        <v>217</v>
      </c>
      <c r="D2253" s="3" t="s">
        <v>91</v>
      </c>
      <c r="E2253" s="3" t="s">
        <v>16</v>
      </c>
      <c r="F2253" s="5">
        <v>72</v>
      </c>
      <c r="G2253" s="5">
        <v>237</v>
      </c>
      <c r="H2253" s="6">
        <v>4449.72</v>
      </c>
      <c r="I2253" s="22">
        <v>13868.01</v>
      </c>
      <c r="J2253" s="24">
        <f t="shared" si="105"/>
        <v>9.609313231862565E-5</v>
      </c>
      <c r="K2253" s="25">
        <f t="shared" si="107"/>
        <v>0.87421241909354075</v>
      </c>
      <c r="L2253" s="26" t="s">
        <v>7517</v>
      </c>
      <c r="M2253" s="28"/>
      <c r="N2253" s="28"/>
      <c r="O2253" s="20" t="s">
        <v>7530</v>
      </c>
      <c r="P2253" s="27" t="str">
        <f t="shared" si="106"/>
        <v>vermelho</v>
      </c>
    </row>
    <row r="2254" spans="1:16" ht="25.5">
      <c r="A2254" s="3" t="s">
        <v>4</v>
      </c>
      <c r="B2254" s="3" t="s">
        <v>1494</v>
      </c>
      <c r="C2254" s="4">
        <v>267</v>
      </c>
      <c r="D2254" s="3" t="s">
        <v>125</v>
      </c>
      <c r="E2254" s="3" t="s">
        <v>16</v>
      </c>
      <c r="F2254" s="5">
        <v>63</v>
      </c>
      <c r="G2254" s="5">
        <v>228</v>
      </c>
      <c r="H2254" s="6">
        <v>2916.54</v>
      </c>
      <c r="I2254" s="22">
        <v>13864.98</v>
      </c>
      <c r="J2254" s="24">
        <f t="shared" si="105"/>
        <v>9.6072137079155425E-5</v>
      </c>
      <c r="K2254" s="25">
        <f t="shared" si="107"/>
        <v>0.87430849123061993</v>
      </c>
      <c r="L2254" s="26" t="s">
        <v>7517</v>
      </c>
      <c r="M2254" s="28"/>
      <c r="N2254" s="28"/>
      <c r="O2254" s="20" t="s">
        <v>7530</v>
      </c>
      <c r="P2254" s="27" t="str">
        <f t="shared" si="106"/>
        <v>vermelho</v>
      </c>
    </row>
    <row r="2255" spans="1:16" ht="38.25">
      <c r="A2255" s="3" t="s">
        <v>4</v>
      </c>
      <c r="B2255" s="3" t="s">
        <v>1496</v>
      </c>
      <c r="C2255" s="4">
        <v>34</v>
      </c>
      <c r="D2255" s="3" t="s">
        <v>54</v>
      </c>
      <c r="E2255" s="3" t="s">
        <v>49</v>
      </c>
      <c r="F2255" s="5">
        <v>225</v>
      </c>
      <c r="G2255" s="5">
        <v>231</v>
      </c>
      <c r="H2255" s="6">
        <v>12033.75</v>
      </c>
      <c r="I2255" s="22">
        <v>13843.5</v>
      </c>
      <c r="J2255" s="24">
        <f t="shared" si="105"/>
        <v>9.592329953994078E-5</v>
      </c>
      <c r="K2255" s="25">
        <f t="shared" si="107"/>
        <v>0.87440441453015982</v>
      </c>
      <c r="L2255" s="26" t="s">
        <v>7517</v>
      </c>
      <c r="M2255" s="28"/>
      <c r="N2255" s="28"/>
      <c r="O2255" s="20" t="s">
        <v>7530</v>
      </c>
      <c r="P2255" s="27" t="str">
        <f t="shared" si="106"/>
        <v>vermelho</v>
      </c>
    </row>
    <row r="2256" spans="1:16" ht="25.5">
      <c r="A2256" s="3" t="s">
        <v>4</v>
      </c>
      <c r="B2256" s="3" t="s">
        <v>1497</v>
      </c>
      <c r="C2256" s="4">
        <v>273</v>
      </c>
      <c r="D2256" s="3" t="s">
        <v>149</v>
      </c>
      <c r="E2256" s="3" t="s">
        <v>16</v>
      </c>
      <c r="F2256" s="5">
        <v>228</v>
      </c>
      <c r="G2256" s="5">
        <v>243</v>
      </c>
      <c r="H2256" s="6">
        <v>11731.14</v>
      </c>
      <c r="I2256" s="22">
        <v>13843.348</v>
      </c>
      <c r="J2256" s="24">
        <f t="shared" si="105"/>
        <v>9.5922246313406311E-5</v>
      </c>
      <c r="K2256" s="25">
        <f t="shared" si="107"/>
        <v>0.87450033677647321</v>
      </c>
      <c r="L2256" s="26" t="s">
        <v>7517</v>
      </c>
      <c r="M2256" s="28"/>
      <c r="N2256" s="28"/>
      <c r="O2256" s="20" t="s">
        <v>7530</v>
      </c>
      <c r="P2256" s="27" t="str">
        <f t="shared" si="106"/>
        <v>vermelho</v>
      </c>
    </row>
    <row r="2257" spans="1:16" ht="38.25">
      <c r="A2257" s="3" t="s">
        <v>4</v>
      </c>
      <c r="B2257" s="3" t="s">
        <v>1498</v>
      </c>
      <c r="C2257" s="4">
        <v>371</v>
      </c>
      <c r="D2257" s="3" t="s">
        <v>82</v>
      </c>
      <c r="E2257" s="3" t="s">
        <v>49</v>
      </c>
      <c r="F2257" s="5">
        <v>192</v>
      </c>
      <c r="G2257" s="5">
        <v>252</v>
      </c>
      <c r="H2257" s="6">
        <v>9861.7199999999993</v>
      </c>
      <c r="I2257" s="22">
        <v>13821.48</v>
      </c>
      <c r="J2257" s="24">
        <f t="shared" si="105"/>
        <v>9.5770720274879968E-5</v>
      </c>
      <c r="K2257" s="25">
        <f t="shared" si="107"/>
        <v>0.8745961074967481</v>
      </c>
      <c r="L2257" s="26" t="s">
        <v>7517</v>
      </c>
      <c r="M2257" s="28"/>
      <c r="N2257" s="28"/>
      <c r="O2257" s="20" t="s">
        <v>7530</v>
      </c>
      <c r="P2257" s="27" t="str">
        <f t="shared" si="106"/>
        <v>vermelho</v>
      </c>
    </row>
    <row r="2258" spans="1:16" ht="51">
      <c r="A2258" s="3" t="s">
        <v>6525</v>
      </c>
      <c r="B2258" s="3" t="s">
        <v>6526</v>
      </c>
      <c r="C2258" s="4">
        <v>282</v>
      </c>
      <c r="D2258" s="3" t="s">
        <v>12</v>
      </c>
      <c r="E2258" s="3" t="s">
        <v>13</v>
      </c>
      <c r="F2258" s="5">
        <v>483</v>
      </c>
      <c r="G2258" s="5">
        <v>261</v>
      </c>
      <c r="H2258" s="6">
        <v>20954.330999999998</v>
      </c>
      <c r="I2258" s="22">
        <v>13820.316999999999</v>
      </c>
      <c r="J2258" s="24">
        <f t="shared" si="105"/>
        <v>9.5762661706066794E-5</v>
      </c>
      <c r="K2258" s="25">
        <f t="shared" si="107"/>
        <v>0.87469187015845418</v>
      </c>
      <c r="L2258" s="26" t="s">
        <v>7517</v>
      </c>
      <c r="M2258" s="28"/>
      <c r="N2258" s="28"/>
      <c r="O2258" s="20" t="s">
        <v>7530</v>
      </c>
      <c r="P2258" s="27" t="str">
        <f t="shared" si="106"/>
        <v>vermelho</v>
      </c>
    </row>
    <row r="2259" spans="1:16" ht="25.5">
      <c r="A2259" s="3" t="s">
        <v>4</v>
      </c>
      <c r="B2259" s="3" t="s">
        <v>1499</v>
      </c>
      <c r="C2259" s="4">
        <v>266</v>
      </c>
      <c r="D2259" s="3" t="s">
        <v>80</v>
      </c>
      <c r="E2259" s="3" t="s">
        <v>10</v>
      </c>
      <c r="F2259" s="5">
        <v>474</v>
      </c>
      <c r="G2259" s="5">
        <v>222</v>
      </c>
      <c r="H2259" s="6">
        <v>27396</v>
      </c>
      <c r="I2259" s="22">
        <v>13819.8</v>
      </c>
      <c r="J2259" s="24">
        <f t="shared" si="105"/>
        <v>9.5759079350025183E-5</v>
      </c>
      <c r="K2259" s="25">
        <f t="shared" si="107"/>
        <v>0.87478762923780418</v>
      </c>
      <c r="L2259" s="26" t="s">
        <v>7517</v>
      </c>
      <c r="M2259" s="28"/>
      <c r="N2259" s="28"/>
      <c r="O2259" s="20" t="s">
        <v>7530</v>
      </c>
      <c r="P2259" s="27" t="str">
        <f t="shared" si="106"/>
        <v>vermelho</v>
      </c>
    </row>
    <row r="2260" spans="1:16" ht="25.5">
      <c r="A2260" s="3" t="s">
        <v>4</v>
      </c>
      <c r="B2260" s="3" t="s">
        <v>1500</v>
      </c>
      <c r="C2260" s="4">
        <v>315</v>
      </c>
      <c r="D2260" s="3" t="s">
        <v>63</v>
      </c>
      <c r="E2260" s="3" t="s">
        <v>7</v>
      </c>
      <c r="F2260" s="5">
        <v>123</v>
      </c>
      <c r="G2260" s="5">
        <v>237</v>
      </c>
      <c r="H2260" s="6">
        <v>7492.23</v>
      </c>
      <c r="I2260" s="22">
        <v>13817.775</v>
      </c>
      <c r="J2260" s="24">
        <f t="shared" si="105"/>
        <v>9.5745047878102022E-5</v>
      </c>
      <c r="K2260" s="25">
        <f t="shared" si="107"/>
        <v>0.8748833742856823</v>
      </c>
      <c r="L2260" s="26" t="s">
        <v>7517</v>
      </c>
      <c r="M2260" s="28"/>
      <c r="N2260" s="28"/>
      <c r="O2260" s="20" t="s">
        <v>7530</v>
      </c>
      <c r="P2260" s="27" t="str">
        <f t="shared" si="106"/>
        <v>vermelho</v>
      </c>
    </row>
    <row r="2261" spans="1:16" ht="38.25">
      <c r="A2261" s="3" t="s">
        <v>4</v>
      </c>
      <c r="B2261" s="3" t="s">
        <v>1501</v>
      </c>
      <c r="C2261" s="4">
        <v>45</v>
      </c>
      <c r="D2261" s="3" t="s">
        <v>23</v>
      </c>
      <c r="E2261" s="3" t="s">
        <v>7</v>
      </c>
      <c r="F2261" s="5">
        <v>180</v>
      </c>
      <c r="G2261" s="5">
        <v>252</v>
      </c>
      <c r="H2261" s="6">
        <v>9034.2000000000007</v>
      </c>
      <c r="I2261" s="22">
        <v>13795.32</v>
      </c>
      <c r="J2261" s="24">
        <f t="shared" si="105"/>
        <v>9.5589454444998447E-5</v>
      </c>
      <c r="K2261" s="25">
        <f t="shared" si="107"/>
        <v>0.87497896374012729</v>
      </c>
      <c r="L2261" s="26" t="s">
        <v>7517</v>
      </c>
      <c r="M2261" s="28"/>
      <c r="N2261" s="28"/>
      <c r="O2261" s="20" t="s">
        <v>7530</v>
      </c>
      <c r="P2261" s="27" t="str">
        <f t="shared" si="106"/>
        <v>vermelho</v>
      </c>
    </row>
    <row r="2262" spans="1:16" ht="38.25">
      <c r="A2262" s="3" t="s">
        <v>4</v>
      </c>
      <c r="B2262" s="3" t="s">
        <v>1502</v>
      </c>
      <c r="C2262" s="4">
        <v>45</v>
      </c>
      <c r="D2262" s="3" t="s">
        <v>23</v>
      </c>
      <c r="E2262" s="3" t="s">
        <v>7</v>
      </c>
      <c r="F2262" s="5">
        <v>180</v>
      </c>
      <c r="G2262" s="5">
        <v>252</v>
      </c>
      <c r="H2262" s="6">
        <v>9034.2000000000007</v>
      </c>
      <c r="I2262" s="22">
        <v>13795.32</v>
      </c>
      <c r="J2262" s="24">
        <f t="shared" si="105"/>
        <v>9.5589454444998447E-5</v>
      </c>
      <c r="K2262" s="25">
        <f t="shared" si="107"/>
        <v>0.87507455319457228</v>
      </c>
      <c r="L2262" s="26" t="s">
        <v>7517</v>
      </c>
      <c r="M2262" s="28"/>
      <c r="N2262" s="28"/>
      <c r="O2262" s="20" t="s">
        <v>7530</v>
      </c>
      <c r="P2262" s="27" t="str">
        <f t="shared" si="106"/>
        <v>vermelho</v>
      </c>
    </row>
    <row r="2263" spans="1:16" ht="38.25">
      <c r="A2263" s="3" t="s">
        <v>4</v>
      </c>
      <c r="B2263" s="3" t="s">
        <v>1503</v>
      </c>
      <c r="C2263" s="4">
        <v>45</v>
      </c>
      <c r="D2263" s="3" t="s">
        <v>23</v>
      </c>
      <c r="E2263" s="3" t="s">
        <v>7</v>
      </c>
      <c r="F2263" s="5">
        <v>180</v>
      </c>
      <c r="G2263" s="5">
        <v>252</v>
      </c>
      <c r="H2263" s="6">
        <v>9034.2000000000007</v>
      </c>
      <c r="I2263" s="22">
        <v>13795.32</v>
      </c>
      <c r="J2263" s="24">
        <f t="shared" si="105"/>
        <v>9.5589454444998447E-5</v>
      </c>
      <c r="K2263" s="25">
        <f t="shared" si="107"/>
        <v>0.87517014264901727</v>
      </c>
      <c r="L2263" s="26" t="s">
        <v>7517</v>
      </c>
      <c r="M2263" s="28"/>
      <c r="N2263" s="28"/>
      <c r="O2263" s="20" t="s">
        <v>7530</v>
      </c>
      <c r="P2263" s="27" t="str">
        <f t="shared" si="106"/>
        <v>vermelho</v>
      </c>
    </row>
    <row r="2264" spans="1:16" ht="25.5">
      <c r="A2264" s="3" t="s">
        <v>4</v>
      </c>
      <c r="B2264" s="3" t="s">
        <v>1504</v>
      </c>
      <c r="C2264" s="4">
        <v>317</v>
      </c>
      <c r="D2264" s="3" t="s">
        <v>78</v>
      </c>
      <c r="E2264" s="3" t="s">
        <v>10</v>
      </c>
      <c r="F2264" s="5">
        <v>183</v>
      </c>
      <c r="G2264" s="5">
        <v>219</v>
      </c>
      <c r="H2264" s="6">
        <v>10257.39</v>
      </c>
      <c r="I2264" s="22">
        <v>13792.29</v>
      </c>
      <c r="J2264" s="24">
        <f t="shared" si="105"/>
        <v>9.5568459205528221E-5</v>
      </c>
      <c r="K2264" s="25">
        <f t="shared" si="107"/>
        <v>0.87526571110822282</v>
      </c>
      <c r="L2264" s="26" t="s">
        <v>7517</v>
      </c>
      <c r="M2264" s="28"/>
      <c r="N2264" s="28"/>
      <c r="O2264" s="20">
        <v>18942.54</v>
      </c>
      <c r="P2264" s="27" t="str">
        <f t="shared" si="106"/>
        <v>verde</v>
      </c>
    </row>
    <row r="2265" spans="1:16" ht="51">
      <c r="A2265" s="3" t="s">
        <v>6527</v>
      </c>
      <c r="B2265" s="3" t="s">
        <v>6528</v>
      </c>
      <c r="C2265" s="4">
        <v>282</v>
      </c>
      <c r="D2265" s="3" t="s">
        <v>12</v>
      </c>
      <c r="E2265" s="3" t="s">
        <v>13</v>
      </c>
      <c r="F2265" s="5">
        <v>0</v>
      </c>
      <c r="G2265" s="5">
        <v>180</v>
      </c>
      <c r="H2265" s="6">
        <v>0</v>
      </c>
      <c r="I2265" s="22">
        <v>13771.08</v>
      </c>
      <c r="J2265" s="24">
        <f t="shared" si="105"/>
        <v>9.5421492529236668E-5</v>
      </c>
      <c r="K2265" s="25">
        <f t="shared" si="107"/>
        <v>0.8753611326007521</v>
      </c>
      <c r="L2265" s="26" t="s">
        <v>7517</v>
      </c>
      <c r="M2265" s="28"/>
      <c r="N2265" s="28"/>
      <c r="O2265" s="20" t="s">
        <v>7530</v>
      </c>
      <c r="P2265" s="27" t="str">
        <f t="shared" si="106"/>
        <v>vermelho</v>
      </c>
    </row>
    <row r="2266" spans="1:16">
      <c r="A2266" s="3" t="s">
        <v>6145</v>
      </c>
      <c r="B2266" s="3" t="s">
        <v>6146</v>
      </c>
      <c r="C2266" s="4">
        <v>264</v>
      </c>
      <c r="D2266" s="3" t="s">
        <v>40</v>
      </c>
      <c r="E2266" s="3" t="s">
        <v>41</v>
      </c>
      <c r="F2266" s="5">
        <v>0</v>
      </c>
      <c r="G2266" s="5">
        <v>216</v>
      </c>
      <c r="H2266" s="6">
        <v>0</v>
      </c>
      <c r="I2266" s="22">
        <v>13744.794</v>
      </c>
      <c r="J2266" s="24">
        <f t="shared" si="105"/>
        <v>9.5239353629991027E-5</v>
      </c>
      <c r="K2266" s="25">
        <f t="shared" si="107"/>
        <v>0.87545637195438208</v>
      </c>
      <c r="L2266" s="26" t="s">
        <v>7517</v>
      </c>
      <c r="M2266" s="28"/>
      <c r="N2266" s="28"/>
      <c r="O2266" s="20" t="s">
        <v>7530</v>
      </c>
      <c r="P2266" s="27" t="str">
        <f t="shared" si="106"/>
        <v>vermelho</v>
      </c>
    </row>
    <row r="2267" spans="1:16" ht="25.5">
      <c r="A2267" s="3" t="s">
        <v>4</v>
      </c>
      <c r="B2267" s="3" t="s">
        <v>1505</v>
      </c>
      <c r="C2267" s="4">
        <v>15</v>
      </c>
      <c r="D2267" s="3" t="s">
        <v>18</v>
      </c>
      <c r="E2267" s="3" t="s">
        <v>16</v>
      </c>
      <c r="F2267" s="5">
        <v>570</v>
      </c>
      <c r="G2267" s="5">
        <v>168</v>
      </c>
      <c r="H2267" s="6">
        <v>35817.480000000003</v>
      </c>
      <c r="I2267" s="22">
        <v>13731.6</v>
      </c>
      <c r="J2267" s="24">
        <f t="shared" si="105"/>
        <v>9.5147930795149414E-5</v>
      </c>
      <c r="K2267" s="25">
        <f t="shared" si="107"/>
        <v>0.87555151988517721</v>
      </c>
      <c r="L2267" s="26" t="s">
        <v>7517</v>
      </c>
      <c r="M2267" s="28"/>
      <c r="N2267" s="28"/>
      <c r="O2267" s="20" t="s">
        <v>7530</v>
      </c>
      <c r="P2267" s="27" t="str">
        <f t="shared" si="106"/>
        <v>vermelho</v>
      </c>
    </row>
    <row r="2268" spans="1:16" ht="25.5">
      <c r="A2268" s="3" t="s">
        <v>4</v>
      </c>
      <c r="B2268" s="3" t="s">
        <v>1506</v>
      </c>
      <c r="C2268" s="4">
        <v>327</v>
      </c>
      <c r="D2268" s="3" t="s">
        <v>100</v>
      </c>
      <c r="E2268" s="3" t="s">
        <v>7</v>
      </c>
      <c r="F2268" s="5">
        <v>567</v>
      </c>
      <c r="G2268" s="5">
        <v>192</v>
      </c>
      <c r="H2268" s="6">
        <v>33302.910000000003</v>
      </c>
      <c r="I2268" s="22">
        <v>13731.06</v>
      </c>
      <c r="J2268" s="24">
        <f t="shared" si="105"/>
        <v>9.5144189069303232E-5</v>
      </c>
      <c r="K2268" s="25">
        <f t="shared" si="107"/>
        <v>0.87564666407424652</v>
      </c>
      <c r="L2268" s="26" t="s">
        <v>7517</v>
      </c>
      <c r="M2268" s="28"/>
      <c r="N2268" s="28"/>
      <c r="O2268" s="20">
        <v>6189.4080000000004</v>
      </c>
      <c r="P2268" s="27" t="str">
        <f t="shared" si="106"/>
        <v>amarelo</v>
      </c>
    </row>
    <row r="2269" spans="1:16" ht="25.5">
      <c r="A2269" s="3" t="s">
        <v>4</v>
      </c>
      <c r="B2269" s="3" t="s">
        <v>1507</v>
      </c>
      <c r="C2269" s="4">
        <v>317</v>
      </c>
      <c r="D2269" s="3" t="s">
        <v>78</v>
      </c>
      <c r="E2269" s="3" t="s">
        <v>10</v>
      </c>
      <c r="F2269" s="5">
        <v>0</v>
      </c>
      <c r="G2269" s="5">
        <v>192</v>
      </c>
      <c r="H2269" s="6">
        <v>0</v>
      </c>
      <c r="I2269" s="22">
        <v>13726.32</v>
      </c>
      <c r="J2269" s="24">
        <f t="shared" si="105"/>
        <v>9.5111345031320116E-5</v>
      </c>
      <c r="K2269" s="25">
        <f t="shared" si="107"/>
        <v>0.87574177541927789</v>
      </c>
      <c r="L2269" s="26" t="s">
        <v>7517</v>
      </c>
      <c r="M2269" s="28"/>
      <c r="N2269" s="28"/>
      <c r="O2269" s="20" t="s">
        <v>7530</v>
      </c>
      <c r="P2269" s="27" t="str">
        <f t="shared" si="106"/>
        <v>vermelho</v>
      </c>
    </row>
    <row r="2270" spans="1:16" ht="25.5">
      <c r="A2270" s="3" t="s">
        <v>6529</v>
      </c>
      <c r="B2270" s="3" t="s">
        <v>6530</v>
      </c>
      <c r="C2270" s="4">
        <v>31</v>
      </c>
      <c r="D2270" s="3" t="s">
        <v>194</v>
      </c>
      <c r="E2270" s="3" t="s">
        <v>16</v>
      </c>
      <c r="F2270" s="5">
        <v>306</v>
      </c>
      <c r="G2270" s="5">
        <v>270</v>
      </c>
      <c r="H2270" s="6">
        <v>14236.02</v>
      </c>
      <c r="I2270" s="22">
        <v>13716.18</v>
      </c>
      <c r="J2270" s="24">
        <f t="shared" si="105"/>
        <v>9.5041083734875221E-5</v>
      </c>
      <c r="K2270" s="25">
        <f t="shared" si="107"/>
        <v>0.87583681650301282</v>
      </c>
      <c r="L2270" s="26" t="s">
        <v>7517</v>
      </c>
      <c r="M2270" s="28"/>
      <c r="N2270" s="28"/>
      <c r="O2270" s="20" t="s">
        <v>7530</v>
      </c>
      <c r="P2270" s="27" t="str">
        <f t="shared" si="106"/>
        <v>vermelho</v>
      </c>
    </row>
    <row r="2271" spans="1:16" ht="25.5">
      <c r="A2271" s="3" t="s">
        <v>4</v>
      </c>
      <c r="B2271" s="3" t="s">
        <v>1508</v>
      </c>
      <c r="C2271" s="4">
        <v>261</v>
      </c>
      <c r="D2271" s="3" t="s">
        <v>9</v>
      </c>
      <c r="E2271" s="3" t="s">
        <v>10</v>
      </c>
      <c r="F2271" s="5">
        <v>0</v>
      </c>
      <c r="G2271" s="5">
        <v>279</v>
      </c>
      <c r="H2271" s="6">
        <v>0</v>
      </c>
      <c r="I2271" s="22">
        <v>13715.325000000001</v>
      </c>
      <c r="J2271" s="24">
        <f t="shared" si="105"/>
        <v>9.5035159335618769E-5</v>
      </c>
      <c r="K2271" s="25">
        <f t="shared" si="107"/>
        <v>0.87593185166234844</v>
      </c>
      <c r="L2271" s="26" t="s">
        <v>7517</v>
      </c>
      <c r="M2271" s="28"/>
      <c r="N2271" s="28"/>
      <c r="O2271" s="20">
        <v>5672.4</v>
      </c>
      <c r="P2271" s="27" t="str">
        <f t="shared" si="106"/>
        <v>amarelo</v>
      </c>
    </row>
    <row r="2272" spans="1:16">
      <c r="A2272" s="3" t="s">
        <v>4</v>
      </c>
      <c r="B2272" s="3" t="s">
        <v>449</v>
      </c>
      <c r="C2272" s="4">
        <v>264</v>
      </c>
      <c r="D2272" s="3" t="s">
        <v>40</v>
      </c>
      <c r="E2272" s="3" t="s">
        <v>7</v>
      </c>
      <c r="F2272" s="5">
        <v>0</v>
      </c>
      <c r="G2272" s="5">
        <v>192</v>
      </c>
      <c r="H2272" s="6">
        <v>0</v>
      </c>
      <c r="I2272" s="22">
        <v>13698.96</v>
      </c>
      <c r="J2272" s="24">
        <f t="shared" si="105"/>
        <v>9.4921764255113752E-5</v>
      </c>
      <c r="K2272" s="25">
        <f t="shared" si="107"/>
        <v>0.87602677342660351</v>
      </c>
      <c r="L2272" s="26" t="s">
        <v>7517</v>
      </c>
      <c r="M2272" s="28"/>
      <c r="N2272" s="28"/>
      <c r="O2272" s="20" t="s">
        <v>7530</v>
      </c>
      <c r="P2272" s="27" t="str">
        <f t="shared" si="106"/>
        <v>vermelho</v>
      </c>
    </row>
    <row r="2273" spans="1:16">
      <c r="A2273" s="3" t="s">
        <v>4</v>
      </c>
      <c r="B2273" s="3" t="s">
        <v>1509</v>
      </c>
      <c r="C2273" s="4">
        <v>315</v>
      </c>
      <c r="D2273" s="3" t="s">
        <v>63</v>
      </c>
      <c r="E2273" s="3" t="s">
        <v>7</v>
      </c>
      <c r="F2273" s="5">
        <v>96</v>
      </c>
      <c r="G2273" s="5">
        <v>291</v>
      </c>
      <c r="H2273" s="6">
        <v>4870.08</v>
      </c>
      <c r="I2273" s="22">
        <v>13694.200999999999</v>
      </c>
      <c r="J2273" s="24">
        <f t="shared" si="105"/>
        <v>9.4888788563813819E-5</v>
      </c>
      <c r="K2273" s="25">
        <f t="shared" si="107"/>
        <v>0.8761216622151673</v>
      </c>
      <c r="L2273" s="26" t="s">
        <v>7517</v>
      </c>
      <c r="M2273" s="28"/>
      <c r="N2273" s="28"/>
      <c r="O2273" s="20" t="s">
        <v>7530</v>
      </c>
      <c r="P2273" s="27" t="str">
        <f t="shared" si="106"/>
        <v>vermelho</v>
      </c>
    </row>
    <row r="2274" spans="1:16" ht="38.25">
      <c r="A2274" s="3" t="s">
        <v>4</v>
      </c>
      <c r="B2274" s="3" t="s">
        <v>1510</v>
      </c>
      <c r="C2274" s="4">
        <v>371</v>
      </c>
      <c r="D2274" s="3" t="s">
        <v>82</v>
      </c>
      <c r="E2274" s="3" t="s">
        <v>49</v>
      </c>
      <c r="F2274" s="5">
        <v>261</v>
      </c>
      <c r="G2274" s="5">
        <v>252</v>
      </c>
      <c r="H2274" s="6">
        <v>13826.558999999999</v>
      </c>
      <c r="I2274" s="22">
        <v>13694.172</v>
      </c>
      <c r="J2274" s="24">
        <f t="shared" si="105"/>
        <v>9.4888587619277649E-5</v>
      </c>
      <c r="K2274" s="25">
        <f t="shared" si="107"/>
        <v>0.8762165508027866</v>
      </c>
      <c r="L2274" s="26" t="s">
        <v>7517</v>
      </c>
      <c r="M2274" s="28"/>
      <c r="N2274" s="28"/>
      <c r="O2274" s="20">
        <v>2929.8</v>
      </c>
      <c r="P2274" s="27" t="str">
        <f t="shared" si="106"/>
        <v>amarelo</v>
      </c>
    </row>
    <row r="2275" spans="1:16" ht="25.5">
      <c r="A2275" s="3" t="s">
        <v>4</v>
      </c>
      <c r="B2275" s="3" t="s">
        <v>1511</v>
      </c>
      <c r="C2275" s="4">
        <v>232</v>
      </c>
      <c r="D2275" s="3" t="s">
        <v>174</v>
      </c>
      <c r="E2275" s="3" t="s">
        <v>16</v>
      </c>
      <c r="F2275" s="5">
        <v>0</v>
      </c>
      <c r="G2275" s="5">
        <v>228</v>
      </c>
      <c r="H2275" s="6">
        <v>0</v>
      </c>
      <c r="I2275" s="22">
        <v>13691.16</v>
      </c>
      <c r="J2275" s="24">
        <f t="shared" si="105"/>
        <v>9.4867717104002289E-5</v>
      </c>
      <c r="K2275" s="25">
        <f t="shared" si="107"/>
        <v>0.87631141851989058</v>
      </c>
      <c r="L2275" s="26" t="s">
        <v>7517</v>
      </c>
      <c r="M2275" s="28"/>
      <c r="N2275" s="28">
        <v>5.3619221124918195E-2</v>
      </c>
      <c r="O2275" s="20">
        <v>4182.96</v>
      </c>
      <c r="P2275" s="27" t="str">
        <f t="shared" si="106"/>
        <v>amarelo</v>
      </c>
    </row>
    <row r="2276" spans="1:16" ht="25.5">
      <c r="A2276" s="3" t="s">
        <v>4</v>
      </c>
      <c r="B2276" s="3" t="s">
        <v>1512</v>
      </c>
      <c r="C2276" s="4">
        <v>194</v>
      </c>
      <c r="D2276" s="3" t="s">
        <v>145</v>
      </c>
      <c r="E2276" s="3" t="s">
        <v>16</v>
      </c>
      <c r="F2276" s="5">
        <v>0</v>
      </c>
      <c r="G2276" s="5">
        <v>240</v>
      </c>
      <c r="H2276" s="6">
        <v>0</v>
      </c>
      <c r="I2276" s="22">
        <v>13689</v>
      </c>
      <c r="J2276" s="24">
        <f t="shared" si="105"/>
        <v>9.4852750200617576E-5</v>
      </c>
      <c r="K2276" s="25">
        <f t="shared" si="107"/>
        <v>0.87640627127009119</v>
      </c>
      <c r="L2276" s="26" t="s">
        <v>7517</v>
      </c>
      <c r="M2276" s="28"/>
      <c r="N2276" s="28"/>
      <c r="O2276" s="20" t="s">
        <v>7530</v>
      </c>
      <c r="P2276" s="27" t="str">
        <f t="shared" si="106"/>
        <v>vermelho</v>
      </c>
    </row>
    <row r="2277" spans="1:16" ht="25.5">
      <c r="A2277" s="3" t="s">
        <v>4</v>
      </c>
      <c r="B2277" s="3" t="s">
        <v>1513</v>
      </c>
      <c r="C2277" s="4">
        <v>267</v>
      </c>
      <c r="D2277" s="3" t="s">
        <v>125</v>
      </c>
      <c r="E2277" s="3" t="s">
        <v>16</v>
      </c>
      <c r="F2277" s="5">
        <v>138</v>
      </c>
      <c r="G2277" s="5">
        <v>228</v>
      </c>
      <c r="H2277" s="6">
        <v>8326.6200000000008</v>
      </c>
      <c r="I2277" s="22">
        <v>13688.88</v>
      </c>
      <c r="J2277" s="24">
        <f t="shared" si="105"/>
        <v>9.4851918705985083E-5</v>
      </c>
      <c r="K2277" s="25">
        <f t="shared" si="107"/>
        <v>0.87650112318879714</v>
      </c>
      <c r="L2277" s="26" t="s">
        <v>7517</v>
      </c>
      <c r="M2277" s="28"/>
      <c r="N2277" s="28"/>
      <c r="O2277" s="20" t="s">
        <v>7530</v>
      </c>
      <c r="P2277" s="27" t="str">
        <f t="shared" si="106"/>
        <v>vermelho</v>
      </c>
    </row>
    <row r="2278" spans="1:16" ht="38.25">
      <c r="A2278" s="3" t="s">
        <v>4</v>
      </c>
      <c r="B2278" s="3" t="s">
        <v>1514</v>
      </c>
      <c r="C2278" s="4">
        <v>45</v>
      </c>
      <c r="D2278" s="3" t="s">
        <v>23</v>
      </c>
      <c r="E2278" s="3" t="s">
        <v>7</v>
      </c>
      <c r="F2278" s="5">
        <v>270</v>
      </c>
      <c r="G2278" s="5">
        <v>231</v>
      </c>
      <c r="H2278" s="6">
        <v>14510.886</v>
      </c>
      <c r="I2278" s="22">
        <v>13684.53</v>
      </c>
      <c r="J2278" s="24">
        <f t="shared" si="105"/>
        <v>9.482177702555755E-5</v>
      </c>
      <c r="K2278" s="25">
        <f t="shared" si="107"/>
        <v>0.87659594496582272</v>
      </c>
      <c r="L2278" s="26" t="s">
        <v>7517</v>
      </c>
      <c r="M2278" s="28"/>
      <c r="N2278" s="28"/>
      <c r="O2278" s="20">
        <v>5604.66</v>
      </c>
      <c r="P2278" s="27" t="str">
        <f t="shared" si="106"/>
        <v>amarelo</v>
      </c>
    </row>
    <row r="2279" spans="1:16" ht="38.25">
      <c r="A2279" s="3" t="s">
        <v>4</v>
      </c>
      <c r="B2279" s="3" t="s">
        <v>1515</v>
      </c>
      <c r="C2279" s="4">
        <v>34</v>
      </c>
      <c r="D2279" s="3" t="s">
        <v>54</v>
      </c>
      <c r="E2279" s="3" t="s">
        <v>49</v>
      </c>
      <c r="F2279" s="5">
        <v>516</v>
      </c>
      <c r="G2279" s="5">
        <v>192</v>
      </c>
      <c r="H2279" s="6">
        <v>30673.89</v>
      </c>
      <c r="I2279" s="22">
        <v>13678.98</v>
      </c>
      <c r="J2279" s="24">
        <f t="shared" si="105"/>
        <v>9.4783320398805161E-5</v>
      </c>
      <c r="K2279" s="25">
        <f t="shared" si="107"/>
        <v>0.87669072828622152</v>
      </c>
      <c r="L2279" s="26" t="s">
        <v>7517</v>
      </c>
      <c r="M2279" s="28"/>
      <c r="N2279" s="28"/>
      <c r="O2279" s="20" t="s">
        <v>7530</v>
      </c>
      <c r="P2279" s="27" t="str">
        <f t="shared" si="106"/>
        <v>vermelho</v>
      </c>
    </row>
    <row r="2280" spans="1:16">
      <c r="A2280" s="3" t="s">
        <v>6531</v>
      </c>
      <c r="B2280" s="3" t="s">
        <v>6532</v>
      </c>
      <c r="C2280" s="4">
        <v>167</v>
      </c>
      <c r="D2280" s="3" t="s">
        <v>251</v>
      </c>
      <c r="E2280" s="3" t="s">
        <v>49</v>
      </c>
      <c r="F2280" s="5">
        <v>744</v>
      </c>
      <c r="G2280" s="5">
        <v>288</v>
      </c>
      <c r="H2280" s="6">
        <v>40465.919999999998</v>
      </c>
      <c r="I2280" s="22">
        <v>13672.08</v>
      </c>
      <c r="J2280" s="24">
        <f t="shared" si="105"/>
        <v>9.473550945743733E-5</v>
      </c>
      <c r="K2280" s="25">
        <f t="shared" si="107"/>
        <v>0.87678546379567901</v>
      </c>
      <c r="L2280" s="26" t="s">
        <v>7517</v>
      </c>
      <c r="M2280" s="28"/>
      <c r="N2280" s="28"/>
      <c r="O2280" s="20" t="s">
        <v>7530</v>
      </c>
      <c r="P2280" s="27" t="str">
        <f t="shared" si="106"/>
        <v>vermelho</v>
      </c>
    </row>
    <row r="2281" spans="1:16" ht="38.25">
      <c r="A2281" s="3" t="s">
        <v>4</v>
      </c>
      <c r="B2281" s="3" t="s">
        <v>1516</v>
      </c>
      <c r="C2281" s="4">
        <v>301</v>
      </c>
      <c r="D2281" s="3" t="s">
        <v>519</v>
      </c>
      <c r="E2281" s="3" t="s">
        <v>16</v>
      </c>
      <c r="F2281" s="5">
        <v>339</v>
      </c>
      <c r="G2281" s="5">
        <v>305</v>
      </c>
      <c r="H2281" s="6">
        <v>17079.72</v>
      </c>
      <c r="I2281" s="22">
        <v>13667.45</v>
      </c>
      <c r="J2281" s="24">
        <f t="shared" si="105"/>
        <v>9.4703427622867324E-5</v>
      </c>
      <c r="K2281" s="25">
        <f t="shared" si="107"/>
        <v>0.87688016722330187</v>
      </c>
      <c r="L2281" s="26" t="s">
        <v>7517</v>
      </c>
      <c r="M2281" s="28"/>
      <c r="N2281" s="28"/>
      <c r="O2281" s="20" t="s">
        <v>7530</v>
      </c>
      <c r="P2281" s="27" t="str">
        <f t="shared" si="106"/>
        <v>vermelho</v>
      </c>
    </row>
    <row r="2282" spans="1:16" ht="25.5">
      <c r="A2282" s="3" t="s">
        <v>6533</v>
      </c>
      <c r="B2282" s="3" t="s">
        <v>6534</v>
      </c>
      <c r="C2282" s="4">
        <v>266</v>
      </c>
      <c r="D2282" s="3" t="s">
        <v>80</v>
      </c>
      <c r="E2282" s="3" t="s">
        <v>10</v>
      </c>
      <c r="F2282" s="5">
        <v>0</v>
      </c>
      <c r="G2282" s="5">
        <v>270</v>
      </c>
      <c r="H2282" s="6">
        <v>0</v>
      </c>
      <c r="I2282" s="22">
        <v>13648.8</v>
      </c>
      <c r="J2282" s="24">
        <f t="shared" si="105"/>
        <v>9.4574199498735422E-5</v>
      </c>
      <c r="K2282" s="25">
        <f t="shared" si="107"/>
        <v>0.87697474142280063</v>
      </c>
      <c r="L2282" s="26" t="s">
        <v>7517</v>
      </c>
      <c r="M2282" s="28"/>
      <c r="N2282" s="28"/>
      <c r="O2282" s="20" t="s">
        <v>7530</v>
      </c>
      <c r="P2282" s="27" t="str">
        <f t="shared" si="106"/>
        <v>vermelho</v>
      </c>
    </row>
    <row r="2283" spans="1:16" ht="25.5">
      <c r="A2283" s="3" t="s">
        <v>4</v>
      </c>
      <c r="B2283" s="3" t="s">
        <v>1517</v>
      </c>
      <c r="C2283" s="4">
        <v>208</v>
      </c>
      <c r="D2283" s="3" t="s">
        <v>15</v>
      </c>
      <c r="E2283" s="3" t="s">
        <v>16</v>
      </c>
      <c r="F2283" s="5">
        <v>456</v>
      </c>
      <c r="G2283" s="5">
        <v>240</v>
      </c>
      <c r="H2283" s="6">
        <v>27176.04</v>
      </c>
      <c r="I2283" s="22">
        <v>13635.84</v>
      </c>
      <c r="J2283" s="24">
        <f t="shared" si="105"/>
        <v>9.448439807842714E-5</v>
      </c>
      <c r="K2283" s="25">
        <f t="shared" si="107"/>
        <v>0.87706922582087909</v>
      </c>
      <c r="L2283" s="26" t="s">
        <v>7517</v>
      </c>
      <c r="M2283" s="28"/>
      <c r="N2283" s="28"/>
      <c r="O2283" s="20" t="s">
        <v>7530</v>
      </c>
      <c r="P2283" s="27" t="str">
        <f t="shared" si="106"/>
        <v>vermelho</v>
      </c>
    </row>
    <row r="2284" spans="1:16" ht="25.5">
      <c r="A2284" s="3" t="s">
        <v>6535</v>
      </c>
      <c r="B2284" s="3" t="s">
        <v>6536</v>
      </c>
      <c r="C2284" s="4">
        <v>299</v>
      </c>
      <c r="D2284" s="3" t="s">
        <v>111</v>
      </c>
      <c r="E2284" s="3" t="s">
        <v>49</v>
      </c>
      <c r="F2284" s="5">
        <v>1197</v>
      </c>
      <c r="G2284" s="5">
        <v>249</v>
      </c>
      <c r="H2284" s="6">
        <v>60086.214</v>
      </c>
      <c r="I2284" s="22">
        <v>13605.63</v>
      </c>
      <c r="J2284" s="24">
        <f t="shared" si="105"/>
        <v>9.4275069304699283E-5</v>
      </c>
      <c r="K2284" s="25">
        <f t="shared" si="107"/>
        <v>0.8771635008901838</v>
      </c>
      <c r="L2284" s="26" t="s">
        <v>7517</v>
      </c>
      <c r="M2284" s="28"/>
      <c r="N2284" s="28"/>
      <c r="O2284" s="20">
        <v>16642.080000000002</v>
      </c>
      <c r="P2284" s="27" t="str">
        <f t="shared" si="106"/>
        <v>verde</v>
      </c>
    </row>
    <row r="2285" spans="1:16" ht="25.5">
      <c r="A2285" s="3" t="s">
        <v>4</v>
      </c>
      <c r="B2285" s="3" t="s">
        <v>1518</v>
      </c>
      <c r="C2285" s="4">
        <v>299</v>
      </c>
      <c r="D2285" s="3" t="s">
        <v>111</v>
      </c>
      <c r="E2285" s="3" t="s">
        <v>49</v>
      </c>
      <c r="F2285" s="5">
        <v>258</v>
      </c>
      <c r="G2285" s="5">
        <v>300</v>
      </c>
      <c r="H2285" s="6">
        <v>11315.915999999999</v>
      </c>
      <c r="I2285" s="22">
        <v>13602.93</v>
      </c>
      <c r="J2285" s="24">
        <f t="shared" si="105"/>
        <v>9.4256360675468401E-5</v>
      </c>
      <c r="K2285" s="25">
        <f t="shared" si="107"/>
        <v>0.8772577572508593</v>
      </c>
      <c r="L2285" s="26" t="s">
        <v>7517</v>
      </c>
      <c r="M2285" s="28"/>
      <c r="N2285" s="28"/>
      <c r="O2285" s="20" t="s">
        <v>7530</v>
      </c>
      <c r="P2285" s="27" t="str">
        <f t="shared" si="106"/>
        <v>vermelho</v>
      </c>
    </row>
    <row r="2286" spans="1:16" ht="51">
      <c r="A2286" s="3" t="s">
        <v>4</v>
      </c>
      <c r="B2286" s="3" t="s">
        <v>1519</v>
      </c>
      <c r="C2286" s="4">
        <v>282</v>
      </c>
      <c r="D2286" s="3" t="s">
        <v>12</v>
      </c>
      <c r="E2286" s="3" t="s">
        <v>13</v>
      </c>
      <c r="F2286" s="5">
        <v>252</v>
      </c>
      <c r="G2286" s="5">
        <v>213</v>
      </c>
      <c r="H2286" s="6">
        <v>15849.48</v>
      </c>
      <c r="I2286" s="22">
        <v>13602.87</v>
      </c>
      <c r="J2286" s="24">
        <f t="shared" si="105"/>
        <v>9.4255944928152161E-5</v>
      </c>
      <c r="K2286" s="25">
        <f t="shared" si="107"/>
        <v>0.87735201319578748</v>
      </c>
      <c r="L2286" s="26" t="s">
        <v>7517</v>
      </c>
      <c r="M2286" s="28"/>
      <c r="N2286" s="28"/>
      <c r="O2286" s="20" t="s">
        <v>7530</v>
      </c>
      <c r="P2286" s="27" t="str">
        <f t="shared" si="106"/>
        <v>vermelho</v>
      </c>
    </row>
    <row r="2287" spans="1:16" ht="25.5">
      <c r="A2287" s="3" t="s">
        <v>4</v>
      </c>
      <c r="B2287" s="3" t="s">
        <v>1520</v>
      </c>
      <c r="C2287" s="4">
        <v>23</v>
      </c>
      <c r="D2287" s="3" t="s">
        <v>87</v>
      </c>
      <c r="E2287" s="3" t="s">
        <v>7</v>
      </c>
      <c r="F2287" s="5">
        <v>276</v>
      </c>
      <c r="G2287" s="5">
        <v>198</v>
      </c>
      <c r="H2287" s="6">
        <v>17038.68</v>
      </c>
      <c r="I2287" s="22">
        <v>13600.02</v>
      </c>
      <c r="J2287" s="24">
        <f t="shared" si="105"/>
        <v>9.4236196930630654E-5</v>
      </c>
      <c r="K2287" s="25">
        <f t="shared" si="107"/>
        <v>0.87744624939271809</v>
      </c>
      <c r="L2287" s="26" t="s">
        <v>7517</v>
      </c>
      <c r="M2287" s="28"/>
      <c r="N2287" s="28"/>
      <c r="O2287" s="20">
        <v>15499.95</v>
      </c>
      <c r="P2287" s="27" t="str">
        <f t="shared" si="106"/>
        <v>verde</v>
      </c>
    </row>
    <row r="2288" spans="1:16" ht="25.5">
      <c r="A2288" s="3" t="s">
        <v>4</v>
      </c>
      <c r="B2288" s="3" t="s">
        <v>1521</v>
      </c>
      <c r="C2288" s="4">
        <v>93</v>
      </c>
      <c r="D2288" s="3" t="s">
        <v>20</v>
      </c>
      <c r="E2288" s="3" t="s">
        <v>7</v>
      </c>
      <c r="F2288" s="5">
        <v>129</v>
      </c>
      <c r="G2288" s="5">
        <v>210</v>
      </c>
      <c r="H2288" s="6">
        <v>6987.7349999999997</v>
      </c>
      <c r="I2288" s="22">
        <v>13597.5</v>
      </c>
      <c r="J2288" s="24">
        <f t="shared" si="105"/>
        <v>9.421873554334849E-5</v>
      </c>
      <c r="K2288" s="25">
        <f t="shared" si="107"/>
        <v>0.87754046812826147</v>
      </c>
      <c r="L2288" s="26" t="s">
        <v>7517</v>
      </c>
      <c r="M2288" s="28"/>
      <c r="N2288" s="28"/>
      <c r="O2288" s="20">
        <v>11405.88</v>
      </c>
      <c r="P2288" s="27" t="str">
        <f t="shared" si="106"/>
        <v>laranja</v>
      </c>
    </row>
    <row r="2289" spans="1:16">
      <c r="A2289" s="3" t="s">
        <v>4</v>
      </c>
      <c r="B2289" s="3" t="s">
        <v>1522</v>
      </c>
      <c r="C2289" s="4">
        <v>232</v>
      </c>
      <c r="D2289" s="3" t="s">
        <v>174</v>
      </c>
      <c r="E2289" s="3" t="s">
        <v>16</v>
      </c>
      <c r="F2289" s="5">
        <v>0</v>
      </c>
      <c r="G2289" s="5">
        <v>216</v>
      </c>
      <c r="H2289" s="6">
        <v>0</v>
      </c>
      <c r="I2289" s="22">
        <v>13588.44</v>
      </c>
      <c r="J2289" s="24">
        <f t="shared" si="105"/>
        <v>9.4155957698595946E-5</v>
      </c>
      <c r="K2289" s="25">
        <f t="shared" si="107"/>
        <v>0.87763462408596005</v>
      </c>
      <c r="L2289" s="26" t="s">
        <v>7517</v>
      </c>
      <c r="M2289" s="28"/>
      <c r="N2289" s="28"/>
      <c r="O2289" s="20" t="s">
        <v>7530</v>
      </c>
      <c r="P2289" s="27" t="str">
        <f t="shared" si="106"/>
        <v>vermelho</v>
      </c>
    </row>
    <row r="2290" spans="1:16">
      <c r="A2290" s="3" t="s">
        <v>6537</v>
      </c>
      <c r="B2290" s="3" t="s">
        <v>6538</v>
      </c>
      <c r="C2290" s="4">
        <v>240</v>
      </c>
      <c r="D2290" s="3" t="s">
        <v>69</v>
      </c>
      <c r="E2290" s="3" t="s">
        <v>16</v>
      </c>
      <c r="F2290" s="5">
        <v>408</v>
      </c>
      <c r="G2290" s="5">
        <v>252</v>
      </c>
      <c r="H2290" s="6">
        <v>26578.2</v>
      </c>
      <c r="I2290" s="22">
        <v>13584.9</v>
      </c>
      <c r="J2290" s="24">
        <f t="shared" si="105"/>
        <v>9.4131428606937658E-5</v>
      </c>
      <c r="K2290" s="25">
        <f t="shared" si="107"/>
        <v>0.87772875551456697</v>
      </c>
      <c r="L2290" s="26" t="s">
        <v>7517</v>
      </c>
      <c r="M2290" s="28"/>
      <c r="N2290" s="28"/>
      <c r="O2290" s="20" t="s">
        <v>7530</v>
      </c>
      <c r="P2290" s="27" t="str">
        <f t="shared" si="106"/>
        <v>vermelho</v>
      </c>
    </row>
    <row r="2291" spans="1:16" ht="25.5">
      <c r="A2291" s="3" t="s">
        <v>4</v>
      </c>
      <c r="B2291" s="3" t="s">
        <v>1523</v>
      </c>
      <c r="C2291" s="4">
        <v>178</v>
      </c>
      <c r="D2291" s="3" t="s">
        <v>74</v>
      </c>
      <c r="E2291" s="3" t="s">
        <v>7</v>
      </c>
      <c r="F2291" s="5">
        <v>435</v>
      </c>
      <c r="G2291" s="5">
        <v>240</v>
      </c>
      <c r="H2291" s="6">
        <v>22265.61</v>
      </c>
      <c r="I2291" s="22">
        <v>13582.44</v>
      </c>
      <c r="J2291" s="24">
        <f t="shared" si="105"/>
        <v>9.4114382966971747E-5</v>
      </c>
      <c r="K2291" s="25">
        <f t="shared" si="107"/>
        <v>0.877822869897534</v>
      </c>
      <c r="L2291" s="26" t="s">
        <v>7517</v>
      </c>
      <c r="M2291" s="28"/>
      <c r="N2291" s="28"/>
      <c r="O2291" s="20">
        <v>21287.55</v>
      </c>
      <c r="P2291" s="27" t="str">
        <f t="shared" si="106"/>
        <v>verde</v>
      </c>
    </row>
    <row r="2292" spans="1:16">
      <c r="A2292" s="3" t="s">
        <v>4</v>
      </c>
      <c r="B2292" s="3" t="s">
        <v>1524</v>
      </c>
      <c r="C2292" s="4">
        <v>334</v>
      </c>
      <c r="D2292" s="3" t="s">
        <v>531</v>
      </c>
      <c r="E2292" s="3" t="s">
        <v>7</v>
      </c>
      <c r="F2292" s="5">
        <v>0</v>
      </c>
      <c r="G2292" s="5">
        <v>258</v>
      </c>
      <c r="H2292" s="6">
        <v>0</v>
      </c>
      <c r="I2292" s="22">
        <v>13581.477000000001</v>
      </c>
      <c r="J2292" s="24">
        <f t="shared" si="105"/>
        <v>9.410771022254607E-5</v>
      </c>
      <c r="K2292" s="25">
        <f t="shared" si="107"/>
        <v>0.87791697760775655</v>
      </c>
      <c r="L2292" s="26" t="s">
        <v>7517</v>
      </c>
      <c r="M2292" s="28">
        <v>9.7296874038945349E-3</v>
      </c>
      <c r="N2292" s="28"/>
      <c r="O2292" s="20">
        <v>8272.6640000000007</v>
      </c>
      <c r="P2292" s="27" t="str">
        <f t="shared" si="106"/>
        <v>laranja</v>
      </c>
    </row>
    <row r="2293" spans="1:16" ht="38.25">
      <c r="A2293" s="3" t="s">
        <v>4</v>
      </c>
      <c r="B2293" s="3" t="s">
        <v>1525</v>
      </c>
      <c r="C2293" s="4">
        <v>11</v>
      </c>
      <c r="D2293" s="3" t="s">
        <v>61</v>
      </c>
      <c r="E2293" s="3" t="s">
        <v>10</v>
      </c>
      <c r="F2293" s="5">
        <v>66</v>
      </c>
      <c r="G2293" s="5">
        <v>210</v>
      </c>
      <c r="H2293" s="6">
        <v>4187.34</v>
      </c>
      <c r="I2293" s="22">
        <v>13572.9</v>
      </c>
      <c r="J2293" s="24">
        <f t="shared" si="105"/>
        <v>9.4048279143689261E-5</v>
      </c>
      <c r="K2293" s="25">
        <f t="shared" si="107"/>
        <v>0.87801102588690028</v>
      </c>
      <c r="L2293" s="26" t="s">
        <v>7517</v>
      </c>
      <c r="M2293" s="28"/>
      <c r="N2293" s="28"/>
      <c r="O2293" s="20" t="s">
        <v>7530</v>
      </c>
      <c r="P2293" s="27" t="str">
        <f t="shared" si="106"/>
        <v>vermelho</v>
      </c>
    </row>
    <row r="2294" spans="1:16" ht="25.5">
      <c r="A2294" s="3" t="s">
        <v>4</v>
      </c>
      <c r="B2294" s="3" t="s">
        <v>1526</v>
      </c>
      <c r="C2294" s="4">
        <v>327</v>
      </c>
      <c r="D2294" s="3" t="s">
        <v>100</v>
      </c>
      <c r="E2294" s="3" t="s">
        <v>7</v>
      </c>
      <c r="F2294" s="5">
        <v>0</v>
      </c>
      <c r="G2294" s="5">
        <v>213</v>
      </c>
      <c r="H2294" s="6">
        <v>0</v>
      </c>
      <c r="I2294" s="22">
        <v>13569.066999999999</v>
      </c>
      <c r="J2294" s="24">
        <f t="shared" si="105"/>
        <v>9.4021719819303325E-5</v>
      </c>
      <c r="K2294" s="25">
        <f t="shared" si="107"/>
        <v>0.87810504760671959</v>
      </c>
      <c r="L2294" s="26" t="s">
        <v>7517</v>
      </c>
      <c r="M2294" s="28">
        <v>-4.7712424448594193E-2</v>
      </c>
      <c r="N2294" s="28"/>
      <c r="O2294" s="20">
        <v>5526.3670000000002</v>
      </c>
      <c r="P2294" s="27" t="str">
        <f t="shared" si="106"/>
        <v>amarelo</v>
      </c>
    </row>
    <row r="2295" spans="1:16" ht="25.5">
      <c r="A2295" s="3" t="s">
        <v>4</v>
      </c>
      <c r="B2295" s="3" t="s">
        <v>1527</v>
      </c>
      <c r="C2295" s="4">
        <v>337</v>
      </c>
      <c r="D2295" s="3" t="s">
        <v>202</v>
      </c>
      <c r="E2295" s="3" t="s">
        <v>16</v>
      </c>
      <c r="F2295" s="5">
        <v>216</v>
      </c>
      <c r="G2295" s="5">
        <v>258</v>
      </c>
      <c r="H2295" s="6">
        <v>10994.04</v>
      </c>
      <c r="I2295" s="22">
        <v>13552.68</v>
      </c>
      <c r="J2295" s="24">
        <f t="shared" si="105"/>
        <v>9.3908172298115699E-5</v>
      </c>
      <c r="K2295" s="25">
        <f t="shared" si="107"/>
        <v>0.87819895577901774</v>
      </c>
      <c r="L2295" s="26" t="s">
        <v>7517</v>
      </c>
      <c r="M2295" s="28"/>
      <c r="N2295" s="28"/>
      <c r="O2295" s="20">
        <v>4260.8999999999996</v>
      </c>
      <c r="P2295" s="27" t="str">
        <f t="shared" si="106"/>
        <v>amarelo</v>
      </c>
    </row>
    <row r="2296" spans="1:16" ht="25.5">
      <c r="A2296" s="3" t="s">
        <v>4</v>
      </c>
      <c r="B2296" s="3" t="s">
        <v>1528</v>
      </c>
      <c r="C2296" s="4">
        <v>320</v>
      </c>
      <c r="D2296" s="3" t="s">
        <v>218</v>
      </c>
      <c r="E2296" s="3" t="s">
        <v>49</v>
      </c>
      <c r="F2296" s="5">
        <v>264</v>
      </c>
      <c r="G2296" s="5">
        <v>258</v>
      </c>
      <c r="H2296" s="6">
        <v>14745.36</v>
      </c>
      <c r="I2296" s="22">
        <v>13547.4</v>
      </c>
      <c r="J2296" s="24">
        <f t="shared" si="105"/>
        <v>9.38715865342864E-5</v>
      </c>
      <c r="K2296" s="25">
        <f t="shared" si="107"/>
        <v>0.87829282736555203</v>
      </c>
      <c r="L2296" s="26" t="s">
        <v>7517</v>
      </c>
      <c r="M2296" s="28">
        <v>-3.1087405547636289E-2</v>
      </c>
      <c r="N2296" s="28"/>
      <c r="O2296" s="20">
        <v>7954.68</v>
      </c>
      <c r="P2296" s="27" t="str">
        <f t="shared" si="106"/>
        <v>laranja</v>
      </c>
    </row>
    <row r="2297" spans="1:16" ht="38.25">
      <c r="A2297" s="3" t="s">
        <v>4</v>
      </c>
      <c r="B2297" s="3" t="s">
        <v>1529</v>
      </c>
      <c r="C2297" s="4">
        <v>45</v>
      </c>
      <c r="D2297" s="3" t="s">
        <v>23</v>
      </c>
      <c r="E2297" s="3" t="s">
        <v>7</v>
      </c>
      <c r="F2297" s="5">
        <v>237</v>
      </c>
      <c r="G2297" s="5">
        <v>234</v>
      </c>
      <c r="H2297" s="6">
        <v>11875.166999999999</v>
      </c>
      <c r="I2297" s="22">
        <v>13542.36</v>
      </c>
      <c r="J2297" s="24">
        <f t="shared" si="105"/>
        <v>9.3836663759722073E-5</v>
      </c>
      <c r="K2297" s="25">
        <f t="shared" si="107"/>
        <v>0.87838666402931176</v>
      </c>
      <c r="L2297" s="26" t="s">
        <v>7517</v>
      </c>
      <c r="M2297" s="28"/>
      <c r="N2297" s="28"/>
      <c r="O2297" s="20" t="s">
        <v>7530</v>
      </c>
      <c r="P2297" s="27" t="str">
        <f t="shared" si="106"/>
        <v>vermelho</v>
      </c>
    </row>
    <row r="2298" spans="1:16" ht="25.5">
      <c r="A2298" s="3" t="s">
        <v>4</v>
      </c>
      <c r="B2298" s="3" t="s">
        <v>1530</v>
      </c>
      <c r="C2298" s="4">
        <v>53</v>
      </c>
      <c r="D2298" s="3" t="s">
        <v>34</v>
      </c>
      <c r="E2298" s="3" t="s">
        <v>16</v>
      </c>
      <c r="F2298" s="5">
        <v>402</v>
      </c>
      <c r="G2298" s="5">
        <v>228</v>
      </c>
      <c r="H2298" s="6">
        <v>22116.3</v>
      </c>
      <c r="I2298" s="22">
        <v>13533.12</v>
      </c>
      <c r="J2298" s="24">
        <f t="shared" si="105"/>
        <v>9.3772638673020811E-5</v>
      </c>
      <c r="K2298" s="25">
        <f t="shared" si="107"/>
        <v>0.87848043666798481</v>
      </c>
      <c r="L2298" s="26" t="s">
        <v>7517</v>
      </c>
      <c r="M2298" s="28"/>
      <c r="N2298" s="28"/>
      <c r="O2298" s="20" t="s">
        <v>7530</v>
      </c>
      <c r="P2298" s="27" t="str">
        <f t="shared" si="106"/>
        <v>vermelho</v>
      </c>
    </row>
    <row r="2299" spans="1:16" ht="25.5">
      <c r="A2299" s="3" t="s">
        <v>4</v>
      </c>
      <c r="B2299" s="3" t="s">
        <v>1531</v>
      </c>
      <c r="C2299" s="4">
        <v>299</v>
      </c>
      <c r="D2299" s="3" t="s">
        <v>111</v>
      </c>
      <c r="E2299" s="3" t="s">
        <v>49</v>
      </c>
      <c r="F2299" s="5">
        <v>210</v>
      </c>
      <c r="G2299" s="5">
        <v>231</v>
      </c>
      <c r="H2299" s="6">
        <v>12359.7</v>
      </c>
      <c r="I2299" s="22">
        <v>13498.41</v>
      </c>
      <c r="J2299" s="24">
        <f t="shared" si="105"/>
        <v>9.3532128850574794E-5</v>
      </c>
      <c r="K2299" s="25">
        <f t="shared" si="107"/>
        <v>0.87857396879683536</v>
      </c>
      <c r="L2299" s="26" t="s">
        <v>7517</v>
      </c>
      <c r="M2299" s="28"/>
      <c r="N2299" s="28"/>
      <c r="O2299" s="20" t="s">
        <v>7530</v>
      </c>
      <c r="P2299" s="27" t="str">
        <f t="shared" si="106"/>
        <v>vermelho</v>
      </c>
    </row>
    <row r="2300" spans="1:16">
      <c r="A2300" s="3" t="s">
        <v>4</v>
      </c>
      <c r="B2300" s="3" t="s">
        <v>1532</v>
      </c>
      <c r="C2300" s="4">
        <v>240</v>
      </c>
      <c r="D2300" s="3" t="s">
        <v>69</v>
      </c>
      <c r="E2300" s="3" t="s">
        <v>16</v>
      </c>
      <c r="F2300" s="5">
        <v>0</v>
      </c>
      <c r="G2300" s="5">
        <v>222</v>
      </c>
      <c r="H2300" s="6">
        <v>0</v>
      </c>
      <c r="I2300" s="22">
        <v>13487.82</v>
      </c>
      <c r="J2300" s="24">
        <f t="shared" si="105"/>
        <v>9.3458749449258077E-5</v>
      </c>
      <c r="K2300" s="25">
        <f t="shared" si="107"/>
        <v>0.87866742754628457</v>
      </c>
      <c r="L2300" s="26" t="s">
        <v>7517</v>
      </c>
      <c r="M2300" s="28"/>
      <c r="N2300" s="28"/>
      <c r="O2300" s="20">
        <v>13986.96</v>
      </c>
      <c r="P2300" s="27" t="str">
        <f t="shared" si="106"/>
        <v>verde</v>
      </c>
    </row>
    <row r="2301" spans="1:16" ht="25.5">
      <c r="A2301" s="3" t="s">
        <v>4</v>
      </c>
      <c r="B2301" s="3" t="s">
        <v>1533</v>
      </c>
      <c r="C2301" s="4">
        <v>53</v>
      </c>
      <c r="D2301" s="3" t="s">
        <v>34</v>
      </c>
      <c r="E2301" s="3" t="s">
        <v>16</v>
      </c>
      <c r="F2301" s="5">
        <v>288</v>
      </c>
      <c r="G2301" s="5">
        <v>252</v>
      </c>
      <c r="H2301" s="6">
        <v>16473.12</v>
      </c>
      <c r="I2301" s="22">
        <v>13485.48</v>
      </c>
      <c r="J2301" s="24">
        <f t="shared" si="105"/>
        <v>9.3442535303924631E-5</v>
      </c>
      <c r="K2301" s="25">
        <f t="shared" si="107"/>
        <v>0.87876087008158854</v>
      </c>
      <c r="L2301" s="26" t="s">
        <v>7517</v>
      </c>
      <c r="M2301" s="28"/>
      <c r="N2301" s="28"/>
      <c r="O2301" s="20" t="s">
        <v>7530</v>
      </c>
      <c r="P2301" s="27" t="str">
        <f t="shared" si="106"/>
        <v>vermelho</v>
      </c>
    </row>
    <row r="2302" spans="1:16" ht="25.5">
      <c r="A2302" s="3" t="s">
        <v>4</v>
      </c>
      <c r="B2302" s="3" t="s">
        <v>1534</v>
      </c>
      <c r="C2302" s="4">
        <v>61</v>
      </c>
      <c r="D2302" s="3" t="s">
        <v>48</v>
      </c>
      <c r="E2302" s="3" t="s">
        <v>49</v>
      </c>
      <c r="F2302" s="5">
        <v>0</v>
      </c>
      <c r="G2302" s="5">
        <v>216</v>
      </c>
      <c r="H2302" s="6">
        <v>0</v>
      </c>
      <c r="I2302" s="22">
        <v>13476</v>
      </c>
      <c r="J2302" s="24">
        <f t="shared" si="105"/>
        <v>9.3376847227958398E-5</v>
      </c>
      <c r="K2302" s="25">
        <f t="shared" si="107"/>
        <v>0.87885424692881653</v>
      </c>
      <c r="L2302" s="26" t="s">
        <v>7517</v>
      </c>
      <c r="M2302" s="28"/>
      <c r="N2302" s="28"/>
      <c r="O2302" s="20" t="s">
        <v>7530</v>
      </c>
      <c r="P2302" s="27" t="str">
        <f t="shared" si="106"/>
        <v>vermelho</v>
      </c>
    </row>
    <row r="2303" spans="1:16" ht="25.5">
      <c r="A2303" s="3" t="s">
        <v>4</v>
      </c>
      <c r="B2303" s="3" t="s">
        <v>1535</v>
      </c>
      <c r="C2303" s="4">
        <v>217</v>
      </c>
      <c r="D2303" s="3" t="s">
        <v>91</v>
      </c>
      <c r="E2303" s="3" t="s">
        <v>16</v>
      </c>
      <c r="F2303" s="5">
        <v>72</v>
      </c>
      <c r="G2303" s="5">
        <v>228</v>
      </c>
      <c r="H2303" s="6">
        <v>3111.6</v>
      </c>
      <c r="I2303" s="22">
        <v>13472.16</v>
      </c>
      <c r="J2303" s="24">
        <f t="shared" si="105"/>
        <v>9.3350239399718899E-5</v>
      </c>
      <c r="K2303" s="25">
        <f t="shared" si="107"/>
        <v>0.87894759716821624</v>
      </c>
      <c r="L2303" s="26" t="s">
        <v>7517</v>
      </c>
      <c r="M2303" s="28"/>
      <c r="N2303" s="28"/>
      <c r="O2303" s="20" t="s">
        <v>7530</v>
      </c>
      <c r="P2303" s="27" t="str">
        <f t="shared" si="106"/>
        <v>vermelho</v>
      </c>
    </row>
    <row r="2304" spans="1:16" ht="25.5">
      <c r="A2304" s="3" t="s">
        <v>6539</v>
      </c>
      <c r="B2304" s="3" t="s">
        <v>6540</v>
      </c>
      <c r="C2304" s="4">
        <v>321</v>
      </c>
      <c r="D2304" s="3" t="s">
        <v>136</v>
      </c>
      <c r="E2304" s="3" t="s">
        <v>41</v>
      </c>
      <c r="F2304" s="5">
        <v>0</v>
      </c>
      <c r="G2304" s="5">
        <v>234</v>
      </c>
      <c r="H2304" s="6">
        <v>0</v>
      </c>
      <c r="I2304" s="22">
        <v>13462.26</v>
      </c>
      <c r="J2304" s="24">
        <f t="shared" si="105"/>
        <v>9.3281641092538977E-5</v>
      </c>
      <c r="K2304" s="25">
        <f t="shared" si="107"/>
        <v>0.87904087880930881</v>
      </c>
      <c r="L2304" s="26" t="s">
        <v>7517</v>
      </c>
      <c r="M2304" s="28"/>
      <c r="N2304" s="28"/>
      <c r="O2304" s="20" t="s">
        <v>7530</v>
      </c>
      <c r="P2304" s="27" t="str">
        <f t="shared" si="106"/>
        <v>vermelho</v>
      </c>
    </row>
    <row r="2305" spans="1:16">
      <c r="A2305" s="3" t="s">
        <v>4</v>
      </c>
      <c r="B2305" s="3" t="s">
        <v>1536</v>
      </c>
      <c r="C2305" s="4">
        <v>232</v>
      </c>
      <c r="D2305" s="3" t="s">
        <v>174</v>
      </c>
      <c r="E2305" s="3" t="s">
        <v>16</v>
      </c>
      <c r="F2305" s="5">
        <v>303</v>
      </c>
      <c r="G2305" s="5">
        <v>252</v>
      </c>
      <c r="H2305" s="6">
        <v>16584.93</v>
      </c>
      <c r="I2305" s="22">
        <v>13454.52</v>
      </c>
      <c r="J2305" s="24">
        <f t="shared" si="105"/>
        <v>9.3228009688743754E-5</v>
      </c>
      <c r="K2305" s="25">
        <f t="shared" si="107"/>
        <v>0.87913410681899751</v>
      </c>
      <c r="L2305" s="26" t="s">
        <v>7517</v>
      </c>
      <c r="M2305" s="28"/>
      <c r="N2305" s="28"/>
      <c r="O2305" s="20" t="s">
        <v>7530</v>
      </c>
      <c r="P2305" s="27" t="str">
        <f t="shared" si="106"/>
        <v>vermelho</v>
      </c>
    </row>
    <row r="2306" spans="1:16" ht="38.25">
      <c r="A2306" s="3" t="s">
        <v>4</v>
      </c>
      <c r="B2306" s="3" t="s">
        <v>1537</v>
      </c>
      <c r="C2306" s="4">
        <v>45</v>
      </c>
      <c r="D2306" s="3" t="s">
        <v>23</v>
      </c>
      <c r="E2306" s="3" t="s">
        <v>7</v>
      </c>
      <c r="F2306" s="5">
        <v>0</v>
      </c>
      <c r="G2306" s="5">
        <v>204</v>
      </c>
      <c r="H2306" s="6">
        <v>0</v>
      </c>
      <c r="I2306" s="22">
        <v>13453.8</v>
      </c>
      <c r="J2306" s="24">
        <f t="shared" si="105"/>
        <v>9.322302072094884E-5</v>
      </c>
      <c r="K2306" s="25">
        <f t="shared" si="107"/>
        <v>0.87922732983971841</v>
      </c>
      <c r="L2306" s="26" t="s">
        <v>7517</v>
      </c>
      <c r="M2306" s="28"/>
      <c r="N2306" s="28"/>
      <c r="O2306" s="20" t="s">
        <v>7530</v>
      </c>
      <c r="P2306" s="27" t="str">
        <f t="shared" si="106"/>
        <v>vermelho</v>
      </c>
    </row>
    <row r="2307" spans="1:16" ht="25.5">
      <c r="A2307" s="3" t="s">
        <v>6541</v>
      </c>
      <c r="B2307" s="3" t="s">
        <v>6542</v>
      </c>
      <c r="C2307" s="4">
        <v>328</v>
      </c>
      <c r="D2307" s="3" t="s">
        <v>215</v>
      </c>
      <c r="E2307" s="3" t="s">
        <v>41</v>
      </c>
      <c r="F2307" s="5">
        <v>1194</v>
      </c>
      <c r="G2307" s="5">
        <v>301</v>
      </c>
      <c r="H2307" s="6">
        <v>50925.411</v>
      </c>
      <c r="I2307" s="22">
        <v>13452.63</v>
      </c>
      <c r="J2307" s="24">
        <f t="shared" ref="J2307:J2370" si="108">I2307/$I$6364</f>
        <v>9.3214913648282117E-5</v>
      </c>
      <c r="K2307" s="25">
        <f t="shared" si="107"/>
        <v>0.87932054475336674</v>
      </c>
      <c r="L2307" s="26" t="s">
        <v>7517</v>
      </c>
      <c r="M2307" s="28"/>
      <c r="N2307" s="28"/>
      <c r="O2307" s="20" t="s">
        <v>7530</v>
      </c>
      <c r="P2307" s="27" t="str">
        <f t="shared" ref="P2307:P2370" si="109">IF(O2307&lt;=0,"vermelho",IFERROR(IF(O2307/I2307&lt;=0.5098,"amarelo",IF(O2307/I2307&lt;1,"laranja","verde")),"vermelho"))</f>
        <v>vermelho</v>
      </c>
    </row>
    <row r="2308" spans="1:16" ht="38.25">
      <c r="A2308" s="3" t="s">
        <v>4</v>
      </c>
      <c r="B2308" s="3" t="s">
        <v>1538</v>
      </c>
      <c r="C2308" s="4">
        <v>292</v>
      </c>
      <c r="D2308" s="3" t="s">
        <v>57</v>
      </c>
      <c r="E2308" s="3" t="s">
        <v>49</v>
      </c>
      <c r="F2308" s="5">
        <v>384</v>
      </c>
      <c r="G2308" s="5">
        <v>282</v>
      </c>
      <c r="H2308" s="6">
        <v>17539.944</v>
      </c>
      <c r="I2308" s="22">
        <v>13446.75</v>
      </c>
      <c r="J2308" s="24">
        <f t="shared" si="108"/>
        <v>9.3174170411290411E-5</v>
      </c>
      <c r="K2308" s="25">
        <f t="shared" ref="K2308:K2371" si="110">J2308+K2307</f>
        <v>0.87941371892377806</v>
      </c>
      <c r="L2308" s="26" t="s">
        <v>7517</v>
      </c>
      <c r="M2308" s="28"/>
      <c r="N2308" s="28"/>
      <c r="O2308" s="20" t="s">
        <v>7530</v>
      </c>
      <c r="P2308" s="27" t="str">
        <f t="shared" si="109"/>
        <v>vermelho</v>
      </c>
    </row>
    <row r="2309" spans="1:16" ht="38.25">
      <c r="A2309" s="3" t="s">
        <v>4</v>
      </c>
      <c r="B2309" s="3" t="s">
        <v>1539</v>
      </c>
      <c r="C2309" s="4">
        <v>34</v>
      </c>
      <c r="D2309" s="3" t="s">
        <v>54</v>
      </c>
      <c r="E2309" s="3" t="s">
        <v>49</v>
      </c>
      <c r="F2309" s="5">
        <v>60</v>
      </c>
      <c r="G2309" s="5">
        <v>261</v>
      </c>
      <c r="H2309" s="6">
        <v>2370.06</v>
      </c>
      <c r="I2309" s="22">
        <v>13441.98</v>
      </c>
      <c r="J2309" s="24">
        <f t="shared" si="108"/>
        <v>9.3141118499649161E-5</v>
      </c>
      <c r="K2309" s="25">
        <f t="shared" si="110"/>
        <v>0.87950686004227774</v>
      </c>
      <c r="L2309" s="26" t="s">
        <v>7517</v>
      </c>
      <c r="M2309" s="28"/>
      <c r="N2309" s="28"/>
      <c r="O2309" s="20">
        <v>4146.12</v>
      </c>
      <c r="P2309" s="27" t="str">
        <f t="shared" si="109"/>
        <v>amarelo</v>
      </c>
    </row>
    <row r="2310" spans="1:16" ht="25.5">
      <c r="A2310" s="3" t="s">
        <v>4</v>
      </c>
      <c r="B2310" s="3" t="s">
        <v>1540</v>
      </c>
      <c r="C2310" s="4">
        <v>39</v>
      </c>
      <c r="D2310" s="3" t="s">
        <v>26</v>
      </c>
      <c r="E2310" s="3" t="s">
        <v>13</v>
      </c>
      <c r="F2310" s="5">
        <v>180</v>
      </c>
      <c r="G2310" s="5">
        <v>213</v>
      </c>
      <c r="H2310" s="6">
        <v>10010.76</v>
      </c>
      <c r="I2310" s="22">
        <v>13434.36</v>
      </c>
      <c r="J2310" s="24">
        <f t="shared" si="108"/>
        <v>9.3088318590486431E-5</v>
      </c>
      <c r="K2310" s="25">
        <f t="shared" si="110"/>
        <v>0.87959994836086819</v>
      </c>
      <c r="L2310" s="26" t="s">
        <v>7517</v>
      </c>
      <c r="M2310" s="28"/>
      <c r="N2310" s="28"/>
      <c r="O2310" s="20" t="s">
        <v>7530</v>
      </c>
      <c r="P2310" s="27" t="str">
        <f t="shared" si="109"/>
        <v>vermelho</v>
      </c>
    </row>
    <row r="2311" spans="1:16" ht="38.25">
      <c r="A2311" s="3" t="s">
        <v>4</v>
      </c>
      <c r="B2311" s="3" t="s">
        <v>1541</v>
      </c>
      <c r="C2311" s="4">
        <v>45</v>
      </c>
      <c r="D2311" s="3" t="s">
        <v>23</v>
      </c>
      <c r="E2311" s="3" t="s">
        <v>7</v>
      </c>
      <c r="F2311" s="5">
        <v>198</v>
      </c>
      <c r="G2311" s="5">
        <v>186</v>
      </c>
      <c r="H2311" s="6">
        <v>11825.94</v>
      </c>
      <c r="I2311" s="22">
        <v>13425.9</v>
      </c>
      <c r="J2311" s="24">
        <f t="shared" si="108"/>
        <v>9.3029698218896308E-5</v>
      </c>
      <c r="K2311" s="25">
        <f t="shared" si="110"/>
        <v>0.87969297805908708</v>
      </c>
      <c r="L2311" s="26" t="s">
        <v>7517</v>
      </c>
      <c r="M2311" s="28"/>
      <c r="N2311" s="28"/>
      <c r="O2311" s="20">
        <v>4169.6400000000003</v>
      </c>
      <c r="P2311" s="27" t="str">
        <f t="shared" si="109"/>
        <v>amarelo</v>
      </c>
    </row>
    <row r="2312" spans="1:16">
      <c r="A2312" s="3" t="s">
        <v>4</v>
      </c>
      <c r="B2312" s="3" t="s">
        <v>1542</v>
      </c>
      <c r="C2312" s="4">
        <v>232</v>
      </c>
      <c r="D2312" s="3" t="s">
        <v>174</v>
      </c>
      <c r="E2312" s="3" t="s">
        <v>16</v>
      </c>
      <c r="F2312" s="5">
        <v>288</v>
      </c>
      <c r="G2312" s="5">
        <v>228</v>
      </c>
      <c r="H2312" s="6">
        <v>16118.16</v>
      </c>
      <c r="I2312" s="22">
        <v>13419.6</v>
      </c>
      <c r="J2312" s="24">
        <f t="shared" si="108"/>
        <v>9.2986044750690899E-5</v>
      </c>
      <c r="K2312" s="25">
        <f t="shared" si="110"/>
        <v>0.8797859641038378</v>
      </c>
      <c r="L2312" s="26" t="s">
        <v>7517</v>
      </c>
      <c r="M2312" s="28"/>
      <c r="N2312" s="28"/>
      <c r="O2312" s="20" t="s">
        <v>7530</v>
      </c>
      <c r="P2312" s="27" t="str">
        <f t="shared" si="109"/>
        <v>vermelho</v>
      </c>
    </row>
    <row r="2313" spans="1:16" ht="25.5">
      <c r="A2313" s="3" t="s">
        <v>4</v>
      </c>
      <c r="B2313" s="3" t="s">
        <v>1543</v>
      </c>
      <c r="C2313" s="4">
        <v>261</v>
      </c>
      <c r="D2313" s="3" t="s">
        <v>9</v>
      </c>
      <c r="E2313" s="3" t="s">
        <v>10</v>
      </c>
      <c r="F2313" s="5">
        <v>0</v>
      </c>
      <c r="G2313" s="5">
        <v>267</v>
      </c>
      <c r="H2313" s="6">
        <v>0</v>
      </c>
      <c r="I2313" s="22">
        <v>13410</v>
      </c>
      <c r="J2313" s="24">
        <f t="shared" si="108"/>
        <v>9.2919525180092173E-5</v>
      </c>
      <c r="K2313" s="25">
        <f t="shared" si="110"/>
        <v>0.87987888362901789</v>
      </c>
      <c r="L2313" s="26" t="s">
        <v>7517</v>
      </c>
      <c r="M2313" s="28"/>
      <c r="N2313" s="28"/>
      <c r="O2313" s="20" t="s">
        <v>7530</v>
      </c>
      <c r="P2313" s="27" t="str">
        <f t="shared" si="109"/>
        <v>vermelho</v>
      </c>
    </row>
    <row r="2314" spans="1:16" ht="25.5">
      <c r="A2314" s="3" t="s">
        <v>6543</v>
      </c>
      <c r="B2314" s="3" t="s">
        <v>6544</v>
      </c>
      <c r="C2314" s="4">
        <v>321</v>
      </c>
      <c r="D2314" s="3" t="s">
        <v>136</v>
      </c>
      <c r="E2314" s="3" t="s">
        <v>41</v>
      </c>
      <c r="F2314" s="5">
        <v>456</v>
      </c>
      <c r="G2314" s="5">
        <v>228</v>
      </c>
      <c r="H2314" s="6">
        <v>25845.681</v>
      </c>
      <c r="I2314" s="22">
        <v>13409.61</v>
      </c>
      <c r="J2314" s="24">
        <f t="shared" si="108"/>
        <v>9.2916822822536603E-5</v>
      </c>
      <c r="K2314" s="25">
        <f t="shared" si="110"/>
        <v>0.87997180045184042</v>
      </c>
      <c r="L2314" s="26" t="s">
        <v>7517</v>
      </c>
      <c r="M2314" s="28"/>
      <c r="N2314" s="28"/>
      <c r="O2314" s="20" t="s">
        <v>7530</v>
      </c>
      <c r="P2314" s="27" t="str">
        <f t="shared" si="109"/>
        <v>vermelho</v>
      </c>
    </row>
    <row r="2315" spans="1:16">
      <c r="A2315" s="3" t="s">
        <v>6545</v>
      </c>
      <c r="B2315" s="3" t="s">
        <v>6546</v>
      </c>
      <c r="C2315" s="4">
        <v>315</v>
      </c>
      <c r="D2315" s="3" t="s">
        <v>63</v>
      </c>
      <c r="E2315" s="3" t="s">
        <v>7</v>
      </c>
      <c r="F2315" s="5">
        <v>96</v>
      </c>
      <c r="G2315" s="5">
        <v>216</v>
      </c>
      <c r="H2315" s="6">
        <v>5937.72</v>
      </c>
      <c r="I2315" s="22">
        <v>13409.378000000001</v>
      </c>
      <c r="J2315" s="24">
        <f t="shared" si="108"/>
        <v>9.291521526624713E-5</v>
      </c>
      <c r="K2315" s="25">
        <f t="shared" si="110"/>
        <v>0.88006471566710665</v>
      </c>
      <c r="L2315" s="26" t="s">
        <v>7517</v>
      </c>
      <c r="M2315" s="28"/>
      <c r="N2315" s="28"/>
      <c r="O2315" s="20">
        <v>6005.6170000000002</v>
      </c>
      <c r="P2315" s="27" t="str">
        <f t="shared" si="109"/>
        <v>amarelo</v>
      </c>
    </row>
    <row r="2316" spans="1:16" ht="25.5">
      <c r="A2316" s="3" t="s">
        <v>6547</v>
      </c>
      <c r="B2316" s="3" t="s">
        <v>6548</v>
      </c>
      <c r="C2316" s="4">
        <v>299</v>
      </c>
      <c r="D2316" s="3" t="s">
        <v>111</v>
      </c>
      <c r="E2316" s="3" t="s">
        <v>49</v>
      </c>
      <c r="F2316" s="5">
        <v>72</v>
      </c>
      <c r="G2316" s="5">
        <v>240</v>
      </c>
      <c r="H2316" s="6">
        <v>4415.28</v>
      </c>
      <c r="I2316" s="22">
        <v>13405.644</v>
      </c>
      <c r="J2316" s="24">
        <f t="shared" si="108"/>
        <v>9.2889341924932999E-5</v>
      </c>
      <c r="K2316" s="25">
        <f t="shared" si="110"/>
        <v>0.88015760500903162</v>
      </c>
      <c r="L2316" s="26" t="s">
        <v>7517</v>
      </c>
      <c r="M2316" s="28"/>
      <c r="N2316" s="28"/>
      <c r="O2316" s="20" t="s">
        <v>7530</v>
      </c>
      <c r="P2316" s="27" t="str">
        <f t="shared" si="109"/>
        <v>vermelho</v>
      </c>
    </row>
    <row r="2317" spans="1:16" ht="25.5">
      <c r="A2317" s="3" t="s">
        <v>4</v>
      </c>
      <c r="B2317" s="3" t="s">
        <v>1544</v>
      </c>
      <c r="C2317" s="4">
        <v>218</v>
      </c>
      <c r="D2317" s="3" t="s">
        <v>104</v>
      </c>
      <c r="E2317" s="3" t="s">
        <v>16</v>
      </c>
      <c r="F2317" s="5">
        <v>120</v>
      </c>
      <c r="G2317" s="5">
        <v>216</v>
      </c>
      <c r="H2317" s="6">
        <v>6857.28</v>
      </c>
      <c r="I2317" s="22">
        <v>13398.54</v>
      </c>
      <c r="J2317" s="24">
        <f t="shared" si="108"/>
        <v>9.2840117442689944E-5</v>
      </c>
      <c r="K2317" s="25">
        <f t="shared" si="110"/>
        <v>0.88025044512647432</v>
      </c>
      <c r="L2317" s="26" t="s">
        <v>7517</v>
      </c>
      <c r="M2317" s="28"/>
      <c r="N2317" s="28"/>
      <c r="O2317" s="20" t="s">
        <v>7530</v>
      </c>
      <c r="P2317" s="27" t="str">
        <f t="shared" si="109"/>
        <v>vermelho</v>
      </c>
    </row>
    <row r="2318" spans="1:16" ht="25.5">
      <c r="A2318" s="3" t="s">
        <v>4</v>
      </c>
      <c r="B2318" s="3" t="s">
        <v>1545</v>
      </c>
      <c r="C2318" s="4">
        <v>261</v>
      </c>
      <c r="D2318" s="3" t="s">
        <v>9</v>
      </c>
      <c r="E2318" s="3" t="s">
        <v>10</v>
      </c>
      <c r="F2318" s="5">
        <v>285</v>
      </c>
      <c r="G2318" s="5">
        <v>216</v>
      </c>
      <c r="H2318" s="6">
        <v>16535.43</v>
      </c>
      <c r="I2318" s="22">
        <v>13391.04</v>
      </c>
      <c r="J2318" s="24">
        <f t="shared" si="108"/>
        <v>9.2788149028159693E-5</v>
      </c>
      <c r="K2318" s="25">
        <f t="shared" si="110"/>
        <v>0.88034323327550246</v>
      </c>
      <c r="L2318" s="26" t="s">
        <v>7517</v>
      </c>
      <c r="M2318" s="28"/>
      <c r="N2318" s="28"/>
      <c r="O2318" s="20">
        <v>12026.52</v>
      </c>
      <c r="P2318" s="27" t="str">
        <f t="shared" si="109"/>
        <v>laranja</v>
      </c>
    </row>
    <row r="2319" spans="1:16" ht="25.5">
      <c r="A2319" s="3" t="s">
        <v>4</v>
      </c>
      <c r="B2319" s="3" t="s">
        <v>1546</v>
      </c>
      <c r="C2319" s="4">
        <v>197</v>
      </c>
      <c r="D2319" s="3" t="s">
        <v>66</v>
      </c>
      <c r="E2319" s="3" t="s">
        <v>41</v>
      </c>
      <c r="F2319" s="5">
        <v>162</v>
      </c>
      <c r="G2319" s="5">
        <v>204</v>
      </c>
      <c r="H2319" s="6">
        <v>9973.02</v>
      </c>
      <c r="I2319" s="22">
        <v>13390.8</v>
      </c>
      <c r="J2319" s="24">
        <f t="shared" si="108"/>
        <v>9.2786486038894721E-5</v>
      </c>
      <c r="K2319" s="25">
        <f t="shared" si="110"/>
        <v>0.8804360197615414</v>
      </c>
      <c r="L2319" s="26" t="s">
        <v>7517</v>
      </c>
      <c r="M2319" s="28"/>
      <c r="N2319" s="28"/>
      <c r="O2319" s="20">
        <v>9035.1299999999992</v>
      </c>
      <c r="P2319" s="27" t="str">
        <f t="shared" si="109"/>
        <v>laranja</v>
      </c>
    </row>
    <row r="2320" spans="1:16" ht="25.5">
      <c r="A2320" s="3" t="s">
        <v>4</v>
      </c>
      <c r="B2320" s="3" t="s">
        <v>1547</v>
      </c>
      <c r="C2320" s="4">
        <v>218</v>
      </c>
      <c r="D2320" s="3" t="s">
        <v>104</v>
      </c>
      <c r="E2320" s="3" t="s">
        <v>16</v>
      </c>
      <c r="F2320" s="5">
        <v>144</v>
      </c>
      <c r="G2320" s="5">
        <v>288</v>
      </c>
      <c r="H2320" s="6">
        <v>6259.68</v>
      </c>
      <c r="I2320" s="22">
        <v>13390.56</v>
      </c>
      <c r="J2320" s="24">
        <f t="shared" si="108"/>
        <v>9.278482304962975E-5</v>
      </c>
      <c r="K2320" s="25">
        <f t="shared" si="110"/>
        <v>0.88052880458459104</v>
      </c>
      <c r="L2320" s="26" t="s">
        <v>7517</v>
      </c>
      <c r="M2320" s="28"/>
      <c r="N2320" s="28"/>
      <c r="O2320" s="20" t="s">
        <v>7530</v>
      </c>
      <c r="P2320" s="27" t="str">
        <f t="shared" si="109"/>
        <v>vermelho</v>
      </c>
    </row>
    <row r="2321" spans="1:16" ht="25.5">
      <c r="A2321" s="3" t="s">
        <v>4</v>
      </c>
      <c r="B2321" s="3" t="s">
        <v>1548</v>
      </c>
      <c r="C2321" s="4">
        <v>19</v>
      </c>
      <c r="D2321" s="3" t="s">
        <v>72</v>
      </c>
      <c r="E2321" s="3" t="s">
        <v>41</v>
      </c>
      <c r="F2321" s="5">
        <v>291</v>
      </c>
      <c r="G2321" s="5">
        <v>228</v>
      </c>
      <c r="H2321" s="6">
        <v>16447.38</v>
      </c>
      <c r="I2321" s="22">
        <v>13389.72</v>
      </c>
      <c r="J2321" s="24">
        <f t="shared" si="108"/>
        <v>9.2779002587202358E-5</v>
      </c>
      <c r="K2321" s="25">
        <f t="shared" si="110"/>
        <v>0.88062158358717824</v>
      </c>
      <c r="L2321" s="26" t="s">
        <v>7517</v>
      </c>
      <c r="M2321" s="28"/>
      <c r="N2321" s="28"/>
      <c r="O2321" s="20">
        <v>21183.72</v>
      </c>
      <c r="P2321" s="27" t="str">
        <f t="shared" si="109"/>
        <v>verde</v>
      </c>
    </row>
    <row r="2322" spans="1:16" ht="25.5">
      <c r="A2322" s="3" t="s">
        <v>4</v>
      </c>
      <c r="B2322" s="3" t="s">
        <v>1549</v>
      </c>
      <c r="C2322" s="4">
        <v>328</v>
      </c>
      <c r="D2322" s="3" t="s">
        <v>215</v>
      </c>
      <c r="E2322" s="3" t="s">
        <v>41</v>
      </c>
      <c r="F2322" s="5">
        <v>0</v>
      </c>
      <c r="G2322" s="5">
        <v>222</v>
      </c>
      <c r="H2322" s="6">
        <v>0</v>
      </c>
      <c r="I2322" s="22">
        <v>13382.4</v>
      </c>
      <c r="J2322" s="24">
        <f t="shared" si="108"/>
        <v>9.2728281414620838E-5</v>
      </c>
      <c r="K2322" s="25">
        <f t="shared" si="110"/>
        <v>0.88071431186859284</v>
      </c>
      <c r="L2322" s="26" t="s">
        <v>7517</v>
      </c>
      <c r="M2322" s="28"/>
      <c r="N2322" s="28"/>
      <c r="O2322" s="20" t="s">
        <v>7530</v>
      </c>
      <c r="P2322" s="27" t="str">
        <f t="shared" si="109"/>
        <v>vermelho</v>
      </c>
    </row>
    <row r="2323" spans="1:16" ht="25.5">
      <c r="A2323" s="3" t="s">
        <v>6549</v>
      </c>
      <c r="B2323" s="3" t="s">
        <v>6550</v>
      </c>
      <c r="C2323" s="4">
        <v>194</v>
      </c>
      <c r="D2323" s="3" t="s">
        <v>145</v>
      </c>
      <c r="E2323" s="3" t="s">
        <v>16</v>
      </c>
      <c r="F2323" s="5">
        <v>642</v>
      </c>
      <c r="G2323" s="5">
        <v>243</v>
      </c>
      <c r="H2323" s="6">
        <v>36646.589999999997</v>
      </c>
      <c r="I2323" s="22">
        <v>13380.63</v>
      </c>
      <c r="J2323" s="24">
        <f t="shared" si="108"/>
        <v>9.2716016868791694E-5</v>
      </c>
      <c r="K2323" s="25">
        <f t="shared" si="110"/>
        <v>0.88080702788546161</v>
      </c>
      <c r="L2323" s="26" t="s">
        <v>7517</v>
      </c>
      <c r="M2323" s="28"/>
      <c r="N2323" s="28"/>
      <c r="O2323" s="20">
        <v>12924.36</v>
      </c>
      <c r="P2323" s="27" t="str">
        <f t="shared" si="109"/>
        <v>laranja</v>
      </c>
    </row>
    <row r="2324" spans="1:16">
      <c r="A2324" s="3" t="s">
        <v>4</v>
      </c>
      <c r="B2324" s="3" t="s">
        <v>1550</v>
      </c>
      <c r="C2324" s="4">
        <v>217</v>
      </c>
      <c r="D2324" s="3" t="s">
        <v>91</v>
      </c>
      <c r="E2324" s="3" t="s">
        <v>16</v>
      </c>
      <c r="F2324" s="5">
        <v>321</v>
      </c>
      <c r="G2324" s="5">
        <v>204</v>
      </c>
      <c r="H2324" s="6">
        <v>21059.37</v>
      </c>
      <c r="I2324" s="22">
        <v>13375.32</v>
      </c>
      <c r="J2324" s="24">
        <f t="shared" si="108"/>
        <v>9.2679223231304276E-5</v>
      </c>
      <c r="K2324" s="25">
        <f t="shared" si="110"/>
        <v>0.88089970710869292</v>
      </c>
      <c r="L2324" s="26" t="s">
        <v>7517</v>
      </c>
      <c r="M2324" s="28"/>
      <c r="N2324" s="28"/>
      <c r="O2324" s="20" t="s">
        <v>7530</v>
      </c>
      <c r="P2324" s="27" t="str">
        <f t="shared" si="109"/>
        <v>vermelho</v>
      </c>
    </row>
    <row r="2325" spans="1:16" ht="25.5">
      <c r="A2325" s="3" t="s">
        <v>4</v>
      </c>
      <c r="B2325" s="3" t="s">
        <v>1551</v>
      </c>
      <c r="C2325" s="4">
        <v>208</v>
      </c>
      <c r="D2325" s="3" t="s">
        <v>15</v>
      </c>
      <c r="E2325" s="3" t="s">
        <v>16</v>
      </c>
      <c r="F2325" s="5">
        <v>276</v>
      </c>
      <c r="G2325" s="5">
        <v>240</v>
      </c>
      <c r="H2325" s="6">
        <v>12912.24</v>
      </c>
      <c r="I2325" s="22">
        <v>13369.8</v>
      </c>
      <c r="J2325" s="24">
        <f t="shared" si="108"/>
        <v>9.2640974478210006E-5</v>
      </c>
      <c r="K2325" s="25">
        <f t="shared" si="110"/>
        <v>0.88099234808317117</v>
      </c>
      <c r="L2325" s="26" t="s">
        <v>7517</v>
      </c>
      <c r="M2325" s="28"/>
      <c r="N2325" s="28"/>
      <c r="O2325" s="20" t="s">
        <v>7530</v>
      </c>
      <c r="P2325" s="27" t="str">
        <f t="shared" si="109"/>
        <v>vermelho</v>
      </c>
    </row>
    <row r="2326" spans="1:16" ht="38.25">
      <c r="A2326" s="3" t="s">
        <v>4</v>
      </c>
      <c r="B2326" s="3" t="s">
        <v>1552</v>
      </c>
      <c r="C2326" s="4">
        <v>273</v>
      </c>
      <c r="D2326" s="3" t="s">
        <v>149</v>
      </c>
      <c r="E2326" s="3" t="s">
        <v>16</v>
      </c>
      <c r="F2326" s="5">
        <v>0</v>
      </c>
      <c r="G2326" s="5">
        <v>278</v>
      </c>
      <c r="H2326" s="6">
        <v>0</v>
      </c>
      <c r="I2326" s="22">
        <v>13365.52</v>
      </c>
      <c r="J2326" s="24">
        <f t="shared" si="108"/>
        <v>9.2611317836318081E-5</v>
      </c>
      <c r="K2326" s="25">
        <f t="shared" si="110"/>
        <v>0.88108495940100751</v>
      </c>
      <c r="L2326" s="26" t="s">
        <v>7517</v>
      </c>
      <c r="M2326" s="28"/>
      <c r="N2326" s="28"/>
      <c r="O2326" s="20" t="s">
        <v>7530</v>
      </c>
      <c r="P2326" s="27" t="str">
        <f t="shared" si="109"/>
        <v>vermelho</v>
      </c>
    </row>
    <row r="2327" spans="1:16" ht="25.5">
      <c r="A2327" s="3" t="s">
        <v>4</v>
      </c>
      <c r="B2327" s="3" t="s">
        <v>1553</v>
      </c>
      <c r="C2327" s="4">
        <v>315</v>
      </c>
      <c r="D2327" s="3" t="s">
        <v>63</v>
      </c>
      <c r="E2327" s="3" t="s">
        <v>7</v>
      </c>
      <c r="F2327" s="5">
        <v>189</v>
      </c>
      <c r="G2327" s="5">
        <v>234</v>
      </c>
      <c r="H2327" s="6">
        <v>10810.11</v>
      </c>
      <c r="I2327" s="22">
        <v>13365.022000000001</v>
      </c>
      <c r="J2327" s="24">
        <f t="shared" si="108"/>
        <v>9.2607867133593285E-5</v>
      </c>
      <c r="K2327" s="25">
        <f t="shared" si="110"/>
        <v>0.88117756726814112</v>
      </c>
      <c r="L2327" s="26" t="s">
        <v>7517</v>
      </c>
      <c r="M2327" s="28"/>
      <c r="N2327" s="28"/>
      <c r="O2327" s="20">
        <v>6979.2449999999999</v>
      </c>
      <c r="P2327" s="27" t="str">
        <f t="shared" si="109"/>
        <v>laranja</v>
      </c>
    </row>
    <row r="2328" spans="1:16" ht="25.5">
      <c r="A2328" s="3" t="s">
        <v>4</v>
      </c>
      <c r="B2328" s="3" t="s">
        <v>1554</v>
      </c>
      <c r="C2328" s="4">
        <v>297</v>
      </c>
      <c r="D2328" s="3" t="s">
        <v>115</v>
      </c>
      <c r="E2328" s="3" t="s">
        <v>41</v>
      </c>
      <c r="F2328" s="5">
        <v>360</v>
      </c>
      <c r="G2328" s="5">
        <v>309</v>
      </c>
      <c r="H2328" s="6">
        <v>20590.344000000001</v>
      </c>
      <c r="I2328" s="22">
        <v>13348.146000000001</v>
      </c>
      <c r="J2328" s="24">
        <f t="shared" si="108"/>
        <v>9.249093127177827E-5</v>
      </c>
      <c r="K2328" s="25">
        <f t="shared" si="110"/>
        <v>0.88127005819941284</v>
      </c>
      <c r="L2328" s="26" t="s">
        <v>7517</v>
      </c>
      <c r="M2328" s="28"/>
      <c r="N2328" s="28"/>
      <c r="O2328" s="20" t="s">
        <v>7530</v>
      </c>
      <c r="P2328" s="27" t="str">
        <f t="shared" si="109"/>
        <v>vermelho</v>
      </c>
    </row>
    <row r="2329" spans="1:16">
      <c r="A2329" s="3" t="s">
        <v>4</v>
      </c>
      <c r="B2329" s="3" t="s">
        <v>1555</v>
      </c>
      <c r="C2329" s="4">
        <v>232</v>
      </c>
      <c r="D2329" s="3" t="s">
        <v>174</v>
      </c>
      <c r="E2329" s="3" t="s">
        <v>16</v>
      </c>
      <c r="F2329" s="5">
        <v>288</v>
      </c>
      <c r="G2329" s="5">
        <v>216</v>
      </c>
      <c r="H2329" s="6">
        <v>16118.88</v>
      </c>
      <c r="I2329" s="22">
        <v>13339.08</v>
      </c>
      <c r="J2329" s="24">
        <f t="shared" si="108"/>
        <v>9.24281118522941E-5</v>
      </c>
      <c r="K2329" s="25">
        <f t="shared" si="110"/>
        <v>0.88136248631126513</v>
      </c>
      <c r="L2329" s="26" t="s">
        <v>7517</v>
      </c>
      <c r="M2329" s="28"/>
      <c r="N2329" s="28"/>
      <c r="O2329" s="20">
        <v>4895.3999999999996</v>
      </c>
      <c r="P2329" s="27" t="str">
        <f t="shared" si="109"/>
        <v>amarelo</v>
      </c>
    </row>
    <row r="2330" spans="1:16" ht="51">
      <c r="A2330" s="3" t="s">
        <v>6551</v>
      </c>
      <c r="B2330" s="3" t="s">
        <v>6552</v>
      </c>
      <c r="C2330" s="4">
        <v>282</v>
      </c>
      <c r="D2330" s="3" t="s">
        <v>12</v>
      </c>
      <c r="E2330" s="3" t="s">
        <v>13</v>
      </c>
      <c r="F2330" s="5">
        <v>771</v>
      </c>
      <c r="G2330" s="5">
        <v>240</v>
      </c>
      <c r="H2330" s="6">
        <v>41869.449000000001</v>
      </c>
      <c r="I2330" s="22">
        <v>13333.44</v>
      </c>
      <c r="J2330" s="24">
        <f t="shared" si="108"/>
        <v>9.2389031604567351E-5</v>
      </c>
      <c r="K2330" s="25">
        <f t="shared" si="110"/>
        <v>0.8814548753428697</v>
      </c>
      <c r="L2330" s="26" t="s">
        <v>7517</v>
      </c>
      <c r="M2330" s="28"/>
      <c r="N2330" s="28"/>
      <c r="O2330" s="20" t="s">
        <v>7530</v>
      </c>
      <c r="P2330" s="27" t="str">
        <f t="shared" si="109"/>
        <v>vermelho</v>
      </c>
    </row>
    <row r="2331" spans="1:16" ht="25.5">
      <c r="A2331" s="3" t="s">
        <v>4</v>
      </c>
      <c r="B2331" s="3" t="s">
        <v>1556</v>
      </c>
      <c r="C2331" s="4">
        <v>197</v>
      </c>
      <c r="D2331" s="3" t="s">
        <v>66</v>
      </c>
      <c r="E2331" s="3" t="s">
        <v>41</v>
      </c>
      <c r="F2331" s="5">
        <v>231</v>
      </c>
      <c r="G2331" s="5">
        <v>207</v>
      </c>
      <c r="H2331" s="6">
        <v>12797.25</v>
      </c>
      <c r="I2331" s="22">
        <v>13329.24</v>
      </c>
      <c r="J2331" s="24">
        <f t="shared" si="108"/>
        <v>9.2359929292430403E-5</v>
      </c>
      <c r="K2331" s="25">
        <f t="shared" si="110"/>
        <v>0.88154723527216217</v>
      </c>
      <c r="L2331" s="26" t="s">
        <v>7517</v>
      </c>
      <c r="M2331" s="28"/>
      <c r="N2331" s="28"/>
      <c r="O2331" s="20" t="s">
        <v>7530</v>
      </c>
      <c r="P2331" s="27" t="str">
        <f t="shared" si="109"/>
        <v>vermelho</v>
      </c>
    </row>
    <row r="2332" spans="1:16" ht="38.25">
      <c r="A2332" s="3" t="s">
        <v>4</v>
      </c>
      <c r="B2332" s="3" t="s">
        <v>1557</v>
      </c>
      <c r="C2332" s="4">
        <v>301</v>
      </c>
      <c r="D2332" s="3" t="s">
        <v>519</v>
      </c>
      <c r="E2332" s="3" t="s">
        <v>16</v>
      </c>
      <c r="F2332" s="5">
        <v>168</v>
      </c>
      <c r="G2332" s="5">
        <v>252</v>
      </c>
      <c r="H2332" s="6">
        <v>5892.36</v>
      </c>
      <c r="I2332" s="22">
        <v>13326.6</v>
      </c>
      <c r="J2332" s="24">
        <f t="shared" si="108"/>
        <v>9.234163641051576E-5</v>
      </c>
      <c r="K2332" s="25">
        <f t="shared" si="110"/>
        <v>0.88163957690857264</v>
      </c>
      <c r="L2332" s="26" t="s">
        <v>7517</v>
      </c>
      <c r="M2332" s="28"/>
      <c r="N2332" s="28"/>
      <c r="O2332" s="20">
        <v>4939.9799999999996</v>
      </c>
      <c r="P2332" s="27" t="str">
        <f t="shared" si="109"/>
        <v>amarelo</v>
      </c>
    </row>
    <row r="2333" spans="1:16" ht="25.5">
      <c r="A2333" s="3" t="s">
        <v>4</v>
      </c>
      <c r="B2333" s="3" t="s">
        <v>1558</v>
      </c>
      <c r="C2333" s="4">
        <v>273</v>
      </c>
      <c r="D2333" s="3" t="s">
        <v>149</v>
      </c>
      <c r="E2333" s="3" t="s">
        <v>16</v>
      </c>
      <c r="F2333" s="5">
        <v>0</v>
      </c>
      <c r="G2333" s="5">
        <v>219</v>
      </c>
      <c r="H2333" s="6">
        <v>0</v>
      </c>
      <c r="I2333" s="22">
        <v>13310.88</v>
      </c>
      <c r="J2333" s="24">
        <f t="shared" si="108"/>
        <v>9.2232710613660343E-5</v>
      </c>
      <c r="K2333" s="25">
        <f t="shared" si="110"/>
        <v>0.88173180961918629</v>
      </c>
      <c r="L2333" s="26" t="s">
        <v>7517</v>
      </c>
      <c r="M2333" s="28"/>
      <c r="N2333" s="28"/>
      <c r="O2333" s="20" t="s">
        <v>7530</v>
      </c>
      <c r="P2333" s="27" t="str">
        <f t="shared" si="109"/>
        <v>vermelho</v>
      </c>
    </row>
    <row r="2334" spans="1:16" ht="25.5">
      <c r="A2334" s="3" t="s">
        <v>4</v>
      </c>
      <c r="B2334" s="3" t="s">
        <v>1559</v>
      </c>
      <c r="C2334" s="4">
        <v>194</v>
      </c>
      <c r="D2334" s="3" t="s">
        <v>145</v>
      </c>
      <c r="E2334" s="3" t="s">
        <v>16</v>
      </c>
      <c r="F2334" s="5">
        <v>0</v>
      </c>
      <c r="G2334" s="5">
        <v>219</v>
      </c>
      <c r="H2334" s="6">
        <v>0</v>
      </c>
      <c r="I2334" s="22">
        <v>13297.32</v>
      </c>
      <c r="J2334" s="24">
        <f t="shared" si="108"/>
        <v>9.2138751720189654E-5</v>
      </c>
      <c r="K2334" s="25">
        <f t="shared" si="110"/>
        <v>0.8818239483709065</v>
      </c>
      <c r="L2334" s="26" t="s">
        <v>7517</v>
      </c>
      <c r="M2334" s="28"/>
      <c r="N2334" s="28"/>
      <c r="O2334" s="20">
        <v>19830.39</v>
      </c>
      <c r="P2334" s="27" t="str">
        <f t="shared" si="109"/>
        <v>verde</v>
      </c>
    </row>
    <row r="2335" spans="1:16" ht="25.5">
      <c r="A2335" s="3" t="s">
        <v>6553</v>
      </c>
      <c r="B2335" s="3" t="s">
        <v>6554</v>
      </c>
      <c r="C2335" s="4">
        <v>321</v>
      </c>
      <c r="D2335" s="3" t="s">
        <v>136</v>
      </c>
      <c r="E2335" s="3" t="s">
        <v>41</v>
      </c>
      <c r="F2335" s="5">
        <v>138</v>
      </c>
      <c r="G2335" s="5">
        <v>216</v>
      </c>
      <c r="H2335" s="6">
        <v>7864.3469999999998</v>
      </c>
      <c r="I2335" s="22">
        <v>13291.02</v>
      </c>
      <c r="J2335" s="24">
        <f t="shared" si="108"/>
        <v>9.2095098251984245E-5</v>
      </c>
      <c r="K2335" s="25">
        <f t="shared" si="110"/>
        <v>0.88191604346915853</v>
      </c>
      <c r="L2335" s="26" t="s">
        <v>7517</v>
      </c>
      <c r="M2335" s="28"/>
      <c r="N2335" s="28"/>
      <c r="O2335" s="20" t="s">
        <v>7530</v>
      </c>
      <c r="P2335" s="27" t="str">
        <f t="shared" si="109"/>
        <v>vermelho</v>
      </c>
    </row>
    <row r="2336" spans="1:16" ht="25.5">
      <c r="A2336" s="3" t="s">
        <v>4</v>
      </c>
      <c r="B2336" s="3" t="s">
        <v>1560</v>
      </c>
      <c r="C2336" s="4">
        <v>273</v>
      </c>
      <c r="D2336" s="3" t="s">
        <v>149</v>
      </c>
      <c r="E2336" s="3" t="s">
        <v>16</v>
      </c>
      <c r="F2336" s="5">
        <v>198</v>
      </c>
      <c r="G2336" s="5">
        <v>228</v>
      </c>
      <c r="H2336" s="6">
        <v>9066.9</v>
      </c>
      <c r="I2336" s="22">
        <v>13280.696</v>
      </c>
      <c r="J2336" s="24">
        <f t="shared" si="108"/>
        <v>9.2023561997102863E-5</v>
      </c>
      <c r="K2336" s="25">
        <f t="shared" si="110"/>
        <v>0.88200806703115564</v>
      </c>
      <c r="L2336" s="26" t="s">
        <v>7517</v>
      </c>
      <c r="M2336" s="28"/>
      <c r="N2336" s="28"/>
      <c r="O2336" s="20">
        <v>2716.32</v>
      </c>
      <c r="P2336" s="27" t="str">
        <f t="shared" si="109"/>
        <v>amarelo</v>
      </c>
    </row>
    <row r="2337" spans="1:16" ht="25.5">
      <c r="A2337" s="3" t="s">
        <v>4</v>
      </c>
      <c r="B2337" s="3" t="s">
        <v>1561</v>
      </c>
      <c r="C2337" s="4">
        <v>23</v>
      </c>
      <c r="D2337" s="3" t="s">
        <v>87</v>
      </c>
      <c r="E2337" s="3" t="s">
        <v>7</v>
      </c>
      <c r="F2337" s="5">
        <v>168</v>
      </c>
      <c r="G2337" s="5">
        <v>192</v>
      </c>
      <c r="H2337" s="6">
        <v>9722.9159999999993</v>
      </c>
      <c r="I2337" s="22">
        <v>13257.6</v>
      </c>
      <c r="J2337" s="24">
        <f t="shared" si="108"/>
        <v>9.1863526996837429E-5</v>
      </c>
      <c r="K2337" s="25">
        <f t="shared" si="110"/>
        <v>0.8820999305581525</v>
      </c>
      <c r="L2337" s="26" t="s">
        <v>7517</v>
      </c>
      <c r="M2337" s="28"/>
      <c r="N2337" s="28"/>
      <c r="O2337" s="20">
        <v>8126.64</v>
      </c>
      <c r="P2337" s="27" t="str">
        <f t="shared" si="109"/>
        <v>laranja</v>
      </c>
    </row>
    <row r="2338" spans="1:16" ht="25.5">
      <c r="A2338" s="3" t="s">
        <v>4</v>
      </c>
      <c r="B2338" s="3" t="s">
        <v>1562</v>
      </c>
      <c r="C2338" s="4">
        <v>266</v>
      </c>
      <c r="D2338" s="3" t="s">
        <v>80</v>
      </c>
      <c r="E2338" s="3" t="s">
        <v>10</v>
      </c>
      <c r="F2338" s="5">
        <v>0</v>
      </c>
      <c r="G2338" s="5">
        <v>246</v>
      </c>
      <c r="H2338" s="6">
        <v>0</v>
      </c>
      <c r="I2338" s="22">
        <v>13256.52</v>
      </c>
      <c r="J2338" s="24">
        <f t="shared" si="108"/>
        <v>9.1856043545145079E-5</v>
      </c>
      <c r="K2338" s="25">
        <f t="shared" si="110"/>
        <v>0.88219178660169761</v>
      </c>
      <c r="L2338" s="26" t="s">
        <v>7517</v>
      </c>
      <c r="M2338" s="28"/>
      <c r="N2338" s="28"/>
      <c r="O2338" s="20" t="s">
        <v>7530</v>
      </c>
      <c r="P2338" s="27" t="str">
        <f t="shared" si="109"/>
        <v>vermelho</v>
      </c>
    </row>
    <row r="2339" spans="1:16" ht="25.5">
      <c r="A2339" s="3" t="s">
        <v>4</v>
      </c>
      <c r="B2339" s="3" t="s">
        <v>1563</v>
      </c>
      <c r="C2339" s="4">
        <v>296</v>
      </c>
      <c r="D2339" s="3" t="s">
        <v>282</v>
      </c>
      <c r="E2339" s="3" t="s">
        <v>10</v>
      </c>
      <c r="F2339" s="5">
        <v>0</v>
      </c>
      <c r="G2339" s="5">
        <v>234</v>
      </c>
      <c r="H2339" s="6">
        <v>0</v>
      </c>
      <c r="I2339" s="22">
        <v>13255.119000000001</v>
      </c>
      <c r="J2339" s="24">
        <f t="shared" si="108"/>
        <v>9.1846335845310832E-5</v>
      </c>
      <c r="K2339" s="25">
        <f t="shared" si="110"/>
        <v>0.88228363293754297</v>
      </c>
      <c r="L2339" s="26" t="s">
        <v>7517</v>
      </c>
      <c r="M2339" s="28"/>
      <c r="N2339" s="28"/>
      <c r="O2339" s="20" t="s">
        <v>7530</v>
      </c>
      <c r="P2339" s="27" t="str">
        <f t="shared" si="109"/>
        <v>vermelho</v>
      </c>
    </row>
    <row r="2340" spans="1:16" ht="25.5">
      <c r="A2340" s="3" t="s">
        <v>4</v>
      </c>
      <c r="B2340" s="3" t="s">
        <v>1564</v>
      </c>
      <c r="C2340" s="4">
        <v>194</v>
      </c>
      <c r="D2340" s="3" t="s">
        <v>145</v>
      </c>
      <c r="E2340" s="3" t="s">
        <v>16</v>
      </c>
      <c r="F2340" s="5">
        <v>132</v>
      </c>
      <c r="G2340" s="5">
        <v>222</v>
      </c>
      <c r="H2340" s="6">
        <v>7341.48</v>
      </c>
      <c r="I2340" s="22">
        <v>13255.05</v>
      </c>
      <c r="J2340" s="24">
        <f t="shared" si="108"/>
        <v>9.1845857735897146E-5</v>
      </c>
      <c r="K2340" s="25">
        <f t="shared" si="110"/>
        <v>0.88237547879527889</v>
      </c>
      <c r="L2340" s="26" t="s">
        <v>7517</v>
      </c>
      <c r="M2340" s="28"/>
      <c r="N2340" s="28"/>
      <c r="O2340" s="20" t="s">
        <v>7530</v>
      </c>
      <c r="P2340" s="27" t="str">
        <f t="shared" si="109"/>
        <v>vermelho</v>
      </c>
    </row>
    <row r="2341" spans="1:16">
      <c r="A2341" s="3" t="s">
        <v>6555</v>
      </c>
      <c r="B2341" s="3" t="s">
        <v>6556</v>
      </c>
      <c r="C2341" s="4">
        <v>334</v>
      </c>
      <c r="D2341" s="3" t="s">
        <v>531</v>
      </c>
      <c r="E2341" s="3" t="s">
        <v>7</v>
      </c>
      <c r="F2341" s="5">
        <v>163</v>
      </c>
      <c r="G2341" s="5">
        <v>288</v>
      </c>
      <c r="H2341" s="6">
        <v>4890</v>
      </c>
      <c r="I2341" s="22">
        <v>13254.754999999999</v>
      </c>
      <c r="J2341" s="24">
        <f t="shared" si="108"/>
        <v>9.1843813644925613E-5</v>
      </c>
      <c r="K2341" s="25">
        <f t="shared" si="110"/>
        <v>0.8824673226089238</v>
      </c>
      <c r="L2341" s="26" t="s">
        <v>7517</v>
      </c>
      <c r="M2341" s="28"/>
      <c r="N2341" s="28"/>
      <c r="O2341" s="20" t="s">
        <v>7530</v>
      </c>
      <c r="P2341" s="27" t="str">
        <f t="shared" si="109"/>
        <v>vermelho</v>
      </c>
    </row>
    <row r="2342" spans="1:16" ht="25.5">
      <c r="A2342" s="3" t="s">
        <v>4</v>
      </c>
      <c r="B2342" s="3" t="s">
        <v>1565</v>
      </c>
      <c r="C2342" s="4">
        <v>337</v>
      </c>
      <c r="D2342" s="3" t="s">
        <v>202</v>
      </c>
      <c r="E2342" s="3" t="s">
        <v>16</v>
      </c>
      <c r="F2342" s="5">
        <v>516</v>
      </c>
      <c r="G2342" s="5">
        <v>240</v>
      </c>
      <c r="H2342" s="6">
        <v>22498.44</v>
      </c>
      <c r="I2342" s="22">
        <v>13254.404</v>
      </c>
      <c r="J2342" s="24">
        <f t="shared" si="108"/>
        <v>9.1841381523125609E-5</v>
      </c>
      <c r="K2342" s="25">
        <f t="shared" si="110"/>
        <v>0.88255916399044687</v>
      </c>
      <c r="L2342" s="26" t="s">
        <v>7517</v>
      </c>
      <c r="M2342" s="28"/>
      <c r="N2342" s="28"/>
      <c r="O2342" s="20" t="s">
        <v>7530</v>
      </c>
      <c r="P2342" s="27" t="str">
        <f t="shared" si="109"/>
        <v>vermelho</v>
      </c>
    </row>
    <row r="2343" spans="1:16" ht="25.5">
      <c r="A2343" s="3" t="s">
        <v>4</v>
      </c>
      <c r="B2343" s="3" t="s">
        <v>1566</v>
      </c>
      <c r="C2343" s="4">
        <v>208</v>
      </c>
      <c r="D2343" s="3" t="s">
        <v>15</v>
      </c>
      <c r="E2343" s="3" t="s">
        <v>16</v>
      </c>
      <c r="F2343" s="5">
        <v>204</v>
      </c>
      <c r="G2343" s="5">
        <v>228</v>
      </c>
      <c r="H2343" s="6">
        <v>11865</v>
      </c>
      <c r="I2343" s="22">
        <v>13252.8</v>
      </c>
      <c r="J2343" s="24">
        <f t="shared" si="108"/>
        <v>9.1830267211538059E-5</v>
      </c>
      <c r="K2343" s="25">
        <f t="shared" si="110"/>
        <v>0.88265099425765836</v>
      </c>
      <c r="L2343" s="26" t="s">
        <v>7517</v>
      </c>
      <c r="M2343" s="28"/>
      <c r="N2343" s="28"/>
      <c r="O2343" s="20">
        <v>3514.56</v>
      </c>
      <c r="P2343" s="27" t="str">
        <f t="shared" si="109"/>
        <v>amarelo</v>
      </c>
    </row>
    <row r="2344" spans="1:16" ht="38.25">
      <c r="A2344" s="3" t="s">
        <v>4</v>
      </c>
      <c r="B2344" s="3" t="s">
        <v>1567</v>
      </c>
      <c r="C2344" s="4">
        <v>34</v>
      </c>
      <c r="D2344" s="3" t="s">
        <v>54</v>
      </c>
      <c r="E2344" s="3" t="s">
        <v>49</v>
      </c>
      <c r="F2344" s="5">
        <v>303</v>
      </c>
      <c r="G2344" s="5">
        <v>210</v>
      </c>
      <c r="H2344" s="6">
        <v>17192.64</v>
      </c>
      <c r="I2344" s="22">
        <v>13252.14</v>
      </c>
      <c r="J2344" s="24">
        <f t="shared" si="108"/>
        <v>9.1825693991059399E-5</v>
      </c>
      <c r="K2344" s="25">
        <f t="shared" si="110"/>
        <v>0.88274281995164938</v>
      </c>
      <c r="L2344" s="26" t="s">
        <v>7517</v>
      </c>
      <c r="M2344" s="28"/>
      <c r="N2344" s="28"/>
      <c r="O2344" s="20">
        <v>4660.4399999999996</v>
      </c>
      <c r="P2344" s="27" t="str">
        <f t="shared" si="109"/>
        <v>amarelo</v>
      </c>
    </row>
    <row r="2345" spans="1:16" ht="25.5">
      <c r="A2345" s="3" t="s">
        <v>4</v>
      </c>
      <c r="B2345" s="3" t="s">
        <v>1568</v>
      </c>
      <c r="C2345" s="4">
        <v>299</v>
      </c>
      <c r="D2345" s="3" t="s">
        <v>111</v>
      </c>
      <c r="E2345" s="3" t="s">
        <v>49</v>
      </c>
      <c r="F2345" s="5">
        <v>0</v>
      </c>
      <c r="G2345" s="5">
        <v>240</v>
      </c>
      <c r="H2345" s="6">
        <v>0</v>
      </c>
      <c r="I2345" s="22">
        <v>13250.415000000001</v>
      </c>
      <c r="J2345" s="24">
        <f t="shared" si="108"/>
        <v>9.1813741255717448E-5</v>
      </c>
      <c r="K2345" s="25">
        <f t="shared" si="110"/>
        <v>0.88283463369290505</v>
      </c>
      <c r="L2345" s="26" t="s">
        <v>7517</v>
      </c>
      <c r="M2345" s="28"/>
      <c r="N2345" s="28"/>
      <c r="O2345" s="20">
        <v>2781.72</v>
      </c>
      <c r="P2345" s="27" t="str">
        <f t="shared" si="109"/>
        <v>amarelo</v>
      </c>
    </row>
    <row r="2346" spans="1:16" ht="38.25">
      <c r="A2346" s="3" t="s">
        <v>4</v>
      </c>
      <c r="B2346" s="3" t="s">
        <v>1569</v>
      </c>
      <c r="C2346" s="4">
        <v>143</v>
      </c>
      <c r="D2346" s="3" t="s">
        <v>44</v>
      </c>
      <c r="E2346" s="3" t="s">
        <v>41</v>
      </c>
      <c r="F2346" s="5">
        <v>150</v>
      </c>
      <c r="G2346" s="5">
        <v>192</v>
      </c>
      <c r="H2346" s="6">
        <v>8629.14</v>
      </c>
      <c r="I2346" s="22">
        <v>13244.16</v>
      </c>
      <c r="J2346" s="24">
        <f t="shared" si="108"/>
        <v>9.1770399597999218E-5</v>
      </c>
      <c r="K2346" s="25">
        <f t="shared" si="110"/>
        <v>0.882926404092503</v>
      </c>
      <c r="L2346" s="26" t="s">
        <v>7517</v>
      </c>
      <c r="M2346" s="28"/>
      <c r="N2346" s="28"/>
      <c r="O2346" s="20" t="s">
        <v>7530</v>
      </c>
      <c r="P2346" s="27" t="str">
        <f t="shared" si="109"/>
        <v>vermelho</v>
      </c>
    </row>
    <row r="2347" spans="1:16" ht="25.5">
      <c r="A2347" s="3" t="s">
        <v>4</v>
      </c>
      <c r="B2347" s="3" t="s">
        <v>1570</v>
      </c>
      <c r="C2347" s="4">
        <v>218</v>
      </c>
      <c r="D2347" s="3" t="s">
        <v>104</v>
      </c>
      <c r="E2347" s="3" t="s">
        <v>16</v>
      </c>
      <c r="F2347" s="5">
        <v>0</v>
      </c>
      <c r="G2347" s="5">
        <v>258</v>
      </c>
      <c r="H2347" s="6">
        <v>0</v>
      </c>
      <c r="I2347" s="22">
        <v>13238.58</v>
      </c>
      <c r="J2347" s="24">
        <f t="shared" si="108"/>
        <v>9.1731735097588709E-5</v>
      </c>
      <c r="K2347" s="25">
        <f t="shared" si="110"/>
        <v>0.88301813582760058</v>
      </c>
      <c r="L2347" s="26" t="s">
        <v>7517</v>
      </c>
      <c r="M2347" s="28"/>
      <c r="N2347" s="28"/>
      <c r="O2347" s="20" t="s">
        <v>7530</v>
      </c>
      <c r="P2347" s="27" t="str">
        <f t="shared" si="109"/>
        <v>vermelho</v>
      </c>
    </row>
    <row r="2348" spans="1:16" ht="51">
      <c r="A2348" s="3" t="s">
        <v>6557</v>
      </c>
      <c r="B2348" s="3" t="s">
        <v>6558</v>
      </c>
      <c r="C2348" s="4">
        <v>282</v>
      </c>
      <c r="D2348" s="3" t="s">
        <v>12</v>
      </c>
      <c r="E2348" s="3" t="s">
        <v>13</v>
      </c>
      <c r="F2348" s="5">
        <v>72</v>
      </c>
      <c r="G2348" s="5">
        <v>261</v>
      </c>
      <c r="H2348" s="6">
        <v>3531.6</v>
      </c>
      <c r="I2348" s="22">
        <v>13231.95</v>
      </c>
      <c r="J2348" s="24">
        <f t="shared" si="108"/>
        <v>9.168579501914397E-5</v>
      </c>
      <c r="K2348" s="25">
        <f t="shared" si="110"/>
        <v>0.88310982162261975</v>
      </c>
      <c r="L2348" s="26" t="s">
        <v>7517</v>
      </c>
      <c r="M2348" s="28"/>
      <c r="N2348" s="28"/>
      <c r="O2348" s="20" t="s">
        <v>7530</v>
      </c>
      <c r="P2348" s="27" t="str">
        <f t="shared" si="109"/>
        <v>vermelho</v>
      </c>
    </row>
    <row r="2349" spans="1:16" ht="25.5">
      <c r="A2349" s="3" t="s">
        <v>4</v>
      </c>
      <c r="B2349" s="3" t="s">
        <v>1571</v>
      </c>
      <c r="C2349" s="4">
        <v>197</v>
      </c>
      <c r="D2349" s="3" t="s">
        <v>66</v>
      </c>
      <c r="E2349" s="3" t="s">
        <v>41</v>
      </c>
      <c r="F2349" s="5">
        <v>315</v>
      </c>
      <c r="G2349" s="5">
        <v>237</v>
      </c>
      <c r="H2349" s="6">
        <v>15900.834000000001</v>
      </c>
      <c r="I2349" s="22">
        <v>13226.388999999999</v>
      </c>
      <c r="J2349" s="24">
        <f t="shared" si="108"/>
        <v>9.1647262172050263E-5</v>
      </c>
      <c r="K2349" s="25">
        <f t="shared" si="110"/>
        <v>0.88320146888479178</v>
      </c>
      <c r="L2349" s="26" t="s">
        <v>7517</v>
      </c>
      <c r="M2349" s="28"/>
      <c r="N2349" s="28"/>
      <c r="O2349" s="20">
        <v>12725.34</v>
      </c>
      <c r="P2349" s="27" t="str">
        <f t="shared" si="109"/>
        <v>laranja</v>
      </c>
    </row>
    <row r="2350" spans="1:16" ht="25.5">
      <c r="A2350" s="3" t="s">
        <v>4</v>
      </c>
      <c r="B2350" s="3" t="s">
        <v>1572</v>
      </c>
      <c r="C2350" s="4">
        <v>23</v>
      </c>
      <c r="D2350" s="3" t="s">
        <v>87</v>
      </c>
      <c r="E2350" s="3" t="s">
        <v>7</v>
      </c>
      <c r="F2350" s="5">
        <v>0</v>
      </c>
      <c r="G2350" s="5">
        <v>204</v>
      </c>
      <c r="H2350" s="6">
        <v>0</v>
      </c>
      <c r="I2350" s="22">
        <v>13212.36</v>
      </c>
      <c r="J2350" s="24">
        <f t="shared" si="108"/>
        <v>9.1550053520390948E-5</v>
      </c>
      <c r="K2350" s="25">
        <f t="shared" si="110"/>
        <v>0.88329301893831214</v>
      </c>
      <c r="L2350" s="26" t="s">
        <v>7517</v>
      </c>
      <c r="M2350" s="28"/>
      <c r="N2350" s="28"/>
      <c r="O2350" s="20" t="s">
        <v>7530</v>
      </c>
      <c r="P2350" s="27" t="str">
        <f t="shared" si="109"/>
        <v>vermelho</v>
      </c>
    </row>
    <row r="2351" spans="1:16" ht="38.25">
      <c r="A2351" s="3" t="s">
        <v>4</v>
      </c>
      <c r="B2351" s="3" t="s">
        <v>1573</v>
      </c>
      <c r="C2351" s="4">
        <v>270</v>
      </c>
      <c r="D2351" s="3" t="s">
        <v>266</v>
      </c>
      <c r="E2351" s="3" t="s">
        <v>49</v>
      </c>
      <c r="F2351" s="5">
        <v>0</v>
      </c>
      <c r="G2351" s="5">
        <v>231</v>
      </c>
      <c r="H2351" s="6">
        <v>0</v>
      </c>
      <c r="I2351" s="22">
        <v>13202.46</v>
      </c>
      <c r="J2351" s="24">
        <f t="shared" si="108"/>
        <v>9.1481455213211012E-5</v>
      </c>
      <c r="K2351" s="25">
        <f t="shared" si="110"/>
        <v>0.88338450039352534</v>
      </c>
      <c r="L2351" s="26" t="s">
        <v>7517</v>
      </c>
      <c r="M2351" s="28"/>
      <c r="N2351" s="28"/>
      <c r="O2351" s="20" t="s">
        <v>7530</v>
      </c>
      <c r="P2351" s="27" t="str">
        <f t="shared" si="109"/>
        <v>vermelho</v>
      </c>
    </row>
    <row r="2352" spans="1:16" ht="25.5">
      <c r="A2352" s="3" t="s">
        <v>4</v>
      </c>
      <c r="B2352" s="3" t="s">
        <v>1574</v>
      </c>
      <c r="C2352" s="4">
        <v>261</v>
      </c>
      <c r="D2352" s="3" t="s">
        <v>9</v>
      </c>
      <c r="E2352" s="3" t="s">
        <v>10</v>
      </c>
      <c r="F2352" s="5">
        <v>309</v>
      </c>
      <c r="G2352" s="5">
        <v>201</v>
      </c>
      <c r="H2352" s="6">
        <v>17772.03</v>
      </c>
      <c r="I2352" s="22">
        <v>13196.37</v>
      </c>
      <c r="J2352" s="24">
        <f t="shared" si="108"/>
        <v>9.1439256860612454E-5</v>
      </c>
      <c r="K2352" s="25">
        <f t="shared" si="110"/>
        <v>0.88347593965038596</v>
      </c>
      <c r="L2352" s="26" t="s">
        <v>7517</v>
      </c>
      <c r="M2352" s="28"/>
      <c r="N2352" s="28"/>
      <c r="O2352" s="20">
        <v>9517.41</v>
      </c>
      <c r="P2352" s="27" t="str">
        <f t="shared" si="109"/>
        <v>laranja</v>
      </c>
    </row>
    <row r="2353" spans="1:16" ht="51">
      <c r="A2353" s="3" t="s">
        <v>4</v>
      </c>
      <c r="B2353" s="3" t="s">
        <v>1575</v>
      </c>
      <c r="C2353" s="4">
        <v>282</v>
      </c>
      <c r="D2353" s="3" t="s">
        <v>12</v>
      </c>
      <c r="E2353" s="3" t="s">
        <v>13</v>
      </c>
      <c r="F2353" s="5">
        <v>669</v>
      </c>
      <c r="G2353" s="5">
        <v>255</v>
      </c>
      <c r="H2353" s="6">
        <v>19084.349999999999</v>
      </c>
      <c r="I2353" s="22">
        <v>13191.728999999999</v>
      </c>
      <c r="J2353" s="24">
        <f t="shared" si="108"/>
        <v>9.1407098805701116E-5</v>
      </c>
      <c r="K2353" s="25">
        <f t="shared" si="110"/>
        <v>0.88356734674919168</v>
      </c>
      <c r="L2353" s="26" t="s">
        <v>7517</v>
      </c>
      <c r="M2353" s="28"/>
      <c r="N2353" s="28"/>
      <c r="O2353" s="20" t="s">
        <v>7530</v>
      </c>
      <c r="P2353" s="27" t="str">
        <f t="shared" si="109"/>
        <v>vermelho</v>
      </c>
    </row>
    <row r="2354" spans="1:16">
      <c r="A2354" s="3" t="s">
        <v>4</v>
      </c>
      <c r="B2354" s="3" t="s">
        <v>1576</v>
      </c>
      <c r="C2354" s="4">
        <v>334</v>
      </c>
      <c r="D2354" s="3" t="s">
        <v>531</v>
      </c>
      <c r="E2354" s="3" t="s">
        <v>7</v>
      </c>
      <c r="F2354" s="5">
        <v>0</v>
      </c>
      <c r="G2354" s="5">
        <v>204</v>
      </c>
      <c r="H2354" s="6">
        <v>0</v>
      </c>
      <c r="I2354" s="22">
        <v>13190.04</v>
      </c>
      <c r="J2354" s="24">
        <f t="shared" si="108"/>
        <v>9.1395395518748925E-5</v>
      </c>
      <c r="K2354" s="25">
        <f t="shared" si="110"/>
        <v>0.88365874214471041</v>
      </c>
      <c r="L2354" s="26" t="s">
        <v>7517</v>
      </c>
      <c r="M2354" s="28"/>
      <c r="N2354" s="28"/>
      <c r="O2354" s="20" t="s">
        <v>7530</v>
      </c>
      <c r="P2354" s="27" t="str">
        <f t="shared" si="109"/>
        <v>vermelho</v>
      </c>
    </row>
    <row r="2355" spans="1:16" ht="25.5">
      <c r="A2355" s="3" t="s">
        <v>4</v>
      </c>
      <c r="B2355" s="3" t="s">
        <v>1577</v>
      </c>
      <c r="C2355" s="4">
        <v>317</v>
      </c>
      <c r="D2355" s="3" t="s">
        <v>78</v>
      </c>
      <c r="E2355" s="3" t="s">
        <v>10</v>
      </c>
      <c r="F2355" s="5">
        <v>0</v>
      </c>
      <c r="G2355" s="5">
        <v>228</v>
      </c>
      <c r="H2355" s="6">
        <v>0</v>
      </c>
      <c r="I2355" s="22">
        <v>13187.04</v>
      </c>
      <c r="J2355" s="24">
        <f t="shared" si="108"/>
        <v>9.1374608152936819E-5</v>
      </c>
      <c r="K2355" s="25">
        <f t="shared" si="110"/>
        <v>0.8837501167528633</v>
      </c>
      <c r="L2355" s="26" t="s">
        <v>7517</v>
      </c>
      <c r="M2355" s="28"/>
      <c r="N2355" s="28"/>
      <c r="O2355" s="20" t="s">
        <v>7530</v>
      </c>
      <c r="P2355" s="27" t="str">
        <f t="shared" si="109"/>
        <v>vermelho</v>
      </c>
    </row>
    <row r="2356" spans="1:16" ht="25.5">
      <c r="A2356" s="3" t="s">
        <v>4</v>
      </c>
      <c r="B2356" s="3" t="s">
        <v>1578</v>
      </c>
      <c r="C2356" s="4">
        <v>194</v>
      </c>
      <c r="D2356" s="3" t="s">
        <v>145</v>
      </c>
      <c r="E2356" s="3" t="s">
        <v>16</v>
      </c>
      <c r="F2356" s="5">
        <v>225</v>
      </c>
      <c r="G2356" s="5">
        <v>204</v>
      </c>
      <c r="H2356" s="6">
        <v>14944.05</v>
      </c>
      <c r="I2356" s="22">
        <v>13185.66</v>
      </c>
      <c r="J2356" s="24">
        <f t="shared" si="108"/>
        <v>9.1365045964663245E-5</v>
      </c>
      <c r="K2356" s="25">
        <f t="shared" si="110"/>
        <v>0.88384148179882793</v>
      </c>
      <c r="L2356" s="26" t="s">
        <v>7517</v>
      </c>
      <c r="M2356" s="28"/>
      <c r="N2356" s="28">
        <v>-1.5302596457460607E-3</v>
      </c>
      <c r="O2356" s="20">
        <v>5166.84</v>
      </c>
      <c r="P2356" s="27" t="str">
        <f t="shared" si="109"/>
        <v>amarelo</v>
      </c>
    </row>
    <row r="2357" spans="1:16" ht="25.5">
      <c r="A2357" s="3" t="s">
        <v>4</v>
      </c>
      <c r="B2357" s="3" t="s">
        <v>1579</v>
      </c>
      <c r="C2357" s="4">
        <v>317</v>
      </c>
      <c r="D2357" s="3" t="s">
        <v>78</v>
      </c>
      <c r="E2357" s="3" t="s">
        <v>10</v>
      </c>
      <c r="F2357" s="5">
        <v>318</v>
      </c>
      <c r="G2357" s="5">
        <v>234</v>
      </c>
      <c r="H2357" s="6">
        <v>19174.11</v>
      </c>
      <c r="I2357" s="22">
        <v>13170.72</v>
      </c>
      <c r="J2357" s="24">
        <f t="shared" si="108"/>
        <v>9.1261524882918981E-5</v>
      </c>
      <c r="K2357" s="25">
        <f t="shared" si="110"/>
        <v>0.88393274332371086</v>
      </c>
      <c r="L2357" s="26" t="s">
        <v>7517</v>
      </c>
      <c r="M2357" s="28"/>
      <c r="N2357" s="28"/>
      <c r="O2357" s="20" t="s">
        <v>7530</v>
      </c>
      <c r="P2357" s="27" t="str">
        <f t="shared" si="109"/>
        <v>vermelho</v>
      </c>
    </row>
    <row r="2358" spans="1:16" ht="25.5">
      <c r="A2358" s="3" t="s">
        <v>4</v>
      </c>
      <c r="B2358" s="3" t="s">
        <v>1580</v>
      </c>
      <c r="C2358" s="4">
        <v>317</v>
      </c>
      <c r="D2358" s="3" t="s">
        <v>78</v>
      </c>
      <c r="E2358" s="3" t="s">
        <v>10</v>
      </c>
      <c r="F2358" s="5">
        <v>369</v>
      </c>
      <c r="G2358" s="5">
        <v>204</v>
      </c>
      <c r="H2358" s="6">
        <v>21713.49</v>
      </c>
      <c r="I2358" s="22">
        <v>13164.96</v>
      </c>
      <c r="J2358" s="24">
        <f t="shared" si="108"/>
        <v>9.122161314055974E-5</v>
      </c>
      <c r="K2358" s="25">
        <f t="shared" si="110"/>
        <v>0.88402396493685143</v>
      </c>
      <c r="L2358" s="26" t="s">
        <v>7517</v>
      </c>
      <c r="M2358" s="28"/>
      <c r="N2358" s="28"/>
      <c r="O2358" s="20" t="s">
        <v>7530</v>
      </c>
      <c r="P2358" s="27" t="str">
        <f t="shared" si="109"/>
        <v>vermelho</v>
      </c>
    </row>
    <row r="2359" spans="1:16" ht="25.5">
      <c r="A2359" s="3" t="s">
        <v>4</v>
      </c>
      <c r="B2359" s="3" t="s">
        <v>1581</v>
      </c>
      <c r="C2359" s="4">
        <v>317</v>
      </c>
      <c r="D2359" s="3" t="s">
        <v>78</v>
      </c>
      <c r="E2359" s="3" t="s">
        <v>10</v>
      </c>
      <c r="F2359" s="5">
        <v>0</v>
      </c>
      <c r="G2359" s="5">
        <v>249</v>
      </c>
      <c r="H2359" s="6">
        <v>0</v>
      </c>
      <c r="I2359" s="22">
        <v>13152.36</v>
      </c>
      <c r="J2359" s="24">
        <f t="shared" si="108"/>
        <v>9.1134306204148922E-5</v>
      </c>
      <c r="K2359" s="25">
        <f t="shared" si="110"/>
        <v>0.88411509924305554</v>
      </c>
      <c r="L2359" s="26" t="s">
        <v>7517</v>
      </c>
      <c r="M2359" s="28"/>
      <c r="N2359" s="28"/>
      <c r="O2359" s="20" t="s">
        <v>7530</v>
      </c>
      <c r="P2359" s="27" t="str">
        <f t="shared" si="109"/>
        <v>vermelho</v>
      </c>
    </row>
    <row r="2360" spans="1:16" ht="38.25">
      <c r="A2360" s="3" t="s">
        <v>4</v>
      </c>
      <c r="B2360" s="3" t="s">
        <v>1582</v>
      </c>
      <c r="C2360" s="4">
        <v>296</v>
      </c>
      <c r="D2360" s="3" t="s">
        <v>282</v>
      </c>
      <c r="E2360" s="3" t="s">
        <v>10</v>
      </c>
      <c r="F2360" s="5">
        <v>0</v>
      </c>
      <c r="G2360" s="5">
        <v>246</v>
      </c>
      <c r="H2360" s="6">
        <v>0</v>
      </c>
      <c r="I2360" s="22">
        <v>13149.9</v>
      </c>
      <c r="J2360" s="24">
        <f t="shared" si="108"/>
        <v>9.1117260564182998E-5</v>
      </c>
      <c r="K2360" s="25">
        <f t="shared" si="110"/>
        <v>0.88420621650361975</v>
      </c>
      <c r="L2360" s="26" t="s">
        <v>7517</v>
      </c>
      <c r="M2360" s="28"/>
      <c r="N2360" s="28"/>
      <c r="O2360" s="20" t="s">
        <v>7530</v>
      </c>
      <c r="P2360" s="27" t="str">
        <f t="shared" si="109"/>
        <v>vermelho</v>
      </c>
    </row>
    <row r="2361" spans="1:16" ht="25.5">
      <c r="A2361" s="3" t="s">
        <v>4</v>
      </c>
      <c r="B2361" s="3" t="s">
        <v>1583</v>
      </c>
      <c r="C2361" s="4">
        <v>31</v>
      </c>
      <c r="D2361" s="3" t="s">
        <v>194</v>
      </c>
      <c r="E2361" s="3" t="s">
        <v>16</v>
      </c>
      <c r="F2361" s="5">
        <v>288</v>
      </c>
      <c r="G2361" s="5">
        <v>228</v>
      </c>
      <c r="H2361" s="6">
        <v>14798.64</v>
      </c>
      <c r="I2361" s="22">
        <v>13148.04</v>
      </c>
      <c r="J2361" s="24">
        <f t="shared" si="108"/>
        <v>9.1104372397379508E-5</v>
      </c>
      <c r="K2361" s="25">
        <f t="shared" si="110"/>
        <v>0.88429732087601709</v>
      </c>
      <c r="L2361" s="26" t="s">
        <v>7517</v>
      </c>
      <c r="M2361" s="28"/>
      <c r="N2361" s="28"/>
      <c r="O2361" s="20" t="s">
        <v>7530</v>
      </c>
      <c r="P2361" s="27" t="str">
        <f t="shared" si="109"/>
        <v>vermelho</v>
      </c>
    </row>
    <row r="2362" spans="1:16" ht="25.5">
      <c r="A2362" s="3" t="s">
        <v>6559</v>
      </c>
      <c r="B2362" s="3" t="s">
        <v>6560</v>
      </c>
      <c r="C2362" s="4">
        <v>197</v>
      </c>
      <c r="D2362" s="3" t="s">
        <v>66</v>
      </c>
      <c r="E2362" s="3" t="s">
        <v>41</v>
      </c>
      <c r="F2362" s="5">
        <v>396</v>
      </c>
      <c r="G2362" s="5">
        <v>210</v>
      </c>
      <c r="H2362" s="6">
        <v>22008.725999999999</v>
      </c>
      <c r="I2362" s="22">
        <v>13147.72</v>
      </c>
      <c r="J2362" s="24">
        <f t="shared" si="108"/>
        <v>9.1102155078359533E-5</v>
      </c>
      <c r="K2362" s="25">
        <f t="shared" si="110"/>
        <v>0.88438842303109544</v>
      </c>
      <c r="L2362" s="26" t="s">
        <v>7517</v>
      </c>
      <c r="M2362" s="28"/>
      <c r="N2362" s="28"/>
      <c r="O2362" s="20">
        <v>4786.08</v>
      </c>
      <c r="P2362" s="27" t="str">
        <f t="shared" si="109"/>
        <v>amarelo</v>
      </c>
    </row>
    <row r="2363" spans="1:16" ht="38.25">
      <c r="A2363" s="3" t="s">
        <v>4</v>
      </c>
      <c r="B2363" s="3" t="s">
        <v>1584</v>
      </c>
      <c r="C2363" s="4">
        <v>34</v>
      </c>
      <c r="D2363" s="3" t="s">
        <v>54</v>
      </c>
      <c r="E2363" s="3" t="s">
        <v>49</v>
      </c>
      <c r="F2363" s="5">
        <v>399</v>
      </c>
      <c r="G2363" s="5">
        <v>201</v>
      </c>
      <c r="H2363" s="6">
        <v>21109.437000000002</v>
      </c>
      <c r="I2363" s="22">
        <v>13142.82</v>
      </c>
      <c r="J2363" s="24">
        <f t="shared" si="108"/>
        <v>9.1068202380866436E-5</v>
      </c>
      <c r="K2363" s="25">
        <f t="shared" si="110"/>
        <v>0.88447949123347636</v>
      </c>
      <c r="L2363" s="26" t="s">
        <v>7517</v>
      </c>
      <c r="M2363" s="28"/>
      <c r="N2363" s="28"/>
      <c r="O2363" s="20">
        <v>24748.74</v>
      </c>
      <c r="P2363" s="27" t="str">
        <f t="shared" si="109"/>
        <v>verde</v>
      </c>
    </row>
    <row r="2364" spans="1:16" ht="25.5">
      <c r="A2364" s="3" t="s">
        <v>6561</v>
      </c>
      <c r="B2364" s="3" t="s">
        <v>6562</v>
      </c>
      <c r="C2364" s="4">
        <v>296</v>
      </c>
      <c r="D2364" s="3" t="s">
        <v>282</v>
      </c>
      <c r="E2364" s="3" t="s">
        <v>10</v>
      </c>
      <c r="F2364" s="5">
        <v>0</v>
      </c>
      <c r="G2364" s="5">
        <v>213</v>
      </c>
      <c r="H2364" s="6">
        <v>0</v>
      </c>
      <c r="I2364" s="22">
        <v>13136.915999999999</v>
      </c>
      <c r="J2364" s="24">
        <f t="shared" si="108"/>
        <v>9.1027292844948223E-5</v>
      </c>
      <c r="K2364" s="25">
        <f t="shared" si="110"/>
        <v>0.88457051852632129</v>
      </c>
      <c r="L2364" s="26" t="s">
        <v>7517</v>
      </c>
      <c r="M2364" s="28"/>
      <c r="N2364" s="28"/>
      <c r="O2364" s="20" t="s">
        <v>7530</v>
      </c>
      <c r="P2364" s="27" t="str">
        <f t="shared" si="109"/>
        <v>vermelho</v>
      </c>
    </row>
    <row r="2365" spans="1:16" ht="25.5">
      <c r="A2365" s="3" t="s">
        <v>4</v>
      </c>
      <c r="B2365" s="3" t="s">
        <v>1585</v>
      </c>
      <c r="C2365" s="4">
        <v>297</v>
      </c>
      <c r="D2365" s="3" t="s">
        <v>115</v>
      </c>
      <c r="E2365" s="3" t="s">
        <v>41</v>
      </c>
      <c r="F2365" s="5">
        <v>408</v>
      </c>
      <c r="G2365" s="5">
        <v>228</v>
      </c>
      <c r="H2365" s="6">
        <v>21801.360000000001</v>
      </c>
      <c r="I2365" s="22">
        <v>13134.63</v>
      </c>
      <c r="J2365" s="24">
        <f t="shared" si="108"/>
        <v>9.1011452872199404E-5</v>
      </c>
      <c r="K2365" s="25">
        <f t="shared" si="110"/>
        <v>0.88466152997919345</v>
      </c>
      <c r="L2365" s="26" t="s">
        <v>7517</v>
      </c>
      <c r="M2365" s="28"/>
      <c r="N2365" s="28"/>
      <c r="O2365" s="20">
        <v>9171.91</v>
      </c>
      <c r="P2365" s="27" t="str">
        <f t="shared" si="109"/>
        <v>laranja</v>
      </c>
    </row>
    <row r="2366" spans="1:16" ht="38.25">
      <c r="A2366" s="3" t="s">
        <v>4</v>
      </c>
      <c r="B2366" s="3" t="s">
        <v>1586</v>
      </c>
      <c r="C2366" s="4">
        <v>34</v>
      </c>
      <c r="D2366" s="3" t="s">
        <v>54</v>
      </c>
      <c r="E2366" s="3" t="s">
        <v>49</v>
      </c>
      <c r="F2366" s="5">
        <v>432</v>
      </c>
      <c r="G2366" s="5">
        <v>204</v>
      </c>
      <c r="H2366" s="6">
        <v>25452.29</v>
      </c>
      <c r="I2366" s="22">
        <v>13128.96</v>
      </c>
      <c r="J2366" s="24">
        <f t="shared" si="108"/>
        <v>9.0972164750814522E-5</v>
      </c>
      <c r="K2366" s="25">
        <f t="shared" si="110"/>
        <v>0.8847525021439443</v>
      </c>
      <c r="L2366" s="26" t="s">
        <v>7517</v>
      </c>
      <c r="M2366" s="28"/>
      <c r="N2366" s="28"/>
      <c r="O2366" s="20" t="s">
        <v>7530</v>
      </c>
      <c r="P2366" s="27" t="str">
        <f t="shared" si="109"/>
        <v>vermelho</v>
      </c>
    </row>
    <row r="2367" spans="1:16" ht="25.5">
      <c r="A2367" s="3" t="s">
        <v>4</v>
      </c>
      <c r="B2367" s="3" t="s">
        <v>1587</v>
      </c>
      <c r="C2367" s="4">
        <v>61</v>
      </c>
      <c r="D2367" s="3" t="s">
        <v>48</v>
      </c>
      <c r="E2367" s="3" t="s">
        <v>49</v>
      </c>
      <c r="F2367" s="5">
        <v>0</v>
      </c>
      <c r="G2367" s="5">
        <v>219</v>
      </c>
      <c r="H2367" s="6">
        <v>0</v>
      </c>
      <c r="I2367" s="22">
        <v>13124.79</v>
      </c>
      <c r="J2367" s="24">
        <f t="shared" si="108"/>
        <v>9.094327031233572E-5</v>
      </c>
      <c r="K2367" s="25">
        <f t="shared" si="110"/>
        <v>0.88484344541425664</v>
      </c>
      <c r="L2367" s="26" t="s">
        <v>7517</v>
      </c>
      <c r="M2367" s="28"/>
      <c r="N2367" s="28"/>
      <c r="O2367" s="20" t="s">
        <v>7530</v>
      </c>
      <c r="P2367" s="27" t="str">
        <f t="shared" si="109"/>
        <v>vermelho</v>
      </c>
    </row>
    <row r="2368" spans="1:16" ht="25.5">
      <c r="A2368" s="3" t="s">
        <v>4</v>
      </c>
      <c r="B2368" s="3" t="s">
        <v>1588</v>
      </c>
      <c r="C2368" s="4">
        <v>217</v>
      </c>
      <c r="D2368" s="3" t="s">
        <v>91</v>
      </c>
      <c r="E2368" s="3" t="s">
        <v>16</v>
      </c>
      <c r="F2368" s="5">
        <v>420</v>
      </c>
      <c r="G2368" s="5">
        <v>195</v>
      </c>
      <c r="H2368" s="6">
        <v>22194.720000000001</v>
      </c>
      <c r="I2368" s="22">
        <v>13116.45</v>
      </c>
      <c r="J2368" s="24">
        <f t="shared" si="108"/>
        <v>9.0885481435378076E-5</v>
      </c>
      <c r="K2368" s="25">
        <f t="shared" si="110"/>
        <v>0.88493433089569207</v>
      </c>
      <c r="L2368" s="26" t="s">
        <v>7517</v>
      </c>
      <c r="M2368" s="28"/>
      <c r="N2368" s="28"/>
      <c r="O2368" s="20" t="s">
        <v>7530</v>
      </c>
      <c r="P2368" s="27" t="str">
        <f t="shared" si="109"/>
        <v>vermelho</v>
      </c>
    </row>
    <row r="2369" spans="1:16">
      <c r="A2369" s="3" t="s">
        <v>4</v>
      </c>
      <c r="B2369" s="3" t="s">
        <v>1589</v>
      </c>
      <c r="C2369" s="4">
        <v>232</v>
      </c>
      <c r="D2369" s="3" t="s">
        <v>174</v>
      </c>
      <c r="E2369" s="3" t="s">
        <v>16</v>
      </c>
      <c r="F2369" s="5">
        <v>60</v>
      </c>
      <c r="G2369" s="5">
        <v>219</v>
      </c>
      <c r="H2369" s="6">
        <v>2938.8</v>
      </c>
      <c r="I2369" s="22">
        <v>13109.94</v>
      </c>
      <c r="J2369" s="24">
        <f t="shared" si="108"/>
        <v>9.0840372851565816E-5</v>
      </c>
      <c r="K2369" s="25">
        <f t="shared" si="110"/>
        <v>0.88502517126854363</v>
      </c>
      <c r="L2369" s="26" t="s">
        <v>7517</v>
      </c>
      <c r="M2369" s="28"/>
      <c r="N2369" s="28"/>
      <c r="O2369" s="20">
        <v>4973.7299999999996</v>
      </c>
      <c r="P2369" s="27" t="str">
        <f t="shared" si="109"/>
        <v>amarelo</v>
      </c>
    </row>
    <row r="2370" spans="1:16" ht="38.25">
      <c r="A2370" s="3" t="s">
        <v>4</v>
      </c>
      <c r="B2370" s="3" t="s">
        <v>1590</v>
      </c>
      <c r="C2370" s="4">
        <v>371</v>
      </c>
      <c r="D2370" s="3" t="s">
        <v>82</v>
      </c>
      <c r="E2370" s="3" t="s">
        <v>49</v>
      </c>
      <c r="F2370" s="5">
        <v>0</v>
      </c>
      <c r="G2370" s="5">
        <v>192</v>
      </c>
      <c r="H2370" s="6">
        <v>0</v>
      </c>
      <c r="I2370" s="22">
        <v>13108.17</v>
      </c>
      <c r="J2370" s="24">
        <f t="shared" si="108"/>
        <v>9.0828108305736672E-5</v>
      </c>
      <c r="K2370" s="25">
        <f t="shared" si="110"/>
        <v>0.88511599937684937</v>
      </c>
      <c r="L2370" s="26" t="s">
        <v>7517</v>
      </c>
      <c r="M2370" s="28"/>
      <c r="N2370" s="28"/>
      <c r="O2370" s="20" t="s">
        <v>7530</v>
      </c>
      <c r="P2370" s="27" t="str">
        <f t="shared" si="109"/>
        <v>vermelho</v>
      </c>
    </row>
    <row r="2371" spans="1:16" ht="51">
      <c r="A2371" s="3" t="s">
        <v>4</v>
      </c>
      <c r="B2371" s="3" t="s">
        <v>1591</v>
      </c>
      <c r="C2371" s="4">
        <v>282</v>
      </c>
      <c r="D2371" s="3" t="s">
        <v>12</v>
      </c>
      <c r="E2371" s="3" t="s">
        <v>13</v>
      </c>
      <c r="F2371" s="5">
        <v>84</v>
      </c>
      <c r="G2371" s="5">
        <v>192</v>
      </c>
      <c r="H2371" s="6">
        <v>5003.16</v>
      </c>
      <c r="I2371" s="22">
        <v>13096.896000000001</v>
      </c>
      <c r="J2371" s="24">
        <f t="shared" ref="J2371:J2434" si="111">I2371/$I$6364</f>
        <v>9.0749989385014801E-5</v>
      </c>
      <c r="K2371" s="25">
        <f t="shared" si="110"/>
        <v>0.88520674936623434</v>
      </c>
      <c r="L2371" s="26" t="s">
        <v>7517</v>
      </c>
      <c r="M2371" s="28"/>
      <c r="N2371" s="28"/>
      <c r="O2371" s="20" t="s">
        <v>7530</v>
      </c>
      <c r="P2371" s="27" t="str">
        <f t="shared" ref="P2371:P2434" si="112">IF(O2371&lt;=0,"vermelho",IFERROR(IF(O2371/I2371&lt;=0.5098,"amarelo",IF(O2371/I2371&lt;1,"laranja","verde")),"vermelho"))</f>
        <v>vermelho</v>
      </c>
    </row>
    <row r="2372" spans="1:16" ht="25.5">
      <c r="A2372" s="3" t="s">
        <v>4</v>
      </c>
      <c r="B2372" s="3" t="s">
        <v>1592</v>
      </c>
      <c r="C2372" s="4">
        <v>317</v>
      </c>
      <c r="D2372" s="3" t="s">
        <v>78</v>
      </c>
      <c r="E2372" s="3" t="s">
        <v>10</v>
      </c>
      <c r="F2372" s="5">
        <v>0</v>
      </c>
      <c r="G2372" s="5">
        <v>192</v>
      </c>
      <c r="H2372" s="6">
        <v>0</v>
      </c>
      <c r="I2372" s="22">
        <v>13093.11</v>
      </c>
      <c r="J2372" s="24">
        <f t="shared" si="111"/>
        <v>9.0723755729359929E-5</v>
      </c>
      <c r="K2372" s="25">
        <f t="shared" ref="K2372:K2435" si="113">J2372+K2371</f>
        <v>0.88529747312196372</v>
      </c>
      <c r="L2372" s="26" t="s">
        <v>7517</v>
      </c>
      <c r="M2372" s="28"/>
      <c r="N2372" s="28"/>
      <c r="O2372" s="20" t="s">
        <v>7530</v>
      </c>
      <c r="P2372" s="27" t="str">
        <f t="shared" si="112"/>
        <v>vermelho</v>
      </c>
    </row>
    <row r="2373" spans="1:16" ht="25.5">
      <c r="A2373" s="3" t="s">
        <v>4</v>
      </c>
      <c r="B2373" s="3" t="s">
        <v>1593</v>
      </c>
      <c r="C2373" s="4">
        <v>317</v>
      </c>
      <c r="D2373" s="3" t="s">
        <v>78</v>
      </c>
      <c r="E2373" s="3" t="s">
        <v>10</v>
      </c>
      <c r="F2373" s="5">
        <v>0</v>
      </c>
      <c r="G2373" s="5">
        <v>192</v>
      </c>
      <c r="H2373" s="6">
        <v>0</v>
      </c>
      <c r="I2373" s="22">
        <v>13093.11</v>
      </c>
      <c r="J2373" s="24">
        <f t="shared" si="111"/>
        <v>9.0723755729359929E-5</v>
      </c>
      <c r="K2373" s="25">
        <f t="shared" si="113"/>
        <v>0.8853881968776931</v>
      </c>
      <c r="L2373" s="26" t="s">
        <v>7517</v>
      </c>
      <c r="M2373" s="28"/>
      <c r="N2373" s="28"/>
      <c r="O2373" s="20" t="s">
        <v>7530</v>
      </c>
      <c r="P2373" s="27" t="str">
        <f t="shared" si="112"/>
        <v>vermelho</v>
      </c>
    </row>
    <row r="2374" spans="1:16" ht="25.5">
      <c r="A2374" s="3" t="s">
        <v>6563</v>
      </c>
      <c r="B2374" s="3" t="s">
        <v>6564</v>
      </c>
      <c r="C2374" s="4">
        <v>61</v>
      </c>
      <c r="D2374" s="3" t="s">
        <v>48</v>
      </c>
      <c r="E2374" s="3" t="s">
        <v>49</v>
      </c>
      <c r="F2374" s="5">
        <v>300</v>
      </c>
      <c r="G2374" s="5">
        <v>204</v>
      </c>
      <c r="H2374" s="6">
        <v>17691.36</v>
      </c>
      <c r="I2374" s="22">
        <v>13091.16</v>
      </c>
      <c r="J2374" s="24">
        <f t="shared" si="111"/>
        <v>9.0710243941582053E-5</v>
      </c>
      <c r="K2374" s="25">
        <f t="shared" si="113"/>
        <v>0.88547890712163468</v>
      </c>
      <c r="L2374" s="26" t="s">
        <v>7517</v>
      </c>
      <c r="M2374" s="28"/>
      <c r="N2374" s="28"/>
      <c r="O2374" s="20">
        <v>6566.88</v>
      </c>
      <c r="P2374" s="27" t="str">
        <f t="shared" si="112"/>
        <v>amarelo</v>
      </c>
    </row>
    <row r="2375" spans="1:16" ht="25.5">
      <c r="A2375" s="3" t="s">
        <v>6565</v>
      </c>
      <c r="B2375" s="3" t="s">
        <v>6566</v>
      </c>
      <c r="C2375" s="4">
        <v>296</v>
      </c>
      <c r="D2375" s="3" t="s">
        <v>282</v>
      </c>
      <c r="E2375" s="3" t="s">
        <v>10</v>
      </c>
      <c r="F2375" s="5">
        <v>0</v>
      </c>
      <c r="G2375" s="5">
        <v>204</v>
      </c>
      <c r="H2375" s="6">
        <v>0</v>
      </c>
      <c r="I2375" s="22">
        <v>13090.744000000001</v>
      </c>
      <c r="J2375" s="24">
        <f t="shared" si="111"/>
        <v>9.0707361426856119E-5</v>
      </c>
      <c r="K2375" s="25">
        <f t="shared" si="113"/>
        <v>0.8855696144830616</v>
      </c>
      <c r="L2375" s="26" t="s">
        <v>7517</v>
      </c>
      <c r="M2375" s="28"/>
      <c r="N2375" s="28"/>
      <c r="O2375" s="20" t="s">
        <v>7530</v>
      </c>
      <c r="P2375" s="27" t="str">
        <f t="shared" si="112"/>
        <v>vermelho</v>
      </c>
    </row>
    <row r="2376" spans="1:16" ht="38.25">
      <c r="A2376" s="3" t="s">
        <v>4</v>
      </c>
      <c r="B2376" s="3" t="s">
        <v>1594</v>
      </c>
      <c r="C2376" s="4">
        <v>143</v>
      </c>
      <c r="D2376" s="3" t="s">
        <v>44</v>
      </c>
      <c r="E2376" s="3" t="s">
        <v>41</v>
      </c>
      <c r="F2376" s="5">
        <v>396</v>
      </c>
      <c r="G2376" s="5">
        <v>270</v>
      </c>
      <c r="H2376" s="6">
        <v>19062.36</v>
      </c>
      <c r="I2376" s="22">
        <v>13078.56</v>
      </c>
      <c r="J2376" s="24">
        <f t="shared" si="111"/>
        <v>9.0622937005171235E-5</v>
      </c>
      <c r="K2376" s="25">
        <f t="shared" si="113"/>
        <v>0.88566023742006672</v>
      </c>
      <c r="L2376" s="26" t="s">
        <v>7517</v>
      </c>
      <c r="M2376" s="28">
        <v>-1.4345569000787511E-2</v>
      </c>
      <c r="N2376" s="28"/>
      <c r="O2376" s="20">
        <v>6826.2</v>
      </c>
      <c r="P2376" s="27" t="str">
        <f t="shared" si="112"/>
        <v>laranja</v>
      </c>
    </row>
    <row r="2377" spans="1:16" ht="25.5">
      <c r="A2377" s="3" t="s">
        <v>4</v>
      </c>
      <c r="B2377" s="3" t="s">
        <v>1595</v>
      </c>
      <c r="C2377" s="4">
        <v>297</v>
      </c>
      <c r="D2377" s="3" t="s">
        <v>115</v>
      </c>
      <c r="E2377" s="3" t="s">
        <v>41</v>
      </c>
      <c r="F2377" s="5">
        <v>477</v>
      </c>
      <c r="G2377" s="5">
        <v>204</v>
      </c>
      <c r="H2377" s="6">
        <v>24224.973000000002</v>
      </c>
      <c r="I2377" s="22">
        <v>13078.32</v>
      </c>
      <c r="J2377" s="24">
        <f t="shared" si="111"/>
        <v>9.0621274015906264E-5</v>
      </c>
      <c r="K2377" s="25">
        <f t="shared" si="113"/>
        <v>0.88575085869408265</v>
      </c>
      <c r="L2377" s="26" t="s">
        <v>7517</v>
      </c>
      <c r="M2377" s="28"/>
      <c r="N2377" s="28"/>
      <c r="O2377" s="20">
        <v>11582.699000000001</v>
      </c>
      <c r="P2377" s="27" t="str">
        <f t="shared" si="112"/>
        <v>laranja</v>
      </c>
    </row>
    <row r="2378" spans="1:16" ht="25.5">
      <c r="A2378" s="3" t="s">
        <v>4</v>
      </c>
      <c r="B2378" s="3" t="s">
        <v>1596</v>
      </c>
      <c r="C2378" s="4">
        <v>320</v>
      </c>
      <c r="D2378" s="3" t="s">
        <v>218</v>
      </c>
      <c r="E2378" s="3" t="s">
        <v>49</v>
      </c>
      <c r="F2378" s="5">
        <v>588</v>
      </c>
      <c r="G2378" s="5">
        <v>246</v>
      </c>
      <c r="H2378" s="6">
        <v>34219.800000000003</v>
      </c>
      <c r="I2378" s="22">
        <v>13076.34</v>
      </c>
      <c r="J2378" s="24">
        <f t="shared" si="111"/>
        <v>9.0607554354470282E-5</v>
      </c>
      <c r="K2378" s="25">
        <f t="shared" si="113"/>
        <v>0.88584146624843707</v>
      </c>
      <c r="L2378" s="26" t="s">
        <v>7517</v>
      </c>
      <c r="M2378" s="28"/>
      <c r="N2378" s="28"/>
      <c r="O2378" s="20" t="s">
        <v>7530</v>
      </c>
      <c r="P2378" s="27" t="str">
        <f t="shared" si="112"/>
        <v>vermelho</v>
      </c>
    </row>
    <row r="2379" spans="1:16" ht="25.5">
      <c r="A2379" s="3" t="s">
        <v>4</v>
      </c>
      <c r="B2379" s="3" t="s">
        <v>1597</v>
      </c>
      <c r="C2379" s="4">
        <v>61</v>
      </c>
      <c r="D2379" s="3" t="s">
        <v>48</v>
      </c>
      <c r="E2379" s="3" t="s">
        <v>49</v>
      </c>
      <c r="F2379" s="5">
        <v>234</v>
      </c>
      <c r="G2379" s="5">
        <v>210</v>
      </c>
      <c r="H2379" s="6">
        <v>13953.35</v>
      </c>
      <c r="I2379" s="22">
        <v>13075.44</v>
      </c>
      <c r="J2379" s="24">
        <f t="shared" si="111"/>
        <v>9.060131814472665E-5</v>
      </c>
      <c r="K2379" s="25">
        <f t="shared" si="113"/>
        <v>0.88593206756658183</v>
      </c>
      <c r="L2379" s="26" t="s">
        <v>7517</v>
      </c>
      <c r="M2379" s="28"/>
      <c r="N2379" s="28"/>
      <c r="O2379" s="20">
        <v>8134.38</v>
      </c>
      <c r="P2379" s="27" t="str">
        <f t="shared" si="112"/>
        <v>laranja</v>
      </c>
    </row>
    <row r="2380" spans="1:16">
      <c r="A2380" s="3" t="s">
        <v>4</v>
      </c>
      <c r="B2380" s="3" t="s">
        <v>1598</v>
      </c>
      <c r="C2380" s="4">
        <v>232</v>
      </c>
      <c r="D2380" s="3" t="s">
        <v>174</v>
      </c>
      <c r="E2380" s="3" t="s">
        <v>16</v>
      </c>
      <c r="F2380" s="5">
        <v>0</v>
      </c>
      <c r="G2380" s="5">
        <v>222</v>
      </c>
      <c r="H2380" s="6">
        <v>0</v>
      </c>
      <c r="I2380" s="22">
        <v>13063.98</v>
      </c>
      <c r="J2380" s="24">
        <f t="shared" si="111"/>
        <v>9.0521910407324421E-5</v>
      </c>
      <c r="K2380" s="25">
        <f t="shared" si="113"/>
        <v>0.8860225894769892</v>
      </c>
      <c r="L2380" s="26" t="s">
        <v>7517</v>
      </c>
      <c r="M2380" s="28"/>
      <c r="N2380" s="28"/>
      <c r="O2380" s="20" t="s">
        <v>7530</v>
      </c>
      <c r="P2380" s="27" t="str">
        <f t="shared" si="112"/>
        <v>vermelho</v>
      </c>
    </row>
    <row r="2381" spans="1:16" ht="38.25">
      <c r="A2381" s="3" t="s">
        <v>4</v>
      </c>
      <c r="B2381" s="3" t="s">
        <v>1599</v>
      </c>
      <c r="C2381" s="4">
        <v>143</v>
      </c>
      <c r="D2381" s="3" t="s">
        <v>44</v>
      </c>
      <c r="E2381" s="3" t="s">
        <v>41</v>
      </c>
      <c r="F2381" s="5">
        <v>252</v>
      </c>
      <c r="G2381" s="5">
        <v>246</v>
      </c>
      <c r="H2381" s="6">
        <v>14013.48</v>
      </c>
      <c r="I2381" s="22">
        <v>13049.76</v>
      </c>
      <c r="J2381" s="24">
        <f t="shared" si="111"/>
        <v>9.0423378293375071E-5</v>
      </c>
      <c r="K2381" s="25">
        <f t="shared" si="113"/>
        <v>0.88611301285528254</v>
      </c>
      <c r="L2381" s="26" t="s">
        <v>7517</v>
      </c>
      <c r="M2381" s="28"/>
      <c r="N2381" s="28"/>
      <c r="O2381" s="20">
        <v>11726.64</v>
      </c>
      <c r="P2381" s="27" t="str">
        <f t="shared" si="112"/>
        <v>laranja</v>
      </c>
    </row>
    <row r="2382" spans="1:16" ht="25.5">
      <c r="A2382" s="3" t="s">
        <v>4</v>
      </c>
      <c r="B2382" s="3" t="s">
        <v>1600</v>
      </c>
      <c r="C2382" s="4">
        <v>231</v>
      </c>
      <c r="D2382" s="3" t="s">
        <v>52</v>
      </c>
      <c r="E2382" s="3" t="s">
        <v>7</v>
      </c>
      <c r="F2382" s="5">
        <v>216</v>
      </c>
      <c r="G2382" s="5">
        <v>216</v>
      </c>
      <c r="H2382" s="6">
        <v>13127.76</v>
      </c>
      <c r="I2382" s="22">
        <v>13020.12</v>
      </c>
      <c r="J2382" s="24">
        <f t="shared" si="111"/>
        <v>9.0217999119151515E-5</v>
      </c>
      <c r="K2382" s="25">
        <f t="shared" si="113"/>
        <v>0.88620323085440167</v>
      </c>
      <c r="L2382" s="26" t="s">
        <v>7517</v>
      </c>
      <c r="M2382" s="28"/>
      <c r="N2382" s="28"/>
      <c r="O2382" s="20">
        <v>9090.06</v>
      </c>
      <c r="P2382" s="27" t="str">
        <f t="shared" si="112"/>
        <v>laranja</v>
      </c>
    </row>
    <row r="2383" spans="1:16" ht="38.25">
      <c r="A2383" s="3" t="s">
        <v>4</v>
      </c>
      <c r="B2383" s="3" t="s">
        <v>1601</v>
      </c>
      <c r="C2383" s="4">
        <v>371</v>
      </c>
      <c r="D2383" s="3" t="s">
        <v>82</v>
      </c>
      <c r="E2383" s="3" t="s">
        <v>49</v>
      </c>
      <c r="F2383" s="5">
        <v>336</v>
      </c>
      <c r="G2383" s="5">
        <v>228</v>
      </c>
      <c r="H2383" s="6">
        <v>19017.240000000002</v>
      </c>
      <c r="I2383" s="22">
        <v>13015.44</v>
      </c>
      <c r="J2383" s="24">
        <f t="shared" si="111"/>
        <v>9.0185570828484624E-5</v>
      </c>
      <c r="K2383" s="25">
        <f t="shared" si="113"/>
        <v>0.88629341642523018</v>
      </c>
      <c r="L2383" s="26" t="s">
        <v>7517</v>
      </c>
      <c r="M2383" s="28"/>
      <c r="N2383" s="28"/>
      <c r="O2383" s="20" t="s">
        <v>7530</v>
      </c>
      <c r="P2383" s="27" t="str">
        <f t="shared" si="112"/>
        <v>vermelho</v>
      </c>
    </row>
    <row r="2384" spans="1:16" ht="25.5">
      <c r="A2384" s="3" t="s">
        <v>4</v>
      </c>
      <c r="B2384" s="3" t="s">
        <v>1602</v>
      </c>
      <c r="C2384" s="4">
        <v>337</v>
      </c>
      <c r="D2384" s="3" t="s">
        <v>202</v>
      </c>
      <c r="E2384" s="3" t="s">
        <v>16</v>
      </c>
      <c r="F2384" s="5">
        <v>72</v>
      </c>
      <c r="G2384" s="5">
        <v>210</v>
      </c>
      <c r="H2384" s="6">
        <v>3230.64</v>
      </c>
      <c r="I2384" s="22">
        <v>13012.5</v>
      </c>
      <c r="J2384" s="24">
        <f t="shared" si="111"/>
        <v>9.0165199209988771E-5</v>
      </c>
      <c r="K2384" s="25">
        <f t="shared" si="113"/>
        <v>0.8863835816244402</v>
      </c>
      <c r="L2384" s="26" t="s">
        <v>7517</v>
      </c>
      <c r="M2384" s="28"/>
      <c r="N2384" s="28">
        <v>3.850676795556178E-2</v>
      </c>
      <c r="O2384" s="20">
        <v>2769.6</v>
      </c>
      <c r="P2384" s="27" t="str">
        <f t="shared" si="112"/>
        <v>amarelo</v>
      </c>
    </row>
    <row r="2385" spans="1:16" ht="38.25">
      <c r="A2385" s="3" t="s">
        <v>4</v>
      </c>
      <c r="B2385" s="3" t="s">
        <v>1603</v>
      </c>
      <c r="C2385" s="4">
        <v>301</v>
      </c>
      <c r="D2385" s="3" t="s">
        <v>519</v>
      </c>
      <c r="E2385" s="3" t="s">
        <v>16</v>
      </c>
      <c r="F2385" s="5">
        <v>354</v>
      </c>
      <c r="G2385" s="5">
        <v>192</v>
      </c>
      <c r="H2385" s="6">
        <v>19592.46</v>
      </c>
      <c r="I2385" s="22">
        <v>12996.48</v>
      </c>
      <c r="J2385" s="24">
        <f t="shared" si="111"/>
        <v>9.0054194676552143E-5</v>
      </c>
      <c r="K2385" s="25">
        <f t="shared" si="113"/>
        <v>0.88647363581911676</v>
      </c>
      <c r="L2385" s="26" t="s">
        <v>7517</v>
      </c>
      <c r="M2385" s="28"/>
      <c r="N2385" s="28"/>
      <c r="O2385" s="20">
        <v>28110.18</v>
      </c>
      <c r="P2385" s="27" t="str">
        <f t="shared" si="112"/>
        <v>verde</v>
      </c>
    </row>
    <row r="2386" spans="1:16">
      <c r="A2386" s="3" t="s">
        <v>4</v>
      </c>
      <c r="B2386" s="3" t="s">
        <v>1604</v>
      </c>
      <c r="C2386" s="4">
        <v>231</v>
      </c>
      <c r="D2386" s="3" t="s">
        <v>52</v>
      </c>
      <c r="E2386" s="3" t="s">
        <v>7</v>
      </c>
      <c r="F2386" s="5">
        <v>627</v>
      </c>
      <c r="G2386" s="5">
        <v>228</v>
      </c>
      <c r="H2386" s="6">
        <v>39668.730000000003</v>
      </c>
      <c r="I2386" s="22">
        <v>12996.42</v>
      </c>
      <c r="J2386" s="24">
        <f t="shared" si="111"/>
        <v>9.0053778929235904E-5</v>
      </c>
      <c r="K2386" s="25">
        <f t="shared" si="113"/>
        <v>0.88656368959804599</v>
      </c>
      <c r="L2386" s="26" t="s">
        <v>7517</v>
      </c>
      <c r="M2386" s="28"/>
      <c r="N2386" s="28">
        <v>4.7222081412542076E-2</v>
      </c>
      <c r="O2386" s="20">
        <v>21440.43</v>
      </c>
      <c r="P2386" s="27" t="str">
        <f t="shared" si="112"/>
        <v>verde</v>
      </c>
    </row>
    <row r="2387" spans="1:16" ht="25.5">
      <c r="A2387" s="3" t="s">
        <v>4</v>
      </c>
      <c r="B2387" s="3" t="s">
        <v>1605</v>
      </c>
      <c r="C2387" s="4">
        <v>335</v>
      </c>
      <c r="D2387" s="3" t="s">
        <v>36</v>
      </c>
      <c r="E2387" s="3" t="s">
        <v>7</v>
      </c>
      <c r="F2387" s="5">
        <v>0</v>
      </c>
      <c r="G2387" s="5">
        <v>219</v>
      </c>
      <c r="H2387" s="6">
        <v>0</v>
      </c>
      <c r="I2387" s="22">
        <v>12972.72</v>
      </c>
      <c r="J2387" s="24">
        <f t="shared" si="111"/>
        <v>8.9889558739320307E-5</v>
      </c>
      <c r="K2387" s="25">
        <f t="shared" si="113"/>
        <v>0.88665357915678533</v>
      </c>
      <c r="L2387" s="26" t="s">
        <v>7517</v>
      </c>
      <c r="M2387" s="28">
        <v>-3.1395192321411462E-2</v>
      </c>
      <c r="N2387" s="28"/>
      <c r="O2387" s="20">
        <v>12760.8</v>
      </c>
      <c r="P2387" s="27" t="str">
        <f t="shared" si="112"/>
        <v>laranja</v>
      </c>
    </row>
    <row r="2388" spans="1:16" ht="25.5">
      <c r="A2388" s="3" t="s">
        <v>6567</v>
      </c>
      <c r="B2388" s="3" t="s">
        <v>6568</v>
      </c>
      <c r="C2388" s="4">
        <v>41</v>
      </c>
      <c r="D2388" s="3" t="s">
        <v>178</v>
      </c>
      <c r="E2388" s="3" t="s">
        <v>41</v>
      </c>
      <c r="F2388" s="5">
        <v>0</v>
      </c>
      <c r="G2388" s="5">
        <v>189</v>
      </c>
      <c r="H2388" s="6">
        <v>0</v>
      </c>
      <c r="I2388" s="22">
        <v>12970.11</v>
      </c>
      <c r="J2388" s="24">
        <f t="shared" si="111"/>
        <v>8.9871473731063784E-5</v>
      </c>
      <c r="K2388" s="25">
        <f t="shared" si="113"/>
        <v>0.88674345063051641</v>
      </c>
      <c r="L2388" s="26" t="s">
        <v>7517</v>
      </c>
      <c r="M2388" s="28"/>
      <c r="N2388" s="28"/>
      <c r="O2388" s="20" t="s">
        <v>7530</v>
      </c>
      <c r="P2388" s="27" t="str">
        <f t="shared" si="112"/>
        <v>vermelho</v>
      </c>
    </row>
    <row r="2389" spans="1:16" ht="25.5">
      <c r="A2389" s="3" t="s">
        <v>4</v>
      </c>
      <c r="B2389" s="3" t="s">
        <v>1606</v>
      </c>
      <c r="C2389" s="4">
        <v>93</v>
      </c>
      <c r="D2389" s="3" t="s">
        <v>20</v>
      </c>
      <c r="E2389" s="3" t="s">
        <v>7</v>
      </c>
      <c r="F2389" s="5">
        <v>0</v>
      </c>
      <c r="G2389" s="5">
        <v>243</v>
      </c>
      <c r="H2389" s="6">
        <v>0</v>
      </c>
      <c r="I2389" s="22">
        <v>12963.33</v>
      </c>
      <c r="J2389" s="24">
        <f t="shared" si="111"/>
        <v>8.9824494284328432E-5</v>
      </c>
      <c r="K2389" s="25">
        <f t="shared" si="113"/>
        <v>0.8868332751248007</v>
      </c>
      <c r="L2389" s="26" t="s">
        <v>7517</v>
      </c>
      <c r="M2389" s="28"/>
      <c r="N2389" s="28"/>
      <c r="O2389" s="20" t="s">
        <v>7530</v>
      </c>
      <c r="P2389" s="27" t="str">
        <f t="shared" si="112"/>
        <v>vermelho</v>
      </c>
    </row>
    <row r="2390" spans="1:16" ht="25.5">
      <c r="A2390" s="3" t="s">
        <v>6569</v>
      </c>
      <c r="B2390" s="3" t="s">
        <v>6570</v>
      </c>
      <c r="C2390" s="4">
        <v>328</v>
      </c>
      <c r="D2390" s="3" t="s">
        <v>215</v>
      </c>
      <c r="E2390" s="3" t="s">
        <v>41</v>
      </c>
      <c r="F2390" s="5">
        <v>219</v>
      </c>
      <c r="G2390" s="5">
        <v>210</v>
      </c>
      <c r="H2390" s="6">
        <v>10912.184999999999</v>
      </c>
      <c r="I2390" s="22">
        <v>12960.24</v>
      </c>
      <c r="J2390" s="24">
        <f t="shared" si="111"/>
        <v>8.9803083297541967E-5</v>
      </c>
      <c r="K2390" s="25">
        <f t="shared" si="113"/>
        <v>0.88692307820809824</v>
      </c>
      <c r="L2390" s="26" t="s">
        <v>7517</v>
      </c>
      <c r="M2390" s="28"/>
      <c r="N2390" s="28"/>
      <c r="O2390" s="20" t="s">
        <v>7530</v>
      </c>
      <c r="P2390" s="27" t="str">
        <f t="shared" si="112"/>
        <v>vermelho</v>
      </c>
    </row>
    <row r="2391" spans="1:16" ht="38.25">
      <c r="A2391" s="3" t="s">
        <v>4</v>
      </c>
      <c r="B2391" s="3" t="s">
        <v>335</v>
      </c>
      <c r="C2391" s="4">
        <v>264</v>
      </c>
      <c r="D2391" s="3" t="s">
        <v>40</v>
      </c>
      <c r="E2391" s="3" t="s">
        <v>7</v>
      </c>
      <c r="F2391" s="5">
        <v>0</v>
      </c>
      <c r="G2391" s="5">
        <v>198</v>
      </c>
      <c r="H2391" s="6">
        <v>0</v>
      </c>
      <c r="I2391" s="22">
        <v>12956.880999999999</v>
      </c>
      <c r="J2391" s="24">
        <f t="shared" si="111"/>
        <v>8.9779808376954347E-5</v>
      </c>
      <c r="K2391" s="25">
        <f t="shared" si="113"/>
        <v>0.88701285801647523</v>
      </c>
      <c r="L2391" s="26" t="s">
        <v>7517</v>
      </c>
      <c r="M2391" s="28"/>
      <c r="N2391" s="28"/>
      <c r="O2391" s="20">
        <v>10649.43</v>
      </c>
      <c r="P2391" s="27" t="str">
        <f t="shared" si="112"/>
        <v>laranja</v>
      </c>
    </row>
    <row r="2392" spans="1:16" ht="25.5">
      <c r="A2392" s="3" t="s">
        <v>6571</v>
      </c>
      <c r="B2392" s="3" t="s">
        <v>6572</v>
      </c>
      <c r="C2392" s="4">
        <v>317</v>
      </c>
      <c r="D2392" s="3" t="s">
        <v>78</v>
      </c>
      <c r="E2392" s="3" t="s">
        <v>10</v>
      </c>
      <c r="F2392" s="5">
        <v>0</v>
      </c>
      <c r="G2392" s="5">
        <v>234</v>
      </c>
      <c r="H2392" s="6">
        <v>0</v>
      </c>
      <c r="I2392" s="22">
        <v>12944.64</v>
      </c>
      <c r="J2392" s="24">
        <f t="shared" si="111"/>
        <v>8.9694988995319029E-5</v>
      </c>
      <c r="K2392" s="25">
        <f t="shared" si="113"/>
        <v>0.88710255300547058</v>
      </c>
      <c r="L2392" s="26" t="s">
        <v>7517</v>
      </c>
      <c r="M2392" s="28"/>
      <c r="N2392" s="28"/>
      <c r="O2392" s="20" t="s">
        <v>7530</v>
      </c>
      <c r="P2392" s="27" t="str">
        <f t="shared" si="112"/>
        <v>vermelho</v>
      </c>
    </row>
    <row r="2393" spans="1:16" ht="25.5">
      <c r="A2393" s="3" t="s">
        <v>4</v>
      </c>
      <c r="B2393" s="3" t="s">
        <v>1607</v>
      </c>
      <c r="C2393" s="4">
        <v>266</v>
      </c>
      <c r="D2393" s="3" t="s">
        <v>80</v>
      </c>
      <c r="E2393" s="3" t="s">
        <v>10</v>
      </c>
      <c r="F2393" s="5">
        <v>60</v>
      </c>
      <c r="G2393" s="5">
        <v>228</v>
      </c>
      <c r="H2393" s="6">
        <v>3033.6</v>
      </c>
      <c r="I2393" s="22">
        <v>12943.2</v>
      </c>
      <c r="J2393" s="24">
        <f t="shared" si="111"/>
        <v>8.9685011059729229E-5</v>
      </c>
      <c r="K2393" s="25">
        <f t="shared" si="113"/>
        <v>0.88719223801653035</v>
      </c>
      <c r="L2393" s="26" t="s">
        <v>7517</v>
      </c>
      <c r="M2393" s="28"/>
      <c r="N2393" s="28"/>
      <c r="O2393" s="20" t="s">
        <v>7530</v>
      </c>
      <c r="P2393" s="27" t="str">
        <f t="shared" si="112"/>
        <v>vermelho</v>
      </c>
    </row>
    <row r="2394" spans="1:16" ht="25.5">
      <c r="A2394" s="3" t="s">
        <v>4</v>
      </c>
      <c r="B2394" s="3" t="s">
        <v>1608</v>
      </c>
      <c r="C2394" s="4">
        <v>317</v>
      </c>
      <c r="D2394" s="3" t="s">
        <v>78</v>
      </c>
      <c r="E2394" s="3" t="s">
        <v>10</v>
      </c>
      <c r="F2394" s="5">
        <v>54</v>
      </c>
      <c r="G2394" s="5">
        <v>216</v>
      </c>
      <c r="H2394" s="6">
        <v>3280.23</v>
      </c>
      <c r="I2394" s="22">
        <v>12942.84</v>
      </c>
      <c r="J2394" s="24">
        <f t="shared" si="111"/>
        <v>8.9682516575831779E-5</v>
      </c>
      <c r="K2394" s="25">
        <f t="shared" si="113"/>
        <v>0.88728192053310617</v>
      </c>
      <c r="L2394" s="26" t="s">
        <v>7517</v>
      </c>
      <c r="M2394" s="28"/>
      <c r="N2394" s="28"/>
      <c r="O2394" s="20" t="s">
        <v>7530</v>
      </c>
      <c r="P2394" s="27" t="str">
        <f t="shared" si="112"/>
        <v>vermelho</v>
      </c>
    </row>
    <row r="2395" spans="1:16">
      <c r="A2395" s="3" t="s">
        <v>6573</v>
      </c>
      <c r="B2395" s="3" t="s">
        <v>6574</v>
      </c>
      <c r="C2395" s="4">
        <v>240</v>
      </c>
      <c r="D2395" s="3" t="s">
        <v>69</v>
      </c>
      <c r="E2395" s="3" t="s">
        <v>16</v>
      </c>
      <c r="F2395" s="5">
        <v>168</v>
      </c>
      <c r="G2395" s="5">
        <v>210</v>
      </c>
      <c r="H2395" s="6">
        <v>9456.39</v>
      </c>
      <c r="I2395" s="22">
        <v>12928.68</v>
      </c>
      <c r="J2395" s="24">
        <f t="shared" si="111"/>
        <v>8.9584400209198668E-5</v>
      </c>
      <c r="K2395" s="25">
        <f t="shared" si="113"/>
        <v>0.8873715049333154</v>
      </c>
      <c r="L2395" s="26" t="s">
        <v>7517</v>
      </c>
      <c r="M2395" s="28"/>
      <c r="N2395" s="28"/>
      <c r="O2395" s="20" t="s">
        <v>7530</v>
      </c>
      <c r="P2395" s="27" t="str">
        <f t="shared" si="112"/>
        <v>vermelho</v>
      </c>
    </row>
    <row r="2396" spans="1:16" ht="38.25">
      <c r="A2396" s="3" t="s">
        <v>6575</v>
      </c>
      <c r="B2396" s="3" t="s">
        <v>6576</v>
      </c>
      <c r="C2396" s="4">
        <v>371</v>
      </c>
      <c r="D2396" s="3" t="s">
        <v>82</v>
      </c>
      <c r="E2396" s="3" t="s">
        <v>49</v>
      </c>
      <c r="F2396" s="5">
        <v>288</v>
      </c>
      <c r="G2396" s="5">
        <v>210</v>
      </c>
      <c r="H2396" s="6">
        <v>16165.68</v>
      </c>
      <c r="I2396" s="22">
        <v>12910.134</v>
      </c>
      <c r="J2396" s="24">
        <f t="shared" si="111"/>
        <v>8.9455892713748251E-5</v>
      </c>
      <c r="K2396" s="25">
        <f t="shared" si="113"/>
        <v>0.8874609608260291</v>
      </c>
      <c r="L2396" s="26" t="s">
        <v>7517</v>
      </c>
      <c r="M2396" s="28"/>
      <c r="N2396" s="28"/>
      <c r="O2396" s="20" t="s">
        <v>7530</v>
      </c>
      <c r="P2396" s="27" t="str">
        <f t="shared" si="112"/>
        <v>vermelho</v>
      </c>
    </row>
    <row r="2397" spans="1:16" ht="25.5">
      <c r="A2397" s="3" t="s">
        <v>6577</v>
      </c>
      <c r="B2397" s="3" t="s">
        <v>6578</v>
      </c>
      <c r="C2397" s="4">
        <v>218</v>
      </c>
      <c r="D2397" s="3" t="s">
        <v>104</v>
      </c>
      <c r="E2397" s="3" t="s">
        <v>16</v>
      </c>
      <c r="F2397" s="5">
        <v>120</v>
      </c>
      <c r="G2397" s="5">
        <v>264</v>
      </c>
      <c r="H2397" s="6">
        <v>6478.8</v>
      </c>
      <c r="I2397" s="22">
        <v>12903.18</v>
      </c>
      <c r="J2397" s="24">
        <f t="shared" si="111"/>
        <v>8.9407707599795807E-5</v>
      </c>
      <c r="K2397" s="25">
        <f t="shared" si="113"/>
        <v>0.8875503685336289</v>
      </c>
      <c r="L2397" s="26" t="s">
        <v>7517</v>
      </c>
      <c r="M2397" s="28"/>
      <c r="N2397" s="28"/>
      <c r="O2397" s="20" t="s">
        <v>7530</v>
      </c>
      <c r="P2397" s="27" t="str">
        <f t="shared" si="112"/>
        <v>vermelho</v>
      </c>
    </row>
    <row r="2398" spans="1:16" ht="38.25">
      <c r="A2398" s="3" t="s">
        <v>4</v>
      </c>
      <c r="B2398" s="3" t="s">
        <v>1609</v>
      </c>
      <c r="C2398" s="4">
        <v>301</v>
      </c>
      <c r="D2398" s="3" t="s">
        <v>519</v>
      </c>
      <c r="E2398" s="3" t="s">
        <v>16</v>
      </c>
      <c r="F2398" s="5">
        <v>258</v>
      </c>
      <c r="G2398" s="5">
        <v>300</v>
      </c>
      <c r="H2398" s="6">
        <v>14706.21</v>
      </c>
      <c r="I2398" s="22">
        <v>12890.43</v>
      </c>
      <c r="J2398" s="24">
        <f t="shared" si="111"/>
        <v>8.9319361295094377E-5</v>
      </c>
      <c r="K2398" s="25">
        <f t="shared" si="113"/>
        <v>0.88763968789492398</v>
      </c>
      <c r="L2398" s="26" t="s">
        <v>7517</v>
      </c>
      <c r="M2398" s="28"/>
      <c r="N2398" s="28"/>
      <c r="O2398" s="20" t="s">
        <v>7530</v>
      </c>
      <c r="P2398" s="27" t="str">
        <f t="shared" si="112"/>
        <v>vermelho</v>
      </c>
    </row>
    <row r="2399" spans="1:16" ht="25.5">
      <c r="A2399" s="3" t="s">
        <v>4</v>
      </c>
      <c r="B2399" s="3" t="s">
        <v>1610</v>
      </c>
      <c r="C2399" s="4">
        <v>321</v>
      </c>
      <c r="D2399" s="3" t="s">
        <v>136</v>
      </c>
      <c r="E2399" s="3" t="s">
        <v>41</v>
      </c>
      <c r="F2399" s="5">
        <v>234</v>
      </c>
      <c r="G2399" s="5">
        <v>216</v>
      </c>
      <c r="H2399" s="6">
        <v>13589.52</v>
      </c>
      <c r="I2399" s="22">
        <v>12884.76</v>
      </c>
      <c r="J2399" s="24">
        <f t="shared" si="111"/>
        <v>8.9280073173709495E-5</v>
      </c>
      <c r="K2399" s="25">
        <f t="shared" si="113"/>
        <v>0.88772896796809764</v>
      </c>
      <c r="L2399" s="26" t="s">
        <v>7517</v>
      </c>
      <c r="M2399" s="28"/>
      <c r="N2399" s="28"/>
      <c r="O2399" s="20">
        <v>5317.86</v>
      </c>
      <c r="P2399" s="27" t="str">
        <f t="shared" si="112"/>
        <v>amarelo</v>
      </c>
    </row>
    <row r="2400" spans="1:16" ht="25.5">
      <c r="A2400" s="3" t="s">
        <v>6579</v>
      </c>
      <c r="B2400" s="3" t="s">
        <v>6580</v>
      </c>
      <c r="C2400" s="4">
        <v>61</v>
      </c>
      <c r="D2400" s="3" t="s">
        <v>48</v>
      </c>
      <c r="E2400" s="3" t="s">
        <v>49</v>
      </c>
      <c r="F2400" s="5">
        <v>138</v>
      </c>
      <c r="G2400" s="5">
        <v>192</v>
      </c>
      <c r="H2400" s="6">
        <v>8996.91</v>
      </c>
      <c r="I2400" s="22">
        <v>12882</v>
      </c>
      <c r="J2400" s="24">
        <f t="shared" si="111"/>
        <v>8.926094879716236E-5</v>
      </c>
      <c r="K2400" s="25">
        <f t="shared" si="113"/>
        <v>0.88781822891689477</v>
      </c>
      <c r="L2400" s="26" t="s">
        <v>7517</v>
      </c>
      <c r="M2400" s="28"/>
      <c r="N2400" s="28"/>
      <c r="O2400" s="20" t="s">
        <v>7530</v>
      </c>
      <c r="P2400" s="27" t="str">
        <f t="shared" si="112"/>
        <v>vermelho</v>
      </c>
    </row>
    <row r="2401" spans="1:16" ht="25.5">
      <c r="A2401" s="3" t="s">
        <v>4</v>
      </c>
      <c r="B2401" s="3" t="s">
        <v>1611</v>
      </c>
      <c r="C2401" s="4">
        <v>208</v>
      </c>
      <c r="D2401" s="3" t="s">
        <v>15</v>
      </c>
      <c r="E2401" s="3" t="s">
        <v>16</v>
      </c>
      <c r="F2401" s="5">
        <v>0</v>
      </c>
      <c r="G2401" s="5">
        <v>216</v>
      </c>
      <c r="H2401" s="6">
        <v>0</v>
      </c>
      <c r="I2401" s="22">
        <v>12876.755999999999</v>
      </c>
      <c r="J2401" s="24">
        <f t="shared" si="111"/>
        <v>8.9224612481722808E-5</v>
      </c>
      <c r="K2401" s="25">
        <f t="shared" si="113"/>
        <v>0.8879074535293765</v>
      </c>
      <c r="L2401" s="26" t="s">
        <v>7517</v>
      </c>
      <c r="M2401" s="28"/>
      <c r="N2401" s="28"/>
      <c r="O2401" s="20" t="s">
        <v>7530</v>
      </c>
      <c r="P2401" s="27" t="str">
        <f t="shared" si="112"/>
        <v>vermelho</v>
      </c>
    </row>
    <row r="2402" spans="1:16" ht="25.5">
      <c r="A2402" s="3" t="s">
        <v>4</v>
      </c>
      <c r="B2402" s="3" t="s">
        <v>1612</v>
      </c>
      <c r="C2402" s="4">
        <v>23</v>
      </c>
      <c r="D2402" s="3" t="s">
        <v>87</v>
      </c>
      <c r="E2402" s="3" t="s">
        <v>7</v>
      </c>
      <c r="F2402" s="5">
        <v>114</v>
      </c>
      <c r="G2402" s="5">
        <v>198</v>
      </c>
      <c r="H2402" s="6">
        <v>5062.8599999999997</v>
      </c>
      <c r="I2402" s="22">
        <v>12876.21</v>
      </c>
      <c r="J2402" s="24">
        <f t="shared" si="111"/>
        <v>8.9220829181145E-5</v>
      </c>
      <c r="K2402" s="25">
        <f t="shared" si="113"/>
        <v>0.88799667435855767</v>
      </c>
      <c r="L2402" s="26" t="s">
        <v>7517</v>
      </c>
      <c r="M2402" s="28"/>
      <c r="N2402" s="28">
        <v>5.687164264928924E-2</v>
      </c>
      <c r="O2402" s="20">
        <v>7363.26</v>
      </c>
      <c r="P2402" s="27" t="str">
        <f t="shared" si="112"/>
        <v>laranja</v>
      </c>
    </row>
    <row r="2403" spans="1:16" ht="25.5">
      <c r="A2403" s="3" t="s">
        <v>4</v>
      </c>
      <c r="B2403" s="3" t="s">
        <v>1613</v>
      </c>
      <c r="C2403" s="4">
        <v>39</v>
      </c>
      <c r="D2403" s="3" t="s">
        <v>26</v>
      </c>
      <c r="E2403" s="3" t="s">
        <v>13</v>
      </c>
      <c r="F2403" s="5">
        <v>36</v>
      </c>
      <c r="G2403" s="5">
        <v>231</v>
      </c>
      <c r="H2403" s="6">
        <v>1878.48</v>
      </c>
      <c r="I2403" s="22">
        <v>12872.82</v>
      </c>
      <c r="J2403" s="24">
        <f t="shared" si="111"/>
        <v>8.9197339457777337E-5</v>
      </c>
      <c r="K2403" s="25">
        <f t="shared" si="113"/>
        <v>0.88808587169801545</v>
      </c>
      <c r="L2403" s="26" t="s">
        <v>7517</v>
      </c>
      <c r="M2403" s="28"/>
      <c r="N2403" s="28"/>
      <c r="O2403" s="20" t="s">
        <v>7530</v>
      </c>
      <c r="P2403" s="27" t="str">
        <f t="shared" si="112"/>
        <v>vermelho</v>
      </c>
    </row>
    <row r="2404" spans="1:16" ht="25.5">
      <c r="A2404" s="3" t="s">
        <v>4</v>
      </c>
      <c r="B2404" s="3" t="s">
        <v>1614</v>
      </c>
      <c r="C2404" s="4">
        <v>328</v>
      </c>
      <c r="D2404" s="3" t="s">
        <v>215</v>
      </c>
      <c r="E2404" s="3" t="s">
        <v>41</v>
      </c>
      <c r="F2404" s="5">
        <v>72</v>
      </c>
      <c r="G2404" s="5">
        <v>213</v>
      </c>
      <c r="H2404" s="6">
        <v>4078.3960000000002</v>
      </c>
      <c r="I2404" s="22">
        <v>12870.21</v>
      </c>
      <c r="J2404" s="24">
        <f t="shared" si="111"/>
        <v>8.9179254449520801E-5</v>
      </c>
      <c r="K2404" s="25">
        <f t="shared" si="113"/>
        <v>0.88817505095246496</v>
      </c>
      <c r="L2404" s="26" t="s">
        <v>7517</v>
      </c>
      <c r="M2404" s="28"/>
      <c r="N2404" s="28"/>
      <c r="O2404" s="20" t="s">
        <v>7530</v>
      </c>
      <c r="P2404" s="27" t="str">
        <f t="shared" si="112"/>
        <v>vermelho</v>
      </c>
    </row>
    <row r="2405" spans="1:16" ht="25.5">
      <c r="A2405" s="3" t="s">
        <v>4</v>
      </c>
      <c r="B2405" s="3" t="s">
        <v>1615</v>
      </c>
      <c r="C2405" s="4">
        <v>261</v>
      </c>
      <c r="D2405" s="3" t="s">
        <v>9</v>
      </c>
      <c r="E2405" s="3" t="s">
        <v>10</v>
      </c>
      <c r="F2405" s="5">
        <v>804</v>
      </c>
      <c r="G2405" s="5">
        <v>228</v>
      </c>
      <c r="H2405" s="6">
        <v>48365.279999999999</v>
      </c>
      <c r="I2405" s="22">
        <v>12868.68</v>
      </c>
      <c r="J2405" s="24">
        <f t="shared" si="111"/>
        <v>8.9168652892956642E-5</v>
      </c>
      <c r="K2405" s="25">
        <f t="shared" si="113"/>
        <v>0.88826421960535795</v>
      </c>
      <c r="L2405" s="26" t="s">
        <v>7517</v>
      </c>
      <c r="M2405" s="28"/>
      <c r="N2405" s="28"/>
      <c r="O2405" s="20" t="s">
        <v>7530</v>
      </c>
      <c r="P2405" s="27" t="str">
        <f t="shared" si="112"/>
        <v>vermelho</v>
      </c>
    </row>
    <row r="2406" spans="1:16" ht="38.25">
      <c r="A2406" s="3" t="s">
        <v>4</v>
      </c>
      <c r="B2406" s="3" t="s">
        <v>1616</v>
      </c>
      <c r="C2406" s="4">
        <v>45</v>
      </c>
      <c r="D2406" s="3" t="s">
        <v>23</v>
      </c>
      <c r="E2406" s="3" t="s">
        <v>7</v>
      </c>
      <c r="F2406" s="5">
        <v>450</v>
      </c>
      <c r="G2406" s="5">
        <v>225</v>
      </c>
      <c r="H2406" s="6">
        <v>28303.38</v>
      </c>
      <c r="I2406" s="22">
        <v>12863.52</v>
      </c>
      <c r="J2406" s="24">
        <f t="shared" si="111"/>
        <v>8.9132898623759822E-5</v>
      </c>
      <c r="K2406" s="25">
        <f t="shared" si="113"/>
        <v>0.88835335250398173</v>
      </c>
      <c r="L2406" s="26" t="s">
        <v>7517</v>
      </c>
      <c r="M2406" s="28"/>
      <c r="N2406" s="28"/>
      <c r="O2406" s="20">
        <v>10068.719999999999</v>
      </c>
      <c r="P2406" s="27" t="str">
        <f t="shared" si="112"/>
        <v>laranja</v>
      </c>
    </row>
    <row r="2407" spans="1:16" ht="25.5">
      <c r="A2407" s="3" t="s">
        <v>4</v>
      </c>
      <c r="B2407" s="3" t="s">
        <v>1617</v>
      </c>
      <c r="C2407" s="4">
        <v>266</v>
      </c>
      <c r="D2407" s="3" t="s">
        <v>80</v>
      </c>
      <c r="E2407" s="3" t="s">
        <v>10</v>
      </c>
      <c r="F2407" s="5">
        <v>144</v>
      </c>
      <c r="G2407" s="5">
        <v>201</v>
      </c>
      <c r="H2407" s="6">
        <v>8918.4599999999991</v>
      </c>
      <c r="I2407" s="22">
        <v>12853.68</v>
      </c>
      <c r="J2407" s="24">
        <f t="shared" si="111"/>
        <v>8.9064716063896139E-5</v>
      </c>
      <c r="K2407" s="25">
        <f t="shared" si="113"/>
        <v>0.88844241722004558</v>
      </c>
      <c r="L2407" s="26" t="s">
        <v>7517</v>
      </c>
      <c r="M2407" s="28"/>
      <c r="N2407" s="28"/>
      <c r="O2407" s="20" t="s">
        <v>7530</v>
      </c>
      <c r="P2407" s="27" t="str">
        <f t="shared" si="112"/>
        <v>vermelho</v>
      </c>
    </row>
    <row r="2408" spans="1:16" ht="38.25">
      <c r="A2408" s="3" t="s">
        <v>4</v>
      </c>
      <c r="B2408" s="3" t="s">
        <v>1618</v>
      </c>
      <c r="C2408" s="4">
        <v>45</v>
      </c>
      <c r="D2408" s="3" t="s">
        <v>23</v>
      </c>
      <c r="E2408" s="3" t="s">
        <v>7</v>
      </c>
      <c r="F2408" s="5">
        <v>276</v>
      </c>
      <c r="G2408" s="5">
        <v>186</v>
      </c>
      <c r="H2408" s="6">
        <v>15482.88</v>
      </c>
      <c r="I2408" s="22">
        <v>12850.14</v>
      </c>
      <c r="J2408" s="24">
        <f t="shared" si="111"/>
        <v>8.9040186972237851E-5</v>
      </c>
      <c r="K2408" s="25">
        <f t="shared" si="113"/>
        <v>0.88853145740701778</v>
      </c>
      <c r="L2408" s="26" t="s">
        <v>7517</v>
      </c>
      <c r="M2408" s="28"/>
      <c r="N2408" s="28"/>
      <c r="O2408" s="20">
        <v>10954.92</v>
      </c>
      <c r="P2408" s="27" t="str">
        <f t="shared" si="112"/>
        <v>laranja</v>
      </c>
    </row>
    <row r="2409" spans="1:16" ht="25.5">
      <c r="A2409" s="3" t="s">
        <v>4</v>
      </c>
      <c r="B2409" s="3" t="s">
        <v>1619</v>
      </c>
      <c r="C2409" s="4">
        <v>327</v>
      </c>
      <c r="D2409" s="3" t="s">
        <v>100</v>
      </c>
      <c r="E2409" s="3" t="s">
        <v>7</v>
      </c>
      <c r="F2409" s="5">
        <v>0</v>
      </c>
      <c r="G2409" s="5">
        <v>180</v>
      </c>
      <c r="H2409" s="6">
        <v>0</v>
      </c>
      <c r="I2409" s="22">
        <v>12847.98</v>
      </c>
      <c r="J2409" s="24">
        <f t="shared" si="111"/>
        <v>8.9025220068853137E-5</v>
      </c>
      <c r="K2409" s="25">
        <f t="shared" si="113"/>
        <v>0.88862048262708659</v>
      </c>
      <c r="L2409" s="26" t="s">
        <v>7517</v>
      </c>
      <c r="M2409" s="28"/>
      <c r="N2409" s="28"/>
      <c r="O2409" s="20">
        <v>2836.0340000000001</v>
      </c>
      <c r="P2409" s="27" t="str">
        <f t="shared" si="112"/>
        <v>amarelo</v>
      </c>
    </row>
    <row r="2410" spans="1:16" ht="25.5">
      <c r="A2410" s="3" t="s">
        <v>4</v>
      </c>
      <c r="B2410" s="3" t="s">
        <v>1620</v>
      </c>
      <c r="C2410" s="4">
        <v>217</v>
      </c>
      <c r="D2410" s="3" t="s">
        <v>91</v>
      </c>
      <c r="E2410" s="3" t="s">
        <v>16</v>
      </c>
      <c r="F2410" s="5">
        <v>0</v>
      </c>
      <c r="G2410" s="5">
        <v>216</v>
      </c>
      <c r="H2410" s="6">
        <v>0</v>
      </c>
      <c r="I2410" s="22">
        <v>12840.84</v>
      </c>
      <c r="J2410" s="24">
        <f t="shared" si="111"/>
        <v>8.8975746138220336E-5</v>
      </c>
      <c r="K2410" s="25">
        <f t="shared" si="113"/>
        <v>0.88870945837322479</v>
      </c>
      <c r="L2410" s="26" t="s">
        <v>7517</v>
      </c>
      <c r="M2410" s="28"/>
      <c r="N2410" s="28"/>
      <c r="O2410" s="20" t="s">
        <v>7530</v>
      </c>
      <c r="P2410" s="27" t="str">
        <f t="shared" si="112"/>
        <v>vermelho</v>
      </c>
    </row>
    <row r="2411" spans="1:16" ht="25.5">
      <c r="A2411" s="3" t="s">
        <v>4</v>
      </c>
      <c r="B2411" s="3" t="s">
        <v>1621</v>
      </c>
      <c r="C2411" s="4">
        <v>232</v>
      </c>
      <c r="D2411" s="3" t="s">
        <v>174</v>
      </c>
      <c r="E2411" s="3" t="s">
        <v>16</v>
      </c>
      <c r="F2411" s="5">
        <v>600</v>
      </c>
      <c r="G2411" s="5">
        <v>207</v>
      </c>
      <c r="H2411" s="6">
        <v>32790.870000000003</v>
      </c>
      <c r="I2411" s="22">
        <v>12823.29</v>
      </c>
      <c r="J2411" s="24">
        <f t="shared" si="111"/>
        <v>8.8854140048219549E-5</v>
      </c>
      <c r="K2411" s="25">
        <f t="shared" si="113"/>
        <v>0.88879831251327301</v>
      </c>
      <c r="L2411" s="26" t="s">
        <v>7517</v>
      </c>
      <c r="M2411" s="28"/>
      <c r="N2411" s="28"/>
      <c r="O2411" s="20">
        <v>6759.36</v>
      </c>
      <c r="P2411" s="27" t="str">
        <f t="shared" si="112"/>
        <v>laranja</v>
      </c>
    </row>
    <row r="2412" spans="1:16" ht="38.25">
      <c r="A2412" s="3" t="s">
        <v>4</v>
      </c>
      <c r="B2412" s="3" t="s">
        <v>1622</v>
      </c>
      <c r="C2412" s="4">
        <v>231</v>
      </c>
      <c r="D2412" s="3" t="s">
        <v>52</v>
      </c>
      <c r="E2412" s="3" t="s">
        <v>7</v>
      </c>
      <c r="F2412" s="5">
        <v>372</v>
      </c>
      <c r="G2412" s="5">
        <v>285</v>
      </c>
      <c r="H2412" s="6">
        <v>15924.36</v>
      </c>
      <c r="I2412" s="22">
        <v>12822.33</v>
      </c>
      <c r="J2412" s="24">
        <f t="shared" si="111"/>
        <v>8.8847488091159678E-5</v>
      </c>
      <c r="K2412" s="25">
        <f t="shared" si="113"/>
        <v>0.88888716000136414</v>
      </c>
      <c r="L2412" s="26" t="s">
        <v>7517</v>
      </c>
      <c r="M2412" s="28"/>
      <c r="N2412" s="28"/>
      <c r="O2412" s="20" t="s">
        <v>7530</v>
      </c>
      <c r="P2412" s="27" t="str">
        <f t="shared" si="112"/>
        <v>vermelho</v>
      </c>
    </row>
    <row r="2413" spans="1:16" ht="25.5">
      <c r="A2413" s="3" t="s">
        <v>6581</v>
      </c>
      <c r="B2413" s="3" t="s">
        <v>6582</v>
      </c>
      <c r="C2413" s="4">
        <v>197</v>
      </c>
      <c r="D2413" s="3" t="s">
        <v>66</v>
      </c>
      <c r="E2413" s="3" t="s">
        <v>41</v>
      </c>
      <c r="F2413" s="5">
        <v>204</v>
      </c>
      <c r="G2413" s="5">
        <v>228</v>
      </c>
      <c r="H2413" s="6">
        <v>11688.72</v>
      </c>
      <c r="I2413" s="22">
        <v>12821.35</v>
      </c>
      <c r="J2413" s="24">
        <f t="shared" si="111"/>
        <v>8.8840697551661056E-5</v>
      </c>
      <c r="K2413" s="25">
        <f t="shared" si="113"/>
        <v>0.8889760006989158</v>
      </c>
      <c r="L2413" s="26" t="s">
        <v>7517</v>
      </c>
      <c r="M2413" s="28"/>
      <c r="N2413" s="28"/>
      <c r="O2413" s="20">
        <v>3861.3</v>
      </c>
      <c r="P2413" s="27" t="str">
        <f t="shared" si="112"/>
        <v>amarelo</v>
      </c>
    </row>
    <row r="2414" spans="1:16" ht="25.5">
      <c r="A2414" s="3" t="s">
        <v>4</v>
      </c>
      <c r="B2414" s="3" t="s">
        <v>1623</v>
      </c>
      <c r="C2414" s="4">
        <v>19</v>
      </c>
      <c r="D2414" s="3" t="s">
        <v>72</v>
      </c>
      <c r="E2414" s="3" t="s">
        <v>41</v>
      </c>
      <c r="F2414" s="5">
        <v>120</v>
      </c>
      <c r="G2414" s="5">
        <v>204</v>
      </c>
      <c r="H2414" s="6">
        <v>6478.8</v>
      </c>
      <c r="I2414" s="22">
        <v>12820.68</v>
      </c>
      <c r="J2414" s="24">
        <f t="shared" si="111"/>
        <v>8.8836055039963026E-5</v>
      </c>
      <c r="K2414" s="25">
        <f t="shared" si="113"/>
        <v>0.88906483675395576</v>
      </c>
      <c r="L2414" s="26" t="s">
        <v>7517</v>
      </c>
      <c r="M2414" s="28"/>
      <c r="N2414" s="28"/>
      <c r="O2414" s="20" t="s">
        <v>7530</v>
      </c>
      <c r="P2414" s="27" t="str">
        <f t="shared" si="112"/>
        <v>vermelho</v>
      </c>
    </row>
    <row r="2415" spans="1:16" ht="25.5">
      <c r="A2415" s="3" t="s">
        <v>4</v>
      </c>
      <c r="B2415" s="3" t="s">
        <v>1624</v>
      </c>
      <c r="C2415" s="4">
        <v>23</v>
      </c>
      <c r="D2415" s="3" t="s">
        <v>87</v>
      </c>
      <c r="E2415" s="3" t="s">
        <v>7</v>
      </c>
      <c r="F2415" s="5">
        <v>120</v>
      </c>
      <c r="G2415" s="5">
        <v>210</v>
      </c>
      <c r="H2415" s="6">
        <v>6834.24</v>
      </c>
      <c r="I2415" s="22">
        <v>12818.22</v>
      </c>
      <c r="J2415" s="24">
        <f t="shared" si="111"/>
        <v>8.8819009399997088E-5</v>
      </c>
      <c r="K2415" s="25">
        <f t="shared" si="113"/>
        <v>0.8891536557633557</v>
      </c>
      <c r="L2415" s="26" t="s">
        <v>7517</v>
      </c>
      <c r="M2415" s="28">
        <v>-5.2604224116582381E-2</v>
      </c>
      <c r="N2415" s="28"/>
      <c r="O2415" s="20">
        <v>3545.16</v>
      </c>
      <c r="P2415" s="27" t="str">
        <f t="shared" si="112"/>
        <v>amarelo</v>
      </c>
    </row>
    <row r="2416" spans="1:16" ht="25.5">
      <c r="A2416" s="3" t="s">
        <v>4</v>
      </c>
      <c r="B2416" s="3" t="s">
        <v>1625</v>
      </c>
      <c r="C2416" s="4">
        <v>232</v>
      </c>
      <c r="D2416" s="3" t="s">
        <v>174</v>
      </c>
      <c r="E2416" s="3" t="s">
        <v>16</v>
      </c>
      <c r="F2416" s="5">
        <v>0</v>
      </c>
      <c r="G2416" s="5">
        <v>216</v>
      </c>
      <c r="H2416" s="6">
        <v>0</v>
      </c>
      <c r="I2416" s="22">
        <v>12816.6</v>
      </c>
      <c r="J2416" s="24">
        <f t="shared" si="111"/>
        <v>8.880778422245857E-5</v>
      </c>
      <c r="K2416" s="25">
        <f t="shared" si="113"/>
        <v>0.88924246354757819</v>
      </c>
      <c r="L2416" s="26" t="s">
        <v>7517</v>
      </c>
      <c r="M2416" s="28"/>
      <c r="N2416" s="28"/>
      <c r="O2416" s="20" t="s">
        <v>7530</v>
      </c>
      <c r="P2416" s="27" t="str">
        <f t="shared" si="112"/>
        <v>vermelho</v>
      </c>
    </row>
    <row r="2417" spans="1:16" ht="38.25">
      <c r="A2417" s="3" t="s">
        <v>4</v>
      </c>
      <c r="B2417" s="3" t="s">
        <v>1626</v>
      </c>
      <c r="C2417" s="4">
        <v>93</v>
      </c>
      <c r="D2417" s="3" t="s">
        <v>20</v>
      </c>
      <c r="E2417" s="3" t="s">
        <v>7</v>
      </c>
      <c r="F2417" s="5">
        <v>0</v>
      </c>
      <c r="G2417" s="5">
        <v>231</v>
      </c>
      <c r="H2417" s="6">
        <v>0</v>
      </c>
      <c r="I2417" s="22">
        <v>12810.69</v>
      </c>
      <c r="J2417" s="24">
        <f t="shared" si="111"/>
        <v>8.8766833111808731E-5</v>
      </c>
      <c r="K2417" s="25">
        <f t="shared" si="113"/>
        <v>0.88933123038068995</v>
      </c>
      <c r="L2417" s="26" t="s">
        <v>7517</v>
      </c>
      <c r="M2417" s="28"/>
      <c r="N2417" s="28"/>
      <c r="O2417" s="20" t="s">
        <v>7530</v>
      </c>
      <c r="P2417" s="27" t="str">
        <f t="shared" si="112"/>
        <v>vermelho</v>
      </c>
    </row>
    <row r="2418" spans="1:16" ht="25.5">
      <c r="A2418" s="3" t="s">
        <v>4</v>
      </c>
      <c r="B2418" s="3" t="s">
        <v>1627</v>
      </c>
      <c r="C2418" s="4">
        <v>232</v>
      </c>
      <c r="D2418" s="3" t="s">
        <v>174</v>
      </c>
      <c r="E2418" s="3" t="s">
        <v>16</v>
      </c>
      <c r="F2418" s="5">
        <v>260</v>
      </c>
      <c r="G2418" s="5">
        <v>234</v>
      </c>
      <c r="H2418" s="6">
        <v>14942.44</v>
      </c>
      <c r="I2418" s="22">
        <v>12794.73</v>
      </c>
      <c r="J2418" s="24">
        <f t="shared" si="111"/>
        <v>8.8656244325688343E-5</v>
      </c>
      <c r="K2418" s="25">
        <f t="shared" si="113"/>
        <v>0.88941988662501559</v>
      </c>
      <c r="L2418" s="26" t="s">
        <v>7517</v>
      </c>
      <c r="M2418" s="28"/>
      <c r="N2418" s="28"/>
      <c r="O2418" s="20">
        <v>7248.24</v>
      </c>
      <c r="P2418" s="27" t="str">
        <f t="shared" si="112"/>
        <v>laranja</v>
      </c>
    </row>
    <row r="2419" spans="1:16" ht="38.25">
      <c r="A2419" s="3" t="s">
        <v>6583</v>
      </c>
      <c r="B2419" s="3" t="s">
        <v>6584</v>
      </c>
      <c r="C2419" s="4">
        <v>292</v>
      </c>
      <c r="D2419" s="3" t="s">
        <v>57</v>
      </c>
      <c r="E2419" s="3" t="s">
        <v>49</v>
      </c>
      <c r="F2419" s="5">
        <v>0</v>
      </c>
      <c r="G2419" s="5">
        <v>204</v>
      </c>
      <c r="H2419" s="6">
        <v>0</v>
      </c>
      <c r="I2419" s="22">
        <v>12790.32</v>
      </c>
      <c r="J2419" s="24">
        <f t="shared" si="111"/>
        <v>8.8625686897944556E-5</v>
      </c>
      <c r="K2419" s="25">
        <f t="shared" si="113"/>
        <v>0.88950851231191352</v>
      </c>
      <c r="L2419" s="26" t="s">
        <v>7517</v>
      </c>
      <c r="M2419" s="28"/>
      <c r="N2419" s="28"/>
      <c r="O2419" s="20" t="s">
        <v>7530</v>
      </c>
      <c r="P2419" s="27" t="str">
        <f t="shared" si="112"/>
        <v>vermelho</v>
      </c>
    </row>
    <row r="2420" spans="1:16" ht="38.25">
      <c r="A2420" s="3" t="s">
        <v>4</v>
      </c>
      <c r="B2420" s="3" t="s">
        <v>1628</v>
      </c>
      <c r="C2420" s="4">
        <v>333</v>
      </c>
      <c r="D2420" s="3" t="s">
        <v>1394</v>
      </c>
      <c r="E2420" s="3" t="s">
        <v>41</v>
      </c>
      <c r="F2420" s="5">
        <v>0</v>
      </c>
      <c r="G2420" s="5">
        <v>204</v>
      </c>
      <c r="H2420" s="6">
        <v>0</v>
      </c>
      <c r="I2420" s="22">
        <v>12783.48</v>
      </c>
      <c r="J2420" s="24">
        <f t="shared" si="111"/>
        <v>8.8578291703892965E-5</v>
      </c>
      <c r="K2420" s="25">
        <f t="shared" si="113"/>
        <v>0.88959709060361747</v>
      </c>
      <c r="L2420" s="26" t="s">
        <v>7517</v>
      </c>
      <c r="M2420" s="28"/>
      <c r="N2420" s="28"/>
      <c r="O2420" s="20">
        <v>5235.96</v>
      </c>
      <c r="P2420" s="27" t="str">
        <f t="shared" si="112"/>
        <v>amarelo</v>
      </c>
    </row>
    <row r="2421" spans="1:16" ht="25.5">
      <c r="A2421" s="3" t="s">
        <v>4</v>
      </c>
      <c r="B2421" s="3" t="s">
        <v>1629</v>
      </c>
      <c r="C2421" s="4">
        <v>194</v>
      </c>
      <c r="D2421" s="3" t="s">
        <v>145</v>
      </c>
      <c r="E2421" s="3" t="s">
        <v>16</v>
      </c>
      <c r="F2421" s="5">
        <v>0</v>
      </c>
      <c r="G2421" s="5">
        <v>228</v>
      </c>
      <c r="H2421" s="6">
        <v>0</v>
      </c>
      <c r="I2421" s="22">
        <v>12767.73</v>
      </c>
      <c r="J2421" s="24">
        <f t="shared" si="111"/>
        <v>8.8469158033379429E-5</v>
      </c>
      <c r="K2421" s="25">
        <f t="shared" si="113"/>
        <v>0.88968555976165087</v>
      </c>
      <c r="L2421" s="26" t="s">
        <v>7517</v>
      </c>
      <c r="M2421" s="28"/>
      <c r="N2421" s="28"/>
      <c r="O2421" s="20" t="s">
        <v>7530</v>
      </c>
      <c r="P2421" s="27" t="str">
        <f t="shared" si="112"/>
        <v>vermelho</v>
      </c>
    </row>
    <row r="2422" spans="1:16" ht="25.5">
      <c r="A2422" s="3" t="s">
        <v>4</v>
      </c>
      <c r="B2422" s="3" t="s">
        <v>1630</v>
      </c>
      <c r="C2422" s="4">
        <v>299</v>
      </c>
      <c r="D2422" s="3" t="s">
        <v>111</v>
      </c>
      <c r="E2422" s="3" t="s">
        <v>49</v>
      </c>
      <c r="F2422" s="5">
        <v>156</v>
      </c>
      <c r="G2422" s="5">
        <v>198</v>
      </c>
      <c r="H2422" s="6">
        <v>9790.44</v>
      </c>
      <c r="I2422" s="22">
        <v>12745.74</v>
      </c>
      <c r="J2422" s="24">
        <f t="shared" si="111"/>
        <v>8.8316786641976736E-5</v>
      </c>
      <c r="K2422" s="25">
        <f t="shared" si="113"/>
        <v>0.88977387654829287</v>
      </c>
      <c r="L2422" s="26" t="s">
        <v>7517</v>
      </c>
      <c r="M2422" s="28"/>
      <c r="N2422" s="28"/>
      <c r="O2422" s="20" t="s">
        <v>7530</v>
      </c>
      <c r="P2422" s="27" t="str">
        <f t="shared" si="112"/>
        <v>vermelho</v>
      </c>
    </row>
    <row r="2423" spans="1:16" ht="25.5">
      <c r="A2423" s="3" t="s">
        <v>4</v>
      </c>
      <c r="B2423" s="3" t="s">
        <v>1631</v>
      </c>
      <c r="C2423" s="4">
        <v>267</v>
      </c>
      <c r="D2423" s="3" t="s">
        <v>125</v>
      </c>
      <c r="E2423" s="3" t="s">
        <v>16</v>
      </c>
      <c r="F2423" s="5">
        <v>228</v>
      </c>
      <c r="G2423" s="5">
        <v>210</v>
      </c>
      <c r="H2423" s="6">
        <v>11568</v>
      </c>
      <c r="I2423" s="22">
        <v>12730.38</v>
      </c>
      <c r="J2423" s="24">
        <f t="shared" si="111"/>
        <v>8.8210355329018769E-5</v>
      </c>
      <c r="K2423" s="25">
        <f t="shared" si="113"/>
        <v>0.8898620869036219</v>
      </c>
      <c r="L2423" s="26" t="s">
        <v>7517</v>
      </c>
      <c r="M2423" s="28"/>
      <c r="N2423" s="28"/>
      <c r="O2423" s="20">
        <v>7076.04</v>
      </c>
      <c r="P2423" s="27" t="str">
        <f t="shared" si="112"/>
        <v>laranja</v>
      </c>
    </row>
    <row r="2424" spans="1:16" ht="25.5">
      <c r="A2424" s="3" t="s">
        <v>4</v>
      </c>
      <c r="B2424" s="3" t="s">
        <v>1632</v>
      </c>
      <c r="C2424" s="4">
        <v>266</v>
      </c>
      <c r="D2424" s="3" t="s">
        <v>80</v>
      </c>
      <c r="E2424" s="3" t="s">
        <v>10</v>
      </c>
      <c r="F2424" s="5">
        <v>192</v>
      </c>
      <c r="G2424" s="5">
        <v>237</v>
      </c>
      <c r="H2424" s="6">
        <v>10066.41</v>
      </c>
      <c r="I2424" s="22">
        <v>12727.23</v>
      </c>
      <c r="J2424" s="24">
        <f t="shared" si="111"/>
        <v>8.8188528594916065E-5</v>
      </c>
      <c r="K2424" s="25">
        <f t="shared" si="113"/>
        <v>0.88995027543221683</v>
      </c>
      <c r="L2424" s="26" t="s">
        <v>7517</v>
      </c>
      <c r="M2424" s="28"/>
      <c r="N2424" s="28"/>
      <c r="O2424" s="20" t="s">
        <v>7530</v>
      </c>
      <c r="P2424" s="27" t="str">
        <f t="shared" si="112"/>
        <v>vermelho</v>
      </c>
    </row>
    <row r="2425" spans="1:16">
      <c r="A2425" s="3" t="s">
        <v>6585</v>
      </c>
      <c r="B2425" s="3" t="s">
        <v>6586</v>
      </c>
      <c r="C2425" s="4">
        <v>217</v>
      </c>
      <c r="D2425" s="3" t="s">
        <v>91</v>
      </c>
      <c r="E2425" s="3" t="s">
        <v>16</v>
      </c>
      <c r="F2425" s="5">
        <v>660</v>
      </c>
      <c r="G2425" s="5">
        <v>201</v>
      </c>
      <c r="H2425" s="6">
        <v>34657.35</v>
      </c>
      <c r="I2425" s="22">
        <v>12726.69</v>
      </c>
      <c r="J2425" s="24">
        <f t="shared" si="111"/>
        <v>8.8184786869069897E-5</v>
      </c>
      <c r="K2425" s="25">
        <f t="shared" si="113"/>
        <v>0.89003846021908595</v>
      </c>
      <c r="L2425" s="26" t="s">
        <v>7517</v>
      </c>
      <c r="M2425" s="28"/>
      <c r="N2425" s="28"/>
      <c r="O2425" s="20" t="s">
        <v>7530</v>
      </c>
      <c r="P2425" s="27" t="str">
        <f t="shared" si="112"/>
        <v>vermelho</v>
      </c>
    </row>
    <row r="2426" spans="1:16">
      <c r="A2426" s="3" t="s">
        <v>4</v>
      </c>
      <c r="B2426" s="3" t="s">
        <v>1633</v>
      </c>
      <c r="C2426" s="4">
        <v>167</v>
      </c>
      <c r="D2426" s="3" t="s">
        <v>251</v>
      </c>
      <c r="E2426" s="3" t="s">
        <v>49</v>
      </c>
      <c r="F2426" s="5">
        <v>0</v>
      </c>
      <c r="G2426" s="5">
        <v>237</v>
      </c>
      <c r="H2426" s="6">
        <v>0</v>
      </c>
      <c r="I2426" s="22">
        <v>12724.95</v>
      </c>
      <c r="J2426" s="24">
        <f t="shared" si="111"/>
        <v>8.8172730196898872E-5</v>
      </c>
      <c r="K2426" s="25">
        <f t="shared" si="113"/>
        <v>0.89012663294928285</v>
      </c>
      <c r="L2426" s="26" t="s">
        <v>7517</v>
      </c>
      <c r="M2426" s="28"/>
      <c r="N2426" s="28"/>
      <c r="O2426" s="20" t="s">
        <v>7530</v>
      </c>
      <c r="P2426" s="27" t="str">
        <f t="shared" si="112"/>
        <v>vermelho</v>
      </c>
    </row>
    <row r="2427" spans="1:16" ht="25.5">
      <c r="A2427" s="3" t="s">
        <v>4</v>
      </c>
      <c r="B2427" s="3" t="s">
        <v>1634</v>
      </c>
      <c r="C2427" s="4">
        <v>23</v>
      </c>
      <c r="D2427" s="3" t="s">
        <v>87</v>
      </c>
      <c r="E2427" s="3" t="s">
        <v>7</v>
      </c>
      <c r="F2427" s="5">
        <v>180</v>
      </c>
      <c r="G2427" s="5">
        <v>210</v>
      </c>
      <c r="H2427" s="6">
        <v>10335.611999999999</v>
      </c>
      <c r="I2427" s="22">
        <v>12692</v>
      </c>
      <c r="J2427" s="24">
        <f t="shared" si="111"/>
        <v>8.7944415629062631E-5</v>
      </c>
      <c r="K2427" s="25">
        <f t="shared" si="113"/>
        <v>0.89021457736491194</v>
      </c>
      <c r="L2427" s="26" t="s">
        <v>7517</v>
      </c>
      <c r="M2427" s="28">
        <v>-3.0766229063132401E-2</v>
      </c>
      <c r="N2427" s="28"/>
      <c r="O2427" s="20">
        <v>1597.92</v>
      </c>
      <c r="P2427" s="27" t="str">
        <f t="shared" si="112"/>
        <v>amarelo</v>
      </c>
    </row>
    <row r="2428" spans="1:16" ht="25.5">
      <c r="A2428" s="3" t="s">
        <v>4</v>
      </c>
      <c r="B2428" s="3" t="s">
        <v>1635</v>
      </c>
      <c r="C2428" s="4">
        <v>302</v>
      </c>
      <c r="D2428" s="3" t="s">
        <v>293</v>
      </c>
      <c r="E2428" s="3" t="s">
        <v>49</v>
      </c>
      <c r="F2428" s="5">
        <v>162</v>
      </c>
      <c r="G2428" s="5">
        <v>198</v>
      </c>
      <c r="H2428" s="6">
        <v>9160.3799999999992</v>
      </c>
      <c r="I2428" s="22">
        <v>12690.18</v>
      </c>
      <c r="J2428" s="24">
        <f t="shared" si="111"/>
        <v>8.7931804627136616E-5</v>
      </c>
      <c r="K2428" s="25">
        <f t="shared" si="113"/>
        <v>0.89030250916953912</v>
      </c>
      <c r="L2428" s="26" t="s">
        <v>7517</v>
      </c>
      <c r="M2428" s="28"/>
      <c r="N2428" s="28"/>
      <c r="O2428" s="20" t="s">
        <v>7530</v>
      </c>
      <c r="P2428" s="27" t="str">
        <f t="shared" si="112"/>
        <v>vermelho</v>
      </c>
    </row>
    <row r="2429" spans="1:16" ht="25.5">
      <c r="A2429" s="3" t="s">
        <v>4</v>
      </c>
      <c r="B2429" s="3" t="s">
        <v>1636</v>
      </c>
      <c r="C2429" s="4">
        <v>194</v>
      </c>
      <c r="D2429" s="3" t="s">
        <v>145</v>
      </c>
      <c r="E2429" s="3" t="s">
        <v>16</v>
      </c>
      <c r="F2429" s="5">
        <v>0</v>
      </c>
      <c r="G2429" s="5">
        <v>180</v>
      </c>
      <c r="H2429" s="6">
        <v>0</v>
      </c>
      <c r="I2429" s="22">
        <v>12684.96</v>
      </c>
      <c r="J2429" s="24">
        <f t="shared" si="111"/>
        <v>8.7895634610623557E-5</v>
      </c>
      <c r="K2429" s="25">
        <f t="shared" si="113"/>
        <v>0.89039040480414977</v>
      </c>
      <c r="L2429" s="26" t="s">
        <v>7517</v>
      </c>
      <c r="M2429" s="28"/>
      <c r="N2429" s="28"/>
      <c r="O2429" s="20">
        <v>18803.91</v>
      </c>
      <c r="P2429" s="27" t="str">
        <f t="shared" si="112"/>
        <v>verde</v>
      </c>
    </row>
    <row r="2430" spans="1:16" ht="25.5">
      <c r="A2430" s="3" t="s">
        <v>4</v>
      </c>
      <c r="B2430" s="3" t="s">
        <v>1637</v>
      </c>
      <c r="C2430" s="4">
        <v>266</v>
      </c>
      <c r="D2430" s="3" t="s">
        <v>80</v>
      </c>
      <c r="E2430" s="3" t="s">
        <v>10</v>
      </c>
      <c r="F2430" s="5">
        <v>291</v>
      </c>
      <c r="G2430" s="5">
        <v>198</v>
      </c>
      <c r="H2430" s="6">
        <v>18099.96</v>
      </c>
      <c r="I2430" s="22">
        <v>12684.3</v>
      </c>
      <c r="J2430" s="24">
        <f t="shared" si="111"/>
        <v>8.7891061390144896E-5</v>
      </c>
      <c r="K2430" s="25">
        <f t="shared" si="113"/>
        <v>0.89047829586553995</v>
      </c>
      <c r="L2430" s="26" t="s">
        <v>7517</v>
      </c>
      <c r="M2430" s="28"/>
      <c r="N2430" s="28"/>
      <c r="O2430" s="20" t="s">
        <v>7530</v>
      </c>
      <c r="P2430" s="27" t="str">
        <f t="shared" si="112"/>
        <v>vermelho</v>
      </c>
    </row>
    <row r="2431" spans="1:16" ht="25.5">
      <c r="A2431" s="3" t="s">
        <v>4</v>
      </c>
      <c r="B2431" s="3" t="s">
        <v>1638</v>
      </c>
      <c r="C2431" s="4">
        <v>217</v>
      </c>
      <c r="D2431" s="3" t="s">
        <v>91</v>
      </c>
      <c r="E2431" s="3" t="s">
        <v>16</v>
      </c>
      <c r="F2431" s="5">
        <v>0</v>
      </c>
      <c r="G2431" s="5">
        <v>207</v>
      </c>
      <c r="H2431" s="6">
        <v>0</v>
      </c>
      <c r="I2431" s="22">
        <v>12678.93</v>
      </c>
      <c r="J2431" s="24">
        <f t="shared" si="111"/>
        <v>8.7853852005341239E-5</v>
      </c>
      <c r="K2431" s="25">
        <f t="shared" si="113"/>
        <v>0.89056614971754533</v>
      </c>
      <c r="L2431" s="26" t="s">
        <v>7517</v>
      </c>
      <c r="M2431" s="28"/>
      <c r="N2431" s="28"/>
      <c r="O2431" s="20" t="s">
        <v>7530</v>
      </c>
      <c r="P2431" s="27" t="str">
        <f t="shared" si="112"/>
        <v>vermelho</v>
      </c>
    </row>
    <row r="2432" spans="1:16" ht="25.5">
      <c r="A2432" s="3" t="s">
        <v>4</v>
      </c>
      <c r="B2432" s="3" t="s">
        <v>1639</v>
      </c>
      <c r="C2432" s="4">
        <v>31</v>
      </c>
      <c r="D2432" s="3" t="s">
        <v>194</v>
      </c>
      <c r="E2432" s="3" t="s">
        <v>16</v>
      </c>
      <c r="F2432" s="5">
        <v>276</v>
      </c>
      <c r="G2432" s="5">
        <v>216</v>
      </c>
      <c r="H2432" s="6">
        <v>16617.240000000002</v>
      </c>
      <c r="I2432" s="22">
        <v>12676.56</v>
      </c>
      <c r="J2432" s="24">
        <f t="shared" si="111"/>
        <v>8.7837429986349673E-5</v>
      </c>
      <c r="K2432" s="25">
        <f t="shared" si="113"/>
        <v>0.89065398714753163</v>
      </c>
      <c r="L2432" s="26" t="s">
        <v>7517</v>
      </c>
      <c r="M2432" s="28"/>
      <c r="N2432" s="28"/>
      <c r="O2432" s="20" t="s">
        <v>7530</v>
      </c>
      <c r="P2432" s="27" t="str">
        <f t="shared" si="112"/>
        <v>vermelho</v>
      </c>
    </row>
    <row r="2433" spans="1:16">
      <c r="A2433" s="3" t="s">
        <v>4</v>
      </c>
      <c r="B2433" s="3" t="s">
        <v>1640</v>
      </c>
      <c r="C2433" s="4">
        <v>217</v>
      </c>
      <c r="D2433" s="3" t="s">
        <v>91</v>
      </c>
      <c r="E2433" s="3" t="s">
        <v>16</v>
      </c>
      <c r="F2433" s="5">
        <v>237</v>
      </c>
      <c r="G2433" s="5">
        <v>216</v>
      </c>
      <c r="H2433" s="6">
        <v>12300.45</v>
      </c>
      <c r="I2433" s="22">
        <v>12671.16</v>
      </c>
      <c r="J2433" s="24">
        <f t="shared" si="111"/>
        <v>8.7800012727887896E-5</v>
      </c>
      <c r="K2433" s="25">
        <f t="shared" si="113"/>
        <v>0.89074178716025953</v>
      </c>
      <c r="L2433" s="26" t="s">
        <v>7517</v>
      </c>
      <c r="M2433" s="28"/>
      <c r="N2433" s="28"/>
      <c r="O2433" s="20" t="s">
        <v>7530</v>
      </c>
      <c r="P2433" s="27" t="str">
        <f t="shared" si="112"/>
        <v>vermelho</v>
      </c>
    </row>
    <row r="2434" spans="1:16" ht="25.5">
      <c r="A2434" s="3" t="s">
        <v>4</v>
      </c>
      <c r="B2434" s="3" t="s">
        <v>1641</v>
      </c>
      <c r="C2434" s="4">
        <v>266</v>
      </c>
      <c r="D2434" s="3" t="s">
        <v>80</v>
      </c>
      <c r="E2434" s="3" t="s">
        <v>10</v>
      </c>
      <c r="F2434" s="5">
        <v>0</v>
      </c>
      <c r="G2434" s="5">
        <v>228</v>
      </c>
      <c r="H2434" s="6">
        <v>0</v>
      </c>
      <c r="I2434" s="22">
        <v>12668.52</v>
      </c>
      <c r="J2434" s="24">
        <f t="shared" si="111"/>
        <v>8.7781719845973254E-5</v>
      </c>
      <c r="K2434" s="25">
        <f t="shared" si="113"/>
        <v>0.89082956888010556</v>
      </c>
      <c r="L2434" s="26" t="s">
        <v>7517</v>
      </c>
      <c r="M2434" s="28"/>
      <c r="N2434" s="28"/>
      <c r="O2434" s="20">
        <v>9514.23</v>
      </c>
      <c r="P2434" s="27" t="str">
        <f t="shared" si="112"/>
        <v>laranja</v>
      </c>
    </row>
    <row r="2435" spans="1:16" ht="38.25">
      <c r="A2435" s="3" t="s">
        <v>4</v>
      </c>
      <c r="B2435" s="3" t="s">
        <v>1642</v>
      </c>
      <c r="C2435" s="4">
        <v>331</v>
      </c>
      <c r="D2435" s="3" t="s">
        <v>603</v>
      </c>
      <c r="E2435" s="3" t="s">
        <v>13</v>
      </c>
      <c r="F2435" s="5">
        <v>0</v>
      </c>
      <c r="G2435" s="5">
        <v>240</v>
      </c>
      <c r="H2435" s="6">
        <v>0</v>
      </c>
      <c r="I2435" s="22">
        <v>12666.48</v>
      </c>
      <c r="J2435" s="24">
        <f t="shared" ref="J2435:J2498" si="114">I2435/$I$6364</f>
        <v>8.7767584437221019E-5</v>
      </c>
      <c r="K2435" s="25">
        <f t="shared" si="113"/>
        <v>0.89091733646454274</v>
      </c>
      <c r="L2435" s="26" t="s">
        <v>7517</v>
      </c>
      <c r="M2435" s="28"/>
      <c r="N2435" s="28"/>
      <c r="O2435" s="20" t="s">
        <v>7530</v>
      </c>
      <c r="P2435" s="27" t="str">
        <f t="shared" ref="P2435:P2498" si="115">IF(O2435&lt;=0,"vermelho",IFERROR(IF(O2435/I2435&lt;=0.5098,"amarelo",IF(O2435/I2435&lt;1,"laranja","verde")),"vermelho"))</f>
        <v>vermelho</v>
      </c>
    </row>
    <row r="2436" spans="1:16" ht="51">
      <c r="A2436" s="3" t="s">
        <v>4</v>
      </c>
      <c r="B2436" s="3" t="s">
        <v>1643</v>
      </c>
      <c r="C2436" s="4">
        <v>337</v>
      </c>
      <c r="D2436" s="3" t="s">
        <v>202</v>
      </c>
      <c r="E2436" s="3" t="s">
        <v>16</v>
      </c>
      <c r="F2436" s="5">
        <v>180</v>
      </c>
      <c r="G2436" s="5">
        <v>192</v>
      </c>
      <c r="H2436" s="6">
        <v>9214.2000000000007</v>
      </c>
      <c r="I2436" s="22">
        <v>12658.92</v>
      </c>
      <c r="J2436" s="24">
        <f t="shared" si="114"/>
        <v>8.7715200275374528E-5</v>
      </c>
      <c r="K2436" s="25">
        <f t="shared" ref="K2436:K2499" si="116">J2436+K2435</f>
        <v>0.89100505166481814</v>
      </c>
      <c r="L2436" s="26" t="s">
        <v>7517</v>
      </c>
      <c r="M2436" s="28"/>
      <c r="N2436" s="28"/>
      <c r="O2436" s="20" t="s">
        <v>7530</v>
      </c>
      <c r="P2436" s="27" t="str">
        <f t="shared" si="115"/>
        <v>vermelho</v>
      </c>
    </row>
    <row r="2437" spans="1:16" ht="38.25">
      <c r="A2437" s="3" t="s">
        <v>4</v>
      </c>
      <c r="B2437" s="3" t="s">
        <v>1644</v>
      </c>
      <c r="C2437" s="4">
        <v>371</v>
      </c>
      <c r="D2437" s="3" t="s">
        <v>82</v>
      </c>
      <c r="E2437" s="3" t="s">
        <v>49</v>
      </c>
      <c r="F2437" s="5">
        <v>0</v>
      </c>
      <c r="G2437" s="5">
        <v>288</v>
      </c>
      <c r="H2437" s="6">
        <v>0</v>
      </c>
      <c r="I2437" s="22">
        <v>12657.6</v>
      </c>
      <c r="J2437" s="24">
        <f t="shared" si="114"/>
        <v>8.7706053834417207E-5</v>
      </c>
      <c r="K2437" s="25">
        <f t="shared" si="116"/>
        <v>0.89109275771865259</v>
      </c>
      <c r="L2437" s="26" t="s">
        <v>7517</v>
      </c>
      <c r="M2437" s="28"/>
      <c r="N2437" s="28"/>
      <c r="O2437" s="20" t="s">
        <v>7530</v>
      </c>
      <c r="P2437" s="27" t="str">
        <f t="shared" si="115"/>
        <v>vermelho</v>
      </c>
    </row>
    <row r="2438" spans="1:16" ht="25.5">
      <c r="A2438" s="3" t="s">
        <v>4</v>
      </c>
      <c r="B2438" s="3" t="s">
        <v>1645</v>
      </c>
      <c r="C2438" s="4">
        <v>93</v>
      </c>
      <c r="D2438" s="3" t="s">
        <v>20</v>
      </c>
      <c r="E2438" s="3" t="s">
        <v>7</v>
      </c>
      <c r="F2438" s="5">
        <v>404</v>
      </c>
      <c r="G2438" s="5">
        <v>204</v>
      </c>
      <c r="H2438" s="6">
        <v>20995.022000000001</v>
      </c>
      <c r="I2438" s="22">
        <v>12654.96</v>
      </c>
      <c r="J2438" s="24">
        <f t="shared" si="114"/>
        <v>8.768776095250255E-5</v>
      </c>
      <c r="K2438" s="25">
        <f t="shared" si="116"/>
        <v>0.89118044547960507</v>
      </c>
      <c r="L2438" s="26" t="s">
        <v>7517</v>
      </c>
      <c r="M2438" s="28"/>
      <c r="N2438" s="28"/>
      <c r="O2438" s="20" t="s">
        <v>7530</v>
      </c>
      <c r="P2438" s="27" t="str">
        <f t="shared" si="115"/>
        <v>vermelho</v>
      </c>
    </row>
    <row r="2439" spans="1:16" ht="25.5">
      <c r="A2439" s="3" t="s">
        <v>6587</v>
      </c>
      <c r="B2439" s="3" t="s">
        <v>6588</v>
      </c>
      <c r="C2439" s="4">
        <v>194</v>
      </c>
      <c r="D2439" s="3" t="s">
        <v>145</v>
      </c>
      <c r="E2439" s="3" t="s">
        <v>16</v>
      </c>
      <c r="F2439" s="5">
        <v>852</v>
      </c>
      <c r="G2439" s="5">
        <v>192</v>
      </c>
      <c r="H2439" s="6">
        <v>51466.8</v>
      </c>
      <c r="I2439" s="22">
        <v>12654.24</v>
      </c>
      <c r="J2439" s="24">
        <f t="shared" si="114"/>
        <v>8.768277198470765E-5</v>
      </c>
      <c r="K2439" s="25">
        <f t="shared" si="116"/>
        <v>0.89126812825158974</v>
      </c>
      <c r="L2439" s="26" t="s">
        <v>7517</v>
      </c>
      <c r="M2439" s="28"/>
      <c r="N2439" s="28"/>
      <c r="O2439" s="20">
        <v>14832.12</v>
      </c>
      <c r="P2439" s="27" t="str">
        <f t="shared" si="115"/>
        <v>verde</v>
      </c>
    </row>
    <row r="2440" spans="1:16">
      <c r="A2440" s="3" t="s">
        <v>4</v>
      </c>
      <c r="B2440" s="3" t="s">
        <v>1646</v>
      </c>
      <c r="C2440" s="4">
        <v>232</v>
      </c>
      <c r="D2440" s="3" t="s">
        <v>174</v>
      </c>
      <c r="E2440" s="3" t="s">
        <v>16</v>
      </c>
      <c r="F2440" s="5">
        <v>216</v>
      </c>
      <c r="G2440" s="5">
        <v>222</v>
      </c>
      <c r="H2440" s="6">
        <v>11464.44</v>
      </c>
      <c r="I2440" s="22">
        <v>12653.94</v>
      </c>
      <c r="J2440" s="24">
        <f t="shared" si="114"/>
        <v>8.768069324812644E-5</v>
      </c>
      <c r="K2440" s="25">
        <f t="shared" si="116"/>
        <v>0.8913558089448379</v>
      </c>
      <c r="L2440" s="26" t="s">
        <v>7517</v>
      </c>
      <c r="M2440" s="28"/>
      <c r="N2440" s="28"/>
      <c r="O2440" s="20" t="s">
        <v>7530</v>
      </c>
      <c r="P2440" s="27" t="str">
        <f t="shared" si="115"/>
        <v>vermelho</v>
      </c>
    </row>
    <row r="2441" spans="1:16" ht="25.5">
      <c r="A2441" s="3" t="s">
        <v>4</v>
      </c>
      <c r="B2441" s="3" t="s">
        <v>1647</v>
      </c>
      <c r="C2441" s="4">
        <v>266</v>
      </c>
      <c r="D2441" s="3" t="s">
        <v>80</v>
      </c>
      <c r="E2441" s="3" t="s">
        <v>10</v>
      </c>
      <c r="F2441" s="5">
        <v>729</v>
      </c>
      <c r="G2441" s="5">
        <v>219</v>
      </c>
      <c r="H2441" s="6">
        <v>38243.1</v>
      </c>
      <c r="I2441" s="22">
        <v>12648.63</v>
      </c>
      <c r="J2441" s="24">
        <f t="shared" si="114"/>
        <v>8.7643899610639008E-5</v>
      </c>
      <c r="K2441" s="25">
        <f t="shared" si="116"/>
        <v>0.89144345284444859</v>
      </c>
      <c r="L2441" s="26" t="s">
        <v>7517</v>
      </c>
      <c r="M2441" s="28"/>
      <c r="N2441" s="28"/>
      <c r="O2441" s="20">
        <v>19095.84</v>
      </c>
      <c r="P2441" s="27" t="str">
        <f t="shared" si="115"/>
        <v>verde</v>
      </c>
    </row>
    <row r="2442" spans="1:16" ht="38.25">
      <c r="A2442" s="3" t="s">
        <v>4</v>
      </c>
      <c r="B2442" s="3" t="s">
        <v>1648</v>
      </c>
      <c r="C2442" s="4">
        <v>15</v>
      </c>
      <c r="D2442" s="3" t="s">
        <v>18</v>
      </c>
      <c r="E2442" s="3" t="s">
        <v>16</v>
      </c>
      <c r="F2442" s="5">
        <v>0</v>
      </c>
      <c r="G2442" s="5">
        <v>201</v>
      </c>
      <c r="H2442" s="6">
        <v>0</v>
      </c>
      <c r="I2442" s="22">
        <v>12644.97</v>
      </c>
      <c r="J2442" s="24">
        <f t="shared" si="114"/>
        <v>8.7618539024348255E-5</v>
      </c>
      <c r="K2442" s="25">
        <f t="shared" si="116"/>
        <v>0.89153107138347298</v>
      </c>
      <c r="L2442" s="26" t="s">
        <v>7517</v>
      </c>
      <c r="M2442" s="28">
        <v>6.5066603646501159E-2</v>
      </c>
      <c r="N2442" s="28"/>
      <c r="O2442" s="20" t="s">
        <v>7530</v>
      </c>
      <c r="P2442" s="27" t="str">
        <f t="shared" si="115"/>
        <v>vermelho</v>
      </c>
    </row>
    <row r="2443" spans="1:16" ht="25.5">
      <c r="A2443" s="3" t="s">
        <v>4</v>
      </c>
      <c r="B2443" s="3" t="s">
        <v>1649</v>
      </c>
      <c r="C2443" s="4">
        <v>194</v>
      </c>
      <c r="D2443" s="3" t="s">
        <v>145</v>
      </c>
      <c r="E2443" s="3" t="s">
        <v>16</v>
      </c>
      <c r="F2443" s="5">
        <v>477</v>
      </c>
      <c r="G2443" s="5">
        <v>195</v>
      </c>
      <c r="H2443" s="6">
        <v>26477.61</v>
      </c>
      <c r="I2443" s="22">
        <v>12628.62</v>
      </c>
      <c r="J2443" s="24">
        <f t="shared" si="114"/>
        <v>8.7505247880672311E-5</v>
      </c>
      <c r="K2443" s="25">
        <f t="shared" si="116"/>
        <v>0.89161857663135369</v>
      </c>
      <c r="L2443" s="26" t="s">
        <v>7517</v>
      </c>
      <c r="M2443" s="28"/>
      <c r="N2443" s="28"/>
      <c r="O2443" s="20">
        <v>14859.96</v>
      </c>
      <c r="P2443" s="27" t="str">
        <f t="shared" si="115"/>
        <v>verde</v>
      </c>
    </row>
    <row r="2444" spans="1:16">
      <c r="A2444" s="3" t="s">
        <v>4</v>
      </c>
      <c r="B2444" s="3" t="s">
        <v>1650</v>
      </c>
      <c r="C2444" s="4">
        <v>217</v>
      </c>
      <c r="D2444" s="3" t="s">
        <v>91</v>
      </c>
      <c r="E2444" s="3" t="s">
        <v>16</v>
      </c>
      <c r="F2444" s="5">
        <v>0</v>
      </c>
      <c r="G2444" s="5">
        <v>219</v>
      </c>
      <c r="H2444" s="6">
        <v>0</v>
      </c>
      <c r="I2444" s="22">
        <v>12627.81</v>
      </c>
      <c r="J2444" s="24">
        <f t="shared" si="114"/>
        <v>8.7499635291903038E-5</v>
      </c>
      <c r="K2444" s="25">
        <f t="shared" si="116"/>
        <v>0.89170607626664555</v>
      </c>
      <c r="L2444" s="26" t="s">
        <v>7517</v>
      </c>
      <c r="M2444" s="28"/>
      <c r="N2444" s="28"/>
      <c r="O2444" s="20">
        <v>18343.98</v>
      </c>
      <c r="P2444" s="27" t="str">
        <f t="shared" si="115"/>
        <v>verde</v>
      </c>
    </row>
    <row r="2445" spans="1:16" ht="25.5">
      <c r="A2445" s="3" t="s">
        <v>4</v>
      </c>
      <c r="B2445" s="3" t="s">
        <v>1651</v>
      </c>
      <c r="C2445" s="4">
        <v>261</v>
      </c>
      <c r="D2445" s="3" t="s">
        <v>9</v>
      </c>
      <c r="E2445" s="3" t="s">
        <v>10</v>
      </c>
      <c r="F2445" s="5">
        <v>651</v>
      </c>
      <c r="G2445" s="5">
        <v>252</v>
      </c>
      <c r="H2445" s="6">
        <v>36601.919999999998</v>
      </c>
      <c r="I2445" s="22">
        <v>12623.52</v>
      </c>
      <c r="J2445" s="24">
        <f t="shared" si="114"/>
        <v>8.746990935879173E-5</v>
      </c>
      <c r="K2445" s="25">
        <f t="shared" si="116"/>
        <v>0.89179354617600437</v>
      </c>
      <c r="L2445" s="26" t="s">
        <v>7517</v>
      </c>
      <c r="M2445" s="28"/>
      <c r="N2445" s="28"/>
      <c r="O2445" s="20">
        <v>25034.76</v>
      </c>
      <c r="P2445" s="27" t="str">
        <f t="shared" si="115"/>
        <v>verde</v>
      </c>
    </row>
    <row r="2446" spans="1:16" ht="25.5">
      <c r="A2446" s="3" t="s">
        <v>4</v>
      </c>
      <c r="B2446" s="3" t="s">
        <v>1652</v>
      </c>
      <c r="C2446" s="4">
        <v>93</v>
      </c>
      <c r="D2446" s="3" t="s">
        <v>20</v>
      </c>
      <c r="E2446" s="3" t="s">
        <v>7</v>
      </c>
      <c r="F2446" s="5">
        <v>144</v>
      </c>
      <c r="G2446" s="5">
        <v>192</v>
      </c>
      <c r="H2446" s="6">
        <v>7894.56</v>
      </c>
      <c r="I2446" s="22">
        <v>12599.88</v>
      </c>
      <c r="J2446" s="24">
        <f t="shared" si="114"/>
        <v>8.7306104916192373E-5</v>
      </c>
      <c r="K2446" s="25">
        <f t="shared" si="116"/>
        <v>0.89188085228092051</v>
      </c>
      <c r="L2446" s="26" t="s">
        <v>7517</v>
      </c>
      <c r="M2446" s="28"/>
      <c r="N2446" s="28"/>
      <c r="O2446" s="20" t="s">
        <v>7530</v>
      </c>
      <c r="P2446" s="27" t="str">
        <f t="shared" si="115"/>
        <v>vermelho</v>
      </c>
    </row>
    <row r="2447" spans="1:16" ht="25.5">
      <c r="A2447" s="3" t="s">
        <v>4</v>
      </c>
      <c r="B2447" s="3" t="s">
        <v>1653</v>
      </c>
      <c r="C2447" s="4">
        <v>93</v>
      </c>
      <c r="D2447" s="3" t="s">
        <v>20</v>
      </c>
      <c r="E2447" s="3" t="s">
        <v>7</v>
      </c>
      <c r="F2447" s="5">
        <v>384</v>
      </c>
      <c r="G2447" s="5">
        <v>207</v>
      </c>
      <c r="H2447" s="6">
        <v>21241.8</v>
      </c>
      <c r="I2447" s="22">
        <v>12598.14</v>
      </c>
      <c r="J2447" s="24">
        <f t="shared" si="114"/>
        <v>8.7294048244021348E-5</v>
      </c>
      <c r="K2447" s="25">
        <f t="shared" si="116"/>
        <v>0.89196814632916455</v>
      </c>
      <c r="L2447" s="26" t="s">
        <v>7517</v>
      </c>
      <c r="M2447" s="28"/>
      <c r="N2447" s="28"/>
      <c r="O2447" s="20">
        <v>9726.36</v>
      </c>
      <c r="P2447" s="27" t="str">
        <f t="shared" si="115"/>
        <v>laranja</v>
      </c>
    </row>
    <row r="2448" spans="1:16" ht="25.5">
      <c r="A2448" s="3" t="s">
        <v>4</v>
      </c>
      <c r="B2448" s="3" t="s">
        <v>1654</v>
      </c>
      <c r="C2448" s="4">
        <v>296</v>
      </c>
      <c r="D2448" s="3" t="s">
        <v>282</v>
      </c>
      <c r="E2448" s="3" t="s">
        <v>10</v>
      </c>
      <c r="F2448" s="5">
        <v>0</v>
      </c>
      <c r="G2448" s="5">
        <v>204</v>
      </c>
      <c r="H2448" s="6">
        <v>0</v>
      </c>
      <c r="I2448" s="22">
        <v>12581.04</v>
      </c>
      <c r="J2448" s="24">
        <f t="shared" si="114"/>
        <v>8.7175560258892385E-5</v>
      </c>
      <c r="K2448" s="25">
        <f t="shared" si="116"/>
        <v>0.89205532188942349</v>
      </c>
      <c r="L2448" s="26" t="s">
        <v>7517</v>
      </c>
      <c r="M2448" s="28"/>
      <c r="N2448" s="28"/>
      <c r="O2448" s="20" t="s">
        <v>7530</v>
      </c>
      <c r="P2448" s="27" t="str">
        <f t="shared" si="115"/>
        <v>vermelho</v>
      </c>
    </row>
    <row r="2449" spans="1:16" ht="25.5">
      <c r="A2449" s="3" t="s">
        <v>4</v>
      </c>
      <c r="B2449" s="3" t="s">
        <v>1655</v>
      </c>
      <c r="C2449" s="4">
        <v>93</v>
      </c>
      <c r="D2449" s="3" t="s">
        <v>20</v>
      </c>
      <c r="E2449" s="3" t="s">
        <v>7</v>
      </c>
      <c r="F2449" s="5">
        <v>162</v>
      </c>
      <c r="G2449" s="5">
        <v>207</v>
      </c>
      <c r="H2449" s="6">
        <v>8984.94</v>
      </c>
      <c r="I2449" s="22">
        <v>12580.62</v>
      </c>
      <c r="J2449" s="24">
        <f t="shared" si="114"/>
        <v>8.7172650027678695E-5</v>
      </c>
      <c r="K2449" s="25">
        <f t="shared" si="116"/>
        <v>0.89214249453945116</v>
      </c>
      <c r="L2449" s="26" t="s">
        <v>7517</v>
      </c>
      <c r="M2449" s="28"/>
      <c r="N2449" s="28"/>
      <c r="O2449" s="20">
        <v>12179.85</v>
      </c>
      <c r="P2449" s="27" t="str">
        <f t="shared" si="115"/>
        <v>laranja</v>
      </c>
    </row>
    <row r="2450" spans="1:16" ht="25.5">
      <c r="A2450" s="3" t="s">
        <v>4</v>
      </c>
      <c r="B2450" s="3" t="s">
        <v>1656</v>
      </c>
      <c r="C2450" s="4">
        <v>53</v>
      </c>
      <c r="D2450" s="3" t="s">
        <v>34</v>
      </c>
      <c r="E2450" s="3" t="s">
        <v>16</v>
      </c>
      <c r="F2450" s="5">
        <v>0</v>
      </c>
      <c r="G2450" s="5">
        <v>219</v>
      </c>
      <c r="H2450" s="6">
        <v>0</v>
      </c>
      <c r="I2450" s="22">
        <v>12561.81</v>
      </c>
      <c r="J2450" s="24">
        <f t="shared" si="114"/>
        <v>8.70423132440368E-5</v>
      </c>
      <c r="K2450" s="25">
        <f t="shared" si="116"/>
        <v>0.89222953685269524</v>
      </c>
      <c r="L2450" s="26" t="s">
        <v>7517</v>
      </c>
      <c r="M2450" s="28"/>
      <c r="N2450" s="28"/>
      <c r="O2450" s="20" t="s">
        <v>7530</v>
      </c>
      <c r="P2450" s="27" t="str">
        <f t="shared" si="115"/>
        <v>vermelho</v>
      </c>
    </row>
    <row r="2451" spans="1:16" ht="25.5">
      <c r="A2451" s="3" t="s">
        <v>6589</v>
      </c>
      <c r="B2451" s="3" t="s">
        <v>6590</v>
      </c>
      <c r="C2451" s="4">
        <v>261</v>
      </c>
      <c r="D2451" s="3" t="s">
        <v>9</v>
      </c>
      <c r="E2451" s="3" t="s">
        <v>10</v>
      </c>
      <c r="F2451" s="5">
        <v>3498</v>
      </c>
      <c r="G2451" s="5">
        <v>228</v>
      </c>
      <c r="H2451" s="6">
        <v>199734.24</v>
      </c>
      <c r="I2451" s="22">
        <v>12559.56</v>
      </c>
      <c r="J2451" s="24">
        <f t="shared" si="114"/>
        <v>8.7026722719677727E-5</v>
      </c>
      <c r="K2451" s="25">
        <f t="shared" si="116"/>
        <v>0.89231656357541489</v>
      </c>
      <c r="L2451" s="26" t="s">
        <v>7517</v>
      </c>
      <c r="M2451" s="28"/>
      <c r="N2451" s="28"/>
      <c r="O2451" s="20" t="s">
        <v>7530</v>
      </c>
      <c r="P2451" s="27" t="str">
        <f t="shared" si="115"/>
        <v>vermelho</v>
      </c>
    </row>
    <row r="2452" spans="1:16" ht="25.5">
      <c r="A2452" s="3" t="s">
        <v>4</v>
      </c>
      <c r="B2452" s="3" t="s">
        <v>1657</v>
      </c>
      <c r="C2452" s="4">
        <v>266</v>
      </c>
      <c r="D2452" s="3" t="s">
        <v>80</v>
      </c>
      <c r="E2452" s="3" t="s">
        <v>10</v>
      </c>
      <c r="F2452" s="5">
        <v>288</v>
      </c>
      <c r="G2452" s="5">
        <v>216</v>
      </c>
      <c r="H2452" s="6">
        <v>17222.189999999999</v>
      </c>
      <c r="I2452" s="22">
        <v>12559.14</v>
      </c>
      <c r="J2452" s="24">
        <f t="shared" si="114"/>
        <v>8.7023812488464037E-5</v>
      </c>
      <c r="K2452" s="25">
        <f t="shared" si="116"/>
        <v>0.89240358738790337</v>
      </c>
      <c r="L2452" s="26" t="s">
        <v>7517</v>
      </c>
      <c r="M2452" s="28"/>
      <c r="N2452" s="28"/>
      <c r="O2452" s="20" t="s">
        <v>7530</v>
      </c>
      <c r="P2452" s="27" t="str">
        <f t="shared" si="115"/>
        <v>vermelho</v>
      </c>
    </row>
    <row r="2453" spans="1:16" ht="51">
      <c r="A2453" s="3" t="s">
        <v>4</v>
      </c>
      <c r="B2453" s="3" t="s">
        <v>1658</v>
      </c>
      <c r="C2453" s="4">
        <v>282</v>
      </c>
      <c r="D2453" s="3" t="s">
        <v>12</v>
      </c>
      <c r="E2453" s="3" t="s">
        <v>13</v>
      </c>
      <c r="F2453" s="5">
        <v>543</v>
      </c>
      <c r="G2453" s="5">
        <v>276</v>
      </c>
      <c r="H2453" s="6">
        <v>28431.999</v>
      </c>
      <c r="I2453" s="22">
        <v>12546.36</v>
      </c>
      <c r="J2453" s="24">
        <f t="shared" si="114"/>
        <v>8.6935258310104487E-5</v>
      </c>
      <c r="K2453" s="25">
        <f t="shared" si="116"/>
        <v>0.89249052264621342</v>
      </c>
      <c r="L2453" s="26" t="s">
        <v>7517</v>
      </c>
      <c r="M2453" s="28"/>
      <c r="N2453" s="28"/>
      <c r="O2453" s="20">
        <v>4895.16</v>
      </c>
      <c r="P2453" s="27" t="str">
        <f t="shared" si="115"/>
        <v>amarelo</v>
      </c>
    </row>
    <row r="2454" spans="1:16" ht="51">
      <c r="A2454" s="3" t="s">
        <v>4</v>
      </c>
      <c r="B2454" s="3" t="s">
        <v>1659</v>
      </c>
      <c r="C2454" s="4">
        <v>282</v>
      </c>
      <c r="D2454" s="3" t="s">
        <v>12</v>
      </c>
      <c r="E2454" s="3" t="s">
        <v>13</v>
      </c>
      <c r="F2454" s="5">
        <v>72</v>
      </c>
      <c r="G2454" s="5">
        <v>228</v>
      </c>
      <c r="H2454" s="6">
        <v>4116.6000000000004</v>
      </c>
      <c r="I2454" s="22">
        <v>12543.955</v>
      </c>
      <c r="J2454" s="24">
        <f t="shared" si="114"/>
        <v>8.6918593771845125E-5</v>
      </c>
      <c r="K2454" s="25">
        <f t="shared" si="116"/>
        <v>0.89257744123998528</v>
      </c>
      <c r="L2454" s="26" t="s">
        <v>7517</v>
      </c>
      <c r="M2454" s="28"/>
      <c r="N2454" s="28"/>
      <c r="O2454" s="20" t="s">
        <v>7530</v>
      </c>
      <c r="P2454" s="27" t="str">
        <f t="shared" si="115"/>
        <v>vermelho</v>
      </c>
    </row>
    <row r="2455" spans="1:16" ht="51">
      <c r="A2455" s="3" t="s">
        <v>4</v>
      </c>
      <c r="B2455" s="3" t="s">
        <v>1660</v>
      </c>
      <c r="C2455" s="4">
        <v>282</v>
      </c>
      <c r="D2455" s="3" t="s">
        <v>12</v>
      </c>
      <c r="E2455" s="3" t="s">
        <v>13</v>
      </c>
      <c r="F2455" s="5">
        <v>0</v>
      </c>
      <c r="G2455" s="5">
        <v>192</v>
      </c>
      <c r="H2455" s="6">
        <v>0</v>
      </c>
      <c r="I2455" s="22">
        <v>12541.44</v>
      </c>
      <c r="J2455" s="24">
        <f t="shared" si="114"/>
        <v>8.6901167030172652E-5</v>
      </c>
      <c r="K2455" s="25">
        <f t="shared" si="116"/>
        <v>0.89266434240701542</v>
      </c>
      <c r="L2455" s="26" t="s">
        <v>7517</v>
      </c>
      <c r="M2455" s="28"/>
      <c r="N2455" s="28"/>
      <c r="O2455" s="20" t="s">
        <v>7530</v>
      </c>
      <c r="P2455" s="27" t="str">
        <f t="shared" si="115"/>
        <v>vermelho</v>
      </c>
    </row>
    <row r="2456" spans="1:16" ht="51">
      <c r="A2456" s="3" t="s">
        <v>6591</v>
      </c>
      <c r="B2456" s="3" t="s">
        <v>6592</v>
      </c>
      <c r="C2456" s="4">
        <v>282</v>
      </c>
      <c r="D2456" s="3" t="s">
        <v>12</v>
      </c>
      <c r="E2456" s="3" t="s">
        <v>13</v>
      </c>
      <c r="F2456" s="5">
        <v>396</v>
      </c>
      <c r="G2456" s="5">
        <v>192</v>
      </c>
      <c r="H2456" s="6">
        <v>18019.439999999999</v>
      </c>
      <c r="I2456" s="22">
        <v>12541.44</v>
      </c>
      <c r="J2456" s="24">
        <f t="shared" si="114"/>
        <v>8.6901167030172652E-5</v>
      </c>
      <c r="K2456" s="25">
        <f t="shared" si="116"/>
        <v>0.89275124357404556</v>
      </c>
      <c r="L2456" s="26" t="s">
        <v>7517</v>
      </c>
      <c r="M2456" s="28"/>
      <c r="N2456" s="28"/>
      <c r="O2456" s="20" t="s">
        <v>7530</v>
      </c>
      <c r="P2456" s="27" t="str">
        <f t="shared" si="115"/>
        <v>vermelho</v>
      </c>
    </row>
    <row r="2457" spans="1:16" ht="51">
      <c r="A2457" s="3" t="s">
        <v>6593</v>
      </c>
      <c r="B2457" s="3" t="s">
        <v>6594</v>
      </c>
      <c r="C2457" s="4">
        <v>282</v>
      </c>
      <c r="D2457" s="3" t="s">
        <v>12</v>
      </c>
      <c r="E2457" s="3" t="s">
        <v>13</v>
      </c>
      <c r="F2457" s="5">
        <v>216</v>
      </c>
      <c r="G2457" s="5">
        <v>288</v>
      </c>
      <c r="H2457" s="6">
        <v>10465.200000000001</v>
      </c>
      <c r="I2457" s="22">
        <v>12532.668</v>
      </c>
      <c r="J2457" s="24">
        <f t="shared" si="114"/>
        <v>8.6840384772538052E-5</v>
      </c>
      <c r="K2457" s="25">
        <f t="shared" si="116"/>
        <v>0.89283808395881814</v>
      </c>
      <c r="L2457" s="26" t="s">
        <v>7517</v>
      </c>
      <c r="M2457" s="28"/>
      <c r="N2457" s="28"/>
      <c r="O2457" s="20">
        <v>15825.922</v>
      </c>
      <c r="P2457" s="27" t="str">
        <f t="shared" si="115"/>
        <v>verde</v>
      </c>
    </row>
    <row r="2458" spans="1:16" ht="25.5">
      <c r="A2458" s="3" t="s">
        <v>4</v>
      </c>
      <c r="B2458" s="3" t="s">
        <v>1661</v>
      </c>
      <c r="C2458" s="4">
        <v>23</v>
      </c>
      <c r="D2458" s="3" t="s">
        <v>87</v>
      </c>
      <c r="E2458" s="3" t="s">
        <v>7</v>
      </c>
      <c r="F2458" s="5">
        <v>392</v>
      </c>
      <c r="G2458" s="5">
        <v>222</v>
      </c>
      <c r="H2458" s="6">
        <v>24999.08</v>
      </c>
      <c r="I2458" s="22">
        <v>12530.55</v>
      </c>
      <c r="J2458" s="24">
        <f t="shared" si="114"/>
        <v>8.6825708892274711E-5</v>
      </c>
      <c r="K2458" s="25">
        <f t="shared" si="116"/>
        <v>0.89292490966771043</v>
      </c>
      <c r="L2458" s="26" t="s">
        <v>7517</v>
      </c>
      <c r="M2458" s="28"/>
      <c r="N2458" s="28"/>
      <c r="O2458" s="20" t="s">
        <v>7530</v>
      </c>
      <c r="P2458" s="27" t="str">
        <f t="shared" si="115"/>
        <v>vermelho</v>
      </c>
    </row>
    <row r="2459" spans="1:16">
      <c r="A2459" s="3" t="s">
        <v>4</v>
      </c>
      <c r="B2459" s="3" t="s">
        <v>1662</v>
      </c>
      <c r="C2459" s="4">
        <v>232</v>
      </c>
      <c r="D2459" s="3" t="s">
        <v>174</v>
      </c>
      <c r="E2459" s="3" t="s">
        <v>16</v>
      </c>
      <c r="F2459" s="5">
        <v>166</v>
      </c>
      <c r="G2459" s="5">
        <v>216</v>
      </c>
      <c r="H2459" s="6">
        <v>7388.18</v>
      </c>
      <c r="I2459" s="22">
        <v>12519.36</v>
      </c>
      <c r="J2459" s="24">
        <f t="shared" si="114"/>
        <v>8.6748172017795587E-5</v>
      </c>
      <c r="K2459" s="25">
        <f t="shared" si="116"/>
        <v>0.89301165783972825</v>
      </c>
      <c r="L2459" s="26" t="s">
        <v>7517</v>
      </c>
      <c r="M2459" s="28"/>
      <c r="N2459" s="28">
        <v>3.4349511087249623E-2</v>
      </c>
      <c r="O2459" s="20">
        <v>5373.12</v>
      </c>
      <c r="P2459" s="27" t="str">
        <f t="shared" si="115"/>
        <v>amarelo</v>
      </c>
    </row>
    <row r="2460" spans="1:16" ht="25.5">
      <c r="A2460" s="3" t="s">
        <v>4</v>
      </c>
      <c r="B2460" s="3" t="s">
        <v>1663</v>
      </c>
      <c r="C2460" s="4">
        <v>53</v>
      </c>
      <c r="D2460" s="3" t="s">
        <v>34</v>
      </c>
      <c r="E2460" s="3" t="s">
        <v>16</v>
      </c>
      <c r="F2460" s="5">
        <v>228</v>
      </c>
      <c r="G2460" s="5">
        <v>204</v>
      </c>
      <c r="H2460" s="6">
        <v>11921.28</v>
      </c>
      <c r="I2460" s="22">
        <v>12517.2</v>
      </c>
      <c r="J2460" s="24">
        <f t="shared" si="114"/>
        <v>8.6733205114410873E-5</v>
      </c>
      <c r="K2460" s="25">
        <f t="shared" si="116"/>
        <v>0.89309839104484268</v>
      </c>
      <c r="L2460" s="26" t="s">
        <v>7517</v>
      </c>
      <c r="M2460" s="28"/>
      <c r="N2460" s="28"/>
      <c r="O2460" s="20">
        <v>4945.68</v>
      </c>
      <c r="P2460" s="27" t="str">
        <f t="shared" si="115"/>
        <v>amarelo</v>
      </c>
    </row>
    <row r="2461" spans="1:16" ht="25.5">
      <c r="A2461" s="3" t="s">
        <v>4</v>
      </c>
      <c r="B2461" s="3" t="s">
        <v>1664</v>
      </c>
      <c r="C2461" s="4">
        <v>317</v>
      </c>
      <c r="D2461" s="3" t="s">
        <v>78</v>
      </c>
      <c r="E2461" s="3" t="s">
        <v>10</v>
      </c>
      <c r="F2461" s="5">
        <v>0</v>
      </c>
      <c r="G2461" s="5">
        <v>213</v>
      </c>
      <c r="H2461" s="6">
        <v>0</v>
      </c>
      <c r="I2461" s="22">
        <v>12507.15</v>
      </c>
      <c r="J2461" s="24">
        <f t="shared" si="114"/>
        <v>8.6663567438940325E-5</v>
      </c>
      <c r="K2461" s="25">
        <f t="shared" si="116"/>
        <v>0.89318505461228159</v>
      </c>
      <c r="L2461" s="26" t="s">
        <v>7517</v>
      </c>
      <c r="M2461" s="28"/>
      <c r="N2461" s="28"/>
      <c r="O2461" s="20" t="s">
        <v>7530</v>
      </c>
      <c r="P2461" s="27" t="str">
        <f t="shared" si="115"/>
        <v>vermelho</v>
      </c>
    </row>
    <row r="2462" spans="1:16" ht="25.5">
      <c r="A2462" s="3" t="s">
        <v>4</v>
      </c>
      <c r="B2462" s="3" t="s">
        <v>1665</v>
      </c>
      <c r="C2462" s="4">
        <v>335</v>
      </c>
      <c r="D2462" s="3" t="s">
        <v>36</v>
      </c>
      <c r="E2462" s="3" t="s">
        <v>7</v>
      </c>
      <c r="F2462" s="5">
        <v>0</v>
      </c>
      <c r="G2462" s="5">
        <v>213</v>
      </c>
      <c r="H2462" s="6">
        <v>0</v>
      </c>
      <c r="I2462" s="22">
        <v>12506.76</v>
      </c>
      <c r="J2462" s="24">
        <f t="shared" si="114"/>
        <v>8.6660865081384755E-5</v>
      </c>
      <c r="K2462" s="25">
        <f t="shared" si="116"/>
        <v>0.89327171547736295</v>
      </c>
      <c r="L2462" s="26" t="s">
        <v>7517</v>
      </c>
      <c r="M2462" s="28"/>
      <c r="N2462" s="28"/>
      <c r="O2462" s="20">
        <v>19253.194</v>
      </c>
      <c r="P2462" s="27" t="str">
        <f t="shared" si="115"/>
        <v>verde</v>
      </c>
    </row>
    <row r="2463" spans="1:16" ht="25.5">
      <c r="A2463" s="3" t="s">
        <v>4</v>
      </c>
      <c r="B2463" s="3" t="s">
        <v>1666</v>
      </c>
      <c r="C2463" s="4">
        <v>74</v>
      </c>
      <c r="D2463" s="3" t="s">
        <v>6</v>
      </c>
      <c r="E2463" s="3" t="s">
        <v>7</v>
      </c>
      <c r="F2463" s="5">
        <v>0</v>
      </c>
      <c r="G2463" s="5">
        <v>207</v>
      </c>
      <c r="H2463" s="6">
        <v>0</v>
      </c>
      <c r="I2463" s="22">
        <v>12503.61</v>
      </c>
      <c r="J2463" s="24">
        <f t="shared" si="114"/>
        <v>8.663903834728205E-5</v>
      </c>
      <c r="K2463" s="25">
        <f t="shared" si="116"/>
        <v>0.89335835451571022</v>
      </c>
      <c r="L2463" s="26" t="s">
        <v>7517</v>
      </c>
      <c r="M2463" s="28"/>
      <c r="N2463" s="28"/>
      <c r="O2463" s="20">
        <v>5784.3</v>
      </c>
      <c r="P2463" s="27" t="str">
        <f t="shared" si="115"/>
        <v>amarelo</v>
      </c>
    </row>
    <row r="2464" spans="1:16" ht="25.5">
      <c r="A2464" s="3" t="s">
        <v>4</v>
      </c>
      <c r="B2464" s="3" t="s">
        <v>1667</v>
      </c>
      <c r="C2464" s="4">
        <v>218</v>
      </c>
      <c r="D2464" s="3" t="s">
        <v>104</v>
      </c>
      <c r="E2464" s="3" t="s">
        <v>16</v>
      </c>
      <c r="F2464" s="5">
        <v>351</v>
      </c>
      <c r="G2464" s="5">
        <v>240</v>
      </c>
      <c r="H2464" s="6">
        <v>17002.89</v>
      </c>
      <c r="I2464" s="22">
        <v>12498.48</v>
      </c>
      <c r="J2464" s="24">
        <f t="shared" si="114"/>
        <v>8.660349195174335E-5</v>
      </c>
      <c r="K2464" s="25">
        <f t="shared" si="116"/>
        <v>0.89344495800766199</v>
      </c>
      <c r="L2464" s="26" t="s">
        <v>7517</v>
      </c>
      <c r="M2464" s="28"/>
      <c r="N2464" s="28"/>
      <c r="O2464" s="20" t="s">
        <v>7530</v>
      </c>
      <c r="P2464" s="27" t="str">
        <f t="shared" si="115"/>
        <v>vermelho</v>
      </c>
    </row>
    <row r="2465" spans="1:16" ht="25.5">
      <c r="A2465" s="3" t="s">
        <v>4</v>
      </c>
      <c r="B2465" s="3" t="s">
        <v>1668</v>
      </c>
      <c r="C2465" s="4">
        <v>19</v>
      </c>
      <c r="D2465" s="3" t="s">
        <v>72</v>
      </c>
      <c r="E2465" s="3" t="s">
        <v>41</v>
      </c>
      <c r="F2465" s="5">
        <v>0</v>
      </c>
      <c r="G2465" s="5">
        <v>222</v>
      </c>
      <c r="H2465" s="6">
        <v>0</v>
      </c>
      <c r="I2465" s="22">
        <v>12486.54</v>
      </c>
      <c r="J2465" s="24">
        <f t="shared" si="114"/>
        <v>8.6520758235811193E-5</v>
      </c>
      <c r="K2465" s="25">
        <f t="shared" si="116"/>
        <v>0.89353147876589778</v>
      </c>
      <c r="L2465" s="26" t="s">
        <v>7517</v>
      </c>
      <c r="M2465" s="28"/>
      <c r="N2465" s="28"/>
      <c r="O2465" s="20" t="s">
        <v>7530</v>
      </c>
      <c r="P2465" s="27" t="str">
        <f t="shared" si="115"/>
        <v>vermelho</v>
      </c>
    </row>
    <row r="2466" spans="1:16" ht="51">
      <c r="A2466" s="3" t="s">
        <v>4</v>
      </c>
      <c r="B2466" s="3" t="s">
        <v>1669</v>
      </c>
      <c r="C2466" s="4">
        <v>282</v>
      </c>
      <c r="D2466" s="3" t="s">
        <v>12</v>
      </c>
      <c r="E2466" s="3" t="s">
        <v>13</v>
      </c>
      <c r="F2466" s="5">
        <v>0</v>
      </c>
      <c r="G2466" s="5">
        <v>246</v>
      </c>
      <c r="H2466" s="6">
        <v>0</v>
      </c>
      <c r="I2466" s="22">
        <v>12459.846</v>
      </c>
      <c r="J2466" s="24">
        <f t="shared" si="114"/>
        <v>8.6335792254815116E-5</v>
      </c>
      <c r="K2466" s="25">
        <f t="shared" si="116"/>
        <v>0.89361781455815259</v>
      </c>
      <c r="L2466" s="26" t="s">
        <v>7517</v>
      </c>
      <c r="M2466" s="28"/>
      <c r="N2466" s="28"/>
      <c r="O2466" s="20">
        <v>1865.268</v>
      </c>
      <c r="P2466" s="27" t="str">
        <f t="shared" si="115"/>
        <v>amarelo</v>
      </c>
    </row>
    <row r="2467" spans="1:16" ht="25.5">
      <c r="A2467" s="3" t="s">
        <v>4</v>
      </c>
      <c r="B2467" s="3" t="s">
        <v>1670</v>
      </c>
      <c r="C2467" s="4">
        <v>31</v>
      </c>
      <c r="D2467" s="3" t="s">
        <v>194</v>
      </c>
      <c r="E2467" s="3" t="s">
        <v>16</v>
      </c>
      <c r="F2467" s="5">
        <v>171</v>
      </c>
      <c r="G2467" s="5">
        <v>216</v>
      </c>
      <c r="H2467" s="6">
        <v>9610.0499999999993</v>
      </c>
      <c r="I2467" s="22">
        <v>12455.76</v>
      </c>
      <c r="J2467" s="24">
        <f t="shared" si="114"/>
        <v>8.6307479862579033E-5</v>
      </c>
      <c r="K2467" s="25">
        <f t="shared" si="116"/>
        <v>0.89370412203801519</v>
      </c>
      <c r="L2467" s="26" t="s">
        <v>7517</v>
      </c>
      <c r="M2467" s="28"/>
      <c r="N2467" s="28"/>
      <c r="O2467" s="20" t="s">
        <v>7530</v>
      </c>
      <c r="P2467" s="27" t="str">
        <f t="shared" si="115"/>
        <v>vermelho</v>
      </c>
    </row>
    <row r="2468" spans="1:16">
      <c r="A2468" s="3" t="s">
        <v>6595</v>
      </c>
      <c r="B2468" s="3" t="s">
        <v>6596</v>
      </c>
      <c r="C2468" s="4">
        <v>315</v>
      </c>
      <c r="D2468" s="3" t="s">
        <v>63</v>
      </c>
      <c r="E2468" s="3" t="s">
        <v>7</v>
      </c>
      <c r="F2468" s="5">
        <v>261</v>
      </c>
      <c r="G2468" s="5">
        <v>225</v>
      </c>
      <c r="H2468" s="6">
        <v>15529.35</v>
      </c>
      <c r="I2468" s="22">
        <v>12453.984</v>
      </c>
      <c r="J2468" s="24">
        <f t="shared" si="114"/>
        <v>8.6295173742018276E-5</v>
      </c>
      <c r="K2468" s="25">
        <f t="shared" si="116"/>
        <v>0.89379041721175723</v>
      </c>
      <c r="L2468" s="26" t="s">
        <v>7517</v>
      </c>
      <c r="M2468" s="28"/>
      <c r="N2468" s="28"/>
      <c r="O2468" s="20">
        <v>9269.33</v>
      </c>
      <c r="P2468" s="27" t="str">
        <f t="shared" si="115"/>
        <v>laranja</v>
      </c>
    </row>
    <row r="2469" spans="1:16" ht="25.5">
      <c r="A2469" s="3" t="s">
        <v>4</v>
      </c>
      <c r="B2469" s="3" t="s">
        <v>1671</v>
      </c>
      <c r="C2469" s="4">
        <v>218</v>
      </c>
      <c r="D2469" s="3" t="s">
        <v>104</v>
      </c>
      <c r="E2469" s="3" t="s">
        <v>16</v>
      </c>
      <c r="F2469" s="5">
        <v>387</v>
      </c>
      <c r="G2469" s="5">
        <v>216</v>
      </c>
      <c r="H2469" s="6">
        <v>21080.13</v>
      </c>
      <c r="I2469" s="22">
        <v>12450.42</v>
      </c>
      <c r="J2469" s="24">
        <f t="shared" si="114"/>
        <v>8.6270478351433495E-5</v>
      </c>
      <c r="K2469" s="25">
        <f t="shared" si="116"/>
        <v>0.89387668769010864</v>
      </c>
      <c r="L2469" s="26" t="s">
        <v>7517</v>
      </c>
      <c r="M2469" s="28"/>
      <c r="N2469" s="28"/>
      <c r="O2469" s="20">
        <v>11105.55</v>
      </c>
      <c r="P2469" s="27" t="str">
        <f t="shared" si="115"/>
        <v>laranja</v>
      </c>
    </row>
    <row r="2470" spans="1:16" ht="25.5">
      <c r="A2470" s="3" t="s">
        <v>4</v>
      </c>
      <c r="B2470" s="3" t="s">
        <v>1672</v>
      </c>
      <c r="C2470" s="4">
        <v>178</v>
      </c>
      <c r="D2470" s="3" t="s">
        <v>74</v>
      </c>
      <c r="E2470" s="3" t="s">
        <v>7</v>
      </c>
      <c r="F2470" s="5">
        <v>516</v>
      </c>
      <c r="G2470" s="5">
        <v>204</v>
      </c>
      <c r="H2470" s="6">
        <v>29477.97</v>
      </c>
      <c r="I2470" s="22">
        <v>12447.6</v>
      </c>
      <c r="J2470" s="24">
        <f t="shared" si="114"/>
        <v>8.6250938227570121E-5</v>
      </c>
      <c r="K2470" s="25">
        <f t="shared" si="116"/>
        <v>0.8939629386283362</v>
      </c>
      <c r="L2470" s="26" t="s">
        <v>7517</v>
      </c>
      <c r="M2470" s="28"/>
      <c r="N2470" s="28">
        <v>4.5192702881875081E-2</v>
      </c>
      <c r="O2470" s="20">
        <v>2236.3200000000002</v>
      </c>
      <c r="P2470" s="27" t="str">
        <f t="shared" si="115"/>
        <v>amarelo</v>
      </c>
    </row>
    <row r="2471" spans="1:16" ht="25.5">
      <c r="A2471" s="3" t="s">
        <v>4</v>
      </c>
      <c r="B2471" s="3" t="s">
        <v>1673</v>
      </c>
      <c r="C2471" s="4">
        <v>23</v>
      </c>
      <c r="D2471" s="3" t="s">
        <v>87</v>
      </c>
      <c r="E2471" s="3" t="s">
        <v>7</v>
      </c>
      <c r="F2471" s="5">
        <v>222</v>
      </c>
      <c r="G2471" s="5">
        <v>213</v>
      </c>
      <c r="H2471" s="6">
        <v>11657.64</v>
      </c>
      <c r="I2471" s="22">
        <v>12447</v>
      </c>
      <c r="J2471" s="24">
        <f t="shared" si="114"/>
        <v>8.62467807544077E-5</v>
      </c>
      <c r="K2471" s="25">
        <f t="shared" si="116"/>
        <v>0.89404918540909062</v>
      </c>
      <c r="L2471" s="26" t="s">
        <v>7517</v>
      </c>
      <c r="M2471" s="28"/>
      <c r="N2471" s="28">
        <v>5.9317007654227198E-2</v>
      </c>
      <c r="O2471" s="20">
        <v>7008.6</v>
      </c>
      <c r="P2471" s="27" t="str">
        <f t="shared" si="115"/>
        <v>laranja</v>
      </c>
    </row>
    <row r="2472" spans="1:16" ht="38.25">
      <c r="A2472" s="3" t="s">
        <v>4</v>
      </c>
      <c r="B2472" s="3" t="s">
        <v>1674</v>
      </c>
      <c r="C2472" s="4">
        <v>38</v>
      </c>
      <c r="D2472" s="3" t="s">
        <v>184</v>
      </c>
      <c r="E2472" s="3" t="s">
        <v>49</v>
      </c>
      <c r="F2472" s="5">
        <v>0</v>
      </c>
      <c r="G2472" s="5">
        <v>195</v>
      </c>
      <c r="H2472" s="6">
        <v>0</v>
      </c>
      <c r="I2472" s="22">
        <v>12443.05</v>
      </c>
      <c r="J2472" s="24">
        <f t="shared" si="114"/>
        <v>8.6219410722755091E-5</v>
      </c>
      <c r="K2472" s="25">
        <f t="shared" si="116"/>
        <v>0.89413540481981335</v>
      </c>
      <c r="L2472" s="26" t="s">
        <v>7517</v>
      </c>
      <c r="M2472" s="28"/>
      <c r="N2472" s="28"/>
      <c r="O2472" s="20" t="s">
        <v>7530</v>
      </c>
      <c r="P2472" s="27" t="str">
        <f t="shared" si="115"/>
        <v>vermelho</v>
      </c>
    </row>
    <row r="2473" spans="1:16" ht="38.25">
      <c r="A2473" s="3" t="s">
        <v>4</v>
      </c>
      <c r="B2473" s="3" t="s">
        <v>1675</v>
      </c>
      <c r="C2473" s="4">
        <v>38</v>
      </c>
      <c r="D2473" s="3" t="s">
        <v>184</v>
      </c>
      <c r="E2473" s="3" t="s">
        <v>49</v>
      </c>
      <c r="F2473" s="5">
        <v>0</v>
      </c>
      <c r="G2473" s="5">
        <v>195</v>
      </c>
      <c r="H2473" s="6">
        <v>0</v>
      </c>
      <c r="I2473" s="22">
        <v>12443.05</v>
      </c>
      <c r="J2473" s="24">
        <f t="shared" si="114"/>
        <v>8.6219410722755091E-5</v>
      </c>
      <c r="K2473" s="25">
        <f t="shared" si="116"/>
        <v>0.89422162423053608</v>
      </c>
      <c r="L2473" s="26" t="s">
        <v>7517</v>
      </c>
      <c r="M2473" s="28"/>
      <c r="N2473" s="28"/>
      <c r="O2473" s="20" t="s">
        <v>7530</v>
      </c>
      <c r="P2473" s="27" t="str">
        <f t="shared" si="115"/>
        <v>vermelho</v>
      </c>
    </row>
    <row r="2474" spans="1:16">
      <c r="A2474" s="3" t="s">
        <v>4</v>
      </c>
      <c r="B2474" s="3" t="s">
        <v>1676</v>
      </c>
      <c r="C2474" s="4">
        <v>217</v>
      </c>
      <c r="D2474" s="3" t="s">
        <v>91</v>
      </c>
      <c r="E2474" s="3" t="s">
        <v>16</v>
      </c>
      <c r="F2474" s="5">
        <v>0</v>
      </c>
      <c r="G2474" s="5">
        <v>204</v>
      </c>
      <c r="H2474" s="6">
        <v>0</v>
      </c>
      <c r="I2474" s="22">
        <v>12441.48</v>
      </c>
      <c r="J2474" s="24">
        <f t="shared" si="114"/>
        <v>8.620853200131343E-5</v>
      </c>
      <c r="K2474" s="25">
        <f t="shared" si="116"/>
        <v>0.89430783276253745</v>
      </c>
      <c r="L2474" s="26" t="s">
        <v>7517</v>
      </c>
      <c r="M2474" s="28"/>
      <c r="N2474" s="28"/>
      <c r="O2474" s="20" t="s">
        <v>7530</v>
      </c>
      <c r="P2474" s="27" t="str">
        <f t="shared" si="115"/>
        <v>vermelho</v>
      </c>
    </row>
    <row r="2475" spans="1:16" ht="25.5">
      <c r="A2475" s="3" t="s">
        <v>4</v>
      </c>
      <c r="B2475" s="3" t="s">
        <v>1677</v>
      </c>
      <c r="C2475" s="4">
        <v>197</v>
      </c>
      <c r="D2475" s="3" t="s">
        <v>66</v>
      </c>
      <c r="E2475" s="3" t="s">
        <v>41</v>
      </c>
      <c r="F2475" s="5">
        <v>555</v>
      </c>
      <c r="G2475" s="5">
        <v>213</v>
      </c>
      <c r="H2475" s="6">
        <v>29274.764999999999</v>
      </c>
      <c r="I2475" s="22">
        <v>12432.32</v>
      </c>
      <c r="J2475" s="24">
        <f t="shared" si="114"/>
        <v>8.6145061244367145E-5</v>
      </c>
      <c r="K2475" s="25">
        <f t="shared" si="116"/>
        <v>0.89439397782378183</v>
      </c>
      <c r="L2475" s="26" t="s">
        <v>7517</v>
      </c>
      <c r="M2475" s="28"/>
      <c r="N2475" s="28"/>
      <c r="O2475" s="20" t="s">
        <v>7530</v>
      </c>
      <c r="P2475" s="27" t="str">
        <f t="shared" si="115"/>
        <v>vermelho</v>
      </c>
    </row>
    <row r="2476" spans="1:16" ht="25.5">
      <c r="A2476" s="3" t="s">
        <v>6597</v>
      </c>
      <c r="B2476" s="3" t="s">
        <v>6598</v>
      </c>
      <c r="C2476" s="4">
        <v>316</v>
      </c>
      <c r="D2476" s="3" t="s">
        <v>247</v>
      </c>
      <c r="E2476" s="3" t="s">
        <v>10</v>
      </c>
      <c r="F2476" s="5">
        <v>0</v>
      </c>
      <c r="G2476" s="5">
        <v>204</v>
      </c>
      <c r="H2476" s="6">
        <v>0</v>
      </c>
      <c r="I2476" s="22">
        <v>12428.28</v>
      </c>
      <c r="J2476" s="24">
        <f t="shared" si="114"/>
        <v>8.6117067591740191E-5</v>
      </c>
      <c r="K2476" s="25">
        <f t="shared" si="116"/>
        <v>0.89448009489137359</v>
      </c>
      <c r="L2476" s="26" t="s">
        <v>7517</v>
      </c>
      <c r="M2476" s="28"/>
      <c r="N2476" s="28"/>
      <c r="O2476" s="20">
        <v>4767.03</v>
      </c>
      <c r="P2476" s="27" t="str">
        <f t="shared" si="115"/>
        <v>amarelo</v>
      </c>
    </row>
    <row r="2477" spans="1:16" ht="38.25">
      <c r="A2477" s="3" t="s">
        <v>4</v>
      </c>
      <c r="B2477" s="3" t="s">
        <v>1678</v>
      </c>
      <c r="C2477" s="4">
        <v>266</v>
      </c>
      <c r="D2477" s="3" t="s">
        <v>80</v>
      </c>
      <c r="E2477" s="3" t="s">
        <v>10</v>
      </c>
      <c r="F2477" s="5">
        <v>0</v>
      </c>
      <c r="G2477" s="5">
        <v>246</v>
      </c>
      <c r="H2477" s="6">
        <v>0</v>
      </c>
      <c r="I2477" s="22">
        <v>12412.83</v>
      </c>
      <c r="J2477" s="24">
        <f t="shared" si="114"/>
        <v>8.6010012657807865E-5</v>
      </c>
      <c r="K2477" s="25">
        <f t="shared" si="116"/>
        <v>0.89456610490403143</v>
      </c>
      <c r="L2477" s="26" t="s">
        <v>7517</v>
      </c>
      <c r="M2477" s="28"/>
      <c r="N2477" s="28"/>
      <c r="O2477" s="20">
        <v>9614.89</v>
      </c>
      <c r="P2477" s="27" t="str">
        <f t="shared" si="115"/>
        <v>laranja</v>
      </c>
    </row>
    <row r="2478" spans="1:16" ht="25.5">
      <c r="A2478" s="3" t="s">
        <v>6599</v>
      </c>
      <c r="B2478" s="3" t="s">
        <v>6600</v>
      </c>
      <c r="C2478" s="4">
        <v>53</v>
      </c>
      <c r="D2478" s="3" t="s">
        <v>34</v>
      </c>
      <c r="E2478" s="3" t="s">
        <v>16</v>
      </c>
      <c r="F2478" s="5">
        <v>276</v>
      </c>
      <c r="G2478" s="5">
        <v>252</v>
      </c>
      <c r="H2478" s="6">
        <v>12391.08</v>
      </c>
      <c r="I2478" s="22">
        <v>12411.48</v>
      </c>
      <c r="J2478" s="24">
        <f t="shared" si="114"/>
        <v>8.6000658343192424E-5</v>
      </c>
      <c r="K2478" s="25">
        <f t="shared" si="116"/>
        <v>0.89465210556237462</v>
      </c>
      <c r="L2478" s="26" t="s">
        <v>7517</v>
      </c>
      <c r="M2478" s="28"/>
      <c r="N2478" s="28"/>
      <c r="O2478" s="20" t="s">
        <v>7530</v>
      </c>
      <c r="P2478" s="27" t="str">
        <f t="shared" si="115"/>
        <v>vermelho</v>
      </c>
    </row>
    <row r="2479" spans="1:16" ht="25.5">
      <c r="A2479" s="3" t="s">
        <v>4</v>
      </c>
      <c r="B2479" s="3" t="s">
        <v>1679</v>
      </c>
      <c r="C2479" s="4">
        <v>194</v>
      </c>
      <c r="D2479" s="3" t="s">
        <v>145</v>
      </c>
      <c r="E2479" s="3" t="s">
        <v>16</v>
      </c>
      <c r="F2479" s="5">
        <v>0</v>
      </c>
      <c r="G2479" s="5">
        <v>204</v>
      </c>
      <c r="H2479" s="6">
        <v>0</v>
      </c>
      <c r="I2479" s="22">
        <v>12410.46</v>
      </c>
      <c r="J2479" s="24">
        <f t="shared" si="114"/>
        <v>8.59935906388163E-5</v>
      </c>
      <c r="K2479" s="25">
        <f t="shared" si="116"/>
        <v>0.89473809915301339</v>
      </c>
      <c r="L2479" s="26" t="s">
        <v>7517</v>
      </c>
      <c r="M2479" s="28"/>
      <c r="N2479" s="28"/>
      <c r="O2479" s="20">
        <v>9775.7099999999991</v>
      </c>
      <c r="P2479" s="27" t="str">
        <f t="shared" si="115"/>
        <v>laranja</v>
      </c>
    </row>
    <row r="2480" spans="1:16">
      <c r="A2480" s="3" t="s">
        <v>4</v>
      </c>
      <c r="B2480" s="3" t="s">
        <v>1680</v>
      </c>
      <c r="C2480" s="4">
        <v>315</v>
      </c>
      <c r="D2480" s="3" t="s">
        <v>63</v>
      </c>
      <c r="E2480" s="3" t="s">
        <v>7</v>
      </c>
      <c r="F2480" s="5">
        <v>0</v>
      </c>
      <c r="G2480" s="5">
        <v>234</v>
      </c>
      <c r="H2480" s="6">
        <v>0</v>
      </c>
      <c r="I2480" s="22">
        <v>12408.72</v>
      </c>
      <c r="J2480" s="24">
        <f t="shared" si="114"/>
        <v>8.5981533966645289E-5</v>
      </c>
      <c r="K2480" s="25">
        <f t="shared" si="116"/>
        <v>0.89482408068698005</v>
      </c>
      <c r="L2480" s="26" t="s">
        <v>7517</v>
      </c>
      <c r="M2480" s="28"/>
      <c r="N2480" s="28"/>
      <c r="O2480" s="20" t="s">
        <v>7530</v>
      </c>
      <c r="P2480" s="27" t="str">
        <f t="shared" si="115"/>
        <v>vermelho</v>
      </c>
    </row>
    <row r="2481" spans="1:16" ht="38.25">
      <c r="A2481" s="3" t="s">
        <v>4</v>
      </c>
      <c r="B2481" s="3" t="s">
        <v>1681</v>
      </c>
      <c r="C2481" s="4">
        <v>34</v>
      </c>
      <c r="D2481" s="3" t="s">
        <v>54</v>
      </c>
      <c r="E2481" s="3" t="s">
        <v>49</v>
      </c>
      <c r="F2481" s="5">
        <v>132</v>
      </c>
      <c r="G2481" s="5">
        <v>219</v>
      </c>
      <c r="H2481" s="6">
        <v>7912.68</v>
      </c>
      <c r="I2481" s="22">
        <v>12397.65</v>
      </c>
      <c r="J2481" s="24">
        <f t="shared" si="114"/>
        <v>8.590482858679863E-5</v>
      </c>
      <c r="K2481" s="25">
        <f t="shared" si="116"/>
        <v>0.89490998551556689</v>
      </c>
      <c r="L2481" s="26" t="s">
        <v>7517</v>
      </c>
      <c r="M2481" s="28"/>
      <c r="N2481" s="28"/>
      <c r="O2481" s="20" t="s">
        <v>7530</v>
      </c>
      <c r="P2481" s="27" t="str">
        <f t="shared" si="115"/>
        <v>vermelho</v>
      </c>
    </row>
    <row r="2482" spans="1:16" ht="25.5">
      <c r="A2482" s="3" t="s">
        <v>4</v>
      </c>
      <c r="B2482" s="3" t="s">
        <v>1682</v>
      </c>
      <c r="C2482" s="4">
        <v>187</v>
      </c>
      <c r="D2482" s="3" t="s">
        <v>96</v>
      </c>
      <c r="E2482" s="3" t="s">
        <v>7</v>
      </c>
      <c r="F2482" s="5">
        <v>0</v>
      </c>
      <c r="G2482" s="5">
        <v>204</v>
      </c>
      <c r="H2482" s="6">
        <v>0</v>
      </c>
      <c r="I2482" s="22">
        <v>12379.32</v>
      </c>
      <c r="J2482" s="24">
        <f t="shared" si="114"/>
        <v>8.577781778168669E-5</v>
      </c>
      <c r="K2482" s="25">
        <f t="shared" si="116"/>
        <v>0.89499576333334863</v>
      </c>
      <c r="L2482" s="26" t="s">
        <v>7517</v>
      </c>
      <c r="M2482" s="28"/>
      <c r="N2482" s="28"/>
      <c r="O2482" s="20">
        <v>11155.65</v>
      </c>
      <c r="P2482" s="27" t="str">
        <f t="shared" si="115"/>
        <v>laranja</v>
      </c>
    </row>
    <row r="2483" spans="1:16" ht="38.25">
      <c r="A2483" s="3" t="s">
        <v>4</v>
      </c>
      <c r="B2483" s="3" t="s">
        <v>1683</v>
      </c>
      <c r="C2483" s="4">
        <v>11</v>
      </c>
      <c r="D2483" s="3" t="s">
        <v>61</v>
      </c>
      <c r="E2483" s="3" t="s">
        <v>10</v>
      </c>
      <c r="F2483" s="5">
        <v>420</v>
      </c>
      <c r="G2483" s="5">
        <v>216</v>
      </c>
      <c r="H2483" s="6">
        <v>27173.64</v>
      </c>
      <c r="I2483" s="22">
        <v>12378.6</v>
      </c>
      <c r="J2483" s="24">
        <f t="shared" si="114"/>
        <v>8.577282881389179E-5</v>
      </c>
      <c r="K2483" s="25">
        <f t="shared" si="116"/>
        <v>0.89508153616216257</v>
      </c>
      <c r="L2483" s="26" t="s">
        <v>7517</v>
      </c>
      <c r="M2483" s="28"/>
      <c r="N2483" s="28"/>
      <c r="O2483" s="20">
        <v>12762.6</v>
      </c>
      <c r="P2483" s="27" t="str">
        <f t="shared" si="115"/>
        <v>verde</v>
      </c>
    </row>
    <row r="2484" spans="1:16" ht="25.5">
      <c r="A2484" s="3" t="s">
        <v>4</v>
      </c>
      <c r="B2484" s="3" t="s">
        <v>1684</v>
      </c>
      <c r="C2484" s="4">
        <v>240</v>
      </c>
      <c r="D2484" s="3" t="s">
        <v>69</v>
      </c>
      <c r="E2484" s="3" t="s">
        <v>16</v>
      </c>
      <c r="F2484" s="5">
        <v>0</v>
      </c>
      <c r="G2484" s="5">
        <v>222</v>
      </c>
      <c r="H2484" s="6">
        <v>0</v>
      </c>
      <c r="I2484" s="22">
        <v>12360.57</v>
      </c>
      <c r="J2484" s="24">
        <f t="shared" si="114"/>
        <v>8.5647896745361061E-5</v>
      </c>
      <c r="K2484" s="25">
        <f t="shared" si="116"/>
        <v>0.89516718405890794</v>
      </c>
      <c r="L2484" s="26" t="s">
        <v>7517</v>
      </c>
      <c r="M2484" s="28"/>
      <c r="N2484" s="28"/>
      <c r="O2484" s="20" t="s">
        <v>7530</v>
      </c>
      <c r="P2484" s="27" t="str">
        <f t="shared" si="115"/>
        <v>vermelho</v>
      </c>
    </row>
    <row r="2485" spans="1:16" ht="38.25">
      <c r="A2485" s="3" t="s">
        <v>4</v>
      </c>
      <c r="B2485" s="3" t="s">
        <v>1685</v>
      </c>
      <c r="C2485" s="4">
        <v>143</v>
      </c>
      <c r="D2485" s="3" t="s">
        <v>44</v>
      </c>
      <c r="E2485" s="3" t="s">
        <v>41</v>
      </c>
      <c r="F2485" s="5">
        <v>0</v>
      </c>
      <c r="G2485" s="5">
        <v>204</v>
      </c>
      <c r="H2485" s="6">
        <v>0</v>
      </c>
      <c r="I2485" s="22">
        <v>12357.36</v>
      </c>
      <c r="J2485" s="24">
        <f t="shared" si="114"/>
        <v>8.5625654263942117E-5</v>
      </c>
      <c r="K2485" s="25">
        <f t="shared" si="116"/>
        <v>0.89525280971317189</v>
      </c>
      <c r="L2485" s="26" t="s">
        <v>7517</v>
      </c>
      <c r="M2485" s="28"/>
      <c r="N2485" s="28"/>
      <c r="O2485" s="20" t="s">
        <v>7530</v>
      </c>
      <c r="P2485" s="27" t="str">
        <f t="shared" si="115"/>
        <v>vermelho</v>
      </c>
    </row>
    <row r="2486" spans="1:16" ht="38.25">
      <c r="A2486" s="3" t="s">
        <v>4</v>
      </c>
      <c r="B2486" s="3" t="s">
        <v>1686</v>
      </c>
      <c r="C2486" s="4">
        <v>143</v>
      </c>
      <c r="D2486" s="3" t="s">
        <v>44</v>
      </c>
      <c r="E2486" s="3" t="s">
        <v>41</v>
      </c>
      <c r="F2486" s="5">
        <v>528</v>
      </c>
      <c r="G2486" s="5">
        <v>192</v>
      </c>
      <c r="H2486" s="6">
        <v>29777.903999999999</v>
      </c>
      <c r="I2486" s="22">
        <v>12357.12</v>
      </c>
      <c r="J2486" s="24">
        <f t="shared" si="114"/>
        <v>8.562399127467716E-5</v>
      </c>
      <c r="K2486" s="25">
        <f t="shared" si="116"/>
        <v>0.89533843370444655</v>
      </c>
      <c r="L2486" s="26" t="s">
        <v>7517</v>
      </c>
      <c r="M2486" s="28"/>
      <c r="N2486" s="28"/>
      <c r="O2486" s="20" t="s">
        <v>7530</v>
      </c>
      <c r="P2486" s="27" t="str">
        <f t="shared" si="115"/>
        <v>vermelho</v>
      </c>
    </row>
    <row r="2487" spans="1:16" ht="25.5">
      <c r="A2487" s="3" t="s">
        <v>4</v>
      </c>
      <c r="B2487" s="3" t="s">
        <v>1687</v>
      </c>
      <c r="C2487" s="4">
        <v>41</v>
      </c>
      <c r="D2487" s="3" t="s">
        <v>178</v>
      </c>
      <c r="E2487" s="3" t="s">
        <v>41</v>
      </c>
      <c r="F2487" s="5">
        <v>192</v>
      </c>
      <c r="G2487" s="5">
        <v>216</v>
      </c>
      <c r="H2487" s="6">
        <v>9975.4439999999995</v>
      </c>
      <c r="I2487" s="22">
        <v>12356.82</v>
      </c>
      <c r="J2487" s="24">
        <f t="shared" si="114"/>
        <v>8.5621912538095935E-5</v>
      </c>
      <c r="K2487" s="25">
        <f t="shared" si="116"/>
        <v>0.89542405561698468</v>
      </c>
      <c r="L2487" s="26" t="s">
        <v>7517</v>
      </c>
      <c r="M2487" s="28"/>
      <c r="N2487" s="28"/>
      <c r="O2487" s="20">
        <v>8754</v>
      </c>
      <c r="P2487" s="27" t="str">
        <f t="shared" si="115"/>
        <v>laranja</v>
      </c>
    </row>
    <row r="2488" spans="1:16" ht="38.25">
      <c r="A2488" s="3" t="s">
        <v>4</v>
      </c>
      <c r="B2488" s="3" t="s">
        <v>1688</v>
      </c>
      <c r="C2488" s="4">
        <v>23</v>
      </c>
      <c r="D2488" s="3" t="s">
        <v>87</v>
      </c>
      <c r="E2488" s="3" t="s">
        <v>7</v>
      </c>
      <c r="F2488" s="5">
        <v>216</v>
      </c>
      <c r="G2488" s="5">
        <v>198</v>
      </c>
      <c r="H2488" s="6">
        <v>12167.4</v>
      </c>
      <c r="I2488" s="22">
        <v>12348.42</v>
      </c>
      <c r="J2488" s="24">
        <f t="shared" si="114"/>
        <v>8.5563707913822052E-5</v>
      </c>
      <c r="K2488" s="25">
        <f t="shared" si="116"/>
        <v>0.89550961932489848</v>
      </c>
      <c r="L2488" s="26" t="s">
        <v>7517</v>
      </c>
      <c r="M2488" s="28"/>
      <c r="N2488" s="28"/>
      <c r="O2488" s="20" t="s">
        <v>7530</v>
      </c>
      <c r="P2488" s="27" t="str">
        <f t="shared" si="115"/>
        <v>vermelho</v>
      </c>
    </row>
    <row r="2489" spans="1:16">
      <c r="A2489" s="3" t="s">
        <v>4</v>
      </c>
      <c r="B2489" s="3" t="s">
        <v>1689</v>
      </c>
      <c r="C2489" s="4">
        <v>232</v>
      </c>
      <c r="D2489" s="3" t="s">
        <v>174</v>
      </c>
      <c r="E2489" s="3" t="s">
        <v>16</v>
      </c>
      <c r="F2489" s="5">
        <v>156</v>
      </c>
      <c r="G2489" s="5">
        <v>204</v>
      </c>
      <c r="H2489" s="6">
        <v>8938.44</v>
      </c>
      <c r="I2489" s="22">
        <v>12333.24</v>
      </c>
      <c r="J2489" s="24">
        <f t="shared" si="114"/>
        <v>8.5458523842812817E-5</v>
      </c>
      <c r="K2489" s="25">
        <f t="shared" si="116"/>
        <v>0.89559507784874126</v>
      </c>
      <c r="L2489" s="26" t="s">
        <v>7517</v>
      </c>
      <c r="M2489" s="28"/>
      <c r="N2489" s="28"/>
      <c r="O2489" s="20" t="s">
        <v>7530</v>
      </c>
      <c r="P2489" s="27" t="str">
        <f t="shared" si="115"/>
        <v>vermelho</v>
      </c>
    </row>
    <row r="2490" spans="1:16" ht="25.5">
      <c r="A2490" s="3" t="s">
        <v>4</v>
      </c>
      <c r="B2490" s="3" t="s">
        <v>1690</v>
      </c>
      <c r="C2490" s="4">
        <v>232</v>
      </c>
      <c r="D2490" s="3" t="s">
        <v>174</v>
      </c>
      <c r="E2490" s="3" t="s">
        <v>16</v>
      </c>
      <c r="F2490" s="5">
        <v>0</v>
      </c>
      <c r="G2490" s="5">
        <v>192</v>
      </c>
      <c r="H2490" s="6">
        <v>0</v>
      </c>
      <c r="I2490" s="22">
        <v>12332.52</v>
      </c>
      <c r="J2490" s="24">
        <f t="shared" si="114"/>
        <v>8.5453534875017917E-5</v>
      </c>
      <c r="K2490" s="25">
        <f t="shared" si="116"/>
        <v>0.89568053138361625</v>
      </c>
      <c r="L2490" s="26" t="s">
        <v>7517</v>
      </c>
      <c r="M2490" s="28"/>
      <c r="N2490" s="28"/>
      <c r="O2490" s="20" t="s">
        <v>7530</v>
      </c>
      <c r="P2490" s="27" t="str">
        <f t="shared" si="115"/>
        <v>vermelho</v>
      </c>
    </row>
    <row r="2491" spans="1:16" ht="25.5">
      <c r="A2491" s="3" t="s">
        <v>4</v>
      </c>
      <c r="B2491" s="3" t="s">
        <v>1691</v>
      </c>
      <c r="C2491" s="4">
        <v>178</v>
      </c>
      <c r="D2491" s="3" t="s">
        <v>74</v>
      </c>
      <c r="E2491" s="3" t="s">
        <v>7</v>
      </c>
      <c r="F2491" s="5">
        <v>0</v>
      </c>
      <c r="G2491" s="5">
        <v>198</v>
      </c>
      <c r="H2491" s="6">
        <v>0</v>
      </c>
      <c r="I2491" s="22">
        <v>12330.66</v>
      </c>
      <c r="J2491" s="24">
        <f t="shared" si="114"/>
        <v>8.5440646708214414E-5</v>
      </c>
      <c r="K2491" s="25">
        <f t="shared" si="116"/>
        <v>0.89576597203032449</v>
      </c>
      <c r="L2491" s="26" t="s">
        <v>7517</v>
      </c>
      <c r="M2491" s="28"/>
      <c r="N2491" s="28"/>
      <c r="O2491" s="20" t="s">
        <v>7530</v>
      </c>
      <c r="P2491" s="27" t="str">
        <f t="shared" si="115"/>
        <v>vermelho</v>
      </c>
    </row>
    <row r="2492" spans="1:16" ht="38.25">
      <c r="A2492" s="3" t="s">
        <v>6601</v>
      </c>
      <c r="B2492" s="3" t="s">
        <v>6602</v>
      </c>
      <c r="C2492" s="4">
        <v>38</v>
      </c>
      <c r="D2492" s="3" t="s">
        <v>184</v>
      </c>
      <c r="E2492" s="3" t="s">
        <v>49</v>
      </c>
      <c r="F2492" s="5">
        <v>240</v>
      </c>
      <c r="G2492" s="5">
        <v>231</v>
      </c>
      <c r="H2492" s="6">
        <v>11600.64</v>
      </c>
      <c r="I2492" s="22">
        <v>12326.442999999999</v>
      </c>
      <c r="J2492" s="24">
        <f t="shared" si="114"/>
        <v>8.5411426601004535E-5</v>
      </c>
      <c r="K2492" s="25">
        <f t="shared" si="116"/>
        <v>0.8958513834569255</v>
      </c>
      <c r="L2492" s="26" t="s">
        <v>7517</v>
      </c>
      <c r="M2492" s="28"/>
      <c r="N2492" s="28"/>
      <c r="O2492" s="20">
        <v>6974.75</v>
      </c>
      <c r="P2492" s="27" t="str">
        <f t="shared" si="115"/>
        <v>laranja</v>
      </c>
    </row>
    <row r="2493" spans="1:16">
      <c r="A2493" s="3" t="s">
        <v>6603</v>
      </c>
      <c r="B2493" s="3" t="s">
        <v>6604</v>
      </c>
      <c r="C2493" s="4">
        <v>231</v>
      </c>
      <c r="D2493" s="3" t="s">
        <v>52</v>
      </c>
      <c r="E2493" s="3" t="s">
        <v>7</v>
      </c>
      <c r="F2493" s="5">
        <v>666</v>
      </c>
      <c r="G2493" s="5">
        <v>237</v>
      </c>
      <c r="H2493" s="6">
        <v>30795.3</v>
      </c>
      <c r="I2493" s="22">
        <v>12324.33</v>
      </c>
      <c r="J2493" s="24">
        <f t="shared" si="114"/>
        <v>8.5396785366350885E-5</v>
      </c>
      <c r="K2493" s="25">
        <f t="shared" si="116"/>
        <v>0.89593678024229184</v>
      </c>
      <c r="L2493" s="26" t="s">
        <v>7517</v>
      </c>
      <c r="M2493" s="28"/>
      <c r="N2493" s="28"/>
      <c r="O2493" s="20" t="s">
        <v>7530</v>
      </c>
      <c r="P2493" s="27" t="str">
        <f t="shared" si="115"/>
        <v>vermelho</v>
      </c>
    </row>
    <row r="2494" spans="1:16" ht="38.25">
      <c r="A2494" s="3" t="s">
        <v>4</v>
      </c>
      <c r="B2494" s="3" t="s">
        <v>1692</v>
      </c>
      <c r="C2494" s="4">
        <v>301</v>
      </c>
      <c r="D2494" s="3" t="s">
        <v>519</v>
      </c>
      <c r="E2494" s="3" t="s">
        <v>16</v>
      </c>
      <c r="F2494" s="5">
        <v>426</v>
      </c>
      <c r="G2494" s="5">
        <v>225</v>
      </c>
      <c r="H2494" s="6">
        <v>25455.21</v>
      </c>
      <c r="I2494" s="22">
        <v>12319.41</v>
      </c>
      <c r="J2494" s="24">
        <f t="shared" si="114"/>
        <v>8.5362694086419037E-5</v>
      </c>
      <c r="K2494" s="25">
        <f t="shared" si="116"/>
        <v>0.89602214293637827</v>
      </c>
      <c r="L2494" s="26" t="s">
        <v>7517</v>
      </c>
      <c r="M2494" s="28"/>
      <c r="N2494" s="28"/>
      <c r="O2494" s="20">
        <v>0</v>
      </c>
      <c r="P2494" s="27" t="str">
        <f t="shared" si="115"/>
        <v>vermelho</v>
      </c>
    </row>
    <row r="2495" spans="1:16">
      <c r="A2495" s="3" t="s">
        <v>4</v>
      </c>
      <c r="B2495" s="3" t="s">
        <v>1693</v>
      </c>
      <c r="C2495" s="4">
        <v>315</v>
      </c>
      <c r="D2495" s="3" t="s">
        <v>63</v>
      </c>
      <c r="E2495" s="3" t="s">
        <v>7</v>
      </c>
      <c r="F2495" s="5">
        <v>264</v>
      </c>
      <c r="G2495" s="5">
        <v>216</v>
      </c>
      <c r="H2495" s="6">
        <v>11644.884</v>
      </c>
      <c r="I2495" s="22">
        <v>12317.806</v>
      </c>
      <c r="J2495" s="24">
        <f t="shared" si="114"/>
        <v>8.53515797748315E-5</v>
      </c>
      <c r="K2495" s="25">
        <f t="shared" si="116"/>
        <v>0.89610749451615312</v>
      </c>
      <c r="L2495" s="26" t="s">
        <v>7517</v>
      </c>
      <c r="M2495" s="28">
        <v>1.4938668352681452E-2</v>
      </c>
      <c r="N2495" s="28"/>
      <c r="O2495" s="20">
        <v>2597.04</v>
      </c>
      <c r="P2495" s="27" t="str">
        <f t="shared" si="115"/>
        <v>amarelo</v>
      </c>
    </row>
    <row r="2496" spans="1:16" ht="25.5">
      <c r="A2496" s="3" t="s">
        <v>6605</v>
      </c>
      <c r="B2496" s="3" t="s">
        <v>6606</v>
      </c>
      <c r="C2496" s="4">
        <v>316</v>
      </c>
      <c r="D2496" s="3" t="s">
        <v>247</v>
      </c>
      <c r="E2496" s="3" t="s">
        <v>10</v>
      </c>
      <c r="F2496" s="5">
        <v>0</v>
      </c>
      <c r="G2496" s="5">
        <v>237</v>
      </c>
      <c r="H2496" s="6">
        <v>0</v>
      </c>
      <c r="I2496" s="22">
        <v>12312.36</v>
      </c>
      <c r="J2496" s="24">
        <f t="shared" si="114"/>
        <v>8.5313843776760608E-5</v>
      </c>
      <c r="K2496" s="25">
        <f t="shared" si="116"/>
        <v>0.89619280835992987</v>
      </c>
      <c r="L2496" s="26" t="s">
        <v>7517</v>
      </c>
      <c r="M2496" s="28"/>
      <c r="N2496" s="28"/>
      <c r="O2496" s="20" t="s">
        <v>7530</v>
      </c>
      <c r="P2496" s="27" t="str">
        <f t="shared" si="115"/>
        <v>vermelho</v>
      </c>
    </row>
    <row r="2497" spans="1:16" ht="38.25">
      <c r="A2497" s="3" t="s">
        <v>4</v>
      </c>
      <c r="B2497" s="3" t="s">
        <v>1694</v>
      </c>
      <c r="C2497" s="4">
        <v>38</v>
      </c>
      <c r="D2497" s="3" t="s">
        <v>184</v>
      </c>
      <c r="E2497" s="3" t="s">
        <v>49</v>
      </c>
      <c r="F2497" s="5">
        <v>0</v>
      </c>
      <c r="G2497" s="5">
        <v>228</v>
      </c>
      <c r="H2497" s="6">
        <v>0</v>
      </c>
      <c r="I2497" s="22">
        <v>12309.06</v>
      </c>
      <c r="J2497" s="24">
        <f t="shared" si="114"/>
        <v>8.5290977674367277E-5</v>
      </c>
      <c r="K2497" s="25">
        <f t="shared" si="116"/>
        <v>0.89627809933760427</v>
      </c>
      <c r="L2497" s="26" t="s">
        <v>7517</v>
      </c>
      <c r="M2497" s="28"/>
      <c r="N2497" s="28"/>
      <c r="O2497" s="20">
        <v>5432.22</v>
      </c>
      <c r="P2497" s="27" t="str">
        <f t="shared" si="115"/>
        <v>amarelo</v>
      </c>
    </row>
    <row r="2498" spans="1:16" ht="25.5">
      <c r="A2498" s="3" t="s">
        <v>4</v>
      </c>
      <c r="B2498" s="3" t="s">
        <v>1695</v>
      </c>
      <c r="C2498" s="4">
        <v>266</v>
      </c>
      <c r="D2498" s="3" t="s">
        <v>80</v>
      </c>
      <c r="E2498" s="3" t="s">
        <v>10</v>
      </c>
      <c r="F2498" s="5">
        <v>0</v>
      </c>
      <c r="G2498" s="5">
        <v>222</v>
      </c>
      <c r="H2498" s="6">
        <v>0</v>
      </c>
      <c r="I2498" s="22">
        <v>12305.1</v>
      </c>
      <c r="J2498" s="24">
        <f t="shared" si="114"/>
        <v>8.5263538351495314E-5</v>
      </c>
      <c r="K2498" s="25">
        <f t="shared" si="116"/>
        <v>0.89636336287595575</v>
      </c>
      <c r="L2498" s="26" t="s">
        <v>7517</v>
      </c>
      <c r="M2498" s="28"/>
      <c r="N2498" s="28"/>
      <c r="O2498" s="20" t="s">
        <v>7530</v>
      </c>
      <c r="P2498" s="27" t="str">
        <f t="shared" si="115"/>
        <v>vermelho</v>
      </c>
    </row>
    <row r="2499" spans="1:16" ht="25.5">
      <c r="A2499" s="3" t="s">
        <v>4</v>
      </c>
      <c r="B2499" s="3" t="s">
        <v>1696</v>
      </c>
      <c r="C2499" s="4">
        <v>23</v>
      </c>
      <c r="D2499" s="3" t="s">
        <v>87</v>
      </c>
      <c r="E2499" s="3" t="s">
        <v>7</v>
      </c>
      <c r="F2499" s="5">
        <v>228</v>
      </c>
      <c r="G2499" s="5">
        <v>192</v>
      </c>
      <c r="H2499" s="6">
        <v>12848.1</v>
      </c>
      <c r="I2499" s="22">
        <v>12296.76</v>
      </c>
      <c r="J2499" s="24">
        <f t="shared" ref="J2499:J2562" si="117">I2499/$I$6364</f>
        <v>8.520574947453767E-5</v>
      </c>
      <c r="K2499" s="25">
        <f t="shared" si="116"/>
        <v>0.89644856862543032</v>
      </c>
      <c r="L2499" s="26" t="s">
        <v>7517</v>
      </c>
      <c r="M2499" s="28"/>
      <c r="N2499" s="28"/>
      <c r="O2499" s="20" t="s">
        <v>7530</v>
      </c>
      <c r="P2499" s="27" t="str">
        <f t="shared" ref="P2499:P2562" si="118">IF(O2499&lt;=0,"vermelho",IFERROR(IF(O2499/I2499&lt;=0.5098,"amarelo",IF(O2499/I2499&lt;1,"laranja","verde")),"vermelho"))</f>
        <v>vermelho</v>
      </c>
    </row>
    <row r="2500" spans="1:16" ht="25.5">
      <c r="A2500" s="3" t="s">
        <v>4</v>
      </c>
      <c r="B2500" s="3" t="s">
        <v>1697</v>
      </c>
      <c r="C2500" s="4">
        <v>93</v>
      </c>
      <c r="D2500" s="3" t="s">
        <v>20</v>
      </c>
      <c r="E2500" s="3" t="s">
        <v>7</v>
      </c>
      <c r="F2500" s="5">
        <v>0</v>
      </c>
      <c r="G2500" s="5">
        <v>204</v>
      </c>
      <c r="H2500" s="6">
        <v>0</v>
      </c>
      <c r="I2500" s="22">
        <v>12294.48</v>
      </c>
      <c r="J2500" s="24">
        <f t="shared" si="117"/>
        <v>8.5189951076520477E-5</v>
      </c>
      <c r="K2500" s="25">
        <f t="shared" ref="K2500:K2563" si="119">J2500+K2499</f>
        <v>0.89653375857650686</v>
      </c>
      <c r="L2500" s="26" t="s">
        <v>7517</v>
      </c>
      <c r="M2500" s="28"/>
      <c r="N2500" s="28">
        <v>2.1032814467781501E-2</v>
      </c>
      <c r="O2500" s="20">
        <v>9533.2800000000007</v>
      </c>
      <c r="P2500" s="27" t="str">
        <f t="shared" si="118"/>
        <v>laranja</v>
      </c>
    </row>
    <row r="2501" spans="1:16" ht="25.5">
      <c r="A2501" s="3" t="s">
        <v>4</v>
      </c>
      <c r="B2501" s="3" t="s">
        <v>1698</v>
      </c>
      <c r="C2501" s="4">
        <v>231</v>
      </c>
      <c r="D2501" s="3" t="s">
        <v>52</v>
      </c>
      <c r="E2501" s="3" t="s">
        <v>7</v>
      </c>
      <c r="F2501" s="5">
        <v>147</v>
      </c>
      <c r="G2501" s="5">
        <v>189</v>
      </c>
      <c r="H2501" s="6">
        <v>8741.7530000000006</v>
      </c>
      <c r="I2501" s="22">
        <v>12291.96</v>
      </c>
      <c r="J2501" s="24">
        <f t="shared" si="117"/>
        <v>8.51724896892383E-5</v>
      </c>
      <c r="K2501" s="25">
        <f t="shared" si="119"/>
        <v>0.89661893106619606</v>
      </c>
      <c r="L2501" s="26" t="s">
        <v>7517</v>
      </c>
      <c r="M2501" s="28"/>
      <c r="N2501" s="28"/>
      <c r="O2501" s="20" t="s">
        <v>7530</v>
      </c>
      <c r="P2501" s="27" t="str">
        <f t="shared" si="118"/>
        <v>vermelho</v>
      </c>
    </row>
    <row r="2502" spans="1:16" ht="25.5">
      <c r="A2502" s="3" t="s">
        <v>4</v>
      </c>
      <c r="B2502" s="3" t="s">
        <v>1699</v>
      </c>
      <c r="C2502" s="4">
        <v>337</v>
      </c>
      <c r="D2502" s="3" t="s">
        <v>202</v>
      </c>
      <c r="E2502" s="3" t="s">
        <v>16</v>
      </c>
      <c r="F2502" s="5">
        <v>153</v>
      </c>
      <c r="G2502" s="5">
        <v>240</v>
      </c>
      <c r="H2502" s="6">
        <v>7574.58</v>
      </c>
      <c r="I2502" s="22">
        <v>12274.32</v>
      </c>
      <c r="J2502" s="24">
        <f t="shared" si="117"/>
        <v>8.5050259978263154E-5</v>
      </c>
      <c r="K2502" s="25">
        <f t="shared" si="119"/>
        <v>0.89670398132617435</v>
      </c>
      <c r="L2502" s="26" t="s">
        <v>7517</v>
      </c>
      <c r="M2502" s="28"/>
      <c r="N2502" s="28"/>
      <c r="O2502" s="20" t="s">
        <v>7530</v>
      </c>
      <c r="P2502" s="27" t="str">
        <f t="shared" si="118"/>
        <v>vermelho</v>
      </c>
    </row>
    <row r="2503" spans="1:16" ht="25.5">
      <c r="A2503" s="3" t="s">
        <v>4</v>
      </c>
      <c r="B2503" s="3" t="s">
        <v>1700</v>
      </c>
      <c r="C2503" s="4">
        <v>266</v>
      </c>
      <c r="D2503" s="3" t="s">
        <v>80</v>
      </c>
      <c r="E2503" s="3" t="s">
        <v>10</v>
      </c>
      <c r="F2503" s="5">
        <v>120</v>
      </c>
      <c r="G2503" s="5">
        <v>189</v>
      </c>
      <c r="H2503" s="6">
        <v>6810.36</v>
      </c>
      <c r="I2503" s="22">
        <v>12271.77</v>
      </c>
      <c r="J2503" s="24">
        <f t="shared" si="117"/>
        <v>8.5032590717322871E-5</v>
      </c>
      <c r="K2503" s="25">
        <f t="shared" si="119"/>
        <v>0.8967890139168917</v>
      </c>
      <c r="L2503" s="26" t="s">
        <v>7517</v>
      </c>
      <c r="M2503" s="28"/>
      <c r="N2503" s="28"/>
      <c r="O2503" s="20" t="s">
        <v>7530</v>
      </c>
      <c r="P2503" s="27" t="str">
        <f t="shared" si="118"/>
        <v>vermelho</v>
      </c>
    </row>
    <row r="2504" spans="1:16" ht="38.25">
      <c r="A2504" s="3" t="s">
        <v>4</v>
      </c>
      <c r="B2504" s="3" t="s">
        <v>1701</v>
      </c>
      <c r="C2504" s="4">
        <v>31</v>
      </c>
      <c r="D2504" s="3" t="s">
        <v>194</v>
      </c>
      <c r="E2504" s="3" t="s">
        <v>16</v>
      </c>
      <c r="F2504" s="5">
        <v>156</v>
      </c>
      <c r="G2504" s="5">
        <v>222</v>
      </c>
      <c r="H2504" s="6">
        <v>8218.44</v>
      </c>
      <c r="I2504" s="22">
        <v>12245.22</v>
      </c>
      <c r="J2504" s="24">
        <f t="shared" si="117"/>
        <v>8.4848622529885766E-5</v>
      </c>
      <c r="K2504" s="25">
        <f t="shared" si="119"/>
        <v>0.89687386253942158</v>
      </c>
      <c r="L2504" s="26" t="s">
        <v>7517</v>
      </c>
      <c r="M2504" s="28"/>
      <c r="N2504" s="28"/>
      <c r="O2504" s="20">
        <v>11688.48</v>
      </c>
      <c r="P2504" s="27" t="str">
        <f t="shared" si="118"/>
        <v>laranja</v>
      </c>
    </row>
    <row r="2505" spans="1:16" ht="25.5">
      <c r="A2505" s="3" t="s">
        <v>4</v>
      </c>
      <c r="B2505" s="3" t="s">
        <v>1702</v>
      </c>
      <c r="C2505" s="4">
        <v>93</v>
      </c>
      <c r="D2505" s="3" t="s">
        <v>20</v>
      </c>
      <c r="E2505" s="3" t="s">
        <v>7</v>
      </c>
      <c r="F2505" s="5">
        <v>132</v>
      </c>
      <c r="G2505" s="5">
        <v>194</v>
      </c>
      <c r="H2505" s="6">
        <v>7594.68</v>
      </c>
      <c r="I2505" s="22">
        <v>12240.2</v>
      </c>
      <c r="J2505" s="24">
        <f t="shared" si="117"/>
        <v>8.4813838337760203E-5</v>
      </c>
      <c r="K2505" s="25">
        <f t="shared" si="119"/>
        <v>0.89695867637775939</v>
      </c>
      <c r="L2505" s="26" t="s">
        <v>7517</v>
      </c>
      <c r="M2505" s="28"/>
      <c r="N2505" s="28"/>
      <c r="O2505" s="20" t="s">
        <v>7530</v>
      </c>
      <c r="P2505" s="27" t="str">
        <f t="shared" si="118"/>
        <v>vermelho</v>
      </c>
    </row>
    <row r="2506" spans="1:16" ht="25.5">
      <c r="A2506" s="3" t="s">
        <v>4</v>
      </c>
      <c r="B2506" s="3" t="s">
        <v>1703</v>
      </c>
      <c r="C2506" s="4">
        <v>320</v>
      </c>
      <c r="D2506" s="3" t="s">
        <v>218</v>
      </c>
      <c r="E2506" s="3" t="s">
        <v>49</v>
      </c>
      <c r="F2506" s="5">
        <v>501</v>
      </c>
      <c r="G2506" s="5">
        <v>180</v>
      </c>
      <c r="H2506" s="6">
        <v>29967.45</v>
      </c>
      <c r="I2506" s="22">
        <v>12218.16</v>
      </c>
      <c r="J2506" s="24">
        <f t="shared" si="117"/>
        <v>8.4661120490260626E-5</v>
      </c>
      <c r="K2506" s="25">
        <f t="shared" si="119"/>
        <v>0.8970433374982496</v>
      </c>
      <c r="L2506" s="26" t="s">
        <v>7517</v>
      </c>
      <c r="M2506" s="28"/>
      <c r="N2506" s="28"/>
      <c r="O2506" s="20">
        <v>10213.148999999999</v>
      </c>
      <c r="P2506" s="27" t="str">
        <f t="shared" si="118"/>
        <v>laranja</v>
      </c>
    </row>
    <row r="2507" spans="1:16" ht="25.5">
      <c r="A2507" s="3" t="s">
        <v>4</v>
      </c>
      <c r="B2507" s="3" t="s">
        <v>1704</v>
      </c>
      <c r="C2507" s="4">
        <v>335</v>
      </c>
      <c r="D2507" s="3" t="s">
        <v>36</v>
      </c>
      <c r="E2507" s="3" t="s">
        <v>7</v>
      </c>
      <c r="F2507" s="5">
        <v>390</v>
      </c>
      <c r="G2507" s="5">
        <v>207</v>
      </c>
      <c r="H2507" s="6">
        <v>23954.880000000001</v>
      </c>
      <c r="I2507" s="22">
        <v>12216.06</v>
      </c>
      <c r="J2507" s="24">
        <f t="shared" si="117"/>
        <v>8.4646569334192152E-5</v>
      </c>
      <c r="K2507" s="25">
        <f t="shared" si="119"/>
        <v>0.89712798406758376</v>
      </c>
      <c r="L2507" s="26" t="s">
        <v>7517</v>
      </c>
      <c r="M2507" s="28"/>
      <c r="N2507" s="28">
        <v>4.0849605342268787E-2</v>
      </c>
      <c r="O2507" s="20">
        <v>12108.12</v>
      </c>
      <c r="P2507" s="27" t="str">
        <f t="shared" si="118"/>
        <v>laranja</v>
      </c>
    </row>
    <row r="2508" spans="1:16" ht="25.5">
      <c r="A2508" s="3" t="s">
        <v>4</v>
      </c>
      <c r="B2508" s="3" t="s">
        <v>1705</v>
      </c>
      <c r="C2508" s="4">
        <v>217</v>
      </c>
      <c r="D2508" s="3" t="s">
        <v>91</v>
      </c>
      <c r="E2508" s="3" t="s">
        <v>16</v>
      </c>
      <c r="F2508" s="5">
        <v>348</v>
      </c>
      <c r="G2508" s="5">
        <v>204</v>
      </c>
      <c r="H2508" s="6">
        <v>15970.86</v>
      </c>
      <c r="I2508" s="22">
        <v>12214.8</v>
      </c>
      <c r="J2508" s="24">
        <f t="shared" si="117"/>
        <v>8.463783864055107E-5</v>
      </c>
      <c r="K2508" s="25">
        <f t="shared" si="119"/>
        <v>0.89721262190622431</v>
      </c>
      <c r="L2508" s="26" t="s">
        <v>7517</v>
      </c>
      <c r="M2508" s="28"/>
      <c r="N2508" s="28"/>
      <c r="O2508" s="20">
        <v>14272.47</v>
      </c>
      <c r="P2508" s="27" t="str">
        <f t="shared" si="118"/>
        <v>verde</v>
      </c>
    </row>
    <row r="2509" spans="1:16" ht="25.5">
      <c r="A2509" s="3" t="s">
        <v>4</v>
      </c>
      <c r="B2509" s="3" t="s">
        <v>1706</v>
      </c>
      <c r="C2509" s="4">
        <v>299</v>
      </c>
      <c r="D2509" s="3" t="s">
        <v>111</v>
      </c>
      <c r="E2509" s="3" t="s">
        <v>49</v>
      </c>
      <c r="F2509" s="5">
        <v>204</v>
      </c>
      <c r="G2509" s="5">
        <v>216</v>
      </c>
      <c r="H2509" s="6">
        <v>10535.892</v>
      </c>
      <c r="I2509" s="22">
        <v>12210.36</v>
      </c>
      <c r="J2509" s="24">
        <f t="shared" si="117"/>
        <v>8.4607073339149164E-5</v>
      </c>
      <c r="K2509" s="25">
        <f t="shared" si="119"/>
        <v>0.89729722897956343</v>
      </c>
      <c r="L2509" s="26" t="s">
        <v>7517</v>
      </c>
      <c r="M2509" s="28"/>
      <c r="N2509" s="28"/>
      <c r="O2509" s="20" t="s">
        <v>7530</v>
      </c>
      <c r="P2509" s="27" t="str">
        <f t="shared" si="118"/>
        <v>vermelho</v>
      </c>
    </row>
    <row r="2510" spans="1:16" ht="25.5">
      <c r="A2510" s="3" t="s">
        <v>4</v>
      </c>
      <c r="B2510" s="3" t="s">
        <v>1707</v>
      </c>
      <c r="C2510" s="4">
        <v>178</v>
      </c>
      <c r="D2510" s="3" t="s">
        <v>74</v>
      </c>
      <c r="E2510" s="3" t="s">
        <v>7</v>
      </c>
      <c r="F2510" s="5">
        <v>90</v>
      </c>
      <c r="G2510" s="5">
        <v>189</v>
      </c>
      <c r="H2510" s="6">
        <v>5510.61</v>
      </c>
      <c r="I2510" s="22">
        <v>12202.11</v>
      </c>
      <c r="J2510" s="24">
        <f t="shared" si="117"/>
        <v>8.4549908083165879E-5</v>
      </c>
      <c r="K2510" s="25">
        <f t="shared" si="119"/>
        <v>0.89738177888764659</v>
      </c>
      <c r="L2510" s="26" t="s">
        <v>7517</v>
      </c>
      <c r="M2510" s="28"/>
      <c r="N2510" s="28"/>
      <c r="O2510" s="20" t="s">
        <v>7530</v>
      </c>
      <c r="P2510" s="27" t="str">
        <f t="shared" si="118"/>
        <v>vermelho</v>
      </c>
    </row>
    <row r="2511" spans="1:16" ht="25.5">
      <c r="A2511" s="3" t="s">
        <v>4</v>
      </c>
      <c r="B2511" s="3" t="s">
        <v>1708</v>
      </c>
      <c r="C2511" s="4">
        <v>15</v>
      </c>
      <c r="D2511" s="3" t="s">
        <v>18</v>
      </c>
      <c r="E2511" s="3" t="s">
        <v>16</v>
      </c>
      <c r="F2511" s="5">
        <v>240</v>
      </c>
      <c r="G2511" s="5">
        <v>216</v>
      </c>
      <c r="H2511" s="6">
        <v>13923.36</v>
      </c>
      <c r="I2511" s="22">
        <v>12196.56</v>
      </c>
      <c r="J2511" s="24">
        <f t="shared" si="117"/>
        <v>8.451145145641349E-5</v>
      </c>
      <c r="K2511" s="25">
        <f t="shared" si="119"/>
        <v>0.89746629033910297</v>
      </c>
      <c r="L2511" s="26" t="s">
        <v>7517</v>
      </c>
      <c r="M2511" s="28"/>
      <c r="N2511" s="28"/>
      <c r="O2511" s="20" t="s">
        <v>7530</v>
      </c>
      <c r="P2511" s="27" t="str">
        <f t="shared" si="118"/>
        <v>vermelho</v>
      </c>
    </row>
    <row r="2512" spans="1:16" ht="25.5">
      <c r="A2512" s="3" t="s">
        <v>4</v>
      </c>
      <c r="B2512" s="3" t="s">
        <v>1709</v>
      </c>
      <c r="C2512" s="4">
        <v>218</v>
      </c>
      <c r="D2512" s="3" t="s">
        <v>104</v>
      </c>
      <c r="E2512" s="3" t="s">
        <v>16</v>
      </c>
      <c r="F2512" s="5">
        <v>0</v>
      </c>
      <c r="G2512" s="5">
        <v>204</v>
      </c>
      <c r="H2512" s="6">
        <v>0</v>
      </c>
      <c r="I2512" s="22">
        <v>12194.28</v>
      </c>
      <c r="J2512" s="24">
        <f t="shared" si="117"/>
        <v>8.4495653058396297E-5</v>
      </c>
      <c r="K2512" s="25">
        <f t="shared" si="119"/>
        <v>0.89755078599216132</v>
      </c>
      <c r="L2512" s="26" t="s">
        <v>7517</v>
      </c>
      <c r="M2512" s="28"/>
      <c r="N2512" s="28"/>
      <c r="O2512" s="20" t="s">
        <v>7530</v>
      </c>
      <c r="P2512" s="27" t="str">
        <f t="shared" si="118"/>
        <v>vermelho</v>
      </c>
    </row>
    <row r="2513" spans="1:16" ht="25.5">
      <c r="A2513" s="3" t="s">
        <v>4</v>
      </c>
      <c r="B2513" s="3" t="s">
        <v>930</v>
      </c>
      <c r="C2513" s="4">
        <v>264</v>
      </c>
      <c r="D2513" s="3" t="s">
        <v>40</v>
      </c>
      <c r="E2513" s="3" t="s">
        <v>41</v>
      </c>
      <c r="F2513" s="5">
        <v>0</v>
      </c>
      <c r="G2513" s="5">
        <v>228</v>
      </c>
      <c r="H2513" s="6">
        <v>0</v>
      </c>
      <c r="I2513" s="22">
        <v>12173.789000000001</v>
      </c>
      <c r="J2513" s="24">
        <f t="shared" si="117"/>
        <v>8.4353668420777709E-5</v>
      </c>
      <c r="K2513" s="25">
        <f t="shared" si="119"/>
        <v>0.89763513966058206</v>
      </c>
      <c r="L2513" s="26" t="s">
        <v>7517</v>
      </c>
      <c r="M2513" s="28">
        <v>1.5158587124264628E-2</v>
      </c>
      <c r="N2513" s="28">
        <v>-2.3274167936952181E-2</v>
      </c>
      <c r="O2513" s="20">
        <v>0</v>
      </c>
      <c r="P2513" s="27" t="str">
        <f t="shared" si="118"/>
        <v>vermelho</v>
      </c>
    </row>
    <row r="2514" spans="1:16" ht="38.25">
      <c r="A2514" s="3" t="s">
        <v>6607</v>
      </c>
      <c r="B2514" s="3" t="s">
        <v>6608</v>
      </c>
      <c r="C2514" s="4">
        <v>301</v>
      </c>
      <c r="D2514" s="3" t="s">
        <v>519</v>
      </c>
      <c r="E2514" s="3" t="s">
        <v>16</v>
      </c>
      <c r="F2514" s="5">
        <v>0</v>
      </c>
      <c r="G2514" s="5">
        <v>216</v>
      </c>
      <c r="H2514" s="6">
        <v>0</v>
      </c>
      <c r="I2514" s="22">
        <v>12166.44</v>
      </c>
      <c r="J2514" s="24">
        <f t="shared" si="117"/>
        <v>8.4302746303660005E-5</v>
      </c>
      <c r="K2514" s="25">
        <f t="shared" si="119"/>
        <v>0.89771944240688573</v>
      </c>
      <c r="L2514" s="26" t="s">
        <v>7517</v>
      </c>
      <c r="M2514" s="28"/>
      <c r="N2514" s="28"/>
      <c r="O2514" s="20" t="s">
        <v>7530</v>
      </c>
      <c r="P2514" s="27" t="str">
        <f t="shared" si="118"/>
        <v>vermelho</v>
      </c>
    </row>
    <row r="2515" spans="1:16" ht="38.25">
      <c r="A2515" s="3" t="s">
        <v>4</v>
      </c>
      <c r="B2515" s="3" t="s">
        <v>1710</v>
      </c>
      <c r="C2515" s="4">
        <v>34</v>
      </c>
      <c r="D2515" s="3" t="s">
        <v>54</v>
      </c>
      <c r="E2515" s="3" t="s">
        <v>49</v>
      </c>
      <c r="F2515" s="5">
        <v>192</v>
      </c>
      <c r="G2515" s="5">
        <v>192</v>
      </c>
      <c r="H2515" s="6">
        <v>10222.08</v>
      </c>
      <c r="I2515" s="22">
        <v>12157.62</v>
      </c>
      <c r="J2515" s="24">
        <f t="shared" si="117"/>
        <v>8.4241631448172432E-5</v>
      </c>
      <c r="K2515" s="25">
        <f t="shared" si="119"/>
        <v>0.89780368403833388</v>
      </c>
      <c r="L2515" s="26" t="s">
        <v>7517</v>
      </c>
      <c r="M2515" s="28"/>
      <c r="N2515" s="28"/>
      <c r="O2515" s="20" t="s">
        <v>7530</v>
      </c>
      <c r="P2515" s="27" t="str">
        <f t="shared" si="118"/>
        <v>vermelho</v>
      </c>
    </row>
    <row r="2516" spans="1:16" ht="25.5">
      <c r="A2516" s="3" t="s">
        <v>4</v>
      </c>
      <c r="B2516" s="3" t="s">
        <v>1711</v>
      </c>
      <c r="C2516" s="4">
        <v>317</v>
      </c>
      <c r="D2516" s="3" t="s">
        <v>78</v>
      </c>
      <c r="E2516" s="3" t="s">
        <v>10</v>
      </c>
      <c r="F2516" s="5">
        <v>96</v>
      </c>
      <c r="G2516" s="5">
        <v>159</v>
      </c>
      <c r="H2516" s="6">
        <v>6353.04</v>
      </c>
      <c r="I2516" s="22">
        <v>12156.51</v>
      </c>
      <c r="J2516" s="24">
        <f t="shared" si="117"/>
        <v>8.4233940122821949E-5</v>
      </c>
      <c r="K2516" s="25">
        <f t="shared" si="119"/>
        <v>0.89788791797845668</v>
      </c>
      <c r="L2516" s="26" t="s">
        <v>7517</v>
      </c>
      <c r="M2516" s="28"/>
      <c r="N2516" s="28"/>
      <c r="O2516" s="20" t="s">
        <v>7530</v>
      </c>
      <c r="P2516" s="27" t="str">
        <f t="shared" si="118"/>
        <v>vermelho</v>
      </c>
    </row>
    <row r="2517" spans="1:16" ht="25.5">
      <c r="A2517" s="3" t="s">
        <v>4</v>
      </c>
      <c r="B2517" s="3" t="s">
        <v>1712</v>
      </c>
      <c r="C2517" s="4">
        <v>218</v>
      </c>
      <c r="D2517" s="3" t="s">
        <v>104</v>
      </c>
      <c r="E2517" s="3" t="s">
        <v>16</v>
      </c>
      <c r="F2517" s="5">
        <v>300</v>
      </c>
      <c r="G2517" s="5">
        <v>228</v>
      </c>
      <c r="H2517" s="6">
        <v>17139.48</v>
      </c>
      <c r="I2517" s="22">
        <v>12153.72</v>
      </c>
      <c r="J2517" s="24">
        <f t="shared" si="117"/>
        <v>8.421460787261668E-5</v>
      </c>
      <c r="K2517" s="25">
        <f t="shared" si="119"/>
        <v>0.89797213258632935</v>
      </c>
      <c r="L2517" s="26" t="s">
        <v>7517</v>
      </c>
      <c r="M2517" s="28"/>
      <c r="N2517" s="28"/>
      <c r="O2517" s="20">
        <v>7350.36</v>
      </c>
      <c r="P2517" s="27" t="str">
        <f t="shared" si="118"/>
        <v>laranja</v>
      </c>
    </row>
    <row r="2518" spans="1:16" ht="51">
      <c r="A2518" s="3" t="s">
        <v>4</v>
      </c>
      <c r="B2518" s="3" t="s">
        <v>1713</v>
      </c>
      <c r="C2518" s="4">
        <v>282</v>
      </c>
      <c r="D2518" s="3" t="s">
        <v>12</v>
      </c>
      <c r="E2518" s="3" t="s">
        <v>13</v>
      </c>
      <c r="F2518" s="5">
        <v>0</v>
      </c>
      <c r="G2518" s="5">
        <v>252</v>
      </c>
      <c r="H2518" s="6">
        <v>0</v>
      </c>
      <c r="I2518" s="22">
        <v>12123.307000000001</v>
      </c>
      <c r="J2518" s="24">
        <f t="shared" si="117"/>
        <v>8.4003872487135547E-5</v>
      </c>
      <c r="K2518" s="25">
        <f t="shared" si="119"/>
        <v>0.89805613645881643</v>
      </c>
      <c r="L2518" s="26" t="s">
        <v>7517</v>
      </c>
      <c r="M2518" s="28"/>
      <c r="N2518" s="28"/>
      <c r="O2518" s="20" t="s">
        <v>7530</v>
      </c>
      <c r="P2518" s="27" t="str">
        <f t="shared" si="118"/>
        <v>vermelho</v>
      </c>
    </row>
    <row r="2519" spans="1:16" ht="25.5">
      <c r="A2519" s="3" t="s">
        <v>4</v>
      </c>
      <c r="B2519" s="3" t="s">
        <v>1714</v>
      </c>
      <c r="C2519" s="4">
        <v>23</v>
      </c>
      <c r="D2519" s="3" t="s">
        <v>87</v>
      </c>
      <c r="E2519" s="3" t="s">
        <v>7</v>
      </c>
      <c r="F2519" s="5">
        <v>126</v>
      </c>
      <c r="G2519" s="5">
        <v>195</v>
      </c>
      <c r="H2519" s="6">
        <v>7084.2</v>
      </c>
      <c r="I2519" s="22">
        <v>12122.7</v>
      </c>
      <c r="J2519" s="24">
        <f t="shared" si="117"/>
        <v>8.3999666510119563E-5</v>
      </c>
      <c r="K2519" s="25">
        <f t="shared" si="119"/>
        <v>0.8981401361253265</v>
      </c>
      <c r="L2519" s="26" t="s">
        <v>7517</v>
      </c>
      <c r="M2519" s="28"/>
      <c r="N2519" s="28"/>
      <c r="O2519" s="20">
        <v>19106.189999999999</v>
      </c>
      <c r="P2519" s="27" t="str">
        <f t="shared" si="118"/>
        <v>verde</v>
      </c>
    </row>
    <row r="2520" spans="1:16" ht="25.5">
      <c r="A2520" s="3" t="s">
        <v>4</v>
      </c>
      <c r="B2520" s="3" t="s">
        <v>1715</v>
      </c>
      <c r="C2520" s="4">
        <v>23</v>
      </c>
      <c r="D2520" s="3" t="s">
        <v>87</v>
      </c>
      <c r="E2520" s="3" t="s">
        <v>7</v>
      </c>
      <c r="F2520" s="5">
        <v>225</v>
      </c>
      <c r="G2520" s="5">
        <v>228</v>
      </c>
      <c r="H2520" s="6">
        <v>11692.59</v>
      </c>
      <c r="I2520" s="22">
        <v>12120.48</v>
      </c>
      <c r="J2520" s="24">
        <f t="shared" si="117"/>
        <v>8.398428385941861E-5</v>
      </c>
      <c r="K2520" s="25">
        <f t="shared" si="119"/>
        <v>0.89822412040918598</v>
      </c>
      <c r="L2520" s="26" t="s">
        <v>7517</v>
      </c>
      <c r="M2520" s="28"/>
      <c r="N2520" s="28"/>
      <c r="O2520" s="20">
        <v>10390.436</v>
      </c>
      <c r="P2520" s="27" t="str">
        <f t="shared" si="118"/>
        <v>laranja</v>
      </c>
    </row>
    <row r="2521" spans="1:16" ht="25.5">
      <c r="A2521" s="3" t="s">
        <v>4</v>
      </c>
      <c r="B2521" s="3" t="s">
        <v>1716</v>
      </c>
      <c r="C2521" s="4">
        <v>19</v>
      </c>
      <c r="D2521" s="3" t="s">
        <v>72</v>
      </c>
      <c r="E2521" s="3" t="s">
        <v>41</v>
      </c>
      <c r="F2521" s="5">
        <v>216</v>
      </c>
      <c r="G2521" s="5">
        <v>192</v>
      </c>
      <c r="H2521" s="6">
        <v>12104.52</v>
      </c>
      <c r="I2521" s="22">
        <v>12113.04</v>
      </c>
      <c r="J2521" s="24">
        <f t="shared" si="117"/>
        <v>8.3932731192204598E-5</v>
      </c>
      <c r="K2521" s="25">
        <f t="shared" si="119"/>
        <v>0.8983080531403782</v>
      </c>
      <c r="L2521" s="26" t="s">
        <v>7517</v>
      </c>
      <c r="M2521" s="28"/>
      <c r="N2521" s="28"/>
      <c r="O2521" s="20" t="s">
        <v>7530</v>
      </c>
      <c r="P2521" s="27" t="str">
        <f t="shared" si="118"/>
        <v>vermelho</v>
      </c>
    </row>
    <row r="2522" spans="1:16" ht="25.5">
      <c r="A2522" s="3" t="s">
        <v>4</v>
      </c>
      <c r="B2522" s="3" t="s">
        <v>1717</v>
      </c>
      <c r="C2522" s="4">
        <v>178</v>
      </c>
      <c r="D2522" s="3" t="s">
        <v>74</v>
      </c>
      <c r="E2522" s="3" t="s">
        <v>7</v>
      </c>
      <c r="F2522" s="5">
        <v>228</v>
      </c>
      <c r="G2522" s="5">
        <v>186</v>
      </c>
      <c r="H2522" s="6">
        <v>13485.72</v>
      </c>
      <c r="I2522" s="22">
        <v>12112.56</v>
      </c>
      <c r="J2522" s="24">
        <f t="shared" si="117"/>
        <v>8.3929405213674656E-5</v>
      </c>
      <c r="K2522" s="25">
        <f t="shared" si="119"/>
        <v>0.89839198254559183</v>
      </c>
      <c r="L2522" s="26" t="s">
        <v>7517</v>
      </c>
      <c r="M2522" s="28"/>
      <c r="N2522" s="28"/>
      <c r="O2522" s="20">
        <v>7117.68</v>
      </c>
      <c r="P2522" s="27" t="str">
        <f t="shared" si="118"/>
        <v>laranja</v>
      </c>
    </row>
    <row r="2523" spans="1:16" ht="38.25">
      <c r="A2523" s="3" t="s">
        <v>4</v>
      </c>
      <c r="B2523" s="3" t="s">
        <v>1718</v>
      </c>
      <c r="C2523" s="4">
        <v>45</v>
      </c>
      <c r="D2523" s="3" t="s">
        <v>23</v>
      </c>
      <c r="E2523" s="3" t="s">
        <v>7</v>
      </c>
      <c r="F2523" s="5">
        <v>207</v>
      </c>
      <c r="G2523" s="5">
        <v>192</v>
      </c>
      <c r="H2523" s="6">
        <v>10744.352999999999</v>
      </c>
      <c r="I2523" s="22">
        <v>12105.72</v>
      </c>
      <c r="J2523" s="24">
        <f t="shared" si="117"/>
        <v>8.3882010019623065E-5</v>
      </c>
      <c r="K2523" s="25">
        <f t="shared" si="119"/>
        <v>0.89847586455561146</v>
      </c>
      <c r="L2523" s="26" t="s">
        <v>7517</v>
      </c>
      <c r="M2523" s="28"/>
      <c r="N2523" s="28"/>
      <c r="O2523" s="20">
        <v>6284.76</v>
      </c>
      <c r="P2523" s="27" t="str">
        <f t="shared" si="118"/>
        <v>laranja</v>
      </c>
    </row>
    <row r="2524" spans="1:16" ht="25.5">
      <c r="A2524" s="3" t="s">
        <v>4</v>
      </c>
      <c r="B2524" s="3" t="s">
        <v>1719</v>
      </c>
      <c r="C2524" s="4">
        <v>23</v>
      </c>
      <c r="D2524" s="3" t="s">
        <v>87</v>
      </c>
      <c r="E2524" s="3" t="s">
        <v>7</v>
      </c>
      <c r="F2524" s="5">
        <v>279</v>
      </c>
      <c r="G2524" s="5">
        <v>210</v>
      </c>
      <c r="H2524" s="6">
        <v>17094.21</v>
      </c>
      <c r="I2524" s="22">
        <v>12104.46</v>
      </c>
      <c r="J2524" s="24">
        <f t="shared" si="117"/>
        <v>8.3873279325981983E-5</v>
      </c>
      <c r="K2524" s="25">
        <f t="shared" si="119"/>
        <v>0.89855973783493748</v>
      </c>
      <c r="L2524" s="26" t="s">
        <v>7517</v>
      </c>
      <c r="M2524" s="28"/>
      <c r="N2524" s="28"/>
      <c r="O2524" s="20">
        <v>6563.52</v>
      </c>
      <c r="P2524" s="27" t="str">
        <f t="shared" si="118"/>
        <v>laranja</v>
      </c>
    </row>
    <row r="2525" spans="1:16" ht="25.5">
      <c r="A2525" s="3" t="s">
        <v>4</v>
      </c>
      <c r="B2525" s="3" t="s">
        <v>1720</v>
      </c>
      <c r="C2525" s="4">
        <v>41</v>
      </c>
      <c r="D2525" s="3" t="s">
        <v>178</v>
      </c>
      <c r="E2525" s="3" t="s">
        <v>41</v>
      </c>
      <c r="F2525" s="5">
        <v>0</v>
      </c>
      <c r="G2525" s="5">
        <v>192</v>
      </c>
      <c r="H2525" s="6">
        <v>0</v>
      </c>
      <c r="I2525" s="22">
        <v>12099.78</v>
      </c>
      <c r="J2525" s="24">
        <f t="shared" si="117"/>
        <v>8.3840851035315119E-5</v>
      </c>
      <c r="K2525" s="25">
        <f t="shared" si="119"/>
        <v>0.89864357868597278</v>
      </c>
      <c r="L2525" s="26" t="s">
        <v>7517</v>
      </c>
      <c r="M2525" s="28"/>
      <c r="N2525" s="28"/>
      <c r="O2525" s="20" t="s">
        <v>7530</v>
      </c>
      <c r="P2525" s="27" t="str">
        <f t="shared" si="118"/>
        <v>vermelho</v>
      </c>
    </row>
    <row r="2526" spans="1:16" ht="51">
      <c r="A2526" s="3" t="s">
        <v>6609</v>
      </c>
      <c r="B2526" s="3" t="s">
        <v>6610</v>
      </c>
      <c r="C2526" s="4">
        <v>282</v>
      </c>
      <c r="D2526" s="3" t="s">
        <v>12</v>
      </c>
      <c r="E2526" s="3" t="s">
        <v>13</v>
      </c>
      <c r="F2526" s="5">
        <v>348</v>
      </c>
      <c r="G2526" s="5">
        <v>180</v>
      </c>
      <c r="H2526" s="6">
        <v>19075.2</v>
      </c>
      <c r="I2526" s="22">
        <v>12091.08</v>
      </c>
      <c r="J2526" s="24">
        <f t="shared" si="117"/>
        <v>8.3780567674460012E-5</v>
      </c>
      <c r="K2526" s="25">
        <f t="shared" si="119"/>
        <v>0.89872735925364722</v>
      </c>
      <c r="L2526" s="26" t="s">
        <v>7517</v>
      </c>
      <c r="M2526" s="28"/>
      <c r="N2526" s="28"/>
      <c r="O2526" s="20" t="s">
        <v>7530</v>
      </c>
      <c r="P2526" s="27" t="str">
        <f t="shared" si="118"/>
        <v>vermelho</v>
      </c>
    </row>
    <row r="2527" spans="1:16" ht="38.25">
      <c r="A2527" s="3" t="s">
        <v>4</v>
      </c>
      <c r="B2527" s="3" t="s">
        <v>1721</v>
      </c>
      <c r="C2527" s="4">
        <v>292</v>
      </c>
      <c r="D2527" s="3" t="s">
        <v>57</v>
      </c>
      <c r="E2527" s="3" t="s">
        <v>49</v>
      </c>
      <c r="F2527" s="5">
        <v>312</v>
      </c>
      <c r="G2527" s="5">
        <v>264</v>
      </c>
      <c r="H2527" s="6">
        <v>16865.256000000001</v>
      </c>
      <c r="I2527" s="22">
        <v>12080.4</v>
      </c>
      <c r="J2527" s="24">
        <f t="shared" si="117"/>
        <v>8.3706564652168936E-5</v>
      </c>
      <c r="K2527" s="25">
        <f t="shared" si="119"/>
        <v>0.89881106581829939</v>
      </c>
      <c r="L2527" s="26" t="s">
        <v>7517</v>
      </c>
      <c r="M2527" s="28"/>
      <c r="N2527" s="28"/>
      <c r="O2527" s="20" t="s">
        <v>7530</v>
      </c>
      <c r="P2527" s="27" t="str">
        <f t="shared" si="118"/>
        <v>vermelho</v>
      </c>
    </row>
    <row r="2528" spans="1:16">
      <c r="A2528" s="3" t="s">
        <v>4</v>
      </c>
      <c r="B2528" s="3" t="s">
        <v>1722</v>
      </c>
      <c r="C2528" s="4">
        <v>167</v>
      </c>
      <c r="D2528" s="3" t="s">
        <v>251</v>
      </c>
      <c r="E2528" s="3" t="s">
        <v>49</v>
      </c>
      <c r="F2528" s="5">
        <v>108</v>
      </c>
      <c r="G2528" s="5">
        <v>231</v>
      </c>
      <c r="H2528" s="6">
        <v>5944.68</v>
      </c>
      <c r="I2528" s="22">
        <v>12074.2</v>
      </c>
      <c r="J2528" s="24">
        <f t="shared" si="117"/>
        <v>8.3663604096157268E-5</v>
      </c>
      <c r="K2528" s="25">
        <f t="shared" si="119"/>
        <v>0.89889472942239557</v>
      </c>
      <c r="L2528" s="26" t="s">
        <v>7517</v>
      </c>
      <c r="M2528" s="28"/>
      <c r="N2528" s="28"/>
      <c r="O2528" s="20" t="s">
        <v>7530</v>
      </c>
      <c r="P2528" s="27" t="str">
        <f t="shared" si="118"/>
        <v>vermelho</v>
      </c>
    </row>
    <row r="2529" spans="1:16" ht="25.5">
      <c r="A2529" s="3" t="s">
        <v>4</v>
      </c>
      <c r="B2529" s="3" t="s">
        <v>1723</v>
      </c>
      <c r="C2529" s="4">
        <v>335</v>
      </c>
      <c r="D2529" s="3" t="s">
        <v>36</v>
      </c>
      <c r="E2529" s="3" t="s">
        <v>7</v>
      </c>
      <c r="F2529" s="5">
        <v>0</v>
      </c>
      <c r="G2529" s="5">
        <v>234</v>
      </c>
      <c r="H2529" s="6">
        <v>0</v>
      </c>
      <c r="I2529" s="22">
        <v>12066.51</v>
      </c>
      <c r="J2529" s="24">
        <f t="shared" si="117"/>
        <v>8.3610319148458916E-5</v>
      </c>
      <c r="K2529" s="25">
        <f t="shared" si="119"/>
        <v>0.89897833974154406</v>
      </c>
      <c r="L2529" s="26" t="s">
        <v>7517</v>
      </c>
      <c r="M2529" s="28">
        <v>-5.2604224116582381E-2</v>
      </c>
      <c r="N2529" s="28"/>
      <c r="O2529" s="20">
        <v>7999.23</v>
      </c>
      <c r="P2529" s="27" t="str">
        <f t="shared" si="118"/>
        <v>laranja</v>
      </c>
    </row>
    <row r="2530" spans="1:16" ht="38.25">
      <c r="A2530" s="3" t="s">
        <v>4</v>
      </c>
      <c r="B2530" s="3" t="s">
        <v>1724</v>
      </c>
      <c r="C2530" s="4">
        <v>38</v>
      </c>
      <c r="D2530" s="3" t="s">
        <v>184</v>
      </c>
      <c r="E2530" s="3" t="s">
        <v>49</v>
      </c>
      <c r="F2530" s="5">
        <v>144</v>
      </c>
      <c r="G2530" s="5">
        <v>228</v>
      </c>
      <c r="H2530" s="6">
        <v>9544.56</v>
      </c>
      <c r="I2530" s="22">
        <v>12050.04</v>
      </c>
      <c r="J2530" s="24">
        <f t="shared" si="117"/>
        <v>8.3496196510150479E-5</v>
      </c>
      <c r="K2530" s="25">
        <f t="shared" si="119"/>
        <v>0.89906183593805422</v>
      </c>
      <c r="L2530" s="26" t="s">
        <v>7517</v>
      </c>
      <c r="M2530" s="28"/>
      <c r="N2530" s="28"/>
      <c r="O2530" s="20" t="s">
        <v>7530</v>
      </c>
      <c r="P2530" s="27" t="str">
        <f t="shared" si="118"/>
        <v>vermelho</v>
      </c>
    </row>
    <row r="2531" spans="1:16" ht="38.25">
      <c r="A2531" s="3" t="s">
        <v>4</v>
      </c>
      <c r="B2531" s="3" t="s">
        <v>1725</v>
      </c>
      <c r="C2531" s="4">
        <v>38</v>
      </c>
      <c r="D2531" s="3" t="s">
        <v>184</v>
      </c>
      <c r="E2531" s="3" t="s">
        <v>49</v>
      </c>
      <c r="F2531" s="5">
        <v>132</v>
      </c>
      <c r="G2531" s="5">
        <v>228</v>
      </c>
      <c r="H2531" s="6">
        <v>8632.68</v>
      </c>
      <c r="I2531" s="22">
        <v>12050.04</v>
      </c>
      <c r="J2531" s="24">
        <f t="shared" si="117"/>
        <v>8.3496196510150479E-5</v>
      </c>
      <c r="K2531" s="25">
        <f t="shared" si="119"/>
        <v>0.89914533213456438</v>
      </c>
      <c r="L2531" s="26" t="s">
        <v>7517</v>
      </c>
      <c r="M2531" s="28"/>
      <c r="N2531" s="28"/>
      <c r="O2531" s="20" t="s">
        <v>7530</v>
      </c>
      <c r="P2531" s="27" t="str">
        <f t="shared" si="118"/>
        <v>vermelho</v>
      </c>
    </row>
    <row r="2532" spans="1:16" ht="25.5">
      <c r="A2532" s="3" t="s">
        <v>6611</v>
      </c>
      <c r="B2532" s="3" t="s">
        <v>6612</v>
      </c>
      <c r="C2532" s="4">
        <v>93</v>
      </c>
      <c r="D2532" s="3" t="s">
        <v>20</v>
      </c>
      <c r="E2532" s="3" t="s">
        <v>7</v>
      </c>
      <c r="F2532" s="5">
        <v>468</v>
      </c>
      <c r="G2532" s="5">
        <v>276</v>
      </c>
      <c r="H2532" s="6">
        <v>15365.16</v>
      </c>
      <c r="I2532" s="22">
        <v>12046.56</v>
      </c>
      <c r="J2532" s="24">
        <f t="shared" si="117"/>
        <v>8.3472083165808431E-5</v>
      </c>
      <c r="K2532" s="25">
        <f t="shared" si="119"/>
        <v>0.89922880421773022</v>
      </c>
      <c r="L2532" s="26" t="s">
        <v>7517</v>
      </c>
      <c r="M2532" s="28"/>
      <c r="N2532" s="28"/>
      <c r="O2532" s="20" t="s">
        <v>7530</v>
      </c>
      <c r="P2532" s="27" t="str">
        <f t="shared" si="118"/>
        <v>vermelho</v>
      </c>
    </row>
    <row r="2533" spans="1:16" ht="25.5">
      <c r="A2533" s="3" t="s">
        <v>4</v>
      </c>
      <c r="B2533" s="3" t="s">
        <v>1726</v>
      </c>
      <c r="C2533" s="4">
        <v>53</v>
      </c>
      <c r="D2533" s="3" t="s">
        <v>34</v>
      </c>
      <c r="E2533" s="3" t="s">
        <v>16</v>
      </c>
      <c r="F2533" s="5">
        <v>72</v>
      </c>
      <c r="G2533" s="5">
        <v>192</v>
      </c>
      <c r="H2533" s="6">
        <v>4840.8</v>
      </c>
      <c r="I2533" s="22">
        <v>12046.08</v>
      </c>
      <c r="J2533" s="24">
        <f t="shared" si="117"/>
        <v>8.3468757187278502E-5</v>
      </c>
      <c r="K2533" s="25">
        <f t="shared" si="119"/>
        <v>0.89931227297491745</v>
      </c>
      <c r="L2533" s="26" t="s">
        <v>7517</v>
      </c>
      <c r="M2533" s="28"/>
      <c r="N2533" s="28"/>
      <c r="O2533" s="20" t="s">
        <v>7530</v>
      </c>
      <c r="P2533" s="27" t="str">
        <f t="shared" si="118"/>
        <v>vermelho</v>
      </c>
    </row>
    <row r="2534" spans="1:16" ht="25.5">
      <c r="A2534" s="3" t="s">
        <v>4</v>
      </c>
      <c r="B2534" s="3" t="s">
        <v>1727</v>
      </c>
      <c r="C2534" s="4">
        <v>53</v>
      </c>
      <c r="D2534" s="3" t="s">
        <v>34</v>
      </c>
      <c r="E2534" s="3" t="s">
        <v>16</v>
      </c>
      <c r="F2534" s="5">
        <v>216</v>
      </c>
      <c r="G2534" s="5">
        <v>240</v>
      </c>
      <c r="H2534" s="6">
        <v>9714.9599999999991</v>
      </c>
      <c r="I2534" s="22">
        <v>12038.4</v>
      </c>
      <c r="J2534" s="24">
        <f t="shared" si="117"/>
        <v>8.3415541530799519E-5</v>
      </c>
      <c r="K2534" s="25">
        <f t="shared" si="119"/>
        <v>0.89939568851644824</v>
      </c>
      <c r="L2534" s="26" t="s">
        <v>7517</v>
      </c>
      <c r="M2534" s="28"/>
      <c r="N2534" s="28"/>
      <c r="O2534" s="20" t="s">
        <v>7530</v>
      </c>
      <c r="P2534" s="27" t="str">
        <f t="shared" si="118"/>
        <v>vermelho</v>
      </c>
    </row>
    <row r="2535" spans="1:16" ht="25.5">
      <c r="A2535" s="3" t="s">
        <v>4</v>
      </c>
      <c r="B2535" s="3" t="s">
        <v>1728</v>
      </c>
      <c r="C2535" s="4">
        <v>74</v>
      </c>
      <c r="D2535" s="3" t="s">
        <v>6</v>
      </c>
      <c r="E2535" s="3" t="s">
        <v>7</v>
      </c>
      <c r="F2535" s="5">
        <v>0</v>
      </c>
      <c r="G2535" s="5">
        <v>240</v>
      </c>
      <c r="H2535" s="6">
        <v>0</v>
      </c>
      <c r="I2535" s="22">
        <v>12030.72</v>
      </c>
      <c r="J2535" s="24">
        <f t="shared" si="117"/>
        <v>8.3362325874320535E-5</v>
      </c>
      <c r="K2535" s="25">
        <f t="shared" si="119"/>
        <v>0.8994790508423226</v>
      </c>
      <c r="L2535" s="26" t="s">
        <v>7517</v>
      </c>
      <c r="M2535" s="28"/>
      <c r="N2535" s="28"/>
      <c r="O2535" s="20" t="s">
        <v>7530</v>
      </c>
      <c r="P2535" s="27" t="str">
        <f t="shared" si="118"/>
        <v>vermelho</v>
      </c>
    </row>
    <row r="2536" spans="1:16" ht="25.5">
      <c r="A2536" s="3" t="s">
        <v>4</v>
      </c>
      <c r="B2536" s="3" t="s">
        <v>1729</v>
      </c>
      <c r="C2536" s="4">
        <v>178</v>
      </c>
      <c r="D2536" s="3" t="s">
        <v>74</v>
      </c>
      <c r="E2536" s="3" t="s">
        <v>7</v>
      </c>
      <c r="F2536" s="5">
        <v>60</v>
      </c>
      <c r="G2536" s="5">
        <v>216</v>
      </c>
      <c r="H2536" s="6">
        <v>3587.4</v>
      </c>
      <c r="I2536" s="22">
        <v>12018</v>
      </c>
      <c r="J2536" s="24">
        <f t="shared" si="117"/>
        <v>8.3274187443277238E-5</v>
      </c>
      <c r="K2536" s="25">
        <f t="shared" si="119"/>
        <v>0.89956232502976585</v>
      </c>
      <c r="L2536" s="26" t="s">
        <v>7517</v>
      </c>
      <c r="M2536" s="28"/>
      <c r="N2536" s="28"/>
      <c r="O2536" s="20">
        <v>10673.16</v>
      </c>
      <c r="P2536" s="27" t="str">
        <f t="shared" si="118"/>
        <v>laranja</v>
      </c>
    </row>
    <row r="2537" spans="1:16">
      <c r="A2537" s="3" t="s">
        <v>4</v>
      </c>
      <c r="B2537" s="3" t="s">
        <v>1730</v>
      </c>
      <c r="C2537" s="4">
        <v>232</v>
      </c>
      <c r="D2537" s="3" t="s">
        <v>174</v>
      </c>
      <c r="E2537" s="3" t="s">
        <v>16</v>
      </c>
      <c r="F2537" s="5">
        <v>0</v>
      </c>
      <c r="G2537" s="5">
        <v>198</v>
      </c>
      <c r="H2537" s="6">
        <v>0</v>
      </c>
      <c r="I2537" s="22">
        <v>12012.12</v>
      </c>
      <c r="J2537" s="24">
        <f t="shared" si="117"/>
        <v>8.3233444206285518E-5</v>
      </c>
      <c r="K2537" s="25">
        <f t="shared" si="119"/>
        <v>0.8996455584739721</v>
      </c>
      <c r="L2537" s="26" t="s">
        <v>7517</v>
      </c>
      <c r="M2537" s="28"/>
      <c r="N2537" s="28"/>
      <c r="O2537" s="20" t="s">
        <v>7530</v>
      </c>
      <c r="P2537" s="27" t="str">
        <f t="shared" si="118"/>
        <v>vermelho</v>
      </c>
    </row>
    <row r="2538" spans="1:16" ht="38.25">
      <c r="A2538" s="3" t="s">
        <v>4</v>
      </c>
      <c r="B2538" s="3" t="s">
        <v>1731</v>
      </c>
      <c r="C2538" s="4">
        <v>371</v>
      </c>
      <c r="D2538" s="3" t="s">
        <v>82</v>
      </c>
      <c r="E2538" s="3" t="s">
        <v>49</v>
      </c>
      <c r="F2538" s="5">
        <v>417</v>
      </c>
      <c r="G2538" s="5">
        <v>228</v>
      </c>
      <c r="H2538" s="6">
        <v>21358.59</v>
      </c>
      <c r="I2538" s="22">
        <v>12009</v>
      </c>
      <c r="J2538" s="24">
        <f t="shared" si="117"/>
        <v>8.3211825345840933E-5</v>
      </c>
      <c r="K2538" s="25">
        <f t="shared" si="119"/>
        <v>0.89972877029931797</v>
      </c>
      <c r="L2538" s="26" t="s">
        <v>7517</v>
      </c>
      <c r="M2538" s="28"/>
      <c r="N2538" s="28"/>
      <c r="O2538" s="20" t="s">
        <v>7530</v>
      </c>
      <c r="P2538" s="27" t="str">
        <f t="shared" si="118"/>
        <v>vermelho</v>
      </c>
    </row>
    <row r="2539" spans="1:16">
      <c r="A2539" s="3" t="s">
        <v>4</v>
      </c>
      <c r="B2539" s="3" t="s">
        <v>1732</v>
      </c>
      <c r="C2539" s="4">
        <v>217</v>
      </c>
      <c r="D2539" s="3" t="s">
        <v>91</v>
      </c>
      <c r="E2539" s="3" t="s">
        <v>16</v>
      </c>
      <c r="F2539" s="5">
        <v>72</v>
      </c>
      <c r="G2539" s="5">
        <v>168</v>
      </c>
      <c r="H2539" s="6">
        <v>3230.64</v>
      </c>
      <c r="I2539" s="22">
        <v>12006.84</v>
      </c>
      <c r="J2539" s="24">
        <f t="shared" si="117"/>
        <v>8.319685844245622E-5</v>
      </c>
      <c r="K2539" s="25">
        <f t="shared" si="119"/>
        <v>0.89981196715776046</v>
      </c>
      <c r="L2539" s="26" t="s">
        <v>7517</v>
      </c>
      <c r="M2539" s="28"/>
      <c r="N2539" s="28"/>
      <c r="O2539" s="20">
        <v>5392.08</v>
      </c>
      <c r="P2539" s="27" t="str">
        <f t="shared" si="118"/>
        <v>amarelo</v>
      </c>
    </row>
    <row r="2540" spans="1:16" ht="25.5">
      <c r="A2540" s="3" t="s">
        <v>4</v>
      </c>
      <c r="B2540" s="3" t="s">
        <v>1733</v>
      </c>
      <c r="C2540" s="4">
        <v>197</v>
      </c>
      <c r="D2540" s="3" t="s">
        <v>66</v>
      </c>
      <c r="E2540" s="3" t="s">
        <v>41</v>
      </c>
      <c r="F2540" s="5">
        <v>156</v>
      </c>
      <c r="G2540" s="5">
        <v>192</v>
      </c>
      <c r="H2540" s="6">
        <v>8445.48</v>
      </c>
      <c r="I2540" s="22">
        <v>12005.7</v>
      </c>
      <c r="J2540" s="24">
        <f t="shared" si="117"/>
        <v>8.3188959243447617E-5</v>
      </c>
      <c r="K2540" s="25">
        <f t="shared" si="119"/>
        <v>0.89989515611700388</v>
      </c>
      <c r="L2540" s="26" t="s">
        <v>7517</v>
      </c>
      <c r="M2540" s="28"/>
      <c r="N2540" s="28"/>
      <c r="O2540" s="20" t="s">
        <v>7530</v>
      </c>
      <c r="P2540" s="27" t="str">
        <f t="shared" si="118"/>
        <v>vermelho</v>
      </c>
    </row>
    <row r="2541" spans="1:16" ht="25.5">
      <c r="A2541" s="3" t="s">
        <v>4</v>
      </c>
      <c r="B2541" s="3" t="s">
        <v>1734</v>
      </c>
      <c r="C2541" s="4">
        <v>273</v>
      </c>
      <c r="D2541" s="3" t="s">
        <v>149</v>
      </c>
      <c r="E2541" s="3" t="s">
        <v>16</v>
      </c>
      <c r="F2541" s="5">
        <v>174</v>
      </c>
      <c r="G2541" s="5">
        <v>180</v>
      </c>
      <c r="H2541" s="6">
        <v>9993.8700000000008</v>
      </c>
      <c r="I2541" s="22">
        <v>11999.763000000001</v>
      </c>
      <c r="J2541" s="24">
        <f t="shared" si="117"/>
        <v>8.3147821046505478E-5</v>
      </c>
      <c r="K2541" s="25">
        <f t="shared" si="119"/>
        <v>0.89997830393805034</v>
      </c>
      <c r="L2541" s="26" t="s">
        <v>7517</v>
      </c>
      <c r="M2541" s="28"/>
      <c r="N2541" s="28"/>
      <c r="O2541" s="20">
        <v>3884.34</v>
      </c>
      <c r="P2541" s="27" t="str">
        <f t="shared" si="118"/>
        <v>amarelo</v>
      </c>
    </row>
    <row r="2542" spans="1:16" ht="25.5">
      <c r="A2542" s="3" t="s">
        <v>4</v>
      </c>
      <c r="B2542" s="3" t="s">
        <v>1735</v>
      </c>
      <c r="C2542" s="4">
        <v>315</v>
      </c>
      <c r="D2542" s="3" t="s">
        <v>63</v>
      </c>
      <c r="E2542" s="3" t="s">
        <v>7</v>
      </c>
      <c r="F2542" s="5">
        <v>42</v>
      </c>
      <c r="G2542" s="5">
        <v>192</v>
      </c>
      <c r="H2542" s="6">
        <v>2280.9299999999998</v>
      </c>
      <c r="I2542" s="22">
        <v>11999.164000000001</v>
      </c>
      <c r="J2542" s="24">
        <f t="shared" si="117"/>
        <v>8.3143670502464992E-5</v>
      </c>
      <c r="K2542" s="25">
        <f t="shared" si="119"/>
        <v>0.90006144760855278</v>
      </c>
      <c r="L2542" s="26" t="s">
        <v>7517</v>
      </c>
      <c r="M2542" s="28"/>
      <c r="N2542" s="28"/>
      <c r="O2542" s="20" t="s">
        <v>7530</v>
      </c>
      <c r="P2542" s="27" t="str">
        <f t="shared" si="118"/>
        <v>vermelho</v>
      </c>
    </row>
    <row r="2543" spans="1:16" ht="25.5">
      <c r="A2543" s="3" t="s">
        <v>4</v>
      </c>
      <c r="B2543" s="3" t="s">
        <v>1736</v>
      </c>
      <c r="C2543" s="4">
        <v>167</v>
      </c>
      <c r="D2543" s="3" t="s">
        <v>251</v>
      </c>
      <c r="E2543" s="3" t="s">
        <v>49</v>
      </c>
      <c r="F2543" s="5">
        <v>183</v>
      </c>
      <c r="G2543" s="5">
        <v>207</v>
      </c>
      <c r="H2543" s="6">
        <v>9880.65</v>
      </c>
      <c r="I2543" s="22">
        <v>11997.72</v>
      </c>
      <c r="J2543" s="24">
        <f t="shared" si="117"/>
        <v>8.3133664850387423E-5</v>
      </c>
      <c r="K2543" s="25">
        <f t="shared" si="119"/>
        <v>0.90014458127340313</v>
      </c>
      <c r="L2543" s="26" t="s">
        <v>7517</v>
      </c>
      <c r="M2543" s="28"/>
      <c r="N2543" s="28"/>
      <c r="O2543" s="20" t="s">
        <v>7530</v>
      </c>
      <c r="P2543" s="27" t="str">
        <f t="shared" si="118"/>
        <v>vermelho</v>
      </c>
    </row>
    <row r="2544" spans="1:16" ht="38.25">
      <c r="A2544" s="3" t="s">
        <v>4</v>
      </c>
      <c r="B2544" s="3" t="s">
        <v>1737</v>
      </c>
      <c r="C2544" s="4">
        <v>371</v>
      </c>
      <c r="D2544" s="3" t="s">
        <v>82</v>
      </c>
      <c r="E2544" s="3" t="s">
        <v>49</v>
      </c>
      <c r="F2544" s="5">
        <v>822</v>
      </c>
      <c r="G2544" s="5">
        <v>267</v>
      </c>
      <c r="H2544" s="6">
        <v>37722.485999999997</v>
      </c>
      <c r="I2544" s="22">
        <v>11995.47</v>
      </c>
      <c r="J2544" s="24">
        <f t="shared" si="117"/>
        <v>8.311807432602835E-5</v>
      </c>
      <c r="K2544" s="25">
        <f t="shared" si="119"/>
        <v>0.90022769934772917</v>
      </c>
      <c r="L2544" s="26" t="s">
        <v>7517</v>
      </c>
      <c r="M2544" s="28">
        <v>-1.6181684872121467E-2</v>
      </c>
      <c r="N2544" s="28"/>
      <c r="O2544" s="20" t="s">
        <v>7530</v>
      </c>
      <c r="P2544" s="27" t="str">
        <f t="shared" si="118"/>
        <v>vermelho</v>
      </c>
    </row>
    <row r="2545" spans="1:16" ht="25.5">
      <c r="A2545" s="3" t="s">
        <v>4</v>
      </c>
      <c r="B2545" s="3" t="s">
        <v>1738</v>
      </c>
      <c r="C2545" s="4">
        <v>178</v>
      </c>
      <c r="D2545" s="3" t="s">
        <v>74</v>
      </c>
      <c r="E2545" s="3" t="s">
        <v>7</v>
      </c>
      <c r="F2545" s="5">
        <v>0</v>
      </c>
      <c r="G2545" s="5">
        <v>204</v>
      </c>
      <c r="H2545" s="6">
        <v>0</v>
      </c>
      <c r="I2545" s="22">
        <v>11984.76</v>
      </c>
      <c r="J2545" s="24">
        <f t="shared" si="117"/>
        <v>8.3043863430079154E-5</v>
      </c>
      <c r="K2545" s="25">
        <f t="shared" si="119"/>
        <v>0.90031074321115923</v>
      </c>
      <c r="L2545" s="26" t="s">
        <v>7517</v>
      </c>
      <c r="M2545" s="28"/>
      <c r="N2545" s="28"/>
      <c r="O2545" s="20" t="s">
        <v>7530</v>
      </c>
      <c r="P2545" s="27" t="str">
        <f t="shared" si="118"/>
        <v>vermelho</v>
      </c>
    </row>
    <row r="2546" spans="1:16" ht="25.5">
      <c r="A2546" s="3" t="s">
        <v>4</v>
      </c>
      <c r="B2546" s="3" t="s">
        <v>1739</v>
      </c>
      <c r="C2546" s="4">
        <v>178</v>
      </c>
      <c r="D2546" s="3" t="s">
        <v>74</v>
      </c>
      <c r="E2546" s="3" t="s">
        <v>7</v>
      </c>
      <c r="F2546" s="5">
        <v>0</v>
      </c>
      <c r="G2546" s="5">
        <v>204</v>
      </c>
      <c r="H2546" s="6">
        <v>0</v>
      </c>
      <c r="I2546" s="22">
        <v>11984.76</v>
      </c>
      <c r="J2546" s="24">
        <f t="shared" si="117"/>
        <v>8.3043863430079154E-5</v>
      </c>
      <c r="K2546" s="25">
        <f t="shared" si="119"/>
        <v>0.90039378707458928</v>
      </c>
      <c r="L2546" s="26" t="s">
        <v>7517</v>
      </c>
      <c r="M2546" s="28"/>
      <c r="N2546" s="28"/>
      <c r="O2546" s="20" t="s">
        <v>7530</v>
      </c>
      <c r="P2546" s="27" t="str">
        <f t="shared" si="118"/>
        <v>vermelho</v>
      </c>
    </row>
    <row r="2547" spans="1:16" ht="25.5">
      <c r="A2547" s="3" t="s">
        <v>4</v>
      </c>
      <c r="B2547" s="3" t="s">
        <v>1740</v>
      </c>
      <c r="C2547" s="4">
        <v>335</v>
      </c>
      <c r="D2547" s="3" t="s">
        <v>36</v>
      </c>
      <c r="E2547" s="3" t="s">
        <v>7</v>
      </c>
      <c r="F2547" s="5">
        <v>501</v>
      </c>
      <c r="G2547" s="5">
        <v>180</v>
      </c>
      <c r="H2547" s="6">
        <v>28447.59</v>
      </c>
      <c r="I2547" s="22">
        <v>11984.52</v>
      </c>
      <c r="J2547" s="24">
        <f t="shared" si="117"/>
        <v>8.3042200440814183E-5</v>
      </c>
      <c r="K2547" s="25">
        <f t="shared" si="119"/>
        <v>0.90047682927503014</v>
      </c>
      <c r="L2547" s="26" t="s">
        <v>7517</v>
      </c>
      <c r="M2547" s="28"/>
      <c r="N2547" s="28"/>
      <c r="O2547" s="20" t="s">
        <v>7530</v>
      </c>
      <c r="P2547" s="27" t="str">
        <f t="shared" si="118"/>
        <v>vermelho</v>
      </c>
    </row>
    <row r="2548" spans="1:16" ht="25.5">
      <c r="A2548" s="3" t="s">
        <v>4</v>
      </c>
      <c r="B2548" s="3" t="s">
        <v>1741</v>
      </c>
      <c r="C2548" s="4">
        <v>296</v>
      </c>
      <c r="D2548" s="3" t="s">
        <v>282</v>
      </c>
      <c r="E2548" s="3" t="s">
        <v>10</v>
      </c>
      <c r="F2548" s="5">
        <v>0</v>
      </c>
      <c r="G2548" s="5">
        <v>225</v>
      </c>
      <c r="H2548" s="6">
        <v>0</v>
      </c>
      <c r="I2548" s="22">
        <v>11980.357</v>
      </c>
      <c r="J2548" s="24">
        <f t="shared" si="117"/>
        <v>8.301335450618893E-5</v>
      </c>
      <c r="K2548" s="25">
        <f t="shared" si="119"/>
        <v>0.90055984262953637</v>
      </c>
      <c r="L2548" s="26" t="s">
        <v>7517</v>
      </c>
      <c r="M2548" s="28"/>
      <c r="N2548" s="28"/>
      <c r="O2548" s="20" t="s">
        <v>7530</v>
      </c>
      <c r="P2548" s="27" t="str">
        <f t="shared" si="118"/>
        <v>vermelho</v>
      </c>
    </row>
    <row r="2549" spans="1:16" ht="25.5">
      <c r="A2549" s="3" t="s">
        <v>4</v>
      </c>
      <c r="B2549" s="3" t="s">
        <v>1742</v>
      </c>
      <c r="C2549" s="4">
        <v>317</v>
      </c>
      <c r="D2549" s="3" t="s">
        <v>78</v>
      </c>
      <c r="E2549" s="3" t="s">
        <v>10</v>
      </c>
      <c r="F2549" s="5">
        <v>0</v>
      </c>
      <c r="G2549" s="5">
        <v>192</v>
      </c>
      <c r="H2549" s="6">
        <v>0</v>
      </c>
      <c r="I2549" s="22">
        <v>11974.92</v>
      </c>
      <c r="J2549" s="24">
        <f t="shared" si="117"/>
        <v>8.2975680870215457E-5</v>
      </c>
      <c r="K2549" s="25">
        <f t="shared" si="119"/>
        <v>0.9006428183104066</v>
      </c>
      <c r="L2549" s="26" t="s">
        <v>7517</v>
      </c>
      <c r="M2549" s="28"/>
      <c r="N2549" s="28"/>
      <c r="O2549" s="20" t="s">
        <v>7530</v>
      </c>
      <c r="P2549" s="27" t="str">
        <f t="shared" si="118"/>
        <v>vermelho</v>
      </c>
    </row>
    <row r="2550" spans="1:16">
      <c r="A2550" s="3" t="s">
        <v>4</v>
      </c>
      <c r="B2550" s="3" t="s">
        <v>1743</v>
      </c>
      <c r="C2550" s="4">
        <v>15</v>
      </c>
      <c r="D2550" s="3" t="s">
        <v>18</v>
      </c>
      <c r="E2550" s="3" t="s">
        <v>16</v>
      </c>
      <c r="F2550" s="5">
        <v>234</v>
      </c>
      <c r="G2550" s="5">
        <v>180</v>
      </c>
      <c r="H2550" s="6">
        <v>13347.06</v>
      </c>
      <c r="I2550" s="22">
        <v>11967.36</v>
      </c>
      <c r="J2550" s="24">
        <f t="shared" si="117"/>
        <v>8.2923296708368966E-5</v>
      </c>
      <c r="K2550" s="25">
        <f t="shared" si="119"/>
        <v>0.90072574160711494</v>
      </c>
      <c r="L2550" s="26" t="s">
        <v>7517</v>
      </c>
      <c r="M2550" s="28"/>
      <c r="N2550" s="28"/>
      <c r="O2550" s="20" t="s">
        <v>7530</v>
      </c>
      <c r="P2550" s="27" t="str">
        <f t="shared" si="118"/>
        <v>vermelho</v>
      </c>
    </row>
    <row r="2551" spans="1:16">
      <c r="A2551" s="3" t="s">
        <v>6613</v>
      </c>
      <c r="B2551" s="3" t="s">
        <v>6614</v>
      </c>
      <c r="C2551" s="4">
        <v>240</v>
      </c>
      <c r="D2551" s="3" t="s">
        <v>69</v>
      </c>
      <c r="E2551" s="3" t="s">
        <v>16</v>
      </c>
      <c r="F2551" s="5">
        <v>0</v>
      </c>
      <c r="G2551" s="5">
        <v>240</v>
      </c>
      <c r="H2551" s="6">
        <v>0</v>
      </c>
      <c r="I2551" s="22">
        <v>11952.72</v>
      </c>
      <c r="J2551" s="24">
        <f t="shared" si="117"/>
        <v>8.2821854363205913E-5</v>
      </c>
      <c r="K2551" s="25">
        <f t="shared" si="119"/>
        <v>0.9008085634614782</v>
      </c>
      <c r="L2551" s="26" t="s">
        <v>7517</v>
      </c>
      <c r="M2551" s="28"/>
      <c r="N2551" s="28"/>
      <c r="O2551" s="20" t="s">
        <v>7530</v>
      </c>
      <c r="P2551" s="27" t="str">
        <f t="shared" si="118"/>
        <v>vermelho</v>
      </c>
    </row>
    <row r="2552" spans="1:16" ht="25.5">
      <c r="A2552" s="3" t="s">
        <v>4</v>
      </c>
      <c r="B2552" s="3" t="s">
        <v>1744</v>
      </c>
      <c r="C2552" s="4">
        <v>267</v>
      </c>
      <c r="D2552" s="3" t="s">
        <v>125</v>
      </c>
      <c r="E2552" s="3" t="s">
        <v>16</v>
      </c>
      <c r="F2552" s="5">
        <v>234</v>
      </c>
      <c r="G2552" s="5">
        <v>228</v>
      </c>
      <c r="H2552" s="6">
        <v>12136.68</v>
      </c>
      <c r="I2552" s="22">
        <v>11940.12</v>
      </c>
      <c r="J2552" s="24">
        <f t="shared" si="117"/>
        <v>8.2734547426795095E-5</v>
      </c>
      <c r="K2552" s="25">
        <f t="shared" si="119"/>
        <v>0.90089129800890499</v>
      </c>
      <c r="L2552" s="26" t="s">
        <v>7517</v>
      </c>
      <c r="M2552" s="28"/>
      <c r="N2552" s="28"/>
      <c r="O2552" s="20" t="s">
        <v>7530</v>
      </c>
      <c r="P2552" s="27" t="str">
        <f t="shared" si="118"/>
        <v>vermelho</v>
      </c>
    </row>
    <row r="2553" spans="1:16" ht="25.5">
      <c r="A2553" s="3" t="s">
        <v>4</v>
      </c>
      <c r="B2553" s="3" t="s">
        <v>1745</v>
      </c>
      <c r="C2553" s="4">
        <v>273</v>
      </c>
      <c r="D2553" s="3" t="s">
        <v>149</v>
      </c>
      <c r="E2553" s="3" t="s">
        <v>16</v>
      </c>
      <c r="F2553" s="5">
        <v>0</v>
      </c>
      <c r="G2553" s="5">
        <v>209</v>
      </c>
      <c r="H2553" s="6">
        <v>0</v>
      </c>
      <c r="I2553" s="22">
        <v>11931.441999999999</v>
      </c>
      <c r="J2553" s="24">
        <f t="shared" si="117"/>
        <v>8.2674416506622609E-5</v>
      </c>
      <c r="K2553" s="25">
        <f t="shared" si="119"/>
        <v>0.90097397242541166</v>
      </c>
      <c r="L2553" s="26" t="s">
        <v>7517</v>
      </c>
      <c r="M2553" s="28"/>
      <c r="N2553" s="28"/>
      <c r="O2553" s="20">
        <v>7531.86</v>
      </c>
      <c r="P2553" s="27" t="str">
        <f t="shared" si="118"/>
        <v>laranja</v>
      </c>
    </row>
    <row r="2554" spans="1:16" ht="38.25">
      <c r="A2554" s="3" t="s">
        <v>4</v>
      </c>
      <c r="B2554" s="3" t="s">
        <v>1746</v>
      </c>
      <c r="C2554" s="4">
        <v>11</v>
      </c>
      <c r="D2554" s="3" t="s">
        <v>61</v>
      </c>
      <c r="E2554" s="3" t="s">
        <v>10</v>
      </c>
      <c r="F2554" s="5">
        <v>180</v>
      </c>
      <c r="G2554" s="5">
        <v>168</v>
      </c>
      <c r="H2554" s="6">
        <v>10453.799999999999</v>
      </c>
      <c r="I2554" s="22">
        <v>11926.32</v>
      </c>
      <c r="J2554" s="24">
        <f t="shared" si="117"/>
        <v>8.2638925544059421E-5</v>
      </c>
      <c r="K2554" s="25">
        <f t="shared" si="119"/>
        <v>0.90105661135095572</v>
      </c>
      <c r="L2554" s="26" t="s">
        <v>7517</v>
      </c>
      <c r="M2554" s="28"/>
      <c r="N2554" s="28"/>
      <c r="O2554" s="20">
        <v>6519.6</v>
      </c>
      <c r="P2554" s="27" t="str">
        <f t="shared" si="118"/>
        <v>laranja</v>
      </c>
    </row>
    <row r="2555" spans="1:16">
      <c r="A2555" s="3" t="s">
        <v>6615</v>
      </c>
      <c r="B2555" s="3" t="s">
        <v>6616</v>
      </c>
      <c r="C2555" s="4">
        <v>167</v>
      </c>
      <c r="D2555" s="3" t="s">
        <v>251</v>
      </c>
      <c r="E2555" s="3" t="s">
        <v>49</v>
      </c>
      <c r="F2555" s="5">
        <v>705</v>
      </c>
      <c r="G2555" s="5">
        <v>198</v>
      </c>
      <c r="H2555" s="6">
        <v>37999.79</v>
      </c>
      <c r="I2555" s="22">
        <v>11918.88</v>
      </c>
      <c r="J2555" s="24">
        <f t="shared" si="117"/>
        <v>8.2587372876845408E-5</v>
      </c>
      <c r="K2555" s="25">
        <f t="shared" si="119"/>
        <v>0.90113919872383252</v>
      </c>
      <c r="L2555" s="26" t="s">
        <v>7517</v>
      </c>
      <c r="M2555" s="28"/>
      <c r="N2555" s="28"/>
      <c r="O2555" s="20">
        <v>14467.44</v>
      </c>
      <c r="P2555" s="27" t="str">
        <f t="shared" si="118"/>
        <v>verde</v>
      </c>
    </row>
    <row r="2556" spans="1:16" ht="25.5">
      <c r="A2556" s="3" t="s">
        <v>4</v>
      </c>
      <c r="B2556" s="3" t="s">
        <v>1747</v>
      </c>
      <c r="C2556" s="4">
        <v>316</v>
      </c>
      <c r="D2556" s="3" t="s">
        <v>247</v>
      </c>
      <c r="E2556" s="3" t="s">
        <v>10</v>
      </c>
      <c r="F2556" s="5">
        <v>222</v>
      </c>
      <c r="G2556" s="5">
        <v>171</v>
      </c>
      <c r="H2556" s="6">
        <v>11818.56</v>
      </c>
      <c r="I2556" s="22">
        <v>11916</v>
      </c>
      <c r="J2556" s="24">
        <f t="shared" si="117"/>
        <v>8.2567417005665795E-5</v>
      </c>
      <c r="K2556" s="25">
        <f t="shared" si="119"/>
        <v>0.90122176614083815</v>
      </c>
      <c r="L2556" s="26" t="s">
        <v>7517</v>
      </c>
      <c r="M2556" s="28"/>
      <c r="N2556" s="28"/>
      <c r="O2556" s="20" t="s">
        <v>7530</v>
      </c>
      <c r="P2556" s="27" t="str">
        <f t="shared" si="118"/>
        <v>vermelho</v>
      </c>
    </row>
    <row r="2557" spans="1:16" ht="25.5">
      <c r="A2557" s="3" t="s">
        <v>4</v>
      </c>
      <c r="B2557" s="3" t="s">
        <v>1748</v>
      </c>
      <c r="C2557" s="4">
        <v>23</v>
      </c>
      <c r="D2557" s="3" t="s">
        <v>87</v>
      </c>
      <c r="E2557" s="3" t="s">
        <v>7</v>
      </c>
      <c r="F2557" s="5">
        <v>69</v>
      </c>
      <c r="G2557" s="5">
        <v>189</v>
      </c>
      <c r="H2557" s="6">
        <v>3772.32</v>
      </c>
      <c r="I2557" s="22">
        <v>11911.98</v>
      </c>
      <c r="J2557" s="24">
        <f t="shared" si="117"/>
        <v>8.2539561935477578E-5</v>
      </c>
      <c r="K2557" s="25">
        <f t="shared" si="119"/>
        <v>0.90130430570277364</v>
      </c>
      <c r="L2557" s="26" t="s">
        <v>7517</v>
      </c>
      <c r="M2557" s="28"/>
      <c r="N2557" s="28"/>
      <c r="O2557" s="20">
        <v>7774.92</v>
      </c>
      <c r="P2557" s="27" t="str">
        <f t="shared" si="118"/>
        <v>laranja</v>
      </c>
    </row>
    <row r="2558" spans="1:16" ht="25.5">
      <c r="A2558" s="3" t="s">
        <v>4</v>
      </c>
      <c r="B2558" s="3" t="s">
        <v>1749</v>
      </c>
      <c r="C2558" s="4">
        <v>197</v>
      </c>
      <c r="D2558" s="3" t="s">
        <v>66</v>
      </c>
      <c r="E2558" s="3" t="s">
        <v>41</v>
      </c>
      <c r="F2558" s="5">
        <v>0</v>
      </c>
      <c r="G2558" s="5">
        <v>198</v>
      </c>
      <c r="H2558" s="6">
        <v>0</v>
      </c>
      <c r="I2558" s="22">
        <v>11900.49</v>
      </c>
      <c r="J2558" s="24">
        <f t="shared" si="117"/>
        <v>8.2459946324417229E-5</v>
      </c>
      <c r="K2558" s="25">
        <f t="shared" si="119"/>
        <v>0.90138676564909803</v>
      </c>
      <c r="L2558" s="26" t="s">
        <v>7517</v>
      </c>
      <c r="M2558" s="28"/>
      <c r="N2558" s="28"/>
      <c r="O2558" s="20" t="s">
        <v>7530</v>
      </c>
      <c r="P2558" s="27" t="str">
        <f t="shared" si="118"/>
        <v>vermelho</v>
      </c>
    </row>
    <row r="2559" spans="1:16" ht="25.5">
      <c r="A2559" s="3" t="s">
        <v>4</v>
      </c>
      <c r="B2559" s="3" t="s">
        <v>1750</v>
      </c>
      <c r="C2559" s="4">
        <v>316</v>
      </c>
      <c r="D2559" s="3" t="s">
        <v>247</v>
      </c>
      <c r="E2559" s="3" t="s">
        <v>10</v>
      </c>
      <c r="F2559" s="5">
        <v>0</v>
      </c>
      <c r="G2559" s="5">
        <v>240</v>
      </c>
      <c r="H2559" s="6">
        <v>0</v>
      </c>
      <c r="I2559" s="22">
        <v>11892.6</v>
      </c>
      <c r="J2559" s="24">
        <f t="shared" si="117"/>
        <v>8.2405275552331408E-5</v>
      </c>
      <c r="K2559" s="25">
        <f t="shared" si="119"/>
        <v>0.9014691709246504</v>
      </c>
      <c r="L2559" s="26" t="s">
        <v>7517</v>
      </c>
      <c r="M2559" s="28"/>
      <c r="N2559" s="28"/>
      <c r="O2559" s="20" t="s">
        <v>7530</v>
      </c>
      <c r="P2559" s="27" t="str">
        <f t="shared" si="118"/>
        <v>vermelho</v>
      </c>
    </row>
    <row r="2560" spans="1:16" ht="38.25">
      <c r="A2560" s="3" t="s">
        <v>4</v>
      </c>
      <c r="B2560" s="3" t="s">
        <v>1751</v>
      </c>
      <c r="C2560" s="4">
        <v>45</v>
      </c>
      <c r="D2560" s="3" t="s">
        <v>23</v>
      </c>
      <c r="E2560" s="3" t="s">
        <v>7</v>
      </c>
      <c r="F2560" s="5">
        <v>0</v>
      </c>
      <c r="G2560" s="5">
        <v>192</v>
      </c>
      <c r="H2560" s="6">
        <v>0</v>
      </c>
      <c r="I2560" s="22">
        <v>11889.84</v>
      </c>
      <c r="J2560" s="24">
        <f t="shared" si="117"/>
        <v>8.2386151175784273E-5</v>
      </c>
      <c r="K2560" s="25">
        <f t="shared" si="119"/>
        <v>0.90155155707582624</v>
      </c>
      <c r="L2560" s="26" t="s">
        <v>7517</v>
      </c>
      <c r="M2560" s="28"/>
      <c r="N2560" s="28"/>
      <c r="O2560" s="20">
        <v>8994.18</v>
      </c>
      <c r="P2560" s="27" t="str">
        <f t="shared" si="118"/>
        <v>laranja</v>
      </c>
    </row>
    <row r="2561" spans="1:16" ht="25.5">
      <c r="A2561" s="3" t="s">
        <v>4</v>
      </c>
      <c r="B2561" s="3" t="s">
        <v>1752</v>
      </c>
      <c r="C2561" s="4">
        <v>31</v>
      </c>
      <c r="D2561" s="3" t="s">
        <v>194</v>
      </c>
      <c r="E2561" s="3" t="s">
        <v>16</v>
      </c>
      <c r="F2561" s="5">
        <v>0</v>
      </c>
      <c r="G2561" s="5">
        <v>198</v>
      </c>
      <c r="H2561" s="6">
        <v>0</v>
      </c>
      <c r="I2561" s="22">
        <v>11884.41</v>
      </c>
      <c r="J2561" s="24">
        <f t="shared" si="117"/>
        <v>8.2348526043664363E-5</v>
      </c>
      <c r="K2561" s="25">
        <f t="shared" si="119"/>
        <v>0.90163390560186996</v>
      </c>
      <c r="L2561" s="26" t="s">
        <v>7517</v>
      </c>
      <c r="M2561" s="28"/>
      <c r="N2561" s="28"/>
      <c r="O2561" s="20" t="s">
        <v>7530</v>
      </c>
      <c r="P2561" s="27" t="str">
        <f t="shared" si="118"/>
        <v>vermelho</v>
      </c>
    </row>
    <row r="2562" spans="1:16" ht="25.5">
      <c r="A2562" s="3" t="s">
        <v>4</v>
      </c>
      <c r="B2562" s="3" t="s">
        <v>1753</v>
      </c>
      <c r="C2562" s="4">
        <v>267</v>
      </c>
      <c r="D2562" s="3" t="s">
        <v>125</v>
      </c>
      <c r="E2562" s="3" t="s">
        <v>16</v>
      </c>
      <c r="F2562" s="5">
        <v>300</v>
      </c>
      <c r="G2562" s="5">
        <v>216</v>
      </c>
      <c r="H2562" s="6">
        <v>16557.84</v>
      </c>
      <c r="I2562" s="22">
        <v>11883.42</v>
      </c>
      <c r="J2562" s="24">
        <f t="shared" si="117"/>
        <v>8.2341666212946372E-5</v>
      </c>
      <c r="K2562" s="25">
        <f t="shared" si="119"/>
        <v>0.90171624726808286</v>
      </c>
      <c r="L2562" s="26" t="s">
        <v>7517</v>
      </c>
      <c r="M2562" s="28"/>
      <c r="N2562" s="28"/>
      <c r="O2562" s="20" t="s">
        <v>7530</v>
      </c>
      <c r="P2562" s="27" t="str">
        <f t="shared" si="118"/>
        <v>vermelho</v>
      </c>
    </row>
    <row r="2563" spans="1:16" ht="25.5">
      <c r="A2563" s="3" t="s">
        <v>4</v>
      </c>
      <c r="B2563" s="3" t="s">
        <v>1754</v>
      </c>
      <c r="C2563" s="4">
        <v>270</v>
      </c>
      <c r="D2563" s="3" t="s">
        <v>266</v>
      </c>
      <c r="E2563" s="3" t="s">
        <v>49</v>
      </c>
      <c r="F2563" s="5">
        <v>0</v>
      </c>
      <c r="G2563" s="5">
        <v>180</v>
      </c>
      <c r="H2563" s="6">
        <v>0</v>
      </c>
      <c r="I2563" s="22">
        <v>11877.96</v>
      </c>
      <c r="J2563" s="24">
        <f t="shared" ref="J2563:J2626" si="120">I2563/$I$6364</f>
        <v>8.2303833207168341E-5</v>
      </c>
      <c r="K2563" s="25">
        <f t="shared" si="119"/>
        <v>0.90179855110129004</v>
      </c>
      <c r="L2563" s="26" t="s">
        <v>7517</v>
      </c>
      <c r="M2563" s="28"/>
      <c r="N2563" s="28"/>
      <c r="O2563" s="20" t="s">
        <v>7530</v>
      </c>
      <c r="P2563" s="27" t="str">
        <f t="shared" ref="P2563:P2626" si="121">IF(O2563&lt;=0,"vermelho",IFERROR(IF(O2563/I2563&lt;=0.5098,"amarelo",IF(O2563/I2563&lt;1,"laranja","verde")),"vermelho"))</f>
        <v>vermelho</v>
      </c>
    </row>
    <row r="2564" spans="1:16" ht="25.5">
      <c r="A2564" s="3" t="s">
        <v>4</v>
      </c>
      <c r="B2564" s="3" t="s">
        <v>1755</v>
      </c>
      <c r="C2564" s="4">
        <v>19</v>
      </c>
      <c r="D2564" s="3" t="s">
        <v>72</v>
      </c>
      <c r="E2564" s="3" t="s">
        <v>41</v>
      </c>
      <c r="F2564" s="5">
        <v>0</v>
      </c>
      <c r="G2564" s="5">
        <v>186</v>
      </c>
      <c r="H2564" s="6">
        <v>0</v>
      </c>
      <c r="I2564" s="22">
        <v>11877.9</v>
      </c>
      <c r="J2564" s="24">
        <f t="shared" si="120"/>
        <v>8.2303417459852102E-5</v>
      </c>
      <c r="K2564" s="25">
        <f t="shared" ref="K2564:K2627" si="122">J2564+K2563</f>
        <v>0.90188085451874989</v>
      </c>
      <c r="L2564" s="26" t="s">
        <v>7517</v>
      </c>
      <c r="M2564" s="28"/>
      <c r="N2564" s="28"/>
      <c r="O2564" s="20" t="s">
        <v>7530</v>
      </c>
      <c r="P2564" s="27" t="str">
        <f t="shared" si="121"/>
        <v>vermelho</v>
      </c>
    </row>
    <row r="2565" spans="1:16" ht="38.25">
      <c r="A2565" s="3" t="s">
        <v>4</v>
      </c>
      <c r="B2565" s="3" t="s">
        <v>1756</v>
      </c>
      <c r="C2565" s="4">
        <v>232</v>
      </c>
      <c r="D2565" s="3" t="s">
        <v>174</v>
      </c>
      <c r="E2565" s="3" t="s">
        <v>16</v>
      </c>
      <c r="F2565" s="5">
        <v>0</v>
      </c>
      <c r="G2565" s="5">
        <v>207</v>
      </c>
      <c r="H2565" s="6">
        <v>0</v>
      </c>
      <c r="I2565" s="22">
        <v>11871.21</v>
      </c>
      <c r="J2565" s="24">
        <f t="shared" si="120"/>
        <v>8.2257061634091123E-5</v>
      </c>
      <c r="K2565" s="25">
        <f t="shared" si="122"/>
        <v>0.901963111580384</v>
      </c>
      <c r="L2565" s="26" t="s">
        <v>7517</v>
      </c>
      <c r="M2565" s="28"/>
      <c r="N2565" s="28"/>
      <c r="O2565" s="20" t="s">
        <v>7530</v>
      </c>
      <c r="P2565" s="27" t="str">
        <f t="shared" si="121"/>
        <v>vermelho</v>
      </c>
    </row>
    <row r="2566" spans="1:16" ht="25.5">
      <c r="A2566" s="3" t="s">
        <v>4</v>
      </c>
      <c r="B2566" s="3" t="s">
        <v>1757</v>
      </c>
      <c r="C2566" s="4">
        <v>93</v>
      </c>
      <c r="D2566" s="3" t="s">
        <v>20</v>
      </c>
      <c r="E2566" s="3" t="s">
        <v>7</v>
      </c>
      <c r="F2566" s="5">
        <v>0</v>
      </c>
      <c r="G2566" s="5">
        <v>165</v>
      </c>
      <c r="H2566" s="6">
        <v>0</v>
      </c>
      <c r="I2566" s="22">
        <v>11864.82</v>
      </c>
      <c r="J2566" s="24">
        <f t="shared" si="120"/>
        <v>8.2212784544911341E-5</v>
      </c>
      <c r="K2566" s="25">
        <f t="shared" si="122"/>
        <v>0.9020453243649289</v>
      </c>
      <c r="L2566" s="26" t="s">
        <v>7517</v>
      </c>
      <c r="M2566" s="28"/>
      <c r="N2566" s="28"/>
      <c r="O2566" s="20" t="s">
        <v>7530</v>
      </c>
      <c r="P2566" s="27" t="str">
        <f t="shared" si="121"/>
        <v>vermelho</v>
      </c>
    </row>
    <row r="2567" spans="1:16" ht="25.5">
      <c r="A2567" s="3" t="s">
        <v>6617</v>
      </c>
      <c r="B2567" s="3" t="s">
        <v>6618</v>
      </c>
      <c r="C2567" s="4">
        <v>93</v>
      </c>
      <c r="D2567" s="3" t="s">
        <v>20</v>
      </c>
      <c r="E2567" s="3" t="s">
        <v>7</v>
      </c>
      <c r="F2567" s="5">
        <v>2829</v>
      </c>
      <c r="G2567" s="5">
        <v>267</v>
      </c>
      <c r="H2567" s="6">
        <v>155709.26999999999</v>
      </c>
      <c r="I2567" s="22">
        <v>11864.04</v>
      </c>
      <c r="J2567" s="24">
        <f t="shared" si="120"/>
        <v>8.2207379829800202E-5</v>
      </c>
      <c r="K2567" s="25">
        <f t="shared" si="122"/>
        <v>0.90212753174475868</v>
      </c>
      <c r="L2567" s="26" t="s">
        <v>7517</v>
      </c>
      <c r="M2567" s="28"/>
      <c r="N2567" s="28"/>
      <c r="O2567" s="20">
        <v>3417.96</v>
      </c>
      <c r="P2567" s="27" t="str">
        <f t="shared" si="121"/>
        <v>amarelo</v>
      </c>
    </row>
    <row r="2568" spans="1:16" ht="25.5">
      <c r="A2568" s="3" t="s">
        <v>4</v>
      </c>
      <c r="B2568" s="3" t="s">
        <v>1758</v>
      </c>
      <c r="C2568" s="4">
        <v>74</v>
      </c>
      <c r="D2568" s="3" t="s">
        <v>6</v>
      </c>
      <c r="E2568" s="3" t="s">
        <v>7</v>
      </c>
      <c r="F2568" s="5">
        <v>450</v>
      </c>
      <c r="G2568" s="5">
        <v>186</v>
      </c>
      <c r="H2568" s="6">
        <v>26832.99</v>
      </c>
      <c r="I2568" s="22">
        <v>11860.14</v>
      </c>
      <c r="J2568" s="24">
        <f t="shared" si="120"/>
        <v>8.2180356254244464E-5</v>
      </c>
      <c r="K2568" s="25">
        <f t="shared" si="122"/>
        <v>0.90220971210101297</v>
      </c>
      <c r="L2568" s="26" t="s">
        <v>7517</v>
      </c>
      <c r="M2568" s="28"/>
      <c r="N2568" s="28"/>
      <c r="O2568" s="20" t="s">
        <v>7530</v>
      </c>
      <c r="P2568" s="27" t="str">
        <f t="shared" si="121"/>
        <v>vermelho</v>
      </c>
    </row>
    <row r="2569" spans="1:16" ht="25.5">
      <c r="A2569" s="3" t="s">
        <v>4</v>
      </c>
      <c r="B2569" s="3" t="s">
        <v>1759</v>
      </c>
      <c r="C2569" s="4">
        <v>267</v>
      </c>
      <c r="D2569" s="3" t="s">
        <v>125</v>
      </c>
      <c r="E2569" s="3" t="s">
        <v>16</v>
      </c>
      <c r="F2569" s="5">
        <v>72</v>
      </c>
      <c r="G2569" s="5">
        <v>240</v>
      </c>
      <c r="H2569" s="6">
        <v>3167.28</v>
      </c>
      <c r="I2569" s="22">
        <v>11857.44</v>
      </c>
      <c r="J2569" s="24">
        <f t="shared" si="120"/>
        <v>8.2161647625013582E-5</v>
      </c>
      <c r="K2569" s="25">
        <f t="shared" si="122"/>
        <v>0.90229187374863795</v>
      </c>
      <c r="L2569" s="26" t="s">
        <v>7517</v>
      </c>
      <c r="M2569" s="28"/>
      <c r="N2569" s="28"/>
      <c r="O2569" s="20">
        <v>5267.04</v>
      </c>
      <c r="P2569" s="27" t="str">
        <f t="shared" si="121"/>
        <v>amarelo</v>
      </c>
    </row>
    <row r="2570" spans="1:16">
      <c r="A2570" s="3" t="s">
        <v>6619</v>
      </c>
      <c r="B2570" s="3" t="s">
        <v>6620</v>
      </c>
      <c r="C2570" s="4">
        <v>15</v>
      </c>
      <c r="D2570" s="3" t="s">
        <v>18</v>
      </c>
      <c r="E2570" s="3" t="s">
        <v>16</v>
      </c>
      <c r="F2570" s="5">
        <v>407</v>
      </c>
      <c r="G2570" s="5">
        <v>207</v>
      </c>
      <c r="H2570" s="6">
        <v>22073.73</v>
      </c>
      <c r="I2570" s="22">
        <v>11857.23</v>
      </c>
      <c r="J2570" s="24">
        <f t="shared" si="120"/>
        <v>8.2160192509406731E-5</v>
      </c>
      <c r="K2570" s="25">
        <f t="shared" si="122"/>
        <v>0.90237403394114735</v>
      </c>
      <c r="L2570" s="26" t="s">
        <v>7517</v>
      </c>
      <c r="M2570" s="28"/>
      <c r="N2570" s="28"/>
      <c r="O2570" s="20" t="s">
        <v>7530</v>
      </c>
      <c r="P2570" s="27" t="str">
        <f t="shared" si="121"/>
        <v>vermelho</v>
      </c>
    </row>
    <row r="2571" spans="1:16" ht="25.5">
      <c r="A2571" s="3" t="s">
        <v>4</v>
      </c>
      <c r="B2571" s="3" t="s">
        <v>1760</v>
      </c>
      <c r="C2571" s="4">
        <v>299</v>
      </c>
      <c r="D2571" s="3" t="s">
        <v>111</v>
      </c>
      <c r="E2571" s="3" t="s">
        <v>49</v>
      </c>
      <c r="F2571" s="5">
        <v>132</v>
      </c>
      <c r="G2571" s="5">
        <v>264</v>
      </c>
      <c r="H2571" s="6">
        <v>6937.9679999999998</v>
      </c>
      <c r="I2571" s="22">
        <v>11841.9</v>
      </c>
      <c r="J2571" s="24">
        <f t="shared" si="120"/>
        <v>8.2053969070106897E-5</v>
      </c>
      <c r="K2571" s="25">
        <f t="shared" si="122"/>
        <v>0.90245608791021747</v>
      </c>
      <c r="L2571" s="26" t="s">
        <v>7517</v>
      </c>
      <c r="M2571" s="28"/>
      <c r="N2571" s="28"/>
      <c r="O2571" s="20" t="s">
        <v>7530</v>
      </c>
      <c r="P2571" s="27" t="str">
        <f t="shared" si="121"/>
        <v>vermelho</v>
      </c>
    </row>
    <row r="2572" spans="1:16" ht="25.5">
      <c r="A2572" s="3" t="s">
        <v>4</v>
      </c>
      <c r="B2572" s="3" t="s">
        <v>1761</v>
      </c>
      <c r="C2572" s="4">
        <v>261</v>
      </c>
      <c r="D2572" s="3" t="s">
        <v>9</v>
      </c>
      <c r="E2572" s="3" t="s">
        <v>10</v>
      </c>
      <c r="F2572" s="5">
        <v>336</v>
      </c>
      <c r="G2572" s="5">
        <v>191</v>
      </c>
      <c r="H2572" s="6">
        <v>18960.09</v>
      </c>
      <c r="I2572" s="22">
        <v>11841.65</v>
      </c>
      <c r="J2572" s="24">
        <f t="shared" si="120"/>
        <v>8.2052236789622557E-5</v>
      </c>
      <c r="K2572" s="25">
        <f t="shared" si="122"/>
        <v>0.90253814014700706</v>
      </c>
      <c r="L2572" s="26" t="s">
        <v>7517</v>
      </c>
      <c r="M2572" s="28"/>
      <c r="N2572" s="28"/>
      <c r="O2572" s="20" t="s">
        <v>7530</v>
      </c>
      <c r="P2572" s="27" t="str">
        <f t="shared" si="121"/>
        <v>vermelho</v>
      </c>
    </row>
    <row r="2573" spans="1:16" ht="25.5">
      <c r="A2573" s="3" t="s">
        <v>4</v>
      </c>
      <c r="B2573" s="3" t="s">
        <v>1762</v>
      </c>
      <c r="C2573" s="4">
        <v>93</v>
      </c>
      <c r="D2573" s="3" t="s">
        <v>20</v>
      </c>
      <c r="E2573" s="3" t="s">
        <v>7</v>
      </c>
      <c r="F2573" s="5">
        <v>60</v>
      </c>
      <c r="G2573" s="5">
        <v>192</v>
      </c>
      <c r="H2573" s="6">
        <v>2927.4</v>
      </c>
      <c r="I2573" s="22">
        <v>11838.6</v>
      </c>
      <c r="J2573" s="24">
        <f t="shared" si="120"/>
        <v>8.203110296771358E-5</v>
      </c>
      <c r="K2573" s="25">
        <f t="shared" si="122"/>
        <v>0.90262017124997473</v>
      </c>
      <c r="L2573" s="26" t="s">
        <v>7517</v>
      </c>
      <c r="M2573" s="28"/>
      <c r="N2573" s="28"/>
      <c r="O2573" s="20" t="s">
        <v>7530</v>
      </c>
      <c r="P2573" s="27" t="str">
        <f t="shared" si="121"/>
        <v>vermelho</v>
      </c>
    </row>
    <row r="2574" spans="1:16">
      <c r="A2574" s="3" t="s">
        <v>4</v>
      </c>
      <c r="B2574" s="3" t="s">
        <v>1763</v>
      </c>
      <c r="C2574" s="4">
        <v>232</v>
      </c>
      <c r="D2574" s="3" t="s">
        <v>174</v>
      </c>
      <c r="E2574" s="3" t="s">
        <v>16</v>
      </c>
      <c r="F2574" s="5">
        <v>0</v>
      </c>
      <c r="G2574" s="5">
        <v>234</v>
      </c>
      <c r="H2574" s="6">
        <v>0</v>
      </c>
      <c r="I2574" s="22">
        <v>11826.99</v>
      </c>
      <c r="J2574" s="24">
        <f t="shared" si="120"/>
        <v>8.1950655862020753E-5</v>
      </c>
      <c r="K2574" s="25">
        <f t="shared" si="122"/>
        <v>0.90270212190583676</v>
      </c>
      <c r="L2574" s="26" t="s">
        <v>7517</v>
      </c>
      <c r="M2574" s="28"/>
      <c r="N2574" s="28"/>
      <c r="O2574" s="20" t="s">
        <v>7530</v>
      </c>
      <c r="P2574" s="27" t="str">
        <f t="shared" si="121"/>
        <v>vermelho</v>
      </c>
    </row>
    <row r="2575" spans="1:16" ht="25.5">
      <c r="A2575" s="3" t="s">
        <v>4</v>
      </c>
      <c r="B2575" s="3" t="s">
        <v>1764</v>
      </c>
      <c r="C2575" s="4">
        <v>194</v>
      </c>
      <c r="D2575" s="3" t="s">
        <v>145</v>
      </c>
      <c r="E2575" s="3" t="s">
        <v>16</v>
      </c>
      <c r="F2575" s="5">
        <v>0</v>
      </c>
      <c r="G2575" s="5">
        <v>192</v>
      </c>
      <c r="H2575" s="6">
        <v>0</v>
      </c>
      <c r="I2575" s="22">
        <v>11824.08</v>
      </c>
      <c r="J2575" s="24">
        <f t="shared" si="120"/>
        <v>8.193049211718302E-5</v>
      </c>
      <c r="K2575" s="25">
        <f t="shared" si="122"/>
        <v>0.9027840523979539</v>
      </c>
      <c r="L2575" s="26" t="s">
        <v>7517</v>
      </c>
      <c r="M2575" s="28"/>
      <c r="N2575" s="28"/>
      <c r="O2575" s="20" t="s">
        <v>7530</v>
      </c>
      <c r="P2575" s="27" t="str">
        <f t="shared" si="121"/>
        <v>vermelho</v>
      </c>
    </row>
    <row r="2576" spans="1:16" ht="38.25">
      <c r="A2576" s="3" t="s">
        <v>4</v>
      </c>
      <c r="B2576" s="3" t="s">
        <v>1765</v>
      </c>
      <c r="C2576" s="4">
        <v>11</v>
      </c>
      <c r="D2576" s="3" t="s">
        <v>61</v>
      </c>
      <c r="E2576" s="3" t="s">
        <v>10</v>
      </c>
      <c r="F2576" s="5">
        <v>120</v>
      </c>
      <c r="G2576" s="5">
        <v>216</v>
      </c>
      <c r="H2576" s="6">
        <v>7180.68</v>
      </c>
      <c r="I2576" s="22">
        <v>11819.88</v>
      </c>
      <c r="J2576" s="24">
        <f t="shared" si="120"/>
        <v>8.1901389805046071E-5</v>
      </c>
      <c r="K2576" s="25">
        <f t="shared" si="122"/>
        <v>0.90286595378775891</v>
      </c>
      <c r="L2576" s="26" t="s">
        <v>7517</v>
      </c>
      <c r="M2576" s="28"/>
      <c r="N2576" s="28"/>
      <c r="O2576" s="20">
        <v>7353.96</v>
      </c>
      <c r="P2576" s="27" t="str">
        <f t="shared" si="121"/>
        <v>laranja</v>
      </c>
    </row>
    <row r="2577" spans="1:16" ht="25.5">
      <c r="A2577" s="3" t="s">
        <v>4</v>
      </c>
      <c r="B2577" s="3" t="s">
        <v>1766</v>
      </c>
      <c r="C2577" s="4">
        <v>31</v>
      </c>
      <c r="D2577" s="3" t="s">
        <v>194</v>
      </c>
      <c r="E2577" s="3" t="s">
        <v>16</v>
      </c>
      <c r="F2577" s="5">
        <v>192</v>
      </c>
      <c r="G2577" s="5">
        <v>207</v>
      </c>
      <c r="H2577" s="6">
        <v>10044.9</v>
      </c>
      <c r="I2577" s="22">
        <v>11814.81</v>
      </c>
      <c r="J2577" s="24">
        <f t="shared" si="120"/>
        <v>8.1866259156823624E-5</v>
      </c>
      <c r="K2577" s="25">
        <f t="shared" si="122"/>
        <v>0.90294782004691576</v>
      </c>
      <c r="L2577" s="26" t="s">
        <v>7517</v>
      </c>
      <c r="M2577" s="28"/>
      <c r="N2577" s="28"/>
      <c r="O2577" s="20">
        <v>7487.1</v>
      </c>
      <c r="P2577" s="27" t="str">
        <f t="shared" si="121"/>
        <v>laranja</v>
      </c>
    </row>
    <row r="2578" spans="1:16" ht="25.5">
      <c r="A2578" s="3" t="s">
        <v>4</v>
      </c>
      <c r="B2578" s="3" t="s">
        <v>1768</v>
      </c>
      <c r="C2578" s="4">
        <v>316</v>
      </c>
      <c r="D2578" s="3" t="s">
        <v>247</v>
      </c>
      <c r="E2578" s="3" t="s">
        <v>10</v>
      </c>
      <c r="F2578" s="5">
        <v>0</v>
      </c>
      <c r="G2578" s="5">
        <v>192</v>
      </c>
      <c r="H2578" s="6">
        <v>0</v>
      </c>
      <c r="I2578" s="22">
        <v>11797.74</v>
      </c>
      <c r="J2578" s="24">
        <f t="shared" si="120"/>
        <v>8.1747979045352766E-5</v>
      </c>
      <c r="K2578" s="25">
        <f t="shared" si="122"/>
        <v>0.90302956802596113</v>
      </c>
      <c r="L2578" s="26" t="s">
        <v>7517</v>
      </c>
      <c r="M2578" s="28"/>
      <c r="N2578" s="28"/>
      <c r="O2578" s="20" t="s">
        <v>7530</v>
      </c>
      <c r="P2578" s="27" t="str">
        <f t="shared" si="121"/>
        <v>vermelho</v>
      </c>
    </row>
    <row r="2579" spans="1:16" ht="25.5">
      <c r="A2579" s="3" t="s">
        <v>4</v>
      </c>
      <c r="B2579" s="3" t="s">
        <v>1769</v>
      </c>
      <c r="C2579" s="4">
        <v>15</v>
      </c>
      <c r="D2579" s="3" t="s">
        <v>18</v>
      </c>
      <c r="E2579" s="3" t="s">
        <v>16</v>
      </c>
      <c r="F2579" s="5">
        <v>168</v>
      </c>
      <c r="G2579" s="5">
        <v>240</v>
      </c>
      <c r="H2579" s="6">
        <v>7487.28</v>
      </c>
      <c r="I2579" s="22">
        <v>11791.08</v>
      </c>
      <c r="J2579" s="24">
        <f t="shared" si="120"/>
        <v>8.1701831093249907E-5</v>
      </c>
      <c r="K2579" s="25">
        <f t="shared" si="122"/>
        <v>0.90311126985705437</v>
      </c>
      <c r="L2579" s="26" t="s">
        <v>7517</v>
      </c>
      <c r="M2579" s="28"/>
      <c r="N2579" s="28"/>
      <c r="O2579" s="20" t="s">
        <v>7530</v>
      </c>
      <c r="P2579" s="27" t="str">
        <f t="shared" si="121"/>
        <v>vermelho</v>
      </c>
    </row>
    <row r="2580" spans="1:16" ht="25.5">
      <c r="A2580" s="3" t="s">
        <v>4</v>
      </c>
      <c r="B2580" s="3" t="s">
        <v>1770</v>
      </c>
      <c r="C2580" s="4">
        <v>23</v>
      </c>
      <c r="D2580" s="3" t="s">
        <v>87</v>
      </c>
      <c r="E2580" s="3" t="s">
        <v>7</v>
      </c>
      <c r="F2580" s="5">
        <v>120</v>
      </c>
      <c r="G2580" s="5">
        <v>192</v>
      </c>
      <c r="H2580" s="6">
        <v>7332.81</v>
      </c>
      <c r="I2580" s="22">
        <v>11788.53</v>
      </c>
      <c r="J2580" s="24">
        <f t="shared" si="120"/>
        <v>8.1684161832309624E-5</v>
      </c>
      <c r="K2580" s="25">
        <f t="shared" si="122"/>
        <v>0.90319295401888666</v>
      </c>
      <c r="L2580" s="26" t="s">
        <v>7517</v>
      </c>
      <c r="M2580" s="28"/>
      <c r="N2580" s="28"/>
      <c r="O2580" s="20" t="s">
        <v>7530</v>
      </c>
      <c r="P2580" s="27" t="str">
        <f t="shared" si="121"/>
        <v>vermelho</v>
      </c>
    </row>
    <row r="2581" spans="1:16" ht="25.5">
      <c r="A2581" s="3" t="s">
        <v>4</v>
      </c>
      <c r="B2581" s="3" t="s">
        <v>1771</v>
      </c>
      <c r="C2581" s="4">
        <v>266</v>
      </c>
      <c r="D2581" s="3" t="s">
        <v>80</v>
      </c>
      <c r="E2581" s="3" t="s">
        <v>10</v>
      </c>
      <c r="F2581" s="5">
        <v>0</v>
      </c>
      <c r="G2581" s="5">
        <v>189</v>
      </c>
      <c r="H2581" s="6">
        <v>0</v>
      </c>
      <c r="I2581" s="22">
        <v>11783.85</v>
      </c>
      <c r="J2581" s="24">
        <f t="shared" si="120"/>
        <v>8.1651733541642746E-5</v>
      </c>
      <c r="K2581" s="25">
        <f t="shared" si="122"/>
        <v>0.90327460575242835</v>
      </c>
      <c r="L2581" s="26" t="s">
        <v>7517</v>
      </c>
      <c r="M2581" s="28"/>
      <c r="N2581" s="28"/>
      <c r="O2581" s="20" t="s">
        <v>7530</v>
      </c>
      <c r="P2581" s="27" t="str">
        <f t="shared" si="121"/>
        <v>vermelho</v>
      </c>
    </row>
    <row r="2582" spans="1:16" ht="25.5">
      <c r="A2582" s="3" t="s">
        <v>4</v>
      </c>
      <c r="B2582" s="3" t="s">
        <v>1772</v>
      </c>
      <c r="C2582" s="4">
        <v>299</v>
      </c>
      <c r="D2582" s="3" t="s">
        <v>111</v>
      </c>
      <c r="E2582" s="3" t="s">
        <v>49</v>
      </c>
      <c r="F2582" s="5">
        <v>0</v>
      </c>
      <c r="G2582" s="5">
        <v>183</v>
      </c>
      <c r="H2582" s="6">
        <v>0</v>
      </c>
      <c r="I2582" s="22">
        <v>11775.03</v>
      </c>
      <c r="J2582" s="24">
        <f t="shared" si="120"/>
        <v>8.159061868615516E-5</v>
      </c>
      <c r="K2582" s="25">
        <f t="shared" si="122"/>
        <v>0.90335619637111453</v>
      </c>
      <c r="L2582" s="26" t="s">
        <v>7517</v>
      </c>
      <c r="M2582" s="28"/>
      <c r="N2582" s="28"/>
      <c r="O2582" s="20" t="s">
        <v>7530</v>
      </c>
      <c r="P2582" s="27" t="str">
        <f t="shared" si="121"/>
        <v>vermelho</v>
      </c>
    </row>
    <row r="2583" spans="1:16" ht="25.5">
      <c r="A2583" s="3" t="s">
        <v>4</v>
      </c>
      <c r="B2583" s="3" t="s">
        <v>1773</v>
      </c>
      <c r="C2583" s="4">
        <v>178</v>
      </c>
      <c r="D2583" s="3" t="s">
        <v>74</v>
      </c>
      <c r="E2583" s="3" t="s">
        <v>7</v>
      </c>
      <c r="F2583" s="5">
        <v>120</v>
      </c>
      <c r="G2583" s="5">
        <v>204</v>
      </c>
      <c r="H2583" s="6">
        <v>7150.8</v>
      </c>
      <c r="I2583" s="22">
        <v>11773.32</v>
      </c>
      <c r="J2583" s="24">
        <f t="shared" si="120"/>
        <v>8.1578769887642255E-5</v>
      </c>
      <c r="K2583" s="25">
        <f t="shared" si="122"/>
        <v>0.90343777514100221</v>
      </c>
      <c r="L2583" s="26" t="s">
        <v>7517</v>
      </c>
      <c r="M2583" s="28"/>
      <c r="N2583" s="28"/>
      <c r="O2583" s="20" t="s">
        <v>7530</v>
      </c>
      <c r="P2583" s="27" t="str">
        <f t="shared" si="121"/>
        <v>vermelho</v>
      </c>
    </row>
    <row r="2584" spans="1:16">
      <c r="A2584" s="3" t="s">
        <v>4</v>
      </c>
      <c r="B2584" s="3" t="s">
        <v>1774</v>
      </c>
      <c r="C2584" s="4">
        <v>240</v>
      </c>
      <c r="D2584" s="3" t="s">
        <v>69</v>
      </c>
      <c r="E2584" s="3" t="s">
        <v>16</v>
      </c>
      <c r="F2584" s="5">
        <v>0</v>
      </c>
      <c r="G2584" s="5">
        <v>192</v>
      </c>
      <c r="H2584" s="6">
        <v>0</v>
      </c>
      <c r="I2584" s="22">
        <v>11772.96</v>
      </c>
      <c r="J2584" s="24">
        <f t="shared" si="120"/>
        <v>8.1576275403744805E-5</v>
      </c>
      <c r="K2584" s="25">
        <f t="shared" si="122"/>
        <v>0.90351935141640594</v>
      </c>
      <c r="L2584" s="26" t="s">
        <v>7517</v>
      </c>
      <c r="M2584" s="28"/>
      <c r="N2584" s="28"/>
      <c r="O2584" s="20" t="s">
        <v>7530</v>
      </c>
      <c r="P2584" s="27" t="str">
        <f t="shared" si="121"/>
        <v>vermelho</v>
      </c>
    </row>
    <row r="2585" spans="1:16" ht="25.5">
      <c r="A2585" s="3" t="s">
        <v>4</v>
      </c>
      <c r="B2585" s="3" t="s">
        <v>1775</v>
      </c>
      <c r="C2585" s="4">
        <v>270</v>
      </c>
      <c r="D2585" s="3" t="s">
        <v>266</v>
      </c>
      <c r="E2585" s="3" t="s">
        <v>49</v>
      </c>
      <c r="F2585" s="5">
        <v>150</v>
      </c>
      <c r="G2585" s="5">
        <v>186</v>
      </c>
      <c r="H2585" s="6">
        <v>8248.5</v>
      </c>
      <c r="I2585" s="22">
        <v>11771.46</v>
      </c>
      <c r="J2585" s="24">
        <f t="shared" si="120"/>
        <v>8.1565881720838752E-5</v>
      </c>
      <c r="K2585" s="25">
        <f t="shared" si="122"/>
        <v>0.90360091729812675</v>
      </c>
      <c r="L2585" s="26" t="s">
        <v>7517</v>
      </c>
      <c r="M2585" s="28"/>
      <c r="N2585" s="28"/>
      <c r="O2585" s="20" t="s">
        <v>7530</v>
      </c>
      <c r="P2585" s="27" t="str">
        <f t="shared" si="121"/>
        <v>vermelho</v>
      </c>
    </row>
    <row r="2586" spans="1:16" ht="38.25">
      <c r="A2586" s="3" t="s">
        <v>4</v>
      </c>
      <c r="B2586" s="3" t="s">
        <v>1776</v>
      </c>
      <c r="C2586" s="4">
        <v>45</v>
      </c>
      <c r="D2586" s="3" t="s">
        <v>23</v>
      </c>
      <c r="E2586" s="3" t="s">
        <v>7</v>
      </c>
      <c r="F2586" s="5">
        <v>246</v>
      </c>
      <c r="G2586" s="5">
        <v>210</v>
      </c>
      <c r="H2586" s="6">
        <v>13104.18</v>
      </c>
      <c r="I2586" s="22">
        <v>11767.26</v>
      </c>
      <c r="J2586" s="24">
        <f t="shared" si="120"/>
        <v>8.1536779408701817E-5</v>
      </c>
      <c r="K2586" s="25">
        <f t="shared" si="122"/>
        <v>0.90368245407753545</v>
      </c>
      <c r="L2586" s="26" t="s">
        <v>7517</v>
      </c>
      <c r="M2586" s="28"/>
      <c r="N2586" s="28"/>
      <c r="O2586" s="20" t="s">
        <v>7530</v>
      </c>
      <c r="P2586" s="27" t="str">
        <f t="shared" si="121"/>
        <v>vermelho</v>
      </c>
    </row>
    <row r="2587" spans="1:16" ht="38.25">
      <c r="A2587" s="3" t="s">
        <v>4</v>
      </c>
      <c r="B2587" s="3" t="s">
        <v>1777</v>
      </c>
      <c r="C2587" s="4">
        <v>34</v>
      </c>
      <c r="D2587" s="3" t="s">
        <v>54</v>
      </c>
      <c r="E2587" s="3" t="s">
        <v>49</v>
      </c>
      <c r="F2587" s="5">
        <v>291</v>
      </c>
      <c r="G2587" s="5">
        <v>171</v>
      </c>
      <c r="H2587" s="6">
        <v>17160.09</v>
      </c>
      <c r="I2587" s="22">
        <v>11766.03</v>
      </c>
      <c r="J2587" s="24">
        <f t="shared" si="120"/>
        <v>8.1528256588718855E-5</v>
      </c>
      <c r="K2587" s="25">
        <f t="shared" si="122"/>
        <v>0.90376398233412414</v>
      </c>
      <c r="L2587" s="26" t="s">
        <v>7517</v>
      </c>
      <c r="M2587" s="28"/>
      <c r="N2587" s="28"/>
      <c r="O2587" s="20" t="s">
        <v>7530</v>
      </c>
      <c r="P2587" s="27" t="str">
        <f t="shared" si="121"/>
        <v>vermelho</v>
      </c>
    </row>
    <row r="2588" spans="1:16" ht="25.5">
      <c r="A2588" s="3" t="s">
        <v>4</v>
      </c>
      <c r="B2588" s="3" t="s">
        <v>1778</v>
      </c>
      <c r="C2588" s="4">
        <v>317</v>
      </c>
      <c r="D2588" s="3" t="s">
        <v>78</v>
      </c>
      <c r="E2588" s="3" t="s">
        <v>49</v>
      </c>
      <c r="F2588" s="5">
        <v>0</v>
      </c>
      <c r="G2588" s="5">
        <v>198</v>
      </c>
      <c r="H2588" s="6">
        <v>0</v>
      </c>
      <c r="I2588" s="22">
        <v>11756.67</v>
      </c>
      <c r="J2588" s="24">
        <f t="shared" si="120"/>
        <v>8.1463400007385101E-5</v>
      </c>
      <c r="K2588" s="25">
        <f t="shared" si="122"/>
        <v>0.9038454457341315</v>
      </c>
      <c r="L2588" s="26" t="s">
        <v>7517</v>
      </c>
      <c r="M2588" s="28"/>
      <c r="N2588" s="28"/>
      <c r="O2588" s="20" t="s">
        <v>7530</v>
      </c>
      <c r="P2588" s="27" t="str">
        <f t="shared" si="121"/>
        <v>vermelho</v>
      </c>
    </row>
    <row r="2589" spans="1:16" ht="25.5">
      <c r="A2589" s="3" t="s">
        <v>4</v>
      </c>
      <c r="B2589" s="3" t="s">
        <v>1779</v>
      </c>
      <c r="C2589" s="4">
        <v>197</v>
      </c>
      <c r="D2589" s="3" t="s">
        <v>66</v>
      </c>
      <c r="E2589" s="3" t="s">
        <v>41</v>
      </c>
      <c r="F2589" s="5">
        <v>216</v>
      </c>
      <c r="G2589" s="5">
        <v>180</v>
      </c>
      <c r="H2589" s="6">
        <v>13513.17</v>
      </c>
      <c r="I2589" s="22">
        <v>11756.64</v>
      </c>
      <c r="J2589" s="24">
        <f t="shared" si="120"/>
        <v>8.1463192133726981E-5</v>
      </c>
      <c r="K2589" s="25">
        <f t="shared" si="122"/>
        <v>0.90392690892626526</v>
      </c>
      <c r="L2589" s="26" t="s">
        <v>7517</v>
      </c>
      <c r="M2589" s="28"/>
      <c r="N2589" s="28">
        <v>4.1263013994558465E-2</v>
      </c>
      <c r="O2589" s="20">
        <v>4622.34</v>
      </c>
      <c r="P2589" s="27" t="str">
        <f t="shared" si="121"/>
        <v>amarelo</v>
      </c>
    </row>
    <row r="2590" spans="1:16" ht="38.25">
      <c r="A2590" s="3" t="s">
        <v>4</v>
      </c>
      <c r="B2590" s="3" t="s">
        <v>1780</v>
      </c>
      <c r="C2590" s="4">
        <v>38</v>
      </c>
      <c r="D2590" s="3" t="s">
        <v>184</v>
      </c>
      <c r="E2590" s="3" t="s">
        <v>49</v>
      </c>
      <c r="F2590" s="5">
        <v>249</v>
      </c>
      <c r="G2590" s="5">
        <v>228</v>
      </c>
      <c r="H2590" s="6">
        <v>14142.42</v>
      </c>
      <c r="I2590" s="22">
        <v>11756.16</v>
      </c>
      <c r="J2590" s="24">
        <f t="shared" si="120"/>
        <v>8.1459866155197039E-5</v>
      </c>
      <c r="K2590" s="25">
        <f t="shared" si="122"/>
        <v>0.90400836879242041</v>
      </c>
      <c r="L2590" s="26" t="s">
        <v>7517</v>
      </c>
      <c r="M2590" s="28"/>
      <c r="N2590" s="28"/>
      <c r="O2590" s="20" t="s">
        <v>7530</v>
      </c>
      <c r="P2590" s="27" t="str">
        <f t="shared" si="121"/>
        <v>vermelho</v>
      </c>
    </row>
    <row r="2591" spans="1:16" ht="38.25">
      <c r="A2591" s="3" t="s">
        <v>4</v>
      </c>
      <c r="B2591" s="3" t="s">
        <v>1781</v>
      </c>
      <c r="C2591" s="4">
        <v>143</v>
      </c>
      <c r="D2591" s="3" t="s">
        <v>44</v>
      </c>
      <c r="E2591" s="3" t="s">
        <v>41</v>
      </c>
      <c r="F2591" s="5">
        <v>96</v>
      </c>
      <c r="G2591" s="5">
        <v>216</v>
      </c>
      <c r="H2591" s="6">
        <v>5183.04</v>
      </c>
      <c r="I2591" s="22">
        <v>11741.7</v>
      </c>
      <c r="J2591" s="24">
        <f t="shared" si="120"/>
        <v>8.1359671051982717E-5</v>
      </c>
      <c r="K2591" s="25">
        <f t="shared" si="122"/>
        <v>0.90408972846347235</v>
      </c>
      <c r="L2591" s="26" t="s">
        <v>7517</v>
      </c>
      <c r="M2591" s="28"/>
      <c r="N2591" s="28"/>
      <c r="O2591" s="20">
        <v>4560.24</v>
      </c>
      <c r="P2591" s="27" t="str">
        <f t="shared" si="121"/>
        <v>amarelo</v>
      </c>
    </row>
    <row r="2592" spans="1:16">
      <c r="A2592" s="3" t="s">
        <v>6621</v>
      </c>
      <c r="B2592" s="3" t="s">
        <v>6622</v>
      </c>
      <c r="C2592" s="4">
        <v>240</v>
      </c>
      <c r="D2592" s="3" t="s">
        <v>69</v>
      </c>
      <c r="E2592" s="3" t="s">
        <v>16</v>
      </c>
      <c r="F2592" s="5">
        <v>267</v>
      </c>
      <c r="G2592" s="5">
        <v>219</v>
      </c>
      <c r="H2592" s="6">
        <v>14208.33</v>
      </c>
      <c r="I2592" s="22">
        <v>11740.77</v>
      </c>
      <c r="J2592" s="24">
        <f t="shared" si="120"/>
        <v>8.1353226968580966E-5</v>
      </c>
      <c r="K2592" s="25">
        <f t="shared" si="122"/>
        <v>0.90417108169044091</v>
      </c>
      <c r="L2592" s="26" t="s">
        <v>7517</v>
      </c>
      <c r="M2592" s="28"/>
      <c r="N2592" s="28"/>
      <c r="O2592" s="20" t="s">
        <v>7530</v>
      </c>
      <c r="P2592" s="27" t="str">
        <f t="shared" si="121"/>
        <v>vermelho</v>
      </c>
    </row>
    <row r="2593" spans="1:16" ht="25.5">
      <c r="A2593" s="3" t="s">
        <v>6623</v>
      </c>
      <c r="B2593" s="3" t="s">
        <v>6624</v>
      </c>
      <c r="C2593" s="4">
        <v>194</v>
      </c>
      <c r="D2593" s="3" t="s">
        <v>145</v>
      </c>
      <c r="E2593" s="3" t="s">
        <v>16</v>
      </c>
      <c r="F2593" s="5">
        <v>0</v>
      </c>
      <c r="G2593" s="5">
        <v>240</v>
      </c>
      <c r="H2593" s="6">
        <v>0</v>
      </c>
      <c r="I2593" s="22">
        <v>11727.72</v>
      </c>
      <c r="J2593" s="24">
        <f t="shared" si="120"/>
        <v>8.1262801927298325E-5</v>
      </c>
      <c r="K2593" s="25">
        <f t="shared" si="122"/>
        <v>0.90425234449236824</v>
      </c>
      <c r="L2593" s="26" t="s">
        <v>7517</v>
      </c>
      <c r="M2593" s="28"/>
      <c r="N2593" s="28"/>
      <c r="O2593" s="20">
        <v>5166.84</v>
      </c>
      <c r="P2593" s="27" t="str">
        <f t="shared" si="121"/>
        <v>amarelo</v>
      </c>
    </row>
    <row r="2594" spans="1:16" ht="25.5">
      <c r="A2594" s="3" t="s">
        <v>4</v>
      </c>
      <c r="B2594" s="3" t="s">
        <v>1782</v>
      </c>
      <c r="C2594" s="4">
        <v>267</v>
      </c>
      <c r="D2594" s="3" t="s">
        <v>125</v>
      </c>
      <c r="E2594" s="3" t="s">
        <v>16</v>
      </c>
      <c r="F2594" s="5">
        <v>0</v>
      </c>
      <c r="G2594" s="5">
        <v>180</v>
      </c>
      <c r="H2594" s="6">
        <v>0</v>
      </c>
      <c r="I2594" s="22">
        <v>11718.24</v>
      </c>
      <c r="J2594" s="24">
        <f t="shared" si="120"/>
        <v>8.1197113851332078E-5</v>
      </c>
      <c r="K2594" s="25">
        <f t="shared" si="122"/>
        <v>0.90433354160621959</v>
      </c>
      <c r="L2594" s="26" t="s">
        <v>7517</v>
      </c>
      <c r="M2594" s="28"/>
      <c r="N2594" s="28"/>
      <c r="O2594" s="20" t="s">
        <v>7530</v>
      </c>
      <c r="P2594" s="27" t="str">
        <f t="shared" si="121"/>
        <v>vermelho</v>
      </c>
    </row>
    <row r="2595" spans="1:16" ht="25.5">
      <c r="A2595" s="3" t="s">
        <v>6625</v>
      </c>
      <c r="B2595" s="3" t="s">
        <v>6626</v>
      </c>
      <c r="C2595" s="4">
        <v>19</v>
      </c>
      <c r="D2595" s="3" t="s">
        <v>72</v>
      </c>
      <c r="E2595" s="3" t="s">
        <v>41</v>
      </c>
      <c r="F2595" s="5">
        <v>1512</v>
      </c>
      <c r="G2595" s="5">
        <v>174</v>
      </c>
      <c r="H2595" s="6">
        <v>75626.880000000005</v>
      </c>
      <c r="I2595" s="22">
        <v>11717.856</v>
      </c>
      <c r="J2595" s="24">
        <f t="shared" si="120"/>
        <v>8.1194453068508135E-5</v>
      </c>
      <c r="K2595" s="25">
        <f t="shared" si="122"/>
        <v>0.90441473605928813</v>
      </c>
      <c r="L2595" s="26" t="s">
        <v>7517</v>
      </c>
      <c r="M2595" s="28"/>
      <c r="N2595" s="28"/>
      <c r="O2595" s="20" t="s">
        <v>7530</v>
      </c>
      <c r="P2595" s="27" t="str">
        <f t="shared" si="121"/>
        <v>vermelho</v>
      </c>
    </row>
    <row r="2596" spans="1:16" ht="38.25">
      <c r="A2596" s="3" t="s">
        <v>4</v>
      </c>
      <c r="B2596" s="3" t="s">
        <v>1783</v>
      </c>
      <c r="C2596" s="4">
        <v>264</v>
      </c>
      <c r="D2596" s="3" t="s">
        <v>40</v>
      </c>
      <c r="E2596" s="3" t="s">
        <v>7</v>
      </c>
      <c r="F2596" s="5">
        <v>0</v>
      </c>
      <c r="G2596" s="5">
        <v>246</v>
      </c>
      <c r="H2596" s="6">
        <v>0</v>
      </c>
      <c r="I2596" s="22">
        <v>11714.19</v>
      </c>
      <c r="J2596" s="24">
        <f t="shared" si="120"/>
        <v>8.1169050907485755E-5</v>
      </c>
      <c r="K2596" s="25">
        <f t="shared" si="122"/>
        <v>0.90449590511019562</v>
      </c>
      <c r="L2596" s="26" t="s">
        <v>7517</v>
      </c>
      <c r="M2596" s="28"/>
      <c r="N2596" s="28"/>
      <c r="O2596" s="20" t="s">
        <v>7530</v>
      </c>
      <c r="P2596" s="27" t="str">
        <f t="shared" si="121"/>
        <v>vermelho</v>
      </c>
    </row>
    <row r="2597" spans="1:16" ht="38.25">
      <c r="A2597" s="3" t="s">
        <v>4</v>
      </c>
      <c r="B2597" s="3" t="s">
        <v>1784</v>
      </c>
      <c r="C2597" s="4">
        <v>38</v>
      </c>
      <c r="D2597" s="3" t="s">
        <v>184</v>
      </c>
      <c r="E2597" s="3" t="s">
        <v>49</v>
      </c>
      <c r="F2597" s="5">
        <v>0</v>
      </c>
      <c r="G2597" s="5">
        <v>186</v>
      </c>
      <c r="H2597" s="6">
        <v>0</v>
      </c>
      <c r="I2597" s="22">
        <v>11714.07</v>
      </c>
      <c r="J2597" s="24">
        <f t="shared" si="120"/>
        <v>8.1168219412853262E-5</v>
      </c>
      <c r="K2597" s="25">
        <f t="shared" si="122"/>
        <v>0.90457707332960846</v>
      </c>
      <c r="L2597" s="26" t="s">
        <v>7517</v>
      </c>
      <c r="M2597" s="28"/>
      <c r="N2597" s="28"/>
      <c r="O2597" s="20" t="s">
        <v>7530</v>
      </c>
      <c r="P2597" s="27" t="str">
        <f t="shared" si="121"/>
        <v>vermelho</v>
      </c>
    </row>
    <row r="2598" spans="1:16" ht="25.5">
      <c r="A2598" s="3" t="s">
        <v>4</v>
      </c>
      <c r="B2598" s="3" t="s">
        <v>1785</v>
      </c>
      <c r="C2598" s="4">
        <v>327</v>
      </c>
      <c r="D2598" s="3" t="s">
        <v>100</v>
      </c>
      <c r="E2598" s="3" t="s">
        <v>7</v>
      </c>
      <c r="F2598" s="5">
        <v>96</v>
      </c>
      <c r="G2598" s="5">
        <v>177</v>
      </c>
      <c r="H2598" s="6">
        <v>5939.04</v>
      </c>
      <c r="I2598" s="22">
        <v>11676.27</v>
      </c>
      <c r="J2598" s="24">
        <f t="shared" si="120"/>
        <v>8.0906298603620794E-5</v>
      </c>
      <c r="K2598" s="25">
        <f t="shared" si="122"/>
        <v>0.90465797962821204</v>
      </c>
      <c r="L2598" s="26" t="s">
        <v>7517</v>
      </c>
      <c r="M2598" s="28"/>
      <c r="N2598" s="28"/>
      <c r="O2598" s="20" t="s">
        <v>7530</v>
      </c>
      <c r="P2598" s="27" t="str">
        <f t="shared" si="121"/>
        <v>vermelho</v>
      </c>
    </row>
    <row r="2599" spans="1:16" ht="25.5">
      <c r="A2599" s="3" t="s">
        <v>4</v>
      </c>
      <c r="B2599" s="3" t="s">
        <v>1786</v>
      </c>
      <c r="C2599" s="4">
        <v>337</v>
      </c>
      <c r="D2599" s="3" t="s">
        <v>202</v>
      </c>
      <c r="E2599" s="3" t="s">
        <v>16</v>
      </c>
      <c r="F2599" s="5">
        <v>444</v>
      </c>
      <c r="G2599" s="5">
        <v>216</v>
      </c>
      <c r="H2599" s="6">
        <v>22416.720000000001</v>
      </c>
      <c r="I2599" s="22">
        <v>11667.12</v>
      </c>
      <c r="J2599" s="24">
        <f t="shared" si="120"/>
        <v>8.0842897137893891E-5</v>
      </c>
      <c r="K2599" s="25">
        <f t="shared" si="122"/>
        <v>0.90473882252534998</v>
      </c>
      <c r="L2599" s="26" t="s">
        <v>7517</v>
      </c>
      <c r="M2599" s="28"/>
      <c r="N2599" s="28"/>
      <c r="O2599" s="20" t="s">
        <v>7530</v>
      </c>
      <c r="P2599" s="27" t="str">
        <f t="shared" si="121"/>
        <v>vermelho</v>
      </c>
    </row>
    <row r="2600" spans="1:16" ht="25.5">
      <c r="A2600" s="3" t="s">
        <v>4</v>
      </c>
      <c r="B2600" s="3" t="s">
        <v>1787</v>
      </c>
      <c r="C2600" s="4">
        <v>232</v>
      </c>
      <c r="D2600" s="3" t="s">
        <v>174</v>
      </c>
      <c r="E2600" s="3" t="s">
        <v>16</v>
      </c>
      <c r="F2600" s="5">
        <v>336</v>
      </c>
      <c r="G2600" s="5">
        <v>192</v>
      </c>
      <c r="H2600" s="6">
        <v>18197.52</v>
      </c>
      <c r="I2600" s="22">
        <v>11666.88</v>
      </c>
      <c r="J2600" s="24">
        <f t="shared" si="120"/>
        <v>8.0841234148628906E-5</v>
      </c>
      <c r="K2600" s="25">
        <f t="shared" si="122"/>
        <v>0.90481966375949863</v>
      </c>
      <c r="L2600" s="26" t="s">
        <v>7517</v>
      </c>
      <c r="M2600" s="28"/>
      <c r="N2600" s="28"/>
      <c r="O2600" s="20" t="s">
        <v>7530</v>
      </c>
      <c r="P2600" s="27" t="str">
        <f t="shared" si="121"/>
        <v>vermelho</v>
      </c>
    </row>
    <row r="2601" spans="1:16" ht="25.5">
      <c r="A2601" s="3" t="s">
        <v>4</v>
      </c>
      <c r="B2601" s="3" t="s">
        <v>1788</v>
      </c>
      <c r="C2601" s="4">
        <v>208</v>
      </c>
      <c r="D2601" s="3" t="s">
        <v>15</v>
      </c>
      <c r="E2601" s="3" t="s">
        <v>16</v>
      </c>
      <c r="F2601" s="5">
        <v>216</v>
      </c>
      <c r="G2601" s="5">
        <v>192</v>
      </c>
      <c r="H2601" s="6">
        <v>12033.84</v>
      </c>
      <c r="I2601" s="22">
        <v>11664.96</v>
      </c>
      <c r="J2601" s="24">
        <f t="shared" si="120"/>
        <v>8.0827930234509163E-5</v>
      </c>
      <c r="K2601" s="25">
        <f t="shared" si="122"/>
        <v>0.90490049168973319</v>
      </c>
      <c r="L2601" s="26" t="s">
        <v>7517</v>
      </c>
      <c r="M2601" s="28"/>
      <c r="N2601" s="28"/>
      <c r="O2601" s="20" t="s">
        <v>7530</v>
      </c>
      <c r="P2601" s="27" t="str">
        <f t="shared" si="121"/>
        <v>vermelho</v>
      </c>
    </row>
    <row r="2602" spans="1:16" ht="25.5">
      <c r="A2602" s="3" t="s">
        <v>4</v>
      </c>
      <c r="B2602" s="3" t="s">
        <v>1789</v>
      </c>
      <c r="C2602" s="4">
        <v>267</v>
      </c>
      <c r="D2602" s="3" t="s">
        <v>125</v>
      </c>
      <c r="E2602" s="3" t="s">
        <v>16</v>
      </c>
      <c r="F2602" s="5">
        <v>168</v>
      </c>
      <c r="G2602" s="5">
        <v>186</v>
      </c>
      <c r="H2602" s="6">
        <v>9568.32</v>
      </c>
      <c r="I2602" s="22">
        <v>11664.9</v>
      </c>
      <c r="J2602" s="24">
        <f t="shared" si="120"/>
        <v>8.0827514487192924E-5</v>
      </c>
      <c r="K2602" s="25">
        <f t="shared" si="122"/>
        <v>0.90498131920422042</v>
      </c>
      <c r="L2602" s="26" t="s">
        <v>7517</v>
      </c>
      <c r="M2602" s="28"/>
      <c r="N2602" s="28"/>
      <c r="O2602" s="20" t="s">
        <v>7530</v>
      </c>
      <c r="P2602" s="27" t="str">
        <f t="shared" si="121"/>
        <v>vermelho</v>
      </c>
    </row>
    <row r="2603" spans="1:16" ht="25.5">
      <c r="A2603" s="3" t="s">
        <v>4</v>
      </c>
      <c r="B2603" s="3" t="s">
        <v>1790</v>
      </c>
      <c r="C2603" s="4">
        <v>317</v>
      </c>
      <c r="D2603" s="3" t="s">
        <v>78</v>
      </c>
      <c r="E2603" s="3" t="s">
        <v>10</v>
      </c>
      <c r="F2603" s="5">
        <v>0</v>
      </c>
      <c r="G2603" s="5">
        <v>231</v>
      </c>
      <c r="H2603" s="6">
        <v>0</v>
      </c>
      <c r="I2603" s="22">
        <v>11661.21</v>
      </c>
      <c r="J2603" s="24">
        <f t="shared" si="120"/>
        <v>8.0801946027244038E-5</v>
      </c>
      <c r="K2603" s="25">
        <f t="shared" si="122"/>
        <v>0.90506212115024764</v>
      </c>
      <c r="L2603" s="26" t="s">
        <v>7517</v>
      </c>
      <c r="M2603" s="28"/>
      <c r="N2603" s="28"/>
      <c r="O2603" s="20" t="s">
        <v>7530</v>
      </c>
      <c r="P2603" s="27" t="str">
        <f t="shared" si="121"/>
        <v>vermelho</v>
      </c>
    </row>
    <row r="2604" spans="1:16" ht="25.5">
      <c r="A2604" s="3" t="s">
        <v>4</v>
      </c>
      <c r="B2604" s="3" t="s">
        <v>1791</v>
      </c>
      <c r="C2604" s="4">
        <v>270</v>
      </c>
      <c r="D2604" s="3" t="s">
        <v>266</v>
      </c>
      <c r="E2604" s="3" t="s">
        <v>49</v>
      </c>
      <c r="F2604" s="5">
        <v>78</v>
      </c>
      <c r="G2604" s="5">
        <v>216</v>
      </c>
      <c r="H2604" s="6">
        <v>3498.99</v>
      </c>
      <c r="I2604" s="22">
        <v>11639.88</v>
      </c>
      <c r="J2604" s="24">
        <f t="shared" si="120"/>
        <v>8.0654147856319992E-5</v>
      </c>
      <c r="K2604" s="25">
        <f t="shared" si="122"/>
        <v>0.90514277529810394</v>
      </c>
      <c r="L2604" s="26" t="s">
        <v>7517</v>
      </c>
      <c r="M2604" s="28"/>
      <c r="N2604" s="28"/>
      <c r="O2604" s="20" t="s">
        <v>7530</v>
      </c>
      <c r="P2604" s="27" t="str">
        <f t="shared" si="121"/>
        <v>vermelho</v>
      </c>
    </row>
    <row r="2605" spans="1:16" ht="25.5">
      <c r="A2605" s="3" t="s">
        <v>4</v>
      </c>
      <c r="B2605" s="3" t="s">
        <v>1792</v>
      </c>
      <c r="C2605" s="4">
        <v>217</v>
      </c>
      <c r="D2605" s="3" t="s">
        <v>91</v>
      </c>
      <c r="E2605" s="3" t="s">
        <v>16</v>
      </c>
      <c r="F2605" s="5">
        <v>0</v>
      </c>
      <c r="G2605" s="5">
        <v>204</v>
      </c>
      <c r="H2605" s="6">
        <v>0</v>
      </c>
      <c r="I2605" s="22">
        <v>11626.8</v>
      </c>
      <c r="J2605" s="24">
        <f t="shared" si="120"/>
        <v>8.0563514941379231E-5</v>
      </c>
      <c r="K2605" s="25">
        <f t="shared" si="122"/>
        <v>0.90522333881304529</v>
      </c>
      <c r="L2605" s="26" t="s">
        <v>7517</v>
      </c>
      <c r="M2605" s="28"/>
      <c r="N2605" s="28"/>
      <c r="O2605" s="20" t="s">
        <v>7530</v>
      </c>
      <c r="P2605" s="27" t="str">
        <f t="shared" si="121"/>
        <v>vermelho</v>
      </c>
    </row>
    <row r="2606" spans="1:16" ht="25.5">
      <c r="A2606" s="3" t="s">
        <v>4</v>
      </c>
      <c r="B2606" s="3" t="s">
        <v>1793</v>
      </c>
      <c r="C2606" s="4">
        <v>327</v>
      </c>
      <c r="D2606" s="3" t="s">
        <v>100</v>
      </c>
      <c r="E2606" s="3" t="s">
        <v>7</v>
      </c>
      <c r="F2606" s="5">
        <v>0</v>
      </c>
      <c r="G2606" s="5">
        <v>168</v>
      </c>
      <c r="H2606" s="6">
        <v>0</v>
      </c>
      <c r="I2606" s="22">
        <v>11620.32</v>
      </c>
      <c r="J2606" s="24">
        <f t="shared" si="120"/>
        <v>8.0518614231225104E-5</v>
      </c>
      <c r="K2606" s="25">
        <f t="shared" si="122"/>
        <v>0.90530385742727648</v>
      </c>
      <c r="L2606" s="26" t="s">
        <v>7517</v>
      </c>
      <c r="M2606" s="28"/>
      <c r="N2606" s="28"/>
      <c r="O2606" s="20" t="s">
        <v>7530</v>
      </c>
      <c r="P2606" s="27" t="str">
        <f t="shared" si="121"/>
        <v>vermelho</v>
      </c>
    </row>
    <row r="2607" spans="1:16" ht="38.25">
      <c r="A2607" s="3" t="s">
        <v>4</v>
      </c>
      <c r="B2607" s="3" t="s">
        <v>1794</v>
      </c>
      <c r="C2607" s="4">
        <v>34</v>
      </c>
      <c r="D2607" s="3" t="s">
        <v>54</v>
      </c>
      <c r="E2607" s="3" t="s">
        <v>49</v>
      </c>
      <c r="F2607" s="5">
        <v>228</v>
      </c>
      <c r="G2607" s="5">
        <v>183</v>
      </c>
      <c r="H2607" s="6">
        <v>13085.04</v>
      </c>
      <c r="I2607" s="22">
        <v>11597.79</v>
      </c>
      <c r="J2607" s="24">
        <f t="shared" si="120"/>
        <v>8.0362501113976229E-5</v>
      </c>
      <c r="K2607" s="25">
        <f t="shared" si="122"/>
        <v>0.90538421992839047</v>
      </c>
      <c r="L2607" s="26" t="s">
        <v>7517</v>
      </c>
      <c r="M2607" s="28"/>
      <c r="N2607" s="28"/>
      <c r="O2607" s="20" t="s">
        <v>7530</v>
      </c>
      <c r="P2607" s="27" t="str">
        <f t="shared" si="121"/>
        <v>vermelho</v>
      </c>
    </row>
    <row r="2608" spans="1:16" ht="38.25">
      <c r="A2608" s="3" t="s">
        <v>4</v>
      </c>
      <c r="B2608" s="3" t="s">
        <v>1795</v>
      </c>
      <c r="C2608" s="4">
        <v>34</v>
      </c>
      <c r="D2608" s="3" t="s">
        <v>54</v>
      </c>
      <c r="E2608" s="3" t="s">
        <v>49</v>
      </c>
      <c r="F2608" s="5">
        <v>216</v>
      </c>
      <c r="G2608" s="5">
        <v>174</v>
      </c>
      <c r="H2608" s="6">
        <v>12387.84</v>
      </c>
      <c r="I2608" s="22">
        <v>11595.78</v>
      </c>
      <c r="J2608" s="24">
        <f t="shared" si="120"/>
        <v>8.0348573578882114E-5</v>
      </c>
      <c r="K2608" s="25">
        <f t="shared" si="122"/>
        <v>0.90546456850196932</v>
      </c>
      <c r="L2608" s="26" t="s">
        <v>7517</v>
      </c>
      <c r="M2608" s="28"/>
      <c r="N2608" s="28"/>
      <c r="O2608" s="20">
        <v>7395.96</v>
      </c>
      <c r="P2608" s="27" t="str">
        <f t="shared" si="121"/>
        <v>laranja</v>
      </c>
    </row>
    <row r="2609" spans="1:16">
      <c r="A2609" s="3" t="s">
        <v>4</v>
      </c>
      <c r="B2609" s="3" t="s">
        <v>1796</v>
      </c>
      <c r="C2609" s="4">
        <v>240</v>
      </c>
      <c r="D2609" s="3" t="s">
        <v>69</v>
      </c>
      <c r="E2609" s="3" t="s">
        <v>16</v>
      </c>
      <c r="F2609" s="5">
        <v>258</v>
      </c>
      <c r="G2609" s="5">
        <v>192</v>
      </c>
      <c r="H2609" s="6">
        <v>13596.06</v>
      </c>
      <c r="I2609" s="22">
        <v>11589.36</v>
      </c>
      <c r="J2609" s="24">
        <f t="shared" si="120"/>
        <v>8.0304088616044226E-5</v>
      </c>
      <c r="K2609" s="25">
        <f t="shared" si="122"/>
        <v>0.90554487259058536</v>
      </c>
      <c r="L2609" s="26" t="s">
        <v>7517</v>
      </c>
      <c r="M2609" s="28"/>
      <c r="N2609" s="28"/>
      <c r="O2609" s="20" t="s">
        <v>7530</v>
      </c>
      <c r="P2609" s="27" t="str">
        <f t="shared" si="121"/>
        <v>vermelho</v>
      </c>
    </row>
    <row r="2610" spans="1:16" ht="38.25">
      <c r="A2610" s="3" t="s">
        <v>6627</v>
      </c>
      <c r="B2610" s="3" t="s">
        <v>6628</v>
      </c>
      <c r="C2610" s="4">
        <v>301</v>
      </c>
      <c r="D2610" s="3" t="s">
        <v>519</v>
      </c>
      <c r="E2610" s="3" t="s">
        <v>16</v>
      </c>
      <c r="F2610" s="5">
        <v>0</v>
      </c>
      <c r="G2610" s="5">
        <v>204</v>
      </c>
      <c r="H2610" s="6">
        <v>0</v>
      </c>
      <c r="I2610" s="22">
        <v>11588.16</v>
      </c>
      <c r="J2610" s="24">
        <f t="shared" si="120"/>
        <v>8.0295773669719384E-5</v>
      </c>
      <c r="K2610" s="25">
        <f t="shared" si="122"/>
        <v>0.90562516836425511</v>
      </c>
      <c r="L2610" s="26" t="s">
        <v>7517</v>
      </c>
      <c r="M2610" s="28"/>
      <c r="N2610" s="28"/>
      <c r="O2610" s="20" t="s">
        <v>7530</v>
      </c>
      <c r="P2610" s="27" t="str">
        <f t="shared" si="121"/>
        <v>vermelho</v>
      </c>
    </row>
    <row r="2611" spans="1:16" ht="25.5">
      <c r="A2611" s="3" t="s">
        <v>4</v>
      </c>
      <c r="B2611" s="3" t="s">
        <v>1797</v>
      </c>
      <c r="C2611" s="4">
        <v>74</v>
      </c>
      <c r="D2611" s="3" t="s">
        <v>6</v>
      </c>
      <c r="E2611" s="3" t="s">
        <v>7</v>
      </c>
      <c r="F2611" s="5">
        <v>228</v>
      </c>
      <c r="G2611" s="5">
        <v>168</v>
      </c>
      <c r="H2611" s="6">
        <v>14682.6</v>
      </c>
      <c r="I2611" s="22">
        <v>11580.12</v>
      </c>
      <c r="J2611" s="24">
        <f t="shared" si="120"/>
        <v>8.024006352934295E-5</v>
      </c>
      <c r="K2611" s="25">
        <f t="shared" si="122"/>
        <v>0.90570540842778446</v>
      </c>
      <c r="L2611" s="26" t="s">
        <v>7517</v>
      </c>
      <c r="M2611" s="28"/>
      <c r="N2611" s="28"/>
      <c r="O2611" s="20" t="s">
        <v>7530</v>
      </c>
      <c r="P2611" s="27" t="str">
        <f t="shared" si="121"/>
        <v>vermelho</v>
      </c>
    </row>
    <row r="2612" spans="1:16" ht="25.5">
      <c r="A2612" s="3" t="s">
        <v>4</v>
      </c>
      <c r="B2612" s="3" t="s">
        <v>1798</v>
      </c>
      <c r="C2612" s="4">
        <v>197</v>
      </c>
      <c r="D2612" s="3" t="s">
        <v>66</v>
      </c>
      <c r="E2612" s="3" t="s">
        <v>41</v>
      </c>
      <c r="F2612" s="5">
        <v>0</v>
      </c>
      <c r="G2612" s="5">
        <v>180</v>
      </c>
      <c r="H2612" s="6">
        <v>0</v>
      </c>
      <c r="I2612" s="22">
        <v>11579.07</v>
      </c>
      <c r="J2612" s="24">
        <f t="shared" si="120"/>
        <v>8.0232787951308707E-5</v>
      </c>
      <c r="K2612" s="25">
        <f t="shared" si="122"/>
        <v>0.90578564121573579</v>
      </c>
      <c r="L2612" s="26" t="s">
        <v>7517</v>
      </c>
      <c r="M2612" s="28"/>
      <c r="N2612" s="28"/>
      <c r="O2612" s="20" t="s">
        <v>7530</v>
      </c>
      <c r="P2612" s="27" t="str">
        <f t="shared" si="121"/>
        <v>vermelho</v>
      </c>
    </row>
    <row r="2613" spans="1:16" ht="25.5">
      <c r="A2613" s="3" t="s">
        <v>4</v>
      </c>
      <c r="B2613" s="3" t="s">
        <v>1799</v>
      </c>
      <c r="C2613" s="4">
        <v>337</v>
      </c>
      <c r="D2613" s="3" t="s">
        <v>202</v>
      </c>
      <c r="E2613" s="3" t="s">
        <v>16</v>
      </c>
      <c r="F2613" s="5">
        <v>300</v>
      </c>
      <c r="G2613" s="5">
        <v>180</v>
      </c>
      <c r="H2613" s="6">
        <v>15590.76</v>
      </c>
      <c r="I2613" s="22">
        <v>11572.2</v>
      </c>
      <c r="J2613" s="24">
        <f t="shared" si="120"/>
        <v>8.0185184883599009E-5</v>
      </c>
      <c r="K2613" s="25">
        <f t="shared" si="122"/>
        <v>0.90586582640061941</v>
      </c>
      <c r="L2613" s="26" t="s">
        <v>7517</v>
      </c>
      <c r="M2613" s="28"/>
      <c r="N2613" s="28"/>
      <c r="O2613" s="20" t="s">
        <v>7530</v>
      </c>
      <c r="P2613" s="27" t="str">
        <f t="shared" si="121"/>
        <v>vermelho</v>
      </c>
    </row>
    <row r="2614" spans="1:16" ht="25.5">
      <c r="A2614" s="3" t="s">
        <v>4</v>
      </c>
      <c r="B2614" s="3" t="s">
        <v>1800</v>
      </c>
      <c r="C2614" s="4">
        <v>296</v>
      </c>
      <c r="D2614" s="3" t="s">
        <v>282</v>
      </c>
      <c r="E2614" s="3" t="s">
        <v>10</v>
      </c>
      <c r="F2614" s="5">
        <v>75</v>
      </c>
      <c r="G2614" s="5">
        <v>228</v>
      </c>
      <c r="H2614" s="6">
        <v>3526.95</v>
      </c>
      <c r="I2614" s="22">
        <v>11557.895</v>
      </c>
      <c r="J2614" s="24">
        <f t="shared" si="120"/>
        <v>8.0086063794284964E-5</v>
      </c>
      <c r="K2614" s="25">
        <f t="shared" si="122"/>
        <v>0.90594591246441369</v>
      </c>
      <c r="L2614" s="26" t="s">
        <v>7517</v>
      </c>
      <c r="M2614" s="28"/>
      <c r="N2614" s="28"/>
      <c r="O2614" s="20" t="s">
        <v>7530</v>
      </c>
      <c r="P2614" s="27" t="str">
        <f t="shared" si="121"/>
        <v>vermelho</v>
      </c>
    </row>
    <row r="2615" spans="1:16" ht="38.25">
      <c r="A2615" s="3" t="s">
        <v>4</v>
      </c>
      <c r="B2615" s="3" t="s">
        <v>1801</v>
      </c>
      <c r="C2615" s="4">
        <v>301</v>
      </c>
      <c r="D2615" s="3" t="s">
        <v>519</v>
      </c>
      <c r="E2615" s="3" t="s">
        <v>16</v>
      </c>
      <c r="F2615" s="5">
        <v>96</v>
      </c>
      <c r="G2615" s="5">
        <v>192</v>
      </c>
      <c r="H2615" s="6">
        <v>5403</v>
      </c>
      <c r="I2615" s="22">
        <v>11554.29</v>
      </c>
      <c r="J2615" s="24">
        <f t="shared" si="120"/>
        <v>8.0061084309700759E-5</v>
      </c>
      <c r="K2615" s="25">
        <f t="shared" si="122"/>
        <v>0.90602597354872338</v>
      </c>
      <c r="L2615" s="26" t="s">
        <v>7517</v>
      </c>
      <c r="M2615" s="28"/>
      <c r="N2615" s="28"/>
      <c r="O2615" s="20">
        <v>10445.040000000001</v>
      </c>
      <c r="P2615" s="27" t="str">
        <f t="shared" si="121"/>
        <v>laranja</v>
      </c>
    </row>
    <row r="2616" spans="1:16">
      <c r="A2616" s="3" t="s">
        <v>6629</v>
      </c>
      <c r="B2616" s="3" t="s">
        <v>6630</v>
      </c>
      <c r="C2616" s="4">
        <v>167</v>
      </c>
      <c r="D2616" s="3" t="s">
        <v>251</v>
      </c>
      <c r="E2616" s="3" t="s">
        <v>49</v>
      </c>
      <c r="F2616" s="5">
        <v>234</v>
      </c>
      <c r="G2616" s="5">
        <v>186</v>
      </c>
      <c r="H2616" s="6">
        <v>12936.66</v>
      </c>
      <c r="I2616" s="22">
        <v>11554.14</v>
      </c>
      <c r="J2616" s="24">
        <f t="shared" si="120"/>
        <v>8.0060044941410147E-5</v>
      </c>
      <c r="K2616" s="25">
        <f t="shared" si="122"/>
        <v>0.90610603359366482</v>
      </c>
      <c r="L2616" s="26" t="s">
        <v>7517</v>
      </c>
      <c r="M2616" s="28"/>
      <c r="N2616" s="28"/>
      <c r="O2616" s="20">
        <v>31361.64</v>
      </c>
      <c r="P2616" s="27" t="str">
        <f t="shared" si="121"/>
        <v>verde</v>
      </c>
    </row>
    <row r="2617" spans="1:16" ht="25.5">
      <c r="A2617" s="3" t="s">
        <v>4</v>
      </c>
      <c r="B2617" s="3" t="s">
        <v>1802</v>
      </c>
      <c r="C2617" s="4">
        <v>23</v>
      </c>
      <c r="D2617" s="3" t="s">
        <v>87</v>
      </c>
      <c r="E2617" s="3" t="s">
        <v>7</v>
      </c>
      <c r="F2617" s="5">
        <v>0</v>
      </c>
      <c r="G2617" s="5">
        <v>198</v>
      </c>
      <c r="H2617" s="6">
        <v>0</v>
      </c>
      <c r="I2617" s="22">
        <v>11541.6</v>
      </c>
      <c r="J2617" s="24">
        <f t="shared" si="120"/>
        <v>7.9973153752315568E-5</v>
      </c>
      <c r="K2617" s="25">
        <f t="shared" si="122"/>
        <v>0.90618600674741712</v>
      </c>
      <c r="L2617" s="26" t="s">
        <v>7517</v>
      </c>
      <c r="M2617" s="28"/>
      <c r="N2617" s="28"/>
      <c r="O2617" s="20" t="s">
        <v>7530</v>
      </c>
      <c r="P2617" s="27" t="str">
        <f t="shared" si="121"/>
        <v>vermelho</v>
      </c>
    </row>
    <row r="2618" spans="1:16" ht="38.25">
      <c r="A2618" s="3" t="s">
        <v>4</v>
      </c>
      <c r="B2618" s="3" t="s">
        <v>1803</v>
      </c>
      <c r="C2618" s="4">
        <v>143</v>
      </c>
      <c r="D2618" s="3" t="s">
        <v>44</v>
      </c>
      <c r="E2618" s="3" t="s">
        <v>41</v>
      </c>
      <c r="F2618" s="5">
        <v>210</v>
      </c>
      <c r="G2618" s="5">
        <v>192</v>
      </c>
      <c r="H2618" s="6">
        <v>12356.04</v>
      </c>
      <c r="I2618" s="22">
        <v>11539.08</v>
      </c>
      <c r="J2618" s="24">
        <f t="shared" si="120"/>
        <v>7.9955692365033405E-5</v>
      </c>
      <c r="K2618" s="25">
        <f t="shared" si="122"/>
        <v>0.90626596243978219</v>
      </c>
      <c r="L2618" s="26" t="s">
        <v>7517</v>
      </c>
      <c r="M2618" s="28"/>
      <c r="N2618" s="28"/>
      <c r="O2618" s="20">
        <v>11765.04</v>
      </c>
      <c r="P2618" s="27" t="str">
        <f t="shared" si="121"/>
        <v>verde</v>
      </c>
    </row>
    <row r="2619" spans="1:16" ht="25.5">
      <c r="A2619" s="3" t="s">
        <v>4</v>
      </c>
      <c r="B2619" s="3" t="s">
        <v>1804</v>
      </c>
      <c r="C2619" s="4">
        <v>208</v>
      </c>
      <c r="D2619" s="3" t="s">
        <v>15</v>
      </c>
      <c r="E2619" s="3" t="s">
        <v>16</v>
      </c>
      <c r="F2619" s="5">
        <v>0</v>
      </c>
      <c r="G2619" s="5">
        <v>192</v>
      </c>
      <c r="H2619" s="6">
        <v>0</v>
      </c>
      <c r="I2619" s="22">
        <v>11532.126</v>
      </c>
      <c r="J2619" s="24">
        <f t="shared" si="120"/>
        <v>7.9907507251080961E-5</v>
      </c>
      <c r="K2619" s="25">
        <f t="shared" si="122"/>
        <v>0.90634586994703326</v>
      </c>
      <c r="L2619" s="26" t="s">
        <v>7517</v>
      </c>
      <c r="M2619" s="28"/>
      <c r="N2619" s="28"/>
      <c r="O2619" s="20" t="s">
        <v>7530</v>
      </c>
      <c r="P2619" s="27" t="str">
        <f t="shared" si="121"/>
        <v>vermelho</v>
      </c>
    </row>
    <row r="2620" spans="1:16">
      <c r="A2620" s="3" t="s">
        <v>6145</v>
      </c>
      <c r="B2620" s="3" t="s">
        <v>6146</v>
      </c>
      <c r="C2620" s="4">
        <v>264</v>
      </c>
      <c r="D2620" s="3" t="s">
        <v>40</v>
      </c>
      <c r="E2620" s="3" t="s">
        <v>7</v>
      </c>
      <c r="F2620" s="5">
        <v>0</v>
      </c>
      <c r="G2620" s="5">
        <v>183</v>
      </c>
      <c r="H2620" s="6">
        <v>0</v>
      </c>
      <c r="I2620" s="22">
        <v>11530.68</v>
      </c>
      <c r="J2620" s="24">
        <f t="shared" si="120"/>
        <v>7.9897487740759521E-5</v>
      </c>
      <c r="K2620" s="25">
        <f t="shared" si="122"/>
        <v>0.90642576743477399</v>
      </c>
      <c r="L2620" s="26" t="s">
        <v>7517</v>
      </c>
      <c r="M2620" s="28"/>
      <c r="N2620" s="28"/>
      <c r="O2620" s="20" t="s">
        <v>7530</v>
      </c>
      <c r="P2620" s="27" t="str">
        <f t="shared" si="121"/>
        <v>vermelho</v>
      </c>
    </row>
    <row r="2621" spans="1:16" ht="25.5">
      <c r="A2621" s="3" t="s">
        <v>4</v>
      </c>
      <c r="B2621" s="3" t="s">
        <v>1805</v>
      </c>
      <c r="C2621" s="4">
        <v>61</v>
      </c>
      <c r="D2621" s="3" t="s">
        <v>48</v>
      </c>
      <c r="E2621" s="3" t="s">
        <v>49</v>
      </c>
      <c r="F2621" s="5">
        <v>159</v>
      </c>
      <c r="G2621" s="5">
        <v>192</v>
      </c>
      <c r="H2621" s="6">
        <v>9656.1299999999992</v>
      </c>
      <c r="I2621" s="22">
        <v>11529.6</v>
      </c>
      <c r="J2621" s="24">
        <f t="shared" si="120"/>
        <v>7.9890004289067171E-5</v>
      </c>
      <c r="K2621" s="25">
        <f t="shared" si="122"/>
        <v>0.90650565743906308</v>
      </c>
      <c r="L2621" s="26" t="s">
        <v>7517</v>
      </c>
      <c r="M2621" s="28"/>
      <c r="N2621" s="28"/>
      <c r="O2621" s="20">
        <v>4879.5600000000004</v>
      </c>
      <c r="P2621" s="27" t="str">
        <f t="shared" si="121"/>
        <v>amarelo</v>
      </c>
    </row>
    <row r="2622" spans="1:16" ht="25.5">
      <c r="A2622" s="3" t="s">
        <v>4</v>
      </c>
      <c r="B2622" s="3" t="s">
        <v>1806</v>
      </c>
      <c r="C2622" s="4">
        <v>317</v>
      </c>
      <c r="D2622" s="3" t="s">
        <v>78</v>
      </c>
      <c r="E2622" s="3" t="s">
        <v>10</v>
      </c>
      <c r="F2622" s="5">
        <v>204</v>
      </c>
      <c r="G2622" s="5">
        <v>144</v>
      </c>
      <c r="H2622" s="6">
        <v>11301.48</v>
      </c>
      <c r="I2622" s="22">
        <v>11528.64</v>
      </c>
      <c r="J2622" s="24">
        <f t="shared" si="120"/>
        <v>7.9883352332007286E-5</v>
      </c>
      <c r="K2622" s="25">
        <f t="shared" si="122"/>
        <v>0.90658554079139508</v>
      </c>
      <c r="L2622" s="26" t="s">
        <v>7517</v>
      </c>
      <c r="M2622" s="28"/>
      <c r="N2622" s="28"/>
      <c r="O2622" s="20" t="s">
        <v>7530</v>
      </c>
      <c r="P2622" s="27" t="str">
        <f t="shared" si="121"/>
        <v>vermelho</v>
      </c>
    </row>
    <row r="2623" spans="1:16" ht="25.5">
      <c r="A2623" s="3" t="s">
        <v>4</v>
      </c>
      <c r="B2623" s="3" t="s">
        <v>1807</v>
      </c>
      <c r="C2623" s="4">
        <v>296</v>
      </c>
      <c r="D2623" s="3" t="s">
        <v>282</v>
      </c>
      <c r="E2623" s="3" t="s">
        <v>10</v>
      </c>
      <c r="F2623" s="5">
        <v>0</v>
      </c>
      <c r="G2623" s="5">
        <v>186</v>
      </c>
      <c r="H2623" s="6">
        <v>0</v>
      </c>
      <c r="I2623" s="22">
        <v>11522.052</v>
      </c>
      <c r="J2623" s="24">
        <f t="shared" si="120"/>
        <v>7.983770327668392E-5</v>
      </c>
      <c r="K2623" s="25">
        <f t="shared" si="122"/>
        <v>0.90666537849467177</v>
      </c>
      <c r="L2623" s="26" t="s">
        <v>7517</v>
      </c>
      <c r="M2623" s="28"/>
      <c r="N2623" s="28"/>
      <c r="O2623" s="20" t="s">
        <v>7530</v>
      </c>
      <c r="P2623" s="27" t="str">
        <f t="shared" si="121"/>
        <v>vermelho</v>
      </c>
    </row>
    <row r="2624" spans="1:16" ht="25.5">
      <c r="A2624" s="3" t="s">
        <v>4</v>
      </c>
      <c r="B2624" s="3" t="s">
        <v>1808</v>
      </c>
      <c r="C2624" s="4">
        <v>61</v>
      </c>
      <c r="D2624" s="3" t="s">
        <v>48</v>
      </c>
      <c r="E2624" s="3" t="s">
        <v>49</v>
      </c>
      <c r="F2624" s="5">
        <v>0</v>
      </c>
      <c r="G2624" s="5">
        <v>180</v>
      </c>
      <c r="H2624" s="6">
        <v>0</v>
      </c>
      <c r="I2624" s="22">
        <v>11521.44</v>
      </c>
      <c r="J2624" s="24">
        <f t="shared" si="120"/>
        <v>7.9833462654058259E-5</v>
      </c>
      <c r="K2624" s="25">
        <f t="shared" si="122"/>
        <v>0.90674521195732583</v>
      </c>
      <c r="L2624" s="26" t="s">
        <v>7517</v>
      </c>
      <c r="M2624" s="28"/>
      <c r="N2624" s="28"/>
      <c r="O2624" s="20" t="s">
        <v>7530</v>
      </c>
      <c r="P2624" s="27" t="str">
        <f t="shared" si="121"/>
        <v>vermelho</v>
      </c>
    </row>
    <row r="2625" spans="1:16" ht="25.5">
      <c r="A2625" s="3" t="s">
        <v>4</v>
      </c>
      <c r="B2625" s="3" t="s">
        <v>1809</v>
      </c>
      <c r="C2625" s="4">
        <v>93</v>
      </c>
      <c r="D2625" s="3" t="s">
        <v>20</v>
      </c>
      <c r="E2625" s="3" t="s">
        <v>7</v>
      </c>
      <c r="F2625" s="5">
        <v>534</v>
      </c>
      <c r="G2625" s="5">
        <v>180</v>
      </c>
      <c r="H2625" s="6">
        <v>29736.819</v>
      </c>
      <c r="I2625" s="22">
        <v>11506.2</v>
      </c>
      <c r="J2625" s="24">
        <f t="shared" si="120"/>
        <v>7.9727862835732785E-5</v>
      </c>
      <c r="K2625" s="25">
        <f t="shared" si="122"/>
        <v>0.90682493982016155</v>
      </c>
      <c r="L2625" s="26" t="s">
        <v>7517</v>
      </c>
      <c r="M2625" s="28"/>
      <c r="N2625" s="28"/>
      <c r="O2625" s="20">
        <v>9593.64</v>
      </c>
      <c r="P2625" s="27" t="str">
        <f t="shared" si="121"/>
        <v>laranja</v>
      </c>
    </row>
    <row r="2626" spans="1:16" ht="25.5">
      <c r="A2626" s="3" t="s">
        <v>4</v>
      </c>
      <c r="B2626" s="3" t="s">
        <v>1810</v>
      </c>
      <c r="C2626" s="4">
        <v>317</v>
      </c>
      <c r="D2626" s="3" t="s">
        <v>78</v>
      </c>
      <c r="E2626" s="3" t="s">
        <v>10</v>
      </c>
      <c r="F2626" s="5">
        <v>120</v>
      </c>
      <c r="G2626" s="5">
        <v>156</v>
      </c>
      <c r="H2626" s="6">
        <v>7700.82</v>
      </c>
      <c r="I2626" s="22">
        <v>11504.04</v>
      </c>
      <c r="J2626" s="24">
        <f t="shared" si="120"/>
        <v>7.9712895932348071E-5</v>
      </c>
      <c r="K2626" s="25">
        <f t="shared" si="122"/>
        <v>0.90690465271609388</v>
      </c>
      <c r="L2626" s="26" t="s">
        <v>7517</v>
      </c>
      <c r="M2626" s="28"/>
      <c r="N2626" s="28"/>
      <c r="O2626" s="20" t="s">
        <v>7530</v>
      </c>
      <c r="P2626" s="27" t="str">
        <f t="shared" si="121"/>
        <v>vermelho</v>
      </c>
    </row>
    <row r="2627" spans="1:16" ht="38.25">
      <c r="A2627" s="3" t="s">
        <v>4</v>
      </c>
      <c r="B2627" s="3" t="s">
        <v>1811</v>
      </c>
      <c r="C2627" s="4">
        <v>292</v>
      </c>
      <c r="D2627" s="3" t="s">
        <v>57</v>
      </c>
      <c r="E2627" s="3" t="s">
        <v>49</v>
      </c>
      <c r="F2627" s="5">
        <v>150</v>
      </c>
      <c r="G2627" s="5">
        <v>207</v>
      </c>
      <c r="H2627" s="6">
        <v>7221.24</v>
      </c>
      <c r="I2627" s="22">
        <v>11499.21</v>
      </c>
      <c r="J2627" s="24">
        <f t="shared" ref="J2627:J2690" si="123">I2627/$I$6364</f>
        <v>7.9679428273390568E-5</v>
      </c>
      <c r="K2627" s="25">
        <f t="shared" si="122"/>
        <v>0.90698433214436724</v>
      </c>
      <c r="L2627" s="26" t="s">
        <v>7517</v>
      </c>
      <c r="M2627" s="28"/>
      <c r="N2627" s="28"/>
      <c r="O2627" s="20" t="s">
        <v>7530</v>
      </c>
      <c r="P2627" s="27" t="str">
        <f t="shared" ref="P2627:P2690" si="124">IF(O2627&lt;=0,"vermelho",IFERROR(IF(O2627/I2627&lt;=0.5098,"amarelo",IF(O2627/I2627&lt;1,"laranja","verde")),"vermelho"))</f>
        <v>vermelho</v>
      </c>
    </row>
    <row r="2628" spans="1:16" ht="38.25">
      <c r="A2628" s="3" t="s">
        <v>4</v>
      </c>
      <c r="B2628" s="3" t="s">
        <v>1812</v>
      </c>
      <c r="C2628" s="4">
        <v>34</v>
      </c>
      <c r="D2628" s="3" t="s">
        <v>54</v>
      </c>
      <c r="E2628" s="3" t="s">
        <v>49</v>
      </c>
      <c r="F2628" s="5">
        <v>48</v>
      </c>
      <c r="G2628" s="5">
        <v>216</v>
      </c>
      <c r="H2628" s="6">
        <v>3155.52</v>
      </c>
      <c r="I2628" s="22">
        <v>11498.88</v>
      </c>
      <c r="J2628" s="24">
        <f t="shared" si="123"/>
        <v>7.9677141663151238E-5</v>
      </c>
      <c r="K2628" s="25">
        <f t="shared" ref="K2628:K2691" si="125">J2628+K2627</f>
        <v>0.90706400928603037</v>
      </c>
      <c r="L2628" s="26" t="s">
        <v>7517</v>
      </c>
      <c r="M2628" s="28"/>
      <c r="N2628" s="28"/>
      <c r="O2628" s="20" t="s">
        <v>7530</v>
      </c>
      <c r="P2628" s="27" t="str">
        <f t="shared" si="124"/>
        <v>vermelho</v>
      </c>
    </row>
    <row r="2629" spans="1:16">
      <c r="A2629" s="3" t="s">
        <v>4</v>
      </c>
      <c r="B2629" s="3" t="s">
        <v>1813</v>
      </c>
      <c r="C2629" s="4">
        <v>232</v>
      </c>
      <c r="D2629" s="3" t="s">
        <v>174</v>
      </c>
      <c r="E2629" s="3" t="s">
        <v>16</v>
      </c>
      <c r="F2629" s="5">
        <v>540</v>
      </c>
      <c r="G2629" s="5">
        <v>204</v>
      </c>
      <c r="H2629" s="6">
        <v>30319.62</v>
      </c>
      <c r="I2629" s="22">
        <v>11497.8</v>
      </c>
      <c r="J2629" s="24">
        <f t="shared" si="123"/>
        <v>7.9669658211458888E-5</v>
      </c>
      <c r="K2629" s="25">
        <f t="shared" si="125"/>
        <v>0.90714367894424186</v>
      </c>
      <c r="L2629" s="26" t="s">
        <v>7517</v>
      </c>
      <c r="M2629" s="28"/>
      <c r="N2629" s="28"/>
      <c r="O2629" s="20" t="s">
        <v>7530</v>
      </c>
      <c r="P2629" s="27" t="str">
        <f t="shared" si="124"/>
        <v>vermelho</v>
      </c>
    </row>
    <row r="2630" spans="1:16" ht="25.5">
      <c r="A2630" s="3" t="s">
        <v>4</v>
      </c>
      <c r="B2630" s="3" t="s">
        <v>1814</v>
      </c>
      <c r="C2630" s="4">
        <v>299</v>
      </c>
      <c r="D2630" s="3" t="s">
        <v>111</v>
      </c>
      <c r="E2630" s="3" t="s">
        <v>49</v>
      </c>
      <c r="F2630" s="5">
        <v>204</v>
      </c>
      <c r="G2630" s="5">
        <v>189</v>
      </c>
      <c r="H2630" s="6">
        <v>12648.45</v>
      </c>
      <c r="I2630" s="22">
        <v>11494.839</v>
      </c>
      <c r="J2630" s="24">
        <f t="shared" si="123"/>
        <v>7.9649141081402348E-5</v>
      </c>
      <c r="K2630" s="25">
        <f t="shared" si="125"/>
        <v>0.90722332808532324</v>
      </c>
      <c r="L2630" s="26" t="s">
        <v>7517</v>
      </c>
      <c r="M2630" s="28"/>
      <c r="N2630" s="28"/>
      <c r="O2630" s="20">
        <v>5072.49</v>
      </c>
      <c r="P2630" s="27" t="str">
        <f t="shared" si="124"/>
        <v>amarelo</v>
      </c>
    </row>
    <row r="2631" spans="1:16" ht="38.25">
      <c r="A2631" s="3" t="s">
        <v>4</v>
      </c>
      <c r="B2631" s="3" t="s">
        <v>1815</v>
      </c>
      <c r="C2631" s="4">
        <v>316</v>
      </c>
      <c r="D2631" s="3" t="s">
        <v>247</v>
      </c>
      <c r="E2631" s="3" t="s">
        <v>10</v>
      </c>
      <c r="F2631" s="5">
        <v>0</v>
      </c>
      <c r="G2631" s="5">
        <v>228</v>
      </c>
      <c r="H2631" s="6">
        <v>0</v>
      </c>
      <c r="I2631" s="22">
        <v>11492.4</v>
      </c>
      <c r="J2631" s="24">
        <f t="shared" si="123"/>
        <v>7.963224095299711E-5</v>
      </c>
      <c r="K2631" s="25">
        <f t="shared" si="125"/>
        <v>0.90730296032627622</v>
      </c>
      <c r="L2631" s="26" t="s">
        <v>7517</v>
      </c>
      <c r="M2631" s="28"/>
      <c r="N2631" s="28"/>
      <c r="O2631" s="20" t="s">
        <v>7530</v>
      </c>
      <c r="P2631" s="27" t="str">
        <f t="shared" si="124"/>
        <v>vermelho</v>
      </c>
    </row>
    <row r="2632" spans="1:16" ht="25.5">
      <c r="A2632" s="3" t="s">
        <v>4</v>
      </c>
      <c r="B2632" s="3" t="s">
        <v>1816</v>
      </c>
      <c r="C2632" s="4">
        <v>53</v>
      </c>
      <c r="D2632" s="3" t="s">
        <v>34</v>
      </c>
      <c r="E2632" s="3" t="s">
        <v>16</v>
      </c>
      <c r="F2632" s="5">
        <v>156</v>
      </c>
      <c r="G2632" s="5">
        <v>210</v>
      </c>
      <c r="H2632" s="6">
        <v>8149.2</v>
      </c>
      <c r="I2632" s="22">
        <v>11484.9</v>
      </c>
      <c r="J2632" s="24">
        <f t="shared" si="123"/>
        <v>7.9580272538466859E-5</v>
      </c>
      <c r="K2632" s="25">
        <f t="shared" si="125"/>
        <v>0.90738254059881474</v>
      </c>
      <c r="L2632" s="26" t="s">
        <v>7517</v>
      </c>
      <c r="M2632" s="28"/>
      <c r="N2632" s="28"/>
      <c r="O2632" s="20" t="s">
        <v>7530</v>
      </c>
      <c r="P2632" s="27" t="str">
        <f t="shared" si="124"/>
        <v>vermelho</v>
      </c>
    </row>
    <row r="2633" spans="1:16" ht="25.5">
      <c r="A2633" s="3" t="s">
        <v>4</v>
      </c>
      <c r="B2633" s="3" t="s">
        <v>1817</v>
      </c>
      <c r="C2633" s="4">
        <v>41</v>
      </c>
      <c r="D2633" s="3" t="s">
        <v>178</v>
      </c>
      <c r="E2633" s="3" t="s">
        <v>41</v>
      </c>
      <c r="F2633" s="5">
        <v>225</v>
      </c>
      <c r="G2633" s="5">
        <v>225</v>
      </c>
      <c r="H2633" s="6">
        <v>10265.244000000001</v>
      </c>
      <c r="I2633" s="22">
        <v>11474.18</v>
      </c>
      <c r="J2633" s="24">
        <f t="shared" si="123"/>
        <v>7.9505992351298281E-5</v>
      </c>
      <c r="K2633" s="25">
        <f t="shared" si="125"/>
        <v>0.90746204659116603</v>
      </c>
      <c r="L2633" s="26" t="s">
        <v>7517</v>
      </c>
      <c r="M2633" s="28"/>
      <c r="N2633" s="28"/>
      <c r="O2633" s="20">
        <v>4508.24</v>
      </c>
      <c r="P2633" s="27" t="str">
        <f t="shared" si="124"/>
        <v>amarelo</v>
      </c>
    </row>
    <row r="2634" spans="1:16" ht="38.25">
      <c r="A2634" s="3" t="s">
        <v>4</v>
      </c>
      <c r="B2634" s="3" t="s">
        <v>1818</v>
      </c>
      <c r="C2634" s="4">
        <v>45</v>
      </c>
      <c r="D2634" s="3" t="s">
        <v>23</v>
      </c>
      <c r="E2634" s="3" t="s">
        <v>7</v>
      </c>
      <c r="F2634" s="5">
        <v>246</v>
      </c>
      <c r="G2634" s="5">
        <v>192</v>
      </c>
      <c r="H2634" s="6">
        <v>13509.54</v>
      </c>
      <c r="I2634" s="22">
        <v>11470.14</v>
      </c>
      <c r="J2634" s="24">
        <f t="shared" si="123"/>
        <v>7.9477998698671313E-5</v>
      </c>
      <c r="K2634" s="25">
        <f t="shared" si="125"/>
        <v>0.9075415245898647</v>
      </c>
      <c r="L2634" s="26" t="s">
        <v>7517</v>
      </c>
      <c r="M2634" s="28"/>
      <c r="N2634" s="28"/>
      <c r="O2634" s="20" t="s">
        <v>7530</v>
      </c>
      <c r="P2634" s="27" t="str">
        <f t="shared" si="124"/>
        <v>vermelho</v>
      </c>
    </row>
    <row r="2635" spans="1:16" ht="38.25">
      <c r="A2635" s="3" t="s">
        <v>4</v>
      </c>
      <c r="B2635" s="3" t="s">
        <v>1819</v>
      </c>
      <c r="C2635" s="4">
        <v>331</v>
      </c>
      <c r="D2635" s="3" t="s">
        <v>603</v>
      </c>
      <c r="E2635" s="3" t="s">
        <v>13</v>
      </c>
      <c r="F2635" s="5">
        <v>0</v>
      </c>
      <c r="G2635" s="5">
        <v>225</v>
      </c>
      <c r="H2635" s="6">
        <v>0</v>
      </c>
      <c r="I2635" s="22">
        <v>11465.01</v>
      </c>
      <c r="J2635" s="24">
        <f t="shared" si="123"/>
        <v>7.9442452303132627E-5</v>
      </c>
      <c r="K2635" s="25">
        <f t="shared" si="125"/>
        <v>0.90762096704216788</v>
      </c>
      <c r="L2635" s="26" t="s">
        <v>7517</v>
      </c>
      <c r="M2635" s="28"/>
      <c r="N2635" s="28"/>
      <c r="O2635" s="20" t="s">
        <v>7530</v>
      </c>
      <c r="P2635" s="27" t="str">
        <f t="shared" si="124"/>
        <v>vermelho</v>
      </c>
    </row>
    <row r="2636" spans="1:16">
      <c r="A2636" s="3" t="s">
        <v>4</v>
      </c>
      <c r="B2636" s="3" t="s">
        <v>1820</v>
      </c>
      <c r="C2636" s="4">
        <v>15</v>
      </c>
      <c r="D2636" s="3" t="s">
        <v>18</v>
      </c>
      <c r="E2636" s="3" t="s">
        <v>16</v>
      </c>
      <c r="F2636" s="5">
        <v>96</v>
      </c>
      <c r="G2636" s="5">
        <v>204</v>
      </c>
      <c r="H2636" s="6">
        <v>4307.5200000000004</v>
      </c>
      <c r="I2636" s="22">
        <v>11463.96</v>
      </c>
      <c r="J2636" s="24">
        <f t="shared" si="123"/>
        <v>7.9435176725098383E-5</v>
      </c>
      <c r="K2636" s="25">
        <f t="shared" si="125"/>
        <v>0.90770040221889303</v>
      </c>
      <c r="L2636" s="26" t="s">
        <v>7517</v>
      </c>
      <c r="M2636" s="28"/>
      <c r="N2636" s="28"/>
      <c r="O2636" s="20">
        <v>9618.2999999999993</v>
      </c>
      <c r="P2636" s="27" t="str">
        <f t="shared" si="124"/>
        <v>laranja</v>
      </c>
    </row>
    <row r="2637" spans="1:16" ht="38.25">
      <c r="A2637" s="3" t="s">
        <v>4</v>
      </c>
      <c r="B2637" s="3" t="s">
        <v>1821</v>
      </c>
      <c r="C2637" s="4">
        <v>317</v>
      </c>
      <c r="D2637" s="3" t="s">
        <v>78</v>
      </c>
      <c r="E2637" s="3" t="s">
        <v>10</v>
      </c>
      <c r="F2637" s="5">
        <v>0</v>
      </c>
      <c r="G2637" s="5">
        <v>240</v>
      </c>
      <c r="H2637" s="6">
        <v>0</v>
      </c>
      <c r="I2637" s="22">
        <v>11458.56</v>
      </c>
      <c r="J2637" s="24">
        <f t="shared" si="123"/>
        <v>7.9397759466636605E-5</v>
      </c>
      <c r="K2637" s="25">
        <f t="shared" si="125"/>
        <v>0.90777979997835967</v>
      </c>
      <c r="L2637" s="26" t="s">
        <v>7517</v>
      </c>
      <c r="M2637" s="28"/>
      <c r="N2637" s="28"/>
      <c r="O2637" s="20" t="s">
        <v>7530</v>
      </c>
      <c r="P2637" s="27" t="str">
        <f t="shared" si="124"/>
        <v>vermelho</v>
      </c>
    </row>
    <row r="2638" spans="1:16" ht="25.5">
      <c r="A2638" s="3" t="s">
        <v>4</v>
      </c>
      <c r="B2638" s="3" t="s">
        <v>1822</v>
      </c>
      <c r="C2638" s="4">
        <v>194</v>
      </c>
      <c r="D2638" s="3" t="s">
        <v>145</v>
      </c>
      <c r="E2638" s="3" t="s">
        <v>16</v>
      </c>
      <c r="F2638" s="5">
        <v>144</v>
      </c>
      <c r="G2638" s="5">
        <v>204</v>
      </c>
      <c r="H2638" s="6">
        <v>8863.92</v>
      </c>
      <c r="I2638" s="22">
        <v>11457.96</v>
      </c>
      <c r="J2638" s="24">
        <f t="shared" si="123"/>
        <v>7.9393601993474184E-5</v>
      </c>
      <c r="K2638" s="25">
        <f t="shared" si="125"/>
        <v>0.90785919358035316</v>
      </c>
      <c r="L2638" s="26" t="s">
        <v>7517</v>
      </c>
      <c r="M2638" s="28"/>
      <c r="N2638" s="28"/>
      <c r="O2638" s="20" t="s">
        <v>7530</v>
      </c>
      <c r="P2638" s="27" t="str">
        <f t="shared" si="124"/>
        <v>vermelho</v>
      </c>
    </row>
    <row r="2639" spans="1:16">
      <c r="A2639" s="3" t="s">
        <v>6631</v>
      </c>
      <c r="B2639" s="3" t="s">
        <v>6632</v>
      </c>
      <c r="C2639" s="4">
        <v>334</v>
      </c>
      <c r="D2639" s="3" t="s">
        <v>531</v>
      </c>
      <c r="E2639" s="3" t="s">
        <v>7</v>
      </c>
      <c r="F2639" s="5">
        <v>0</v>
      </c>
      <c r="G2639" s="5">
        <v>228</v>
      </c>
      <c r="H2639" s="6">
        <v>0</v>
      </c>
      <c r="I2639" s="22">
        <v>11457.371999999999</v>
      </c>
      <c r="J2639" s="24">
        <f t="shared" si="123"/>
        <v>7.9389527669775016E-5</v>
      </c>
      <c r="K2639" s="25">
        <f t="shared" si="125"/>
        <v>0.90793858310802289</v>
      </c>
      <c r="L2639" s="26" t="s">
        <v>7517</v>
      </c>
      <c r="M2639" s="28"/>
      <c r="N2639" s="28"/>
      <c r="O2639" s="20" t="s">
        <v>7530</v>
      </c>
      <c r="P2639" s="27" t="str">
        <f t="shared" si="124"/>
        <v>vermelho</v>
      </c>
    </row>
    <row r="2640" spans="1:16">
      <c r="A2640" s="3" t="s">
        <v>4</v>
      </c>
      <c r="B2640" s="3" t="s">
        <v>1823</v>
      </c>
      <c r="C2640" s="4">
        <v>315</v>
      </c>
      <c r="D2640" s="3" t="s">
        <v>63</v>
      </c>
      <c r="E2640" s="3" t="s">
        <v>7</v>
      </c>
      <c r="F2640" s="5">
        <v>336</v>
      </c>
      <c r="G2640" s="5">
        <v>207</v>
      </c>
      <c r="H2640" s="6">
        <v>18502.32</v>
      </c>
      <c r="I2640" s="22">
        <v>11457.215</v>
      </c>
      <c r="J2640" s="24">
        <f t="shared" si="123"/>
        <v>7.9388439797630856E-5</v>
      </c>
      <c r="K2640" s="25">
        <f t="shared" si="125"/>
        <v>0.90801797154782049</v>
      </c>
      <c r="L2640" s="26" t="s">
        <v>7517</v>
      </c>
      <c r="M2640" s="28"/>
      <c r="N2640" s="28"/>
      <c r="O2640" s="20" t="s">
        <v>7530</v>
      </c>
      <c r="P2640" s="27" t="str">
        <f t="shared" si="124"/>
        <v>vermelho</v>
      </c>
    </row>
    <row r="2641" spans="1:16" ht="25.5">
      <c r="A2641" s="3" t="s">
        <v>6633</v>
      </c>
      <c r="B2641" s="3" t="s">
        <v>6634</v>
      </c>
      <c r="C2641" s="4">
        <v>261</v>
      </c>
      <c r="D2641" s="3" t="s">
        <v>9</v>
      </c>
      <c r="E2641" s="3" t="s">
        <v>10</v>
      </c>
      <c r="F2641" s="5">
        <v>201</v>
      </c>
      <c r="G2641" s="5">
        <v>201</v>
      </c>
      <c r="H2641" s="6">
        <v>11268.03</v>
      </c>
      <c r="I2641" s="22">
        <v>11451.45</v>
      </c>
      <c r="J2641" s="24">
        <f t="shared" si="123"/>
        <v>7.9348493409661937E-5</v>
      </c>
      <c r="K2641" s="25">
        <f t="shared" si="125"/>
        <v>0.90809732004123012</v>
      </c>
      <c r="L2641" s="26" t="s">
        <v>7517</v>
      </c>
      <c r="M2641" s="28"/>
      <c r="N2641" s="28"/>
      <c r="O2641" s="20">
        <v>9285.7199999999993</v>
      </c>
      <c r="P2641" s="27" t="str">
        <f t="shared" si="124"/>
        <v>laranja</v>
      </c>
    </row>
    <row r="2642" spans="1:16" ht="25.5">
      <c r="A2642" s="3" t="s">
        <v>4</v>
      </c>
      <c r="B2642" s="3" t="s">
        <v>1824</v>
      </c>
      <c r="C2642" s="4">
        <v>240</v>
      </c>
      <c r="D2642" s="3" t="s">
        <v>69</v>
      </c>
      <c r="E2642" s="3" t="s">
        <v>16</v>
      </c>
      <c r="F2642" s="5">
        <v>0</v>
      </c>
      <c r="G2642" s="5">
        <v>207</v>
      </c>
      <c r="H2642" s="6">
        <v>0</v>
      </c>
      <c r="I2642" s="22">
        <v>11450.07</v>
      </c>
      <c r="J2642" s="24">
        <f t="shared" si="123"/>
        <v>7.9338931221388363E-5</v>
      </c>
      <c r="K2642" s="25">
        <f t="shared" si="125"/>
        <v>0.90817665897245148</v>
      </c>
      <c r="L2642" s="26" t="s">
        <v>7517</v>
      </c>
      <c r="M2642" s="28"/>
      <c r="N2642" s="28"/>
      <c r="O2642" s="20" t="s">
        <v>7530</v>
      </c>
      <c r="P2642" s="27" t="str">
        <f t="shared" si="124"/>
        <v>vermelho</v>
      </c>
    </row>
    <row r="2643" spans="1:16" ht="25.5">
      <c r="A2643" s="3" t="s">
        <v>4</v>
      </c>
      <c r="B2643" s="3" t="s">
        <v>1825</v>
      </c>
      <c r="C2643" s="4">
        <v>240</v>
      </c>
      <c r="D2643" s="3" t="s">
        <v>69</v>
      </c>
      <c r="E2643" s="3" t="s">
        <v>16</v>
      </c>
      <c r="F2643" s="5">
        <v>243</v>
      </c>
      <c r="G2643" s="5">
        <v>183</v>
      </c>
      <c r="H2643" s="6">
        <v>13854.57</v>
      </c>
      <c r="I2643" s="22">
        <v>11422.89</v>
      </c>
      <c r="J2643" s="24">
        <f t="shared" si="123"/>
        <v>7.9150597687130717E-5</v>
      </c>
      <c r="K2643" s="25">
        <f t="shared" si="125"/>
        <v>0.90825580957013863</v>
      </c>
      <c r="L2643" s="26" t="s">
        <v>7517</v>
      </c>
      <c r="M2643" s="28"/>
      <c r="N2643" s="28"/>
      <c r="O2643" s="20" t="s">
        <v>7530</v>
      </c>
      <c r="P2643" s="27" t="str">
        <f t="shared" si="124"/>
        <v>vermelho</v>
      </c>
    </row>
    <row r="2644" spans="1:16" ht="25.5">
      <c r="A2644" s="3" t="s">
        <v>4</v>
      </c>
      <c r="B2644" s="3" t="s">
        <v>1826</v>
      </c>
      <c r="C2644" s="4">
        <v>270</v>
      </c>
      <c r="D2644" s="3" t="s">
        <v>266</v>
      </c>
      <c r="E2644" s="3" t="s">
        <v>49</v>
      </c>
      <c r="F2644" s="5">
        <v>222</v>
      </c>
      <c r="G2644" s="5">
        <v>180</v>
      </c>
      <c r="H2644" s="6">
        <v>11890.02</v>
      </c>
      <c r="I2644" s="22">
        <v>11415.3</v>
      </c>
      <c r="J2644" s="24">
        <f t="shared" si="123"/>
        <v>7.9098005651626106E-5</v>
      </c>
      <c r="K2644" s="25">
        <f t="shared" si="125"/>
        <v>0.90833490757579027</v>
      </c>
      <c r="L2644" s="26" t="s">
        <v>7517</v>
      </c>
      <c r="M2644" s="28"/>
      <c r="N2644" s="28"/>
      <c r="O2644" s="20">
        <v>13471.95</v>
      </c>
      <c r="P2644" s="27" t="str">
        <f t="shared" si="124"/>
        <v>verde</v>
      </c>
    </row>
    <row r="2645" spans="1:16" ht="25.5">
      <c r="A2645" s="3" t="s">
        <v>4</v>
      </c>
      <c r="B2645" s="3" t="s">
        <v>1827</v>
      </c>
      <c r="C2645" s="4">
        <v>261</v>
      </c>
      <c r="D2645" s="3" t="s">
        <v>9</v>
      </c>
      <c r="E2645" s="3" t="s">
        <v>10</v>
      </c>
      <c r="F2645" s="5">
        <v>138</v>
      </c>
      <c r="G2645" s="5">
        <v>165</v>
      </c>
      <c r="H2645" s="6">
        <v>9488.16</v>
      </c>
      <c r="I2645" s="22">
        <v>11412.21</v>
      </c>
      <c r="J2645" s="24">
        <f t="shared" si="123"/>
        <v>7.9076594664839641E-5</v>
      </c>
      <c r="K2645" s="25">
        <f t="shared" si="125"/>
        <v>0.90841398417045516</v>
      </c>
      <c r="L2645" s="26" t="s">
        <v>7517</v>
      </c>
      <c r="M2645" s="28"/>
      <c r="N2645" s="28"/>
      <c r="O2645" s="20" t="s">
        <v>7530</v>
      </c>
      <c r="P2645" s="27" t="str">
        <f t="shared" si="124"/>
        <v>vermelho</v>
      </c>
    </row>
    <row r="2646" spans="1:16" ht="25.5">
      <c r="A2646" s="3" t="s">
        <v>4</v>
      </c>
      <c r="B2646" s="3" t="s">
        <v>1828</v>
      </c>
      <c r="C2646" s="4">
        <v>187</v>
      </c>
      <c r="D2646" s="3" t="s">
        <v>96</v>
      </c>
      <c r="E2646" s="3" t="s">
        <v>7</v>
      </c>
      <c r="F2646" s="5">
        <v>171</v>
      </c>
      <c r="G2646" s="5">
        <v>195</v>
      </c>
      <c r="H2646" s="6">
        <v>9361.41</v>
      </c>
      <c r="I2646" s="22">
        <v>11407.84</v>
      </c>
      <c r="J2646" s="24">
        <f t="shared" si="123"/>
        <v>7.9046314401973357E-5</v>
      </c>
      <c r="K2646" s="25">
        <f t="shared" si="125"/>
        <v>0.90849303048485708</v>
      </c>
      <c r="L2646" s="26" t="s">
        <v>7517</v>
      </c>
      <c r="M2646" s="28"/>
      <c r="N2646" s="28"/>
      <c r="O2646" s="20">
        <v>5394.06</v>
      </c>
      <c r="P2646" s="27" t="str">
        <f t="shared" si="124"/>
        <v>amarelo</v>
      </c>
    </row>
    <row r="2647" spans="1:16" ht="25.5">
      <c r="A2647" s="3" t="s">
        <v>4</v>
      </c>
      <c r="B2647" s="3" t="s">
        <v>1829</v>
      </c>
      <c r="C2647" s="4">
        <v>187</v>
      </c>
      <c r="D2647" s="3" t="s">
        <v>96</v>
      </c>
      <c r="E2647" s="3" t="s">
        <v>7</v>
      </c>
      <c r="F2647" s="5">
        <v>783</v>
      </c>
      <c r="G2647" s="5">
        <v>168</v>
      </c>
      <c r="H2647" s="6">
        <v>47384.311999999998</v>
      </c>
      <c r="I2647" s="22">
        <v>11399.04</v>
      </c>
      <c r="J2647" s="24">
        <f t="shared" si="123"/>
        <v>7.8985338128924535E-5</v>
      </c>
      <c r="K2647" s="25">
        <f t="shared" si="125"/>
        <v>0.90857201582298597</v>
      </c>
      <c r="L2647" s="26" t="s">
        <v>7517</v>
      </c>
      <c r="M2647" s="28"/>
      <c r="N2647" s="28"/>
      <c r="O2647" s="20">
        <v>6292.8</v>
      </c>
      <c r="P2647" s="27" t="str">
        <f t="shared" si="124"/>
        <v>laranja</v>
      </c>
    </row>
    <row r="2648" spans="1:16" ht="25.5">
      <c r="A2648" s="3" t="s">
        <v>4</v>
      </c>
      <c r="B2648" s="3" t="s">
        <v>1830</v>
      </c>
      <c r="C2648" s="4">
        <v>328</v>
      </c>
      <c r="D2648" s="3" t="s">
        <v>215</v>
      </c>
      <c r="E2648" s="3" t="s">
        <v>41</v>
      </c>
      <c r="F2648" s="5">
        <v>144</v>
      </c>
      <c r="G2648" s="5">
        <v>174</v>
      </c>
      <c r="H2648" s="6">
        <v>7939.2960000000003</v>
      </c>
      <c r="I2648" s="22">
        <v>11398.68</v>
      </c>
      <c r="J2648" s="24">
        <f t="shared" si="123"/>
        <v>7.8982843645027071E-5</v>
      </c>
      <c r="K2648" s="25">
        <f t="shared" si="125"/>
        <v>0.90865099866663102</v>
      </c>
      <c r="L2648" s="26" t="s">
        <v>7517</v>
      </c>
      <c r="M2648" s="28"/>
      <c r="N2648" s="28"/>
      <c r="O2648" s="20">
        <v>4117.92</v>
      </c>
      <c r="P2648" s="27" t="str">
        <f t="shared" si="124"/>
        <v>amarelo</v>
      </c>
    </row>
    <row r="2649" spans="1:16" ht="25.5">
      <c r="A2649" s="3" t="s">
        <v>4</v>
      </c>
      <c r="B2649" s="3" t="s">
        <v>1831</v>
      </c>
      <c r="C2649" s="4">
        <v>74</v>
      </c>
      <c r="D2649" s="3" t="s">
        <v>6</v>
      </c>
      <c r="E2649" s="3" t="s">
        <v>7</v>
      </c>
      <c r="F2649" s="5">
        <v>624</v>
      </c>
      <c r="G2649" s="5">
        <v>180</v>
      </c>
      <c r="H2649" s="6">
        <v>39143.160000000003</v>
      </c>
      <c r="I2649" s="22">
        <v>11398.2</v>
      </c>
      <c r="J2649" s="24">
        <f t="shared" si="123"/>
        <v>7.8979517666497143E-5</v>
      </c>
      <c r="K2649" s="25">
        <f t="shared" si="125"/>
        <v>0.90872997818429746</v>
      </c>
      <c r="L2649" s="26" t="s">
        <v>7517</v>
      </c>
      <c r="M2649" s="28"/>
      <c r="N2649" s="28"/>
      <c r="O2649" s="20" t="s">
        <v>7530</v>
      </c>
      <c r="P2649" s="27" t="str">
        <f t="shared" si="124"/>
        <v>vermelho</v>
      </c>
    </row>
    <row r="2650" spans="1:16" ht="25.5">
      <c r="A2650" s="3" t="s">
        <v>4</v>
      </c>
      <c r="B2650" s="3" t="s">
        <v>1832</v>
      </c>
      <c r="C2650" s="4">
        <v>197</v>
      </c>
      <c r="D2650" s="3" t="s">
        <v>66</v>
      </c>
      <c r="E2650" s="3" t="s">
        <v>41</v>
      </c>
      <c r="F2650" s="5">
        <v>144</v>
      </c>
      <c r="G2650" s="5">
        <v>189</v>
      </c>
      <c r="H2650" s="6">
        <v>7793.4</v>
      </c>
      <c r="I2650" s="22">
        <v>11397.24</v>
      </c>
      <c r="J2650" s="24">
        <f t="shared" si="123"/>
        <v>7.8972865709437258E-5</v>
      </c>
      <c r="K2650" s="25">
        <f t="shared" si="125"/>
        <v>0.90880895105000692</v>
      </c>
      <c r="L2650" s="26" t="s">
        <v>7517</v>
      </c>
      <c r="M2650" s="28">
        <v>-0.10101261523849302</v>
      </c>
      <c r="N2650" s="28"/>
      <c r="O2650" s="20">
        <v>2724.24</v>
      </c>
      <c r="P2650" s="27" t="str">
        <f t="shared" si="124"/>
        <v>amarelo</v>
      </c>
    </row>
    <row r="2651" spans="1:16" ht="38.25">
      <c r="A2651" s="3" t="s">
        <v>4</v>
      </c>
      <c r="B2651" s="3" t="s">
        <v>1833</v>
      </c>
      <c r="C2651" s="4">
        <v>292</v>
      </c>
      <c r="D2651" s="3" t="s">
        <v>57</v>
      </c>
      <c r="E2651" s="3" t="s">
        <v>49</v>
      </c>
      <c r="F2651" s="5">
        <v>288</v>
      </c>
      <c r="G2651" s="5">
        <v>240</v>
      </c>
      <c r="H2651" s="6">
        <v>12913.56</v>
      </c>
      <c r="I2651" s="22">
        <v>11385.78</v>
      </c>
      <c r="J2651" s="24">
        <f t="shared" si="123"/>
        <v>7.8893457972035042E-5</v>
      </c>
      <c r="K2651" s="25">
        <f t="shared" si="125"/>
        <v>0.90888784450797899</v>
      </c>
      <c r="L2651" s="26" t="s">
        <v>7517</v>
      </c>
      <c r="M2651" s="28"/>
      <c r="N2651" s="28"/>
      <c r="O2651" s="20" t="s">
        <v>7530</v>
      </c>
      <c r="P2651" s="27" t="str">
        <f t="shared" si="124"/>
        <v>vermelho</v>
      </c>
    </row>
    <row r="2652" spans="1:16" ht="25.5">
      <c r="A2652" s="3" t="s">
        <v>4</v>
      </c>
      <c r="B2652" s="3" t="s">
        <v>1834</v>
      </c>
      <c r="C2652" s="4">
        <v>327</v>
      </c>
      <c r="D2652" s="3" t="s">
        <v>100</v>
      </c>
      <c r="E2652" s="3" t="s">
        <v>7</v>
      </c>
      <c r="F2652" s="5">
        <v>288</v>
      </c>
      <c r="G2652" s="5">
        <v>180</v>
      </c>
      <c r="H2652" s="6">
        <v>15959.52</v>
      </c>
      <c r="I2652" s="22">
        <v>11382.24</v>
      </c>
      <c r="J2652" s="24">
        <f t="shared" si="123"/>
        <v>7.8868928880376755E-5</v>
      </c>
      <c r="K2652" s="25">
        <f t="shared" si="125"/>
        <v>0.90896671343685942</v>
      </c>
      <c r="L2652" s="26" t="s">
        <v>7517</v>
      </c>
      <c r="M2652" s="28"/>
      <c r="N2652" s="28"/>
      <c r="O2652" s="20">
        <v>3160.8</v>
      </c>
      <c r="P2652" s="27" t="str">
        <f t="shared" si="124"/>
        <v>amarelo</v>
      </c>
    </row>
    <row r="2653" spans="1:16" ht="25.5">
      <c r="A2653" s="3" t="s">
        <v>4</v>
      </c>
      <c r="B2653" s="3" t="s">
        <v>1835</v>
      </c>
      <c r="C2653" s="4">
        <v>217</v>
      </c>
      <c r="D2653" s="3" t="s">
        <v>91</v>
      </c>
      <c r="E2653" s="3" t="s">
        <v>16</v>
      </c>
      <c r="F2653" s="5">
        <v>0</v>
      </c>
      <c r="G2653" s="5">
        <v>207</v>
      </c>
      <c r="H2653" s="6">
        <v>0</v>
      </c>
      <c r="I2653" s="22">
        <v>11379.24</v>
      </c>
      <c r="J2653" s="24">
        <f t="shared" si="123"/>
        <v>7.8848141514564649E-5</v>
      </c>
      <c r="K2653" s="25">
        <f t="shared" si="125"/>
        <v>0.90904556157837402</v>
      </c>
      <c r="L2653" s="26" t="s">
        <v>7517</v>
      </c>
      <c r="M2653" s="28"/>
      <c r="N2653" s="28"/>
      <c r="O2653" s="20" t="s">
        <v>7530</v>
      </c>
      <c r="P2653" s="27" t="str">
        <f t="shared" si="124"/>
        <v>vermelho</v>
      </c>
    </row>
    <row r="2654" spans="1:16" ht="25.5">
      <c r="A2654" s="3" t="s">
        <v>4</v>
      </c>
      <c r="B2654" s="3" t="s">
        <v>1836</v>
      </c>
      <c r="C2654" s="4">
        <v>232</v>
      </c>
      <c r="D2654" s="3" t="s">
        <v>174</v>
      </c>
      <c r="E2654" s="3" t="s">
        <v>16</v>
      </c>
      <c r="F2654" s="5">
        <v>270</v>
      </c>
      <c r="G2654" s="5">
        <v>204</v>
      </c>
      <c r="H2654" s="6">
        <v>15573.48</v>
      </c>
      <c r="I2654" s="22">
        <v>11375.82</v>
      </c>
      <c r="J2654" s="24">
        <f t="shared" si="123"/>
        <v>7.8824443917538853E-5</v>
      </c>
      <c r="K2654" s="25">
        <f t="shared" si="125"/>
        <v>0.90912438602229151</v>
      </c>
      <c r="L2654" s="26" t="s">
        <v>7517</v>
      </c>
      <c r="M2654" s="28"/>
      <c r="N2654" s="28"/>
      <c r="O2654" s="20">
        <v>3864.9</v>
      </c>
      <c r="P2654" s="27" t="str">
        <f t="shared" si="124"/>
        <v>amarelo</v>
      </c>
    </row>
    <row r="2655" spans="1:16" ht="25.5">
      <c r="A2655" s="3" t="s">
        <v>6635</v>
      </c>
      <c r="B2655" s="3" t="s">
        <v>6636</v>
      </c>
      <c r="C2655" s="4">
        <v>261</v>
      </c>
      <c r="D2655" s="3" t="s">
        <v>9</v>
      </c>
      <c r="E2655" s="3" t="s">
        <v>10</v>
      </c>
      <c r="F2655" s="5">
        <v>351</v>
      </c>
      <c r="G2655" s="5">
        <v>192</v>
      </c>
      <c r="H2655" s="6">
        <v>21239.91</v>
      </c>
      <c r="I2655" s="22">
        <v>11371.44</v>
      </c>
      <c r="J2655" s="24">
        <f t="shared" si="123"/>
        <v>7.87940943634532E-5</v>
      </c>
      <c r="K2655" s="25">
        <f t="shared" si="125"/>
        <v>0.90920318011665491</v>
      </c>
      <c r="L2655" s="26" t="s">
        <v>7517</v>
      </c>
      <c r="M2655" s="28"/>
      <c r="N2655" s="28"/>
      <c r="O2655" s="20" t="s">
        <v>7530</v>
      </c>
      <c r="P2655" s="27" t="str">
        <f t="shared" si="124"/>
        <v>vermelho</v>
      </c>
    </row>
    <row r="2656" spans="1:16" ht="25.5">
      <c r="A2656" s="3" t="s">
        <v>4</v>
      </c>
      <c r="B2656" s="3" t="s">
        <v>1837</v>
      </c>
      <c r="C2656" s="4">
        <v>187</v>
      </c>
      <c r="D2656" s="3" t="s">
        <v>96</v>
      </c>
      <c r="E2656" s="3" t="s">
        <v>7</v>
      </c>
      <c r="F2656" s="5">
        <v>0</v>
      </c>
      <c r="G2656" s="5">
        <v>186</v>
      </c>
      <c r="H2656" s="6">
        <v>0</v>
      </c>
      <c r="I2656" s="22">
        <v>11370.63</v>
      </c>
      <c r="J2656" s="24">
        <f t="shared" si="123"/>
        <v>7.8788481774683914E-5</v>
      </c>
      <c r="K2656" s="25">
        <f t="shared" si="125"/>
        <v>0.90928196859842958</v>
      </c>
      <c r="L2656" s="26" t="s">
        <v>7517</v>
      </c>
      <c r="M2656" s="28"/>
      <c r="N2656" s="28"/>
      <c r="O2656" s="20">
        <v>9730.7099999999991</v>
      </c>
      <c r="P2656" s="27" t="str">
        <f t="shared" si="124"/>
        <v>laranja</v>
      </c>
    </row>
    <row r="2657" spans="1:16" ht="25.5">
      <c r="A2657" s="3" t="s">
        <v>4</v>
      </c>
      <c r="B2657" s="3" t="s">
        <v>1838</v>
      </c>
      <c r="C2657" s="4">
        <v>23</v>
      </c>
      <c r="D2657" s="3" t="s">
        <v>87</v>
      </c>
      <c r="E2657" s="3" t="s">
        <v>7</v>
      </c>
      <c r="F2657" s="5">
        <v>180</v>
      </c>
      <c r="G2657" s="5">
        <v>186</v>
      </c>
      <c r="H2657" s="6">
        <v>10464.57</v>
      </c>
      <c r="I2657" s="22">
        <v>11366.22</v>
      </c>
      <c r="J2657" s="24">
        <f t="shared" si="123"/>
        <v>7.8757924346940127E-5</v>
      </c>
      <c r="K2657" s="25">
        <f t="shared" si="125"/>
        <v>0.90936072652277655</v>
      </c>
      <c r="L2657" s="26" t="s">
        <v>7517</v>
      </c>
      <c r="M2657" s="28"/>
      <c r="N2657" s="28"/>
      <c r="O2657" s="20" t="s">
        <v>7530</v>
      </c>
      <c r="P2657" s="27" t="str">
        <f t="shared" si="124"/>
        <v>vermelho</v>
      </c>
    </row>
    <row r="2658" spans="1:16" ht="38.25">
      <c r="A2658" s="3" t="s">
        <v>4</v>
      </c>
      <c r="B2658" s="3" t="s">
        <v>1839</v>
      </c>
      <c r="C2658" s="4">
        <v>301</v>
      </c>
      <c r="D2658" s="3" t="s">
        <v>519</v>
      </c>
      <c r="E2658" s="3" t="s">
        <v>16</v>
      </c>
      <c r="F2658" s="5">
        <v>249</v>
      </c>
      <c r="G2658" s="5">
        <v>168</v>
      </c>
      <c r="H2658" s="6">
        <v>16051.11</v>
      </c>
      <c r="I2658" s="22">
        <v>11358.6</v>
      </c>
      <c r="J2658" s="24">
        <f t="shared" si="123"/>
        <v>7.8705124437777397E-5</v>
      </c>
      <c r="K2658" s="25">
        <f t="shared" si="125"/>
        <v>0.9094394316472143</v>
      </c>
      <c r="L2658" s="26" t="s">
        <v>7517</v>
      </c>
      <c r="M2658" s="28"/>
      <c r="N2658" s="28"/>
      <c r="O2658" s="20">
        <v>22721.9</v>
      </c>
      <c r="P2658" s="27" t="str">
        <f t="shared" si="124"/>
        <v>verde</v>
      </c>
    </row>
    <row r="2659" spans="1:16" ht="25.5">
      <c r="A2659" s="3" t="s">
        <v>4</v>
      </c>
      <c r="B2659" s="3" t="s">
        <v>1840</v>
      </c>
      <c r="C2659" s="4">
        <v>178</v>
      </c>
      <c r="D2659" s="3" t="s">
        <v>74</v>
      </c>
      <c r="E2659" s="3" t="s">
        <v>7</v>
      </c>
      <c r="F2659" s="5">
        <v>276</v>
      </c>
      <c r="G2659" s="5">
        <v>180</v>
      </c>
      <c r="H2659" s="6">
        <v>14829.24</v>
      </c>
      <c r="I2659" s="22">
        <v>11350.2</v>
      </c>
      <c r="J2659" s="24">
        <f t="shared" si="123"/>
        <v>7.8646919813503527E-5</v>
      </c>
      <c r="K2659" s="25">
        <f t="shared" si="125"/>
        <v>0.90951807856702782</v>
      </c>
      <c r="L2659" s="26" t="s">
        <v>7517</v>
      </c>
      <c r="M2659" s="28"/>
      <c r="N2659" s="28"/>
      <c r="O2659" s="20">
        <v>12628.32</v>
      </c>
      <c r="P2659" s="27" t="str">
        <f t="shared" si="124"/>
        <v>verde</v>
      </c>
    </row>
    <row r="2660" spans="1:16" ht="38.25">
      <c r="A2660" s="3" t="s">
        <v>4</v>
      </c>
      <c r="B2660" s="3" t="s">
        <v>1841</v>
      </c>
      <c r="C2660" s="4">
        <v>371</v>
      </c>
      <c r="D2660" s="3" t="s">
        <v>82</v>
      </c>
      <c r="E2660" s="3" t="s">
        <v>49</v>
      </c>
      <c r="F2660" s="5">
        <v>181</v>
      </c>
      <c r="G2660" s="5">
        <v>273</v>
      </c>
      <c r="H2660" s="6">
        <v>7669.56</v>
      </c>
      <c r="I2660" s="22">
        <v>11349.48</v>
      </c>
      <c r="J2660" s="24">
        <f t="shared" si="123"/>
        <v>7.8641930845708613E-5</v>
      </c>
      <c r="K2660" s="25">
        <f t="shared" si="125"/>
        <v>0.90959672049787355</v>
      </c>
      <c r="L2660" s="26" t="s">
        <v>7517</v>
      </c>
      <c r="M2660" s="28"/>
      <c r="N2660" s="28"/>
      <c r="O2660" s="20">
        <v>4687.68</v>
      </c>
      <c r="P2660" s="27" t="str">
        <f t="shared" si="124"/>
        <v>amarelo</v>
      </c>
    </row>
    <row r="2661" spans="1:16" ht="25.5">
      <c r="A2661" s="3" t="s">
        <v>4</v>
      </c>
      <c r="B2661" s="3" t="s">
        <v>1842</v>
      </c>
      <c r="C2661" s="4">
        <v>273</v>
      </c>
      <c r="D2661" s="3" t="s">
        <v>149</v>
      </c>
      <c r="E2661" s="3" t="s">
        <v>16</v>
      </c>
      <c r="F2661" s="5">
        <v>0</v>
      </c>
      <c r="G2661" s="5">
        <v>207</v>
      </c>
      <c r="H2661" s="6">
        <v>0</v>
      </c>
      <c r="I2661" s="22">
        <v>11341.433000000001</v>
      </c>
      <c r="J2661" s="24">
        <f t="shared" si="123"/>
        <v>7.8586172201478631E-5</v>
      </c>
      <c r="K2661" s="25">
        <f t="shared" si="125"/>
        <v>0.90967530667007501</v>
      </c>
      <c r="L2661" s="26" t="s">
        <v>7517</v>
      </c>
      <c r="M2661" s="28"/>
      <c r="N2661" s="28"/>
      <c r="O2661" s="20" t="s">
        <v>7530</v>
      </c>
      <c r="P2661" s="27" t="str">
        <f t="shared" si="124"/>
        <v>vermelho</v>
      </c>
    </row>
    <row r="2662" spans="1:16" ht="25.5">
      <c r="A2662" s="3" t="s">
        <v>4</v>
      </c>
      <c r="B2662" s="3" t="s">
        <v>1843</v>
      </c>
      <c r="C2662" s="4">
        <v>267</v>
      </c>
      <c r="D2662" s="3" t="s">
        <v>125</v>
      </c>
      <c r="E2662" s="3" t="s">
        <v>16</v>
      </c>
      <c r="F2662" s="5">
        <v>48</v>
      </c>
      <c r="G2662" s="5">
        <v>177</v>
      </c>
      <c r="H2662" s="6">
        <v>3299.52</v>
      </c>
      <c r="I2662" s="22">
        <v>11323.56</v>
      </c>
      <c r="J2662" s="24">
        <f t="shared" si="123"/>
        <v>7.846232800509205E-5</v>
      </c>
      <c r="K2662" s="25">
        <f t="shared" si="125"/>
        <v>0.90975376899808014</v>
      </c>
      <c r="L2662" s="26" t="s">
        <v>7517</v>
      </c>
      <c r="M2662" s="28"/>
      <c r="N2662" s="28"/>
      <c r="O2662" s="20" t="s">
        <v>7530</v>
      </c>
      <c r="P2662" s="27" t="str">
        <f t="shared" si="124"/>
        <v>vermelho</v>
      </c>
    </row>
    <row r="2663" spans="1:16" ht="25.5">
      <c r="A2663" s="3" t="s">
        <v>4</v>
      </c>
      <c r="B2663" s="3" t="s">
        <v>1844</v>
      </c>
      <c r="C2663" s="4">
        <v>218</v>
      </c>
      <c r="D2663" s="3" t="s">
        <v>104</v>
      </c>
      <c r="E2663" s="3" t="s">
        <v>16</v>
      </c>
      <c r="F2663" s="5">
        <v>84</v>
      </c>
      <c r="G2663" s="5">
        <v>222</v>
      </c>
      <c r="H2663" s="6">
        <v>3695.16</v>
      </c>
      <c r="I2663" s="22">
        <v>11319.42</v>
      </c>
      <c r="J2663" s="24">
        <f t="shared" si="123"/>
        <v>7.8433641440271354E-5</v>
      </c>
      <c r="K2663" s="25">
        <f t="shared" si="125"/>
        <v>0.90983220263952036</v>
      </c>
      <c r="L2663" s="26" t="s">
        <v>7517</v>
      </c>
      <c r="M2663" s="28"/>
      <c r="N2663" s="28"/>
      <c r="O2663" s="20" t="s">
        <v>7530</v>
      </c>
      <c r="P2663" s="27" t="str">
        <f t="shared" si="124"/>
        <v>vermelho</v>
      </c>
    </row>
    <row r="2664" spans="1:16" ht="25.5">
      <c r="A2664" s="3" t="s">
        <v>4</v>
      </c>
      <c r="B2664" s="3" t="s">
        <v>1845</v>
      </c>
      <c r="C2664" s="4">
        <v>317</v>
      </c>
      <c r="D2664" s="3" t="s">
        <v>78</v>
      </c>
      <c r="E2664" s="3" t="s">
        <v>10</v>
      </c>
      <c r="F2664" s="5">
        <v>393</v>
      </c>
      <c r="G2664" s="5">
        <v>156</v>
      </c>
      <c r="H2664" s="6">
        <v>23300.43</v>
      </c>
      <c r="I2664" s="22">
        <v>11308.2</v>
      </c>
      <c r="J2664" s="24">
        <f t="shared" si="123"/>
        <v>7.835589669213411E-5</v>
      </c>
      <c r="K2664" s="25">
        <f t="shared" si="125"/>
        <v>0.9099105585362125</v>
      </c>
      <c r="L2664" s="26" t="s">
        <v>7517</v>
      </c>
      <c r="M2664" s="28"/>
      <c r="N2664" s="28"/>
      <c r="O2664" s="20" t="s">
        <v>7530</v>
      </c>
      <c r="P2664" s="27" t="str">
        <f t="shared" si="124"/>
        <v>vermelho</v>
      </c>
    </row>
    <row r="2665" spans="1:16" ht="38.25">
      <c r="A2665" s="3" t="s">
        <v>4</v>
      </c>
      <c r="B2665" s="3" t="s">
        <v>1846</v>
      </c>
      <c r="C2665" s="4">
        <v>11</v>
      </c>
      <c r="D2665" s="3" t="s">
        <v>61</v>
      </c>
      <c r="E2665" s="3" t="s">
        <v>10</v>
      </c>
      <c r="F2665" s="5">
        <v>177</v>
      </c>
      <c r="G2665" s="5">
        <v>159</v>
      </c>
      <c r="H2665" s="6">
        <v>9210.6200000000008</v>
      </c>
      <c r="I2665" s="22">
        <v>11303.07</v>
      </c>
      <c r="J2665" s="24">
        <f t="shared" si="123"/>
        <v>7.832035029659541E-5</v>
      </c>
      <c r="K2665" s="25">
        <f t="shared" si="125"/>
        <v>0.90998887888650914</v>
      </c>
      <c r="L2665" s="26" t="s">
        <v>7517</v>
      </c>
      <c r="M2665" s="28"/>
      <c r="N2665" s="28"/>
      <c r="O2665" s="20" t="s">
        <v>7530</v>
      </c>
      <c r="P2665" s="27" t="str">
        <f t="shared" si="124"/>
        <v>vermelho</v>
      </c>
    </row>
    <row r="2666" spans="1:16">
      <c r="A2666" s="3" t="s">
        <v>4</v>
      </c>
      <c r="B2666" s="3" t="s">
        <v>1847</v>
      </c>
      <c r="C2666" s="4">
        <v>240</v>
      </c>
      <c r="D2666" s="3" t="s">
        <v>69</v>
      </c>
      <c r="E2666" s="3" t="s">
        <v>16</v>
      </c>
      <c r="F2666" s="5">
        <v>135</v>
      </c>
      <c r="G2666" s="5">
        <v>186</v>
      </c>
      <c r="H2666" s="6">
        <v>7729.92</v>
      </c>
      <c r="I2666" s="22">
        <v>11299.14</v>
      </c>
      <c r="J2666" s="24">
        <f t="shared" si="123"/>
        <v>7.8293118847381552E-5</v>
      </c>
      <c r="K2666" s="25">
        <f t="shared" si="125"/>
        <v>0.91006717200535647</v>
      </c>
      <c r="L2666" s="26" t="s">
        <v>7517</v>
      </c>
      <c r="M2666" s="28"/>
      <c r="N2666" s="28">
        <v>3.8528149941144431E-2</v>
      </c>
      <c r="O2666" s="20">
        <v>2929.44</v>
      </c>
      <c r="P2666" s="27" t="str">
        <f t="shared" si="124"/>
        <v>amarelo</v>
      </c>
    </row>
    <row r="2667" spans="1:16" ht="38.25">
      <c r="A2667" s="3" t="s">
        <v>4</v>
      </c>
      <c r="B2667" s="3" t="s">
        <v>1848</v>
      </c>
      <c r="C2667" s="4">
        <v>34</v>
      </c>
      <c r="D2667" s="3" t="s">
        <v>54</v>
      </c>
      <c r="E2667" s="3" t="s">
        <v>49</v>
      </c>
      <c r="F2667" s="5">
        <v>282</v>
      </c>
      <c r="G2667" s="5">
        <v>180</v>
      </c>
      <c r="H2667" s="6">
        <v>16875.21</v>
      </c>
      <c r="I2667" s="22">
        <v>11297.04</v>
      </c>
      <c r="J2667" s="24">
        <f t="shared" si="123"/>
        <v>7.8278567691313092E-5</v>
      </c>
      <c r="K2667" s="25">
        <f t="shared" si="125"/>
        <v>0.91014545057304774</v>
      </c>
      <c r="L2667" s="26" t="s">
        <v>7517</v>
      </c>
      <c r="M2667" s="28"/>
      <c r="N2667" s="28"/>
      <c r="O2667" s="20" t="s">
        <v>7530</v>
      </c>
      <c r="P2667" s="27" t="str">
        <f t="shared" si="124"/>
        <v>vermelho</v>
      </c>
    </row>
    <row r="2668" spans="1:16" ht="38.25">
      <c r="A2668" s="3" t="s">
        <v>4</v>
      </c>
      <c r="B2668" s="3" t="s">
        <v>1849</v>
      </c>
      <c r="C2668" s="4">
        <v>38</v>
      </c>
      <c r="D2668" s="3" t="s">
        <v>184</v>
      </c>
      <c r="E2668" s="3" t="s">
        <v>49</v>
      </c>
      <c r="F2668" s="5">
        <v>0</v>
      </c>
      <c r="G2668" s="5">
        <v>180</v>
      </c>
      <c r="H2668" s="6">
        <v>0</v>
      </c>
      <c r="I2668" s="22">
        <v>11293.08</v>
      </c>
      <c r="J2668" s="24">
        <f t="shared" si="123"/>
        <v>7.8251128368441114E-5</v>
      </c>
      <c r="K2668" s="25">
        <f t="shared" si="125"/>
        <v>0.9102237017014162</v>
      </c>
      <c r="L2668" s="26" t="s">
        <v>7517</v>
      </c>
      <c r="M2668" s="28"/>
      <c r="N2668" s="28"/>
      <c r="O2668" s="20">
        <v>5617.68</v>
      </c>
      <c r="P2668" s="27" t="str">
        <f t="shared" si="124"/>
        <v>amarelo</v>
      </c>
    </row>
    <row r="2669" spans="1:16" ht="25.5">
      <c r="A2669" s="3" t="s">
        <v>4</v>
      </c>
      <c r="B2669" s="3" t="s">
        <v>1850</v>
      </c>
      <c r="C2669" s="4">
        <v>41</v>
      </c>
      <c r="D2669" s="3" t="s">
        <v>178</v>
      </c>
      <c r="E2669" s="3" t="s">
        <v>41</v>
      </c>
      <c r="F2669" s="5">
        <v>372</v>
      </c>
      <c r="G2669" s="5">
        <v>156</v>
      </c>
      <c r="H2669" s="6">
        <v>19846.02</v>
      </c>
      <c r="I2669" s="22">
        <v>11292.24</v>
      </c>
      <c r="J2669" s="24">
        <f t="shared" si="123"/>
        <v>7.8245307906013722E-5</v>
      </c>
      <c r="K2669" s="25">
        <f t="shared" si="125"/>
        <v>0.91030194700932221</v>
      </c>
      <c r="L2669" s="26" t="s">
        <v>7517</v>
      </c>
      <c r="M2669" s="28"/>
      <c r="N2669" s="28"/>
      <c r="O2669" s="20" t="s">
        <v>7530</v>
      </c>
      <c r="P2669" s="27" t="str">
        <f t="shared" si="124"/>
        <v>vermelho</v>
      </c>
    </row>
    <row r="2670" spans="1:16">
      <c r="A2670" s="3" t="s">
        <v>4</v>
      </c>
      <c r="B2670" s="3" t="s">
        <v>1851</v>
      </c>
      <c r="C2670" s="4">
        <v>232</v>
      </c>
      <c r="D2670" s="3" t="s">
        <v>174</v>
      </c>
      <c r="E2670" s="3" t="s">
        <v>16</v>
      </c>
      <c r="F2670" s="5">
        <v>0</v>
      </c>
      <c r="G2670" s="5">
        <v>207</v>
      </c>
      <c r="H2670" s="6">
        <v>0</v>
      </c>
      <c r="I2670" s="22">
        <v>11277.57</v>
      </c>
      <c r="J2670" s="24">
        <f t="shared" si="123"/>
        <v>7.8143657687192549E-5</v>
      </c>
      <c r="K2670" s="25">
        <f t="shared" si="125"/>
        <v>0.91038009066700942</v>
      </c>
      <c r="L2670" s="26" t="s">
        <v>7517</v>
      </c>
      <c r="M2670" s="28"/>
      <c r="N2670" s="28"/>
      <c r="O2670" s="20" t="s">
        <v>7530</v>
      </c>
      <c r="P2670" s="27" t="str">
        <f t="shared" si="124"/>
        <v>vermelho</v>
      </c>
    </row>
    <row r="2671" spans="1:16" ht="25.5">
      <c r="A2671" s="3" t="s">
        <v>4</v>
      </c>
      <c r="B2671" s="3" t="s">
        <v>1852</v>
      </c>
      <c r="C2671" s="4">
        <v>240</v>
      </c>
      <c r="D2671" s="3" t="s">
        <v>69</v>
      </c>
      <c r="E2671" s="3" t="s">
        <v>16</v>
      </c>
      <c r="F2671" s="5">
        <v>0</v>
      </c>
      <c r="G2671" s="5">
        <v>198</v>
      </c>
      <c r="H2671" s="6">
        <v>0</v>
      </c>
      <c r="I2671" s="22">
        <v>11271.06</v>
      </c>
      <c r="J2671" s="24">
        <f t="shared" si="123"/>
        <v>7.8098549103380288E-5</v>
      </c>
      <c r="K2671" s="25">
        <f t="shared" si="125"/>
        <v>0.91045818921611277</v>
      </c>
      <c r="L2671" s="26" t="s">
        <v>7517</v>
      </c>
      <c r="M2671" s="28"/>
      <c r="N2671" s="28"/>
      <c r="O2671" s="20">
        <v>31602.66</v>
      </c>
      <c r="P2671" s="27" t="str">
        <f t="shared" si="124"/>
        <v>verde</v>
      </c>
    </row>
    <row r="2672" spans="1:16" ht="38.25">
      <c r="A2672" s="3" t="s">
        <v>4</v>
      </c>
      <c r="B2672" s="3" t="s">
        <v>1853</v>
      </c>
      <c r="C2672" s="4">
        <v>11</v>
      </c>
      <c r="D2672" s="3" t="s">
        <v>61</v>
      </c>
      <c r="E2672" s="3" t="s">
        <v>10</v>
      </c>
      <c r="F2672" s="5">
        <v>342</v>
      </c>
      <c r="G2672" s="5">
        <v>177</v>
      </c>
      <c r="H2672" s="6">
        <v>19411.5</v>
      </c>
      <c r="I2672" s="22">
        <v>11259.6</v>
      </c>
      <c r="J2672" s="24">
        <f t="shared" si="123"/>
        <v>7.8019141365978059E-5</v>
      </c>
      <c r="K2672" s="25">
        <f t="shared" si="125"/>
        <v>0.91053620835747873</v>
      </c>
      <c r="L2672" s="26" t="s">
        <v>7517</v>
      </c>
      <c r="M2672" s="28"/>
      <c r="N2672" s="28"/>
      <c r="O2672" s="20">
        <v>9730.92</v>
      </c>
      <c r="P2672" s="27" t="str">
        <f t="shared" si="124"/>
        <v>laranja</v>
      </c>
    </row>
    <row r="2673" spans="1:16" ht="25.5">
      <c r="A2673" s="3" t="s">
        <v>6637</v>
      </c>
      <c r="B2673" s="3" t="s">
        <v>6638</v>
      </c>
      <c r="C2673" s="4">
        <v>337</v>
      </c>
      <c r="D2673" s="3" t="s">
        <v>202</v>
      </c>
      <c r="E2673" s="3" t="s">
        <v>16</v>
      </c>
      <c r="F2673" s="5">
        <v>132</v>
      </c>
      <c r="G2673" s="5">
        <v>186</v>
      </c>
      <c r="H2673" s="6">
        <v>6823.68</v>
      </c>
      <c r="I2673" s="22">
        <v>11248.14</v>
      </c>
      <c r="J2673" s="24">
        <f t="shared" si="123"/>
        <v>7.7939733628575831E-5</v>
      </c>
      <c r="K2673" s="25">
        <f t="shared" si="125"/>
        <v>0.9106141480911073</v>
      </c>
      <c r="L2673" s="26" t="s">
        <v>7517</v>
      </c>
      <c r="M2673" s="28"/>
      <c r="N2673" s="28"/>
      <c r="O2673" s="20" t="s">
        <v>7530</v>
      </c>
      <c r="P2673" s="27" t="str">
        <f t="shared" si="124"/>
        <v>vermelho</v>
      </c>
    </row>
    <row r="2674" spans="1:16" ht="25.5">
      <c r="A2674" s="3" t="s">
        <v>4</v>
      </c>
      <c r="B2674" s="3" t="s">
        <v>1854</v>
      </c>
      <c r="C2674" s="4">
        <v>208</v>
      </c>
      <c r="D2674" s="3" t="s">
        <v>15</v>
      </c>
      <c r="E2674" s="3" t="s">
        <v>16</v>
      </c>
      <c r="F2674" s="5">
        <v>423</v>
      </c>
      <c r="G2674" s="5">
        <v>204</v>
      </c>
      <c r="H2674" s="6">
        <v>25317.3</v>
      </c>
      <c r="I2674" s="22">
        <v>11244.96</v>
      </c>
      <c r="J2674" s="24">
        <f t="shared" si="123"/>
        <v>7.7917699020815006E-5</v>
      </c>
      <c r="K2674" s="25">
        <f t="shared" si="125"/>
        <v>0.91069206579012807</v>
      </c>
      <c r="L2674" s="26" t="s">
        <v>7517</v>
      </c>
      <c r="M2674" s="28"/>
      <c r="N2674" s="28"/>
      <c r="O2674" s="20" t="s">
        <v>7530</v>
      </c>
      <c r="P2674" s="27" t="str">
        <f t="shared" si="124"/>
        <v>vermelho</v>
      </c>
    </row>
    <row r="2675" spans="1:16" ht="38.25">
      <c r="A2675" s="3" t="s">
        <v>4</v>
      </c>
      <c r="B2675" s="3" t="s">
        <v>1855</v>
      </c>
      <c r="C2675" s="4">
        <v>371</v>
      </c>
      <c r="D2675" s="3" t="s">
        <v>82</v>
      </c>
      <c r="E2675" s="3" t="s">
        <v>49</v>
      </c>
      <c r="F2675" s="5">
        <v>168</v>
      </c>
      <c r="G2675" s="5">
        <v>210</v>
      </c>
      <c r="H2675" s="6">
        <v>7341.36</v>
      </c>
      <c r="I2675" s="22">
        <v>11241.396000000001</v>
      </c>
      <c r="J2675" s="24">
        <f t="shared" si="123"/>
        <v>7.7893003630230239E-5</v>
      </c>
      <c r="K2675" s="25">
        <f t="shared" si="125"/>
        <v>0.91076995879375833</v>
      </c>
      <c r="L2675" s="26" t="s">
        <v>7517</v>
      </c>
      <c r="M2675" s="28"/>
      <c r="N2675" s="28"/>
      <c r="O2675" s="20" t="s">
        <v>7530</v>
      </c>
      <c r="P2675" s="27" t="str">
        <f t="shared" si="124"/>
        <v>vermelho</v>
      </c>
    </row>
    <row r="2676" spans="1:16" ht="38.25">
      <c r="A2676" s="3" t="s">
        <v>4</v>
      </c>
      <c r="B2676" s="3" t="s">
        <v>1856</v>
      </c>
      <c r="C2676" s="4">
        <v>45</v>
      </c>
      <c r="D2676" s="3" t="s">
        <v>23</v>
      </c>
      <c r="E2676" s="3" t="s">
        <v>7</v>
      </c>
      <c r="F2676" s="5">
        <v>303</v>
      </c>
      <c r="G2676" s="5">
        <v>177</v>
      </c>
      <c r="H2676" s="6">
        <v>17680.29</v>
      </c>
      <c r="I2676" s="22">
        <v>11239.26</v>
      </c>
      <c r="J2676" s="24">
        <f t="shared" si="123"/>
        <v>7.7878203025772018E-5</v>
      </c>
      <c r="K2676" s="25">
        <f t="shared" si="125"/>
        <v>0.91084783699678407</v>
      </c>
      <c r="L2676" s="26" t="s">
        <v>7517</v>
      </c>
      <c r="M2676" s="28"/>
      <c r="N2676" s="28"/>
      <c r="O2676" s="20" t="s">
        <v>7530</v>
      </c>
      <c r="P2676" s="27" t="str">
        <f t="shared" si="124"/>
        <v>vermelho</v>
      </c>
    </row>
    <row r="2677" spans="1:16" ht="25.5">
      <c r="A2677" s="3" t="s">
        <v>6639</v>
      </c>
      <c r="B2677" s="3" t="s">
        <v>6640</v>
      </c>
      <c r="C2677" s="4">
        <v>194</v>
      </c>
      <c r="D2677" s="3" t="s">
        <v>145</v>
      </c>
      <c r="E2677" s="3" t="s">
        <v>16</v>
      </c>
      <c r="F2677" s="5">
        <v>60</v>
      </c>
      <c r="G2677" s="5">
        <v>192</v>
      </c>
      <c r="H2677" s="6">
        <v>3043.8</v>
      </c>
      <c r="I2677" s="22">
        <v>11230.08</v>
      </c>
      <c r="J2677" s="24">
        <f t="shared" si="123"/>
        <v>7.7814593686386982E-5</v>
      </c>
      <c r="K2677" s="25">
        <f t="shared" si="125"/>
        <v>0.91092565159047045</v>
      </c>
      <c r="L2677" s="26" t="s">
        <v>7517</v>
      </c>
      <c r="M2677" s="28"/>
      <c r="N2677" s="28"/>
      <c r="O2677" s="20" t="s">
        <v>7530</v>
      </c>
      <c r="P2677" s="27" t="str">
        <f t="shared" si="124"/>
        <v>vermelho</v>
      </c>
    </row>
    <row r="2678" spans="1:16" ht="25.5">
      <c r="A2678" s="3" t="s">
        <v>6641</v>
      </c>
      <c r="B2678" s="3" t="s">
        <v>6642</v>
      </c>
      <c r="C2678" s="4">
        <v>93</v>
      </c>
      <c r="D2678" s="3" t="s">
        <v>20</v>
      </c>
      <c r="E2678" s="3" t="s">
        <v>7</v>
      </c>
      <c r="F2678" s="5">
        <v>357</v>
      </c>
      <c r="G2678" s="5">
        <v>183</v>
      </c>
      <c r="H2678" s="6">
        <v>20001</v>
      </c>
      <c r="I2678" s="22">
        <v>11219.58</v>
      </c>
      <c r="J2678" s="24">
        <f t="shared" si="123"/>
        <v>7.7741837906044624E-5</v>
      </c>
      <c r="K2678" s="25">
        <f t="shared" si="125"/>
        <v>0.91100339342837655</v>
      </c>
      <c r="L2678" s="26" t="s">
        <v>7517</v>
      </c>
      <c r="M2678" s="28"/>
      <c r="N2678" s="28"/>
      <c r="O2678" s="20" t="s">
        <v>7530</v>
      </c>
      <c r="P2678" s="27" t="str">
        <f t="shared" si="124"/>
        <v>vermelho</v>
      </c>
    </row>
    <row r="2679" spans="1:16">
      <c r="A2679" s="3" t="s">
        <v>4</v>
      </c>
      <c r="B2679" s="3" t="s">
        <v>1857</v>
      </c>
      <c r="C2679" s="4">
        <v>217</v>
      </c>
      <c r="D2679" s="3" t="s">
        <v>91</v>
      </c>
      <c r="E2679" s="3" t="s">
        <v>16</v>
      </c>
      <c r="F2679" s="5">
        <v>129</v>
      </c>
      <c r="G2679" s="5">
        <v>192</v>
      </c>
      <c r="H2679" s="6">
        <v>6850.05</v>
      </c>
      <c r="I2679" s="22">
        <v>11219.25</v>
      </c>
      <c r="J2679" s="24">
        <f t="shared" si="123"/>
        <v>7.7739551295805294E-5</v>
      </c>
      <c r="K2679" s="25">
        <f t="shared" si="125"/>
        <v>0.9110811329796723</v>
      </c>
      <c r="L2679" s="26" t="s">
        <v>7517</v>
      </c>
      <c r="M2679" s="28"/>
      <c r="N2679" s="28"/>
      <c r="O2679" s="20" t="s">
        <v>7530</v>
      </c>
      <c r="P2679" s="27" t="str">
        <f t="shared" si="124"/>
        <v>vermelho</v>
      </c>
    </row>
    <row r="2680" spans="1:16" ht="38.25">
      <c r="A2680" s="3" t="s">
        <v>4</v>
      </c>
      <c r="B2680" s="3" t="s">
        <v>1858</v>
      </c>
      <c r="C2680" s="4">
        <v>292</v>
      </c>
      <c r="D2680" s="3" t="s">
        <v>57</v>
      </c>
      <c r="E2680" s="3" t="s">
        <v>49</v>
      </c>
      <c r="F2680" s="5">
        <v>0</v>
      </c>
      <c r="G2680" s="5">
        <v>192</v>
      </c>
      <c r="H2680" s="6">
        <v>0</v>
      </c>
      <c r="I2680" s="22">
        <v>11209.71</v>
      </c>
      <c r="J2680" s="24">
        <f t="shared" si="123"/>
        <v>7.7673447472522808E-5</v>
      </c>
      <c r="K2680" s="25">
        <f t="shared" si="125"/>
        <v>0.91115880642714486</v>
      </c>
      <c r="L2680" s="26" t="s">
        <v>7517</v>
      </c>
      <c r="M2680" s="28"/>
      <c r="N2680" s="28">
        <v>8.1194785888582754E-2</v>
      </c>
      <c r="O2680" s="20">
        <v>2003.4</v>
      </c>
      <c r="P2680" s="27" t="str">
        <f t="shared" si="124"/>
        <v>amarelo</v>
      </c>
    </row>
    <row r="2681" spans="1:16" ht="25.5">
      <c r="A2681" s="3" t="s">
        <v>4</v>
      </c>
      <c r="B2681" s="3" t="s">
        <v>1859</v>
      </c>
      <c r="C2681" s="4">
        <v>197</v>
      </c>
      <c r="D2681" s="3" t="s">
        <v>66</v>
      </c>
      <c r="E2681" s="3" t="s">
        <v>41</v>
      </c>
      <c r="F2681" s="5">
        <v>495</v>
      </c>
      <c r="G2681" s="5">
        <v>192</v>
      </c>
      <c r="H2681" s="6">
        <v>20454.866999999998</v>
      </c>
      <c r="I2681" s="22">
        <v>11197.27</v>
      </c>
      <c r="J2681" s="24">
        <f t="shared" si="123"/>
        <v>7.758724919562197E-5</v>
      </c>
      <c r="K2681" s="25">
        <f t="shared" si="125"/>
        <v>0.91123639367634046</v>
      </c>
      <c r="L2681" s="26" t="s">
        <v>7517</v>
      </c>
      <c r="M2681" s="28"/>
      <c r="N2681" s="28"/>
      <c r="O2681" s="20" t="s">
        <v>7530</v>
      </c>
      <c r="P2681" s="27" t="str">
        <f t="shared" si="124"/>
        <v>vermelho</v>
      </c>
    </row>
    <row r="2682" spans="1:16" ht="25.5">
      <c r="A2682" s="3" t="s">
        <v>4</v>
      </c>
      <c r="B2682" s="3" t="s">
        <v>1860</v>
      </c>
      <c r="C2682" s="4">
        <v>266</v>
      </c>
      <c r="D2682" s="3" t="s">
        <v>80</v>
      </c>
      <c r="E2682" s="3" t="s">
        <v>10</v>
      </c>
      <c r="F2682" s="5">
        <v>0</v>
      </c>
      <c r="G2682" s="5">
        <v>174</v>
      </c>
      <c r="H2682" s="6">
        <v>0</v>
      </c>
      <c r="I2682" s="22">
        <v>11191.86</v>
      </c>
      <c r="J2682" s="24">
        <f t="shared" si="123"/>
        <v>7.7549762645940824E-5</v>
      </c>
      <c r="K2682" s="25">
        <f t="shared" si="125"/>
        <v>0.91131394343898642</v>
      </c>
      <c r="L2682" s="26" t="s">
        <v>7517</v>
      </c>
      <c r="M2682" s="28"/>
      <c r="N2682" s="28"/>
      <c r="O2682" s="20" t="s">
        <v>7530</v>
      </c>
      <c r="P2682" s="27" t="str">
        <f t="shared" si="124"/>
        <v>vermelho</v>
      </c>
    </row>
    <row r="2683" spans="1:16" ht="25.5">
      <c r="A2683" s="3" t="s">
        <v>4</v>
      </c>
      <c r="B2683" s="3" t="s">
        <v>1861</v>
      </c>
      <c r="C2683" s="4">
        <v>299</v>
      </c>
      <c r="D2683" s="3" t="s">
        <v>111</v>
      </c>
      <c r="E2683" s="3" t="s">
        <v>49</v>
      </c>
      <c r="F2683" s="5">
        <v>198</v>
      </c>
      <c r="G2683" s="5">
        <v>156</v>
      </c>
      <c r="H2683" s="6">
        <v>10345.02</v>
      </c>
      <c r="I2683" s="22">
        <v>11185.68</v>
      </c>
      <c r="J2683" s="24">
        <f t="shared" si="123"/>
        <v>7.7506940672367894E-5</v>
      </c>
      <c r="K2683" s="25">
        <f t="shared" si="125"/>
        <v>0.91139145037965874</v>
      </c>
      <c r="L2683" s="26" t="s">
        <v>7517</v>
      </c>
      <c r="M2683" s="28"/>
      <c r="N2683" s="28"/>
      <c r="O2683" s="20" t="s">
        <v>7530</v>
      </c>
      <c r="P2683" s="27" t="str">
        <f t="shared" si="124"/>
        <v>vermelho</v>
      </c>
    </row>
    <row r="2684" spans="1:16" ht="25.5">
      <c r="A2684" s="3" t="s">
        <v>4</v>
      </c>
      <c r="B2684" s="3" t="s">
        <v>1862</v>
      </c>
      <c r="C2684" s="4">
        <v>218</v>
      </c>
      <c r="D2684" s="3" t="s">
        <v>104</v>
      </c>
      <c r="E2684" s="3" t="s">
        <v>16</v>
      </c>
      <c r="F2684" s="5">
        <v>141</v>
      </c>
      <c r="G2684" s="5">
        <v>234</v>
      </c>
      <c r="H2684" s="6">
        <v>6377.55</v>
      </c>
      <c r="I2684" s="22">
        <v>11184.06</v>
      </c>
      <c r="J2684" s="24">
        <f t="shared" si="123"/>
        <v>7.7495715494829348E-5</v>
      </c>
      <c r="K2684" s="25">
        <f t="shared" si="125"/>
        <v>0.91146894609515361</v>
      </c>
      <c r="L2684" s="26" t="s">
        <v>7517</v>
      </c>
      <c r="M2684" s="28"/>
      <c r="N2684" s="28"/>
      <c r="O2684" s="20" t="s">
        <v>7530</v>
      </c>
      <c r="P2684" s="27" t="str">
        <f t="shared" si="124"/>
        <v>vermelho</v>
      </c>
    </row>
    <row r="2685" spans="1:16" ht="25.5">
      <c r="A2685" s="3" t="s">
        <v>4</v>
      </c>
      <c r="B2685" s="3" t="s">
        <v>1863</v>
      </c>
      <c r="C2685" s="4">
        <v>31</v>
      </c>
      <c r="D2685" s="3" t="s">
        <v>194</v>
      </c>
      <c r="E2685" s="3" t="s">
        <v>16</v>
      </c>
      <c r="F2685" s="5">
        <v>162</v>
      </c>
      <c r="G2685" s="5">
        <v>186</v>
      </c>
      <c r="H2685" s="6">
        <v>9106.3799999999992</v>
      </c>
      <c r="I2685" s="22">
        <v>11182.14</v>
      </c>
      <c r="J2685" s="24">
        <f t="shared" si="123"/>
        <v>7.7482411580709606E-5</v>
      </c>
      <c r="K2685" s="25">
        <f t="shared" si="125"/>
        <v>0.91154642850673429</v>
      </c>
      <c r="L2685" s="26" t="s">
        <v>7517</v>
      </c>
      <c r="M2685" s="28"/>
      <c r="N2685" s="28"/>
      <c r="O2685" s="20" t="s">
        <v>7530</v>
      </c>
      <c r="P2685" s="27" t="str">
        <f t="shared" si="124"/>
        <v>vermelho</v>
      </c>
    </row>
    <row r="2686" spans="1:16" ht="38.25">
      <c r="A2686" s="3" t="s">
        <v>4</v>
      </c>
      <c r="B2686" s="3" t="s">
        <v>1864</v>
      </c>
      <c r="C2686" s="4">
        <v>301</v>
      </c>
      <c r="D2686" s="3" t="s">
        <v>519</v>
      </c>
      <c r="E2686" s="3" t="s">
        <v>16</v>
      </c>
      <c r="F2686" s="5">
        <v>0</v>
      </c>
      <c r="G2686" s="5">
        <v>204</v>
      </c>
      <c r="H2686" s="6">
        <v>0</v>
      </c>
      <c r="I2686" s="22">
        <v>11178.18</v>
      </c>
      <c r="J2686" s="24">
        <f t="shared" si="123"/>
        <v>7.7454972257837642E-5</v>
      </c>
      <c r="K2686" s="25">
        <f t="shared" si="125"/>
        <v>0.91162388347899215</v>
      </c>
      <c r="L2686" s="26" t="s">
        <v>7517</v>
      </c>
      <c r="M2686" s="28"/>
      <c r="N2686" s="28"/>
      <c r="O2686" s="20" t="s">
        <v>7530</v>
      </c>
      <c r="P2686" s="27" t="str">
        <f t="shared" si="124"/>
        <v>vermelho</v>
      </c>
    </row>
    <row r="2687" spans="1:16" ht="25.5">
      <c r="A2687" s="3" t="s">
        <v>4</v>
      </c>
      <c r="B2687" s="3" t="s">
        <v>1865</v>
      </c>
      <c r="C2687" s="4">
        <v>218</v>
      </c>
      <c r="D2687" s="3" t="s">
        <v>104</v>
      </c>
      <c r="E2687" s="3" t="s">
        <v>16</v>
      </c>
      <c r="F2687" s="5">
        <v>72</v>
      </c>
      <c r="G2687" s="5">
        <v>192</v>
      </c>
      <c r="H2687" s="6">
        <v>3635.28</v>
      </c>
      <c r="I2687" s="22">
        <v>11176.05</v>
      </c>
      <c r="J2687" s="24">
        <f t="shared" si="123"/>
        <v>7.7440213228111034E-5</v>
      </c>
      <c r="K2687" s="25">
        <f t="shared" si="125"/>
        <v>0.91170132369222023</v>
      </c>
      <c r="L2687" s="26" t="s">
        <v>7517</v>
      </c>
      <c r="M2687" s="28"/>
      <c r="N2687" s="28"/>
      <c r="O2687" s="20" t="s">
        <v>7530</v>
      </c>
      <c r="P2687" s="27" t="str">
        <f t="shared" si="124"/>
        <v>vermelho</v>
      </c>
    </row>
    <row r="2688" spans="1:16" ht="25.5">
      <c r="A2688" s="3" t="s">
        <v>6643</v>
      </c>
      <c r="B2688" s="3" t="s">
        <v>6644</v>
      </c>
      <c r="C2688" s="4">
        <v>261</v>
      </c>
      <c r="D2688" s="3" t="s">
        <v>9</v>
      </c>
      <c r="E2688" s="3" t="s">
        <v>10</v>
      </c>
      <c r="F2688" s="5">
        <v>93</v>
      </c>
      <c r="G2688" s="5">
        <v>162</v>
      </c>
      <c r="H2688" s="6">
        <v>6235.68</v>
      </c>
      <c r="I2688" s="22">
        <v>11164.38</v>
      </c>
      <c r="J2688" s="24">
        <f t="shared" si="123"/>
        <v>7.7359350375101968E-5</v>
      </c>
      <c r="K2688" s="25">
        <f t="shared" si="125"/>
        <v>0.91177868304259535</v>
      </c>
      <c r="L2688" s="26" t="s">
        <v>7517</v>
      </c>
      <c r="M2688" s="28"/>
      <c r="N2688" s="28"/>
      <c r="O2688" s="20">
        <v>7963.02</v>
      </c>
      <c r="P2688" s="27" t="str">
        <f t="shared" si="124"/>
        <v>laranja</v>
      </c>
    </row>
    <row r="2689" spans="1:16" ht="25.5">
      <c r="A2689" s="3" t="s">
        <v>4</v>
      </c>
      <c r="B2689" s="3" t="s">
        <v>1867</v>
      </c>
      <c r="C2689" s="4">
        <v>167</v>
      </c>
      <c r="D2689" s="3" t="s">
        <v>251</v>
      </c>
      <c r="E2689" s="3" t="s">
        <v>49</v>
      </c>
      <c r="F2689" s="5">
        <v>234</v>
      </c>
      <c r="G2689" s="5">
        <v>213</v>
      </c>
      <c r="H2689" s="6">
        <v>11757.72</v>
      </c>
      <c r="I2689" s="22">
        <v>11158.26</v>
      </c>
      <c r="J2689" s="24">
        <f t="shared" si="123"/>
        <v>7.731694414884529E-5</v>
      </c>
      <c r="K2689" s="25">
        <f t="shared" si="125"/>
        <v>0.91185599998674416</v>
      </c>
      <c r="L2689" s="26" t="s">
        <v>7517</v>
      </c>
      <c r="M2689" s="28"/>
      <c r="N2689" s="28"/>
      <c r="O2689" s="20" t="s">
        <v>7530</v>
      </c>
      <c r="P2689" s="27" t="str">
        <f t="shared" si="124"/>
        <v>vermelho</v>
      </c>
    </row>
    <row r="2690" spans="1:16" ht="38.25">
      <c r="A2690" s="3" t="s">
        <v>4</v>
      </c>
      <c r="B2690" s="3" t="s">
        <v>1868</v>
      </c>
      <c r="C2690" s="4">
        <v>38</v>
      </c>
      <c r="D2690" s="3" t="s">
        <v>184</v>
      </c>
      <c r="E2690" s="3" t="s">
        <v>49</v>
      </c>
      <c r="F2690" s="5">
        <v>0</v>
      </c>
      <c r="G2690" s="5">
        <v>204</v>
      </c>
      <c r="H2690" s="6">
        <v>0</v>
      </c>
      <c r="I2690" s="22">
        <v>11157.41</v>
      </c>
      <c r="J2690" s="24">
        <f t="shared" si="123"/>
        <v>7.7311054395198516E-5</v>
      </c>
      <c r="K2690" s="25">
        <f t="shared" si="125"/>
        <v>0.91193331104113939</v>
      </c>
      <c r="L2690" s="26" t="s">
        <v>7517</v>
      </c>
      <c r="M2690" s="28"/>
      <c r="N2690" s="28"/>
      <c r="O2690" s="20" t="s">
        <v>7530</v>
      </c>
      <c r="P2690" s="27" t="str">
        <f t="shared" si="124"/>
        <v>vermelho</v>
      </c>
    </row>
    <row r="2691" spans="1:16" ht="25.5">
      <c r="A2691" s="3" t="s">
        <v>6645</v>
      </c>
      <c r="B2691" s="3" t="s">
        <v>6646</v>
      </c>
      <c r="C2691" s="4">
        <v>19</v>
      </c>
      <c r="D2691" s="3" t="s">
        <v>72</v>
      </c>
      <c r="E2691" s="3" t="s">
        <v>41</v>
      </c>
      <c r="F2691" s="5">
        <v>168</v>
      </c>
      <c r="G2691" s="5">
        <v>180</v>
      </c>
      <c r="H2691" s="6">
        <v>8269.74</v>
      </c>
      <c r="I2691" s="22">
        <v>11146.2</v>
      </c>
      <c r="J2691" s="24">
        <f t="shared" ref="J2691:J2754" si="126">I2691/$I$6364</f>
        <v>7.723337893828064E-5</v>
      </c>
      <c r="K2691" s="25">
        <f t="shared" si="125"/>
        <v>0.91201054442007767</v>
      </c>
      <c r="L2691" s="26" t="s">
        <v>7517</v>
      </c>
      <c r="M2691" s="28"/>
      <c r="N2691" s="28"/>
      <c r="O2691" s="20" t="s">
        <v>7530</v>
      </c>
      <c r="P2691" s="27" t="str">
        <f t="shared" ref="P2691:P2754" si="127">IF(O2691&lt;=0,"vermelho",IFERROR(IF(O2691/I2691&lt;=0.5098,"amarelo",IF(O2691/I2691&lt;1,"laranja","verde")),"vermelho"))</f>
        <v>vermelho</v>
      </c>
    </row>
    <row r="2692" spans="1:16" ht="25.5">
      <c r="A2692" s="3" t="s">
        <v>4</v>
      </c>
      <c r="B2692" s="3" t="s">
        <v>1869</v>
      </c>
      <c r="C2692" s="4">
        <v>197</v>
      </c>
      <c r="D2692" s="3" t="s">
        <v>66</v>
      </c>
      <c r="E2692" s="3" t="s">
        <v>41</v>
      </c>
      <c r="F2692" s="5">
        <v>144</v>
      </c>
      <c r="G2692" s="5">
        <v>192</v>
      </c>
      <c r="H2692" s="6">
        <v>8220.2279999999992</v>
      </c>
      <c r="I2692" s="22">
        <v>11145.57</v>
      </c>
      <c r="J2692" s="24">
        <f t="shared" si="126"/>
        <v>7.7229013591460099E-5</v>
      </c>
      <c r="K2692" s="25">
        <f t="shared" ref="K2692:K2755" si="128">J2692+K2691</f>
        <v>0.91208777343366909</v>
      </c>
      <c r="L2692" s="26" t="s">
        <v>7517</v>
      </c>
      <c r="M2692" s="28"/>
      <c r="N2692" s="28"/>
      <c r="O2692" s="20" t="s">
        <v>7530</v>
      </c>
      <c r="P2692" s="27" t="str">
        <f t="shared" si="127"/>
        <v>vermelho</v>
      </c>
    </row>
    <row r="2693" spans="1:16" ht="25.5">
      <c r="A2693" s="3" t="s">
        <v>4</v>
      </c>
      <c r="B2693" s="3" t="s">
        <v>1870</v>
      </c>
      <c r="C2693" s="4">
        <v>317</v>
      </c>
      <c r="D2693" s="3" t="s">
        <v>78</v>
      </c>
      <c r="E2693" s="3" t="s">
        <v>10</v>
      </c>
      <c r="F2693" s="5">
        <v>0</v>
      </c>
      <c r="G2693" s="5">
        <v>174</v>
      </c>
      <c r="H2693" s="6">
        <v>0</v>
      </c>
      <c r="I2693" s="22">
        <v>11123.73</v>
      </c>
      <c r="J2693" s="24">
        <f t="shared" si="126"/>
        <v>7.7077681568347991E-5</v>
      </c>
      <c r="K2693" s="25">
        <f t="shared" si="128"/>
        <v>0.91216485111523748</v>
      </c>
      <c r="L2693" s="26" t="s">
        <v>7517</v>
      </c>
      <c r="M2693" s="28"/>
      <c r="N2693" s="28"/>
      <c r="O2693" s="20" t="s">
        <v>7530</v>
      </c>
      <c r="P2693" s="27" t="str">
        <f t="shared" si="127"/>
        <v>vermelho</v>
      </c>
    </row>
    <row r="2694" spans="1:16" ht="25.5">
      <c r="A2694" s="3" t="s">
        <v>6072</v>
      </c>
      <c r="B2694" s="3" t="s">
        <v>6073</v>
      </c>
      <c r="C2694" s="4">
        <v>316</v>
      </c>
      <c r="D2694" s="3" t="s">
        <v>247</v>
      </c>
      <c r="E2694" s="3" t="s">
        <v>10</v>
      </c>
      <c r="F2694" s="5">
        <v>186</v>
      </c>
      <c r="G2694" s="5">
        <v>180</v>
      </c>
      <c r="H2694" s="6">
        <v>10246.08</v>
      </c>
      <c r="I2694" s="22">
        <v>11123.73</v>
      </c>
      <c r="J2694" s="24">
        <f t="shared" si="126"/>
        <v>7.7077681568347991E-5</v>
      </c>
      <c r="K2694" s="25">
        <f t="shared" si="128"/>
        <v>0.91224192879680588</v>
      </c>
      <c r="L2694" s="26" t="s">
        <v>7517</v>
      </c>
      <c r="M2694" s="28"/>
      <c r="N2694" s="28"/>
      <c r="O2694" s="20" t="s">
        <v>7530</v>
      </c>
      <c r="P2694" s="27" t="str">
        <f t="shared" si="127"/>
        <v>vermelho</v>
      </c>
    </row>
    <row r="2695" spans="1:16" ht="38.25">
      <c r="A2695" s="3" t="s">
        <v>6647</v>
      </c>
      <c r="B2695" s="3" t="s">
        <v>6648</v>
      </c>
      <c r="C2695" s="4">
        <v>45</v>
      </c>
      <c r="D2695" s="3" t="s">
        <v>23</v>
      </c>
      <c r="E2695" s="3" t="s">
        <v>7</v>
      </c>
      <c r="F2695" s="5">
        <v>0</v>
      </c>
      <c r="G2695" s="5">
        <v>171</v>
      </c>
      <c r="H2695" s="6">
        <v>0</v>
      </c>
      <c r="I2695" s="22">
        <v>11118.78</v>
      </c>
      <c r="J2695" s="24">
        <f t="shared" si="126"/>
        <v>7.7043382414758037E-5</v>
      </c>
      <c r="K2695" s="25">
        <f t="shared" si="128"/>
        <v>0.91231897217922064</v>
      </c>
      <c r="L2695" s="26" t="s">
        <v>7517</v>
      </c>
      <c r="M2695" s="28"/>
      <c r="N2695" s="28"/>
      <c r="O2695" s="20" t="s">
        <v>7530</v>
      </c>
      <c r="P2695" s="27" t="str">
        <f t="shared" si="127"/>
        <v>vermelho</v>
      </c>
    </row>
    <row r="2696" spans="1:16" ht="38.25">
      <c r="A2696" s="3" t="s">
        <v>4</v>
      </c>
      <c r="B2696" s="3" t="s">
        <v>1871</v>
      </c>
      <c r="C2696" s="4">
        <v>38</v>
      </c>
      <c r="D2696" s="3" t="s">
        <v>184</v>
      </c>
      <c r="E2696" s="3" t="s">
        <v>49</v>
      </c>
      <c r="F2696" s="5">
        <v>36</v>
      </c>
      <c r="G2696" s="5">
        <v>216</v>
      </c>
      <c r="H2696" s="6">
        <v>2149.92</v>
      </c>
      <c r="I2696" s="22">
        <v>11117.76</v>
      </c>
      <c r="J2696" s="24">
        <f t="shared" si="126"/>
        <v>7.7036314710381926E-5</v>
      </c>
      <c r="K2696" s="25">
        <f t="shared" si="128"/>
        <v>0.91239600849393099</v>
      </c>
      <c r="L2696" s="26" t="s">
        <v>7517</v>
      </c>
      <c r="M2696" s="28">
        <v>2.3422511993080267E-2</v>
      </c>
      <c r="N2696" s="28"/>
      <c r="O2696" s="20">
        <v>1802.16</v>
      </c>
      <c r="P2696" s="27" t="str">
        <f t="shared" si="127"/>
        <v>amarelo</v>
      </c>
    </row>
    <row r="2697" spans="1:16" ht="38.25">
      <c r="A2697" s="3" t="s">
        <v>4</v>
      </c>
      <c r="B2697" s="3" t="s">
        <v>1872</v>
      </c>
      <c r="C2697" s="4">
        <v>292</v>
      </c>
      <c r="D2697" s="3" t="s">
        <v>57</v>
      </c>
      <c r="E2697" s="3" t="s">
        <v>49</v>
      </c>
      <c r="F2697" s="5">
        <v>381</v>
      </c>
      <c r="G2697" s="5">
        <v>216</v>
      </c>
      <c r="H2697" s="6">
        <v>21527.97</v>
      </c>
      <c r="I2697" s="22">
        <v>11114.04</v>
      </c>
      <c r="J2697" s="24">
        <f t="shared" si="126"/>
        <v>7.701053837677492E-5</v>
      </c>
      <c r="K2697" s="25">
        <f t="shared" si="128"/>
        <v>0.91247301903230771</v>
      </c>
      <c r="L2697" s="26" t="s">
        <v>7517</v>
      </c>
      <c r="M2697" s="28"/>
      <c r="N2697" s="28"/>
      <c r="O2697" s="20">
        <v>7336.02</v>
      </c>
      <c r="P2697" s="27" t="str">
        <f t="shared" si="127"/>
        <v>laranja</v>
      </c>
    </row>
    <row r="2698" spans="1:16" ht="25.5">
      <c r="A2698" s="3" t="s">
        <v>4</v>
      </c>
      <c r="B2698" s="3" t="s">
        <v>1873</v>
      </c>
      <c r="C2698" s="4">
        <v>266</v>
      </c>
      <c r="D2698" s="3" t="s">
        <v>80</v>
      </c>
      <c r="E2698" s="3" t="s">
        <v>10</v>
      </c>
      <c r="F2698" s="5">
        <v>0</v>
      </c>
      <c r="G2698" s="5">
        <v>204</v>
      </c>
      <c r="H2698" s="6">
        <v>0</v>
      </c>
      <c r="I2698" s="22">
        <v>11109.6</v>
      </c>
      <c r="J2698" s="24">
        <f t="shared" si="126"/>
        <v>7.6979773075373E-5</v>
      </c>
      <c r="K2698" s="25">
        <f t="shared" si="128"/>
        <v>0.91254999880538312</v>
      </c>
      <c r="L2698" s="26" t="s">
        <v>7517</v>
      </c>
      <c r="M2698" s="28"/>
      <c r="N2698" s="28"/>
      <c r="O2698" s="20" t="s">
        <v>7530</v>
      </c>
      <c r="P2698" s="27" t="str">
        <f t="shared" si="127"/>
        <v>vermelho</v>
      </c>
    </row>
    <row r="2699" spans="1:16" ht="25.5">
      <c r="A2699" s="3" t="s">
        <v>4</v>
      </c>
      <c r="B2699" s="3" t="s">
        <v>1874</v>
      </c>
      <c r="C2699" s="4">
        <v>39</v>
      </c>
      <c r="D2699" s="3" t="s">
        <v>26</v>
      </c>
      <c r="E2699" s="3" t="s">
        <v>13</v>
      </c>
      <c r="F2699" s="5">
        <v>72</v>
      </c>
      <c r="G2699" s="5">
        <v>180</v>
      </c>
      <c r="H2699" s="6">
        <v>3862.68</v>
      </c>
      <c r="I2699" s="22">
        <v>11105.4</v>
      </c>
      <c r="J2699" s="24">
        <f t="shared" si="126"/>
        <v>7.6950670763236052E-5</v>
      </c>
      <c r="K2699" s="25">
        <f t="shared" si="128"/>
        <v>0.91262694947614631</v>
      </c>
      <c r="L2699" s="26" t="s">
        <v>7517</v>
      </c>
      <c r="M2699" s="28"/>
      <c r="N2699" s="28"/>
      <c r="O2699" s="20" t="s">
        <v>7530</v>
      </c>
      <c r="P2699" s="27" t="str">
        <f t="shared" si="127"/>
        <v>vermelho</v>
      </c>
    </row>
    <row r="2700" spans="1:16" ht="25.5">
      <c r="A2700" s="3" t="s">
        <v>4</v>
      </c>
      <c r="B2700" s="3" t="s">
        <v>1875</v>
      </c>
      <c r="C2700" s="4">
        <v>270</v>
      </c>
      <c r="D2700" s="3" t="s">
        <v>266</v>
      </c>
      <c r="E2700" s="3" t="s">
        <v>49</v>
      </c>
      <c r="F2700" s="5">
        <v>252</v>
      </c>
      <c r="G2700" s="5">
        <v>192</v>
      </c>
      <c r="H2700" s="6">
        <v>14106.36</v>
      </c>
      <c r="I2700" s="22">
        <v>11104.32</v>
      </c>
      <c r="J2700" s="24">
        <f t="shared" si="126"/>
        <v>7.6943187311543702E-5</v>
      </c>
      <c r="K2700" s="25">
        <f t="shared" si="128"/>
        <v>0.91270389266345786</v>
      </c>
      <c r="L2700" s="26" t="s">
        <v>7517</v>
      </c>
      <c r="M2700" s="28"/>
      <c r="N2700" s="28"/>
      <c r="O2700" s="20" t="s">
        <v>7530</v>
      </c>
      <c r="P2700" s="27" t="str">
        <f t="shared" si="127"/>
        <v>vermelho</v>
      </c>
    </row>
    <row r="2701" spans="1:16" ht="51">
      <c r="A2701" s="3" t="s">
        <v>4</v>
      </c>
      <c r="B2701" s="3" t="s">
        <v>1876</v>
      </c>
      <c r="C2701" s="4">
        <v>282</v>
      </c>
      <c r="D2701" s="3" t="s">
        <v>12</v>
      </c>
      <c r="E2701" s="3" t="s">
        <v>13</v>
      </c>
      <c r="F2701" s="5">
        <v>0</v>
      </c>
      <c r="G2701" s="5">
        <v>204</v>
      </c>
      <c r="H2701" s="6">
        <v>0</v>
      </c>
      <c r="I2701" s="22">
        <v>11100.72</v>
      </c>
      <c r="J2701" s="24">
        <f t="shared" si="126"/>
        <v>7.6918242472569175E-5</v>
      </c>
      <c r="K2701" s="25">
        <f t="shared" si="128"/>
        <v>0.91278081090593044</v>
      </c>
      <c r="L2701" s="26" t="s">
        <v>7517</v>
      </c>
      <c r="M2701" s="28"/>
      <c r="N2701" s="28"/>
      <c r="O2701" s="20" t="s">
        <v>7530</v>
      </c>
      <c r="P2701" s="27" t="str">
        <f t="shared" si="127"/>
        <v>vermelho</v>
      </c>
    </row>
    <row r="2702" spans="1:16" ht="38.25">
      <c r="A2702" s="3" t="s">
        <v>4</v>
      </c>
      <c r="B2702" s="3" t="s">
        <v>1877</v>
      </c>
      <c r="C2702" s="4">
        <v>217</v>
      </c>
      <c r="D2702" s="3" t="s">
        <v>91</v>
      </c>
      <c r="E2702" s="3" t="s">
        <v>16</v>
      </c>
      <c r="F2702" s="5">
        <v>120</v>
      </c>
      <c r="G2702" s="5">
        <v>198</v>
      </c>
      <c r="H2702" s="6">
        <v>7306.08</v>
      </c>
      <c r="I2702" s="22">
        <v>11095.02</v>
      </c>
      <c r="J2702" s="24">
        <f t="shared" si="126"/>
        <v>7.68787464775262E-5</v>
      </c>
      <c r="K2702" s="25">
        <f t="shared" si="128"/>
        <v>0.91285768965240799</v>
      </c>
      <c r="L2702" s="26" t="s">
        <v>7517</v>
      </c>
      <c r="M2702" s="28"/>
      <c r="N2702" s="28"/>
      <c r="O2702" s="20" t="s">
        <v>7530</v>
      </c>
      <c r="P2702" s="27" t="str">
        <f t="shared" si="127"/>
        <v>vermelho</v>
      </c>
    </row>
    <row r="2703" spans="1:16">
      <c r="A2703" s="3" t="s">
        <v>6649</v>
      </c>
      <c r="B2703" s="3" t="s">
        <v>6650</v>
      </c>
      <c r="C2703" s="4">
        <v>15</v>
      </c>
      <c r="D2703" s="3" t="s">
        <v>18</v>
      </c>
      <c r="E2703" s="3" t="s">
        <v>16</v>
      </c>
      <c r="F2703" s="5">
        <v>0</v>
      </c>
      <c r="G2703" s="5">
        <v>171</v>
      </c>
      <c r="H2703" s="6">
        <v>0</v>
      </c>
      <c r="I2703" s="22">
        <v>11088.72</v>
      </c>
      <c r="J2703" s="24">
        <f t="shared" si="126"/>
        <v>7.6835093009320777E-5</v>
      </c>
      <c r="K2703" s="25">
        <f t="shared" si="128"/>
        <v>0.91293452474541736</v>
      </c>
      <c r="L2703" s="26" t="s">
        <v>7517</v>
      </c>
      <c r="M2703" s="28"/>
      <c r="N2703" s="28"/>
      <c r="O2703" s="20" t="s">
        <v>7530</v>
      </c>
      <c r="P2703" s="27" t="str">
        <f t="shared" si="127"/>
        <v>vermelho</v>
      </c>
    </row>
    <row r="2704" spans="1:16" ht="25.5">
      <c r="A2704" s="3" t="s">
        <v>4</v>
      </c>
      <c r="B2704" s="3" t="s">
        <v>1878</v>
      </c>
      <c r="C2704" s="4">
        <v>93</v>
      </c>
      <c r="D2704" s="3" t="s">
        <v>20</v>
      </c>
      <c r="E2704" s="3" t="s">
        <v>7</v>
      </c>
      <c r="F2704" s="5">
        <v>0</v>
      </c>
      <c r="G2704" s="5">
        <v>192</v>
      </c>
      <c r="H2704" s="6">
        <v>0</v>
      </c>
      <c r="I2704" s="22">
        <v>11084.1</v>
      </c>
      <c r="J2704" s="24">
        <f t="shared" si="126"/>
        <v>7.680308046597014E-5</v>
      </c>
      <c r="K2704" s="25">
        <f t="shared" si="128"/>
        <v>0.91301132782588335</v>
      </c>
      <c r="L2704" s="26" t="s">
        <v>7517</v>
      </c>
      <c r="M2704" s="28"/>
      <c r="N2704" s="28"/>
      <c r="O2704" s="20" t="s">
        <v>7530</v>
      </c>
      <c r="P2704" s="27" t="str">
        <f t="shared" si="127"/>
        <v>vermelho</v>
      </c>
    </row>
    <row r="2705" spans="1:16">
      <c r="A2705" s="3" t="s">
        <v>4</v>
      </c>
      <c r="B2705" s="3" t="s">
        <v>1879</v>
      </c>
      <c r="C2705" s="4">
        <v>240</v>
      </c>
      <c r="D2705" s="3" t="s">
        <v>69</v>
      </c>
      <c r="E2705" s="3" t="s">
        <v>16</v>
      </c>
      <c r="F2705" s="5">
        <v>279</v>
      </c>
      <c r="G2705" s="5">
        <v>192</v>
      </c>
      <c r="H2705" s="6">
        <v>16148.37</v>
      </c>
      <c r="I2705" s="22">
        <v>11083.8</v>
      </c>
      <c r="J2705" s="24">
        <f t="shared" si="126"/>
        <v>7.6801001729388929E-5</v>
      </c>
      <c r="K2705" s="25">
        <f t="shared" si="128"/>
        <v>0.9130881288276127</v>
      </c>
      <c r="L2705" s="26" t="s">
        <v>7517</v>
      </c>
      <c r="M2705" s="28"/>
      <c r="N2705" s="28"/>
      <c r="O2705" s="20">
        <v>3909.24</v>
      </c>
      <c r="P2705" s="27" t="str">
        <f t="shared" si="127"/>
        <v>amarelo</v>
      </c>
    </row>
    <row r="2706" spans="1:16" ht="38.25">
      <c r="A2706" s="3" t="s">
        <v>4</v>
      </c>
      <c r="B2706" s="3" t="s">
        <v>1880</v>
      </c>
      <c r="C2706" s="4">
        <v>371</v>
      </c>
      <c r="D2706" s="3" t="s">
        <v>82</v>
      </c>
      <c r="E2706" s="3" t="s">
        <v>49</v>
      </c>
      <c r="F2706" s="5">
        <v>336</v>
      </c>
      <c r="G2706" s="5">
        <v>240</v>
      </c>
      <c r="H2706" s="6">
        <v>16849.2</v>
      </c>
      <c r="I2706" s="22">
        <v>11079.114</v>
      </c>
      <c r="J2706" s="24">
        <f t="shared" si="126"/>
        <v>7.6768531863990425E-5</v>
      </c>
      <c r="K2706" s="25">
        <f t="shared" si="128"/>
        <v>0.9131648973594767</v>
      </c>
      <c r="L2706" s="26" t="s">
        <v>7517</v>
      </c>
      <c r="M2706" s="28"/>
      <c r="N2706" s="28"/>
      <c r="O2706" s="20" t="s">
        <v>7530</v>
      </c>
      <c r="P2706" s="27" t="str">
        <f t="shared" si="127"/>
        <v>vermelho</v>
      </c>
    </row>
    <row r="2707" spans="1:16" ht="25.5">
      <c r="A2707" s="3" t="s">
        <v>4</v>
      </c>
      <c r="B2707" s="3" t="s">
        <v>1881</v>
      </c>
      <c r="C2707" s="4">
        <v>41</v>
      </c>
      <c r="D2707" s="3" t="s">
        <v>178</v>
      </c>
      <c r="E2707" s="3" t="s">
        <v>41</v>
      </c>
      <c r="F2707" s="5">
        <v>0</v>
      </c>
      <c r="G2707" s="5">
        <v>171</v>
      </c>
      <c r="H2707" s="6">
        <v>0</v>
      </c>
      <c r="I2707" s="22">
        <v>11072.49</v>
      </c>
      <c r="J2707" s="24">
        <f t="shared" si="126"/>
        <v>7.6722633360277312E-5</v>
      </c>
      <c r="K2707" s="25">
        <f t="shared" si="128"/>
        <v>0.91324161999283693</v>
      </c>
      <c r="L2707" s="26" t="s">
        <v>7517</v>
      </c>
      <c r="M2707" s="28"/>
      <c r="N2707" s="28"/>
      <c r="O2707" s="20" t="s">
        <v>7530</v>
      </c>
      <c r="P2707" s="27" t="str">
        <f t="shared" si="127"/>
        <v>vermelho</v>
      </c>
    </row>
    <row r="2708" spans="1:16" ht="38.25">
      <c r="A2708" s="3" t="s">
        <v>4</v>
      </c>
      <c r="B2708" s="3" t="s">
        <v>1882</v>
      </c>
      <c r="C2708" s="4">
        <v>292</v>
      </c>
      <c r="D2708" s="3" t="s">
        <v>57</v>
      </c>
      <c r="E2708" s="3" t="s">
        <v>49</v>
      </c>
      <c r="F2708" s="5">
        <v>312</v>
      </c>
      <c r="G2708" s="5">
        <v>225</v>
      </c>
      <c r="H2708" s="6">
        <v>12981.828</v>
      </c>
      <c r="I2708" s="22">
        <v>11058.233</v>
      </c>
      <c r="J2708" s="24">
        <f t="shared" si="126"/>
        <v>7.6623844868816267E-5</v>
      </c>
      <c r="K2708" s="25">
        <f t="shared" si="128"/>
        <v>0.91331824383770577</v>
      </c>
      <c r="L2708" s="26" t="s">
        <v>7517</v>
      </c>
      <c r="M2708" s="28"/>
      <c r="N2708" s="28">
        <v>6.1163874206512557E-2</v>
      </c>
      <c r="O2708" s="20">
        <v>2003.4</v>
      </c>
      <c r="P2708" s="27" t="str">
        <f t="shared" si="127"/>
        <v>amarelo</v>
      </c>
    </row>
    <row r="2709" spans="1:16" ht="25.5">
      <c r="A2709" s="3" t="s">
        <v>4</v>
      </c>
      <c r="B2709" s="3" t="s">
        <v>1883</v>
      </c>
      <c r="C2709" s="4">
        <v>299</v>
      </c>
      <c r="D2709" s="3" t="s">
        <v>111</v>
      </c>
      <c r="E2709" s="3" t="s">
        <v>49</v>
      </c>
      <c r="F2709" s="5">
        <v>0</v>
      </c>
      <c r="G2709" s="5">
        <v>180</v>
      </c>
      <c r="H2709" s="6">
        <v>0</v>
      </c>
      <c r="I2709" s="22">
        <v>11050.02</v>
      </c>
      <c r="J2709" s="24">
        <f t="shared" si="126"/>
        <v>7.6566935990344677E-5</v>
      </c>
      <c r="K2709" s="25">
        <f t="shared" si="128"/>
        <v>0.91339481077369611</v>
      </c>
      <c r="L2709" s="26" t="s">
        <v>7517</v>
      </c>
      <c r="M2709" s="28"/>
      <c r="N2709" s="28"/>
      <c r="O2709" s="20" t="s">
        <v>7530</v>
      </c>
      <c r="P2709" s="27" t="str">
        <f t="shared" si="127"/>
        <v>vermelho</v>
      </c>
    </row>
    <row r="2710" spans="1:16" ht="25.5">
      <c r="A2710" s="3" t="s">
        <v>4</v>
      </c>
      <c r="B2710" s="3" t="s">
        <v>1884</v>
      </c>
      <c r="C2710" s="4">
        <v>296</v>
      </c>
      <c r="D2710" s="3" t="s">
        <v>282</v>
      </c>
      <c r="E2710" s="3" t="s">
        <v>10</v>
      </c>
      <c r="F2710" s="5">
        <v>0</v>
      </c>
      <c r="G2710" s="5">
        <v>195</v>
      </c>
      <c r="H2710" s="6">
        <v>0</v>
      </c>
      <c r="I2710" s="22">
        <v>11049.892</v>
      </c>
      <c r="J2710" s="24">
        <f t="shared" si="126"/>
        <v>7.6566049062736687E-5</v>
      </c>
      <c r="K2710" s="25">
        <f t="shared" si="128"/>
        <v>0.91347137682275881</v>
      </c>
      <c r="L2710" s="26" t="s">
        <v>7517</v>
      </c>
      <c r="M2710" s="28"/>
      <c r="N2710" s="28"/>
      <c r="O2710" s="20" t="s">
        <v>7530</v>
      </c>
      <c r="P2710" s="27" t="str">
        <f t="shared" si="127"/>
        <v>vermelho</v>
      </c>
    </row>
    <row r="2711" spans="1:16" ht="38.25">
      <c r="A2711" s="3" t="s">
        <v>4</v>
      </c>
      <c r="B2711" s="3" t="s">
        <v>1885</v>
      </c>
      <c r="C2711" s="4">
        <v>34</v>
      </c>
      <c r="D2711" s="3" t="s">
        <v>54</v>
      </c>
      <c r="E2711" s="3" t="s">
        <v>49</v>
      </c>
      <c r="F2711" s="5">
        <v>0</v>
      </c>
      <c r="G2711" s="5">
        <v>144</v>
      </c>
      <c r="H2711" s="6">
        <v>0</v>
      </c>
      <c r="I2711" s="22">
        <v>11042.91</v>
      </c>
      <c r="J2711" s="24">
        <f t="shared" si="126"/>
        <v>7.6517669933369995E-5</v>
      </c>
      <c r="K2711" s="25">
        <f t="shared" si="128"/>
        <v>0.91354789449269214</v>
      </c>
      <c r="L2711" s="26" t="s">
        <v>7517</v>
      </c>
      <c r="M2711" s="28"/>
      <c r="N2711" s="28"/>
      <c r="O2711" s="20" t="s">
        <v>7530</v>
      </c>
      <c r="P2711" s="27" t="str">
        <f t="shared" si="127"/>
        <v>vermelho</v>
      </c>
    </row>
    <row r="2712" spans="1:16" ht="25.5">
      <c r="A2712" s="3" t="s">
        <v>4</v>
      </c>
      <c r="B2712" s="3" t="s">
        <v>1886</v>
      </c>
      <c r="C2712" s="4">
        <v>197</v>
      </c>
      <c r="D2712" s="3" t="s">
        <v>66</v>
      </c>
      <c r="E2712" s="3" t="s">
        <v>41</v>
      </c>
      <c r="F2712" s="5">
        <v>207</v>
      </c>
      <c r="G2712" s="5">
        <v>180</v>
      </c>
      <c r="H2712" s="6">
        <v>11668.2</v>
      </c>
      <c r="I2712" s="22">
        <v>11042.4</v>
      </c>
      <c r="J2712" s="24">
        <f t="shared" si="126"/>
        <v>7.6514136081181933E-5</v>
      </c>
      <c r="K2712" s="25">
        <f t="shared" si="128"/>
        <v>0.91362440862877337</v>
      </c>
      <c r="L2712" s="26" t="s">
        <v>7517</v>
      </c>
      <c r="M2712" s="28"/>
      <c r="N2712" s="28"/>
      <c r="O2712" s="20">
        <v>11781</v>
      </c>
      <c r="P2712" s="27" t="str">
        <f t="shared" si="127"/>
        <v>verde</v>
      </c>
    </row>
    <row r="2713" spans="1:16" ht="25.5">
      <c r="A2713" s="3" t="s">
        <v>4</v>
      </c>
      <c r="B2713" s="3" t="s">
        <v>1887</v>
      </c>
      <c r="C2713" s="4">
        <v>187</v>
      </c>
      <c r="D2713" s="3" t="s">
        <v>96</v>
      </c>
      <c r="E2713" s="3" t="s">
        <v>7</v>
      </c>
      <c r="F2713" s="5">
        <v>0</v>
      </c>
      <c r="G2713" s="5">
        <v>186</v>
      </c>
      <c r="H2713" s="6">
        <v>0</v>
      </c>
      <c r="I2713" s="22">
        <v>11039.1</v>
      </c>
      <c r="J2713" s="24">
        <f t="shared" si="126"/>
        <v>7.649126997878863E-5</v>
      </c>
      <c r="K2713" s="25">
        <f t="shared" si="128"/>
        <v>0.91370089989875214</v>
      </c>
      <c r="L2713" s="26" t="s">
        <v>7517</v>
      </c>
      <c r="M2713" s="28"/>
      <c r="N2713" s="28"/>
      <c r="O2713" s="20" t="s">
        <v>7530</v>
      </c>
      <c r="P2713" s="27" t="str">
        <f t="shared" si="127"/>
        <v>vermelho</v>
      </c>
    </row>
    <row r="2714" spans="1:16" ht="25.5">
      <c r="A2714" s="3" t="s">
        <v>4</v>
      </c>
      <c r="B2714" s="3" t="s">
        <v>1888</v>
      </c>
      <c r="C2714" s="4">
        <v>197</v>
      </c>
      <c r="D2714" s="3" t="s">
        <v>66</v>
      </c>
      <c r="E2714" s="3" t="s">
        <v>41</v>
      </c>
      <c r="F2714" s="5">
        <v>228</v>
      </c>
      <c r="G2714" s="5">
        <v>204</v>
      </c>
      <c r="H2714" s="6">
        <v>11698.338</v>
      </c>
      <c r="I2714" s="22">
        <v>11031.384</v>
      </c>
      <c r="J2714" s="24">
        <f t="shared" si="126"/>
        <v>7.64378048739199E-5</v>
      </c>
      <c r="K2714" s="25">
        <f t="shared" si="128"/>
        <v>0.91377733770362601</v>
      </c>
      <c r="L2714" s="26" t="s">
        <v>7517</v>
      </c>
      <c r="M2714" s="28"/>
      <c r="N2714" s="28"/>
      <c r="O2714" s="20" t="s">
        <v>7530</v>
      </c>
      <c r="P2714" s="27" t="str">
        <f t="shared" si="127"/>
        <v>vermelho</v>
      </c>
    </row>
    <row r="2715" spans="1:16" ht="25.5">
      <c r="A2715" s="3" t="s">
        <v>4</v>
      </c>
      <c r="B2715" s="3" t="s">
        <v>1889</v>
      </c>
      <c r="C2715" s="4">
        <v>299</v>
      </c>
      <c r="D2715" s="3" t="s">
        <v>111</v>
      </c>
      <c r="E2715" s="3" t="s">
        <v>49</v>
      </c>
      <c r="F2715" s="5">
        <v>204</v>
      </c>
      <c r="G2715" s="5">
        <v>186</v>
      </c>
      <c r="H2715" s="6">
        <v>11895.72</v>
      </c>
      <c r="I2715" s="22">
        <v>11027.1</v>
      </c>
      <c r="J2715" s="24">
        <f t="shared" si="126"/>
        <v>7.6408120515540219E-5</v>
      </c>
      <c r="K2715" s="25">
        <f t="shared" si="128"/>
        <v>0.91385374582414158</v>
      </c>
      <c r="L2715" s="26" t="s">
        <v>7517</v>
      </c>
      <c r="M2715" s="28"/>
      <c r="N2715" s="28"/>
      <c r="O2715" s="20" t="s">
        <v>7530</v>
      </c>
      <c r="P2715" s="27" t="str">
        <f t="shared" si="127"/>
        <v>vermelho</v>
      </c>
    </row>
    <row r="2716" spans="1:16" ht="25.5">
      <c r="A2716" s="3" t="s">
        <v>4</v>
      </c>
      <c r="B2716" s="3" t="s">
        <v>1890</v>
      </c>
      <c r="C2716" s="4">
        <v>19</v>
      </c>
      <c r="D2716" s="3" t="s">
        <v>72</v>
      </c>
      <c r="E2716" s="3" t="s">
        <v>41</v>
      </c>
      <c r="F2716" s="5">
        <v>108</v>
      </c>
      <c r="G2716" s="5">
        <v>192</v>
      </c>
      <c r="H2716" s="6">
        <v>6182.04</v>
      </c>
      <c r="I2716" s="22">
        <v>11020.08</v>
      </c>
      <c r="J2716" s="24">
        <f t="shared" si="126"/>
        <v>7.635947807953991E-5</v>
      </c>
      <c r="K2716" s="25">
        <f t="shared" si="128"/>
        <v>0.91393010530222107</v>
      </c>
      <c r="L2716" s="26" t="s">
        <v>7517</v>
      </c>
      <c r="M2716" s="28"/>
      <c r="N2716" s="28"/>
      <c r="O2716" s="20">
        <v>7078.11</v>
      </c>
      <c r="P2716" s="27" t="str">
        <f t="shared" si="127"/>
        <v>laranja</v>
      </c>
    </row>
    <row r="2717" spans="1:16" ht="38.25">
      <c r="A2717" s="3" t="s">
        <v>4</v>
      </c>
      <c r="B2717" s="3" t="s">
        <v>1891</v>
      </c>
      <c r="C2717" s="4">
        <v>317</v>
      </c>
      <c r="D2717" s="3" t="s">
        <v>78</v>
      </c>
      <c r="E2717" s="3" t="s">
        <v>10</v>
      </c>
      <c r="F2717" s="5">
        <v>48</v>
      </c>
      <c r="G2717" s="5">
        <v>162</v>
      </c>
      <c r="H2717" s="6">
        <v>3304.32</v>
      </c>
      <c r="I2717" s="22">
        <v>11014.38</v>
      </c>
      <c r="J2717" s="24">
        <f t="shared" si="126"/>
        <v>7.6319982084496909E-5</v>
      </c>
      <c r="K2717" s="25">
        <f t="shared" si="128"/>
        <v>0.91400642528430553</v>
      </c>
      <c r="L2717" s="26" t="s">
        <v>7517</v>
      </c>
      <c r="M2717" s="28"/>
      <c r="N2717" s="28"/>
      <c r="O2717" s="20" t="s">
        <v>7530</v>
      </c>
      <c r="P2717" s="27" t="str">
        <f t="shared" si="127"/>
        <v>vermelho</v>
      </c>
    </row>
    <row r="2718" spans="1:16" ht="25.5">
      <c r="A2718" s="3" t="s">
        <v>4</v>
      </c>
      <c r="B2718" s="3" t="s">
        <v>1892</v>
      </c>
      <c r="C2718" s="4">
        <v>53</v>
      </c>
      <c r="D2718" s="3" t="s">
        <v>34</v>
      </c>
      <c r="E2718" s="3" t="s">
        <v>16</v>
      </c>
      <c r="F2718" s="5">
        <v>0</v>
      </c>
      <c r="G2718" s="5">
        <v>228</v>
      </c>
      <c r="H2718" s="6">
        <v>0</v>
      </c>
      <c r="I2718" s="22">
        <v>11012.88</v>
      </c>
      <c r="J2718" s="24">
        <f t="shared" si="126"/>
        <v>7.6309588401590856E-5</v>
      </c>
      <c r="K2718" s="25">
        <f t="shared" si="128"/>
        <v>0.91408273487270708</v>
      </c>
      <c r="L2718" s="26" t="s">
        <v>7517</v>
      </c>
      <c r="M2718" s="28">
        <v>-3.943677228755238E-2</v>
      </c>
      <c r="N2718" s="28"/>
      <c r="O2718" s="20" t="s">
        <v>7530</v>
      </c>
      <c r="P2718" s="27" t="str">
        <f t="shared" si="127"/>
        <v>vermelho</v>
      </c>
    </row>
    <row r="2719" spans="1:16" ht="25.5">
      <c r="A2719" s="3" t="s">
        <v>4</v>
      </c>
      <c r="B2719" s="3" t="s">
        <v>1893</v>
      </c>
      <c r="C2719" s="4">
        <v>217</v>
      </c>
      <c r="D2719" s="3" t="s">
        <v>91</v>
      </c>
      <c r="E2719" s="3" t="s">
        <v>16</v>
      </c>
      <c r="F2719" s="5">
        <v>96</v>
      </c>
      <c r="G2719" s="5">
        <v>213</v>
      </c>
      <c r="H2719" s="6">
        <v>4419.6000000000004</v>
      </c>
      <c r="I2719" s="22">
        <v>11011.17</v>
      </c>
      <c r="J2719" s="24">
        <f t="shared" si="126"/>
        <v>7.6297739603077965E-5</v>
      </c>
      <c r="K2719" s="25">
        <f t="shared" si="128"/>
        <v>0.91415903261231013</v>
      </c>
      <c r="L2719" s="26" t="s">
        <v>7517</v>
      </c>
      <c r="M2719" s="28"/>
      <c r="N2719" s="28"/>
      <c r="O2719" s="20" t="s">
        <v>7530</v>
      </c>
      <c r="P2719" s="27" t="str">
        <f t="shared" si="127"/>
        <v>vermelho</v>
      </c>
    </row>
    <row r="2720" spans="1:16" ht="38.25">
      <c r="A2720" s="3" t="s">
        <v>6651</v>
      </c>
      <c r="B2720" s="3" t="s">
        <v>6652</v>
      </c>
      <c r="C2720" s="4">
        <v>371</v>
      </c>
      <c r="D2720" s="3" t="s">
        <v>82</v>
      </c>
      <c r="E2720" s="3" t="s">
        <v>49</v>
      </c>
      <c r="F2720" s="5">
        <v>228</v>
      </c>
      <c r="G2720" s="5">
        <v>192</v>
      </c>
      <c r="H2720" s="6">
        <v>12306.42</v>
      </c>
      <c r="I2720" s="22">
        <v>11008.56</v>
      </c>
      <c r="J2720" s="24">
        <f t="shared" si="126"/>
        <v>7.6279654594821428E-5</v>
      </c>
      <c r="K2720" s="25">
        <f t="shared" si="128"/>
        <v>0.91423531226690491</v>
      </c>
      <c r="L2720" s="26" t="s">
        <v>7517</v>
      </c>
      <c r="M2720" s="28"/>
      <c r="N2720" s="28"/>
      <c r="O2720" s="20">
        <v>1757.88</v>
      </c>
      <c r="P2720" s="27" t="str">
        <f t="shared" si="127"/>
        <v>amarelo</v>
      </c>
    </row>
    <row r="2721" spans="1:16">
      <c r="A2721" s="3" t="s">
        <v>4</v>
      </c>
      <c r="B2721" s="3" t="s">
        <v>1894</v>
      </c>
      <c r="C2721" s="4">
        <v>315</v>
      </c>
      <c r="D2721" s="3" t="s">
        <v>63</v>
      </c>
      <c r="E2721" s="3" t="s">
        <v>7</v>
      </c>
      <c r="F2721" s="5">
        <v>0</v>
      </c>
      <c r="G2721" s="5">
        <v>183</v>
      </c>
      <c r="H2721" s="6">
        <v>0</v>
      </c>
      <c r="I2721" s="22">
        <v>10988.924000000001</v>
      </c>
      <c r="J2721" s="24">
        <f t="shared" si="126"/>
        <v>7.6143594356459305E-5</v>
      </c>
      <c r="K2721" s="25">
        <f t="shared" si="128"/>
        <v>0.91431145586126139</v>
      </c>
      <c r="L2721" s="26" t="s">
        <v>7517</v>
      </c>
      <c r="M2721" s="28"/>
      <c r="N2721" s="28"/>
      <c r="O2721" s="20">
        <v>3835.2139999999999</v>
      </c>
      <c r="P2721" s="27" t="str">
        <f t="shared" si="127"/>
        <v>amarelo</v>
      </c>
    </row>
    <row r="2722" spans="1:16" ht="25.5">
      <c r="A2722" s="3" t="s">
        <v>6653</v>
      </c>
      <c r="B2722" s="3" t="s">
        <v>6654</v>
      </c>
      <c r="C2722" s="4">
        <v>41</v>
      </c>
      <c r="D2722" s="3" t="s">
        <v>178</v>
      </c>
      <c r="E2722" s="3" t="s">
        <v>41</v>
      </c>
      <c r="F2722" s="5">
        <v>36</v>
      </c>
      <c r="G2722" s="5">
        <v>180</v>
      </c>
      <c r="H2722" s="6">
        <v>1878.48</v>
      </c>
      <c r="I2722" s="22">
        <v>10975.08</v>
      </c>
      <c r="J2722" s="24">
        <f t="shared" si="126"/>
        <v>7.6047667592358387E-5</v>
      </c>
      <c r="K2722" s="25">
        <f t="shared" si="128"/>
        <v>0.91438750352885378</v>
      </c>
      <c r="L2722" s="26" t="s">
        <v>7517</v>
      </c>
      <c r="M2722" s="28"/>
      <c r="N2722" s="28"/>
      <c r="O2722" s="20">
        <v>2672.52</v>
      </c>
      <c r="P2722" s="27" t="str">
        <f t="shared" si="127"/>
        <v>amarelo</v>
      </c>
    </row>
    <row r="2723" spans="1:16" ht="25.5">
      <c r="A2723" s="3" t="s">
        <v>6655</v>
      </c>
      <c r="B2723" s="3" t="s">
        <v>6656</v>
      </c>
      <c r="C2723" s="4">
        <v>270</v>
      </c>
      <c r="D2723" s="3" t="s">
        <v>266</v>
      </c>
      <c r="E2723" s="3" t="s">
        <v>49</v>
      </c>
      <c r="F2723" s="5">
        <v>420</v>
      </c>
      <c r="G2723" s="5">
        <v>168</v>
      </c>
      <c r="H2723" s="6">
        <v>23180.16</v>
      </c>
      <c r="I2723" s="22">
        <v>10974.63</v>
      </c>
      <c r="J2723" s="24">
        <f t="shared" si="126"/>
        <v>7.6044549487486564E-5</v>
      </c>
      <c r="K2723" s="25">
        <f t="shared" si="128"/>
        <v>0.91446354807834129</v>
      </c>
      <c r="L2723" s="26" t="s">
        <v>7517</v>
      </c>
      <c r="M2723" s="28"/>
      <c r="N2723" s="28"/>
      <c r="O2723" s="20" t="s">
        <v>7530</v>
      </c>
      <c r="P2723" s="27" t="str">
        <f t="shared" si="127"/>
        <v>vermelho</v>
      </c>
    </row>
    <row r="2724" spans="1:16" ht="25.5">
      <c r="A2724" s="3" t="s">
        <v>4</v>
      </c>
      <c r="B2724" s="3" t="s">
        <v>1895</v>
      </c>
      <c r="C2724" s="4">
        <v>299</v>
      </c>
      <c r="D2724" s="3" t="s">
        <v>111</v>
      </c>
      <c r="E2724" s="3" t="s">
        <v>49</v>
      </c>
      <c r="F2724" s="5">
        <v>84</v>
      </c>
      <c r="G2724" s="5">
        <v>225</v>
      </c>
      <c r="H2724" s="6">
        <v>4856.1899999999996</v>
      </c>
      <c r="I2724" s="22">
        <v>10972.77</v>
      </c>
      <c r="J2724" s="24">
        <f t="shared" si="126"/>
        <v>7.6031661320683075E-5</v>
      </c>
      <c r="K2724" s="25">
        <f t="shared" si="128"/>
        <v>0.91453957973966193</v>
      </c>
      <c r="L2724" s="26" t="s">
        <v>7517</v>
      </c>
      <c r="M2724" s="28"/>
      <c r="N2724" s="28"/>
      <c r="O2724" s="20" t="s">
        <v>7530</v>
      </c>
      <c r="P2724" s="27" t="str">
        <f t="shared" si="127"/>
        <v>vermelho</v>
      </c>
    </row>
    <row r="2725" spans="1:16">
      <c r="A2725" s="3" t="s">
        <v>4</v>
      </c>
      <c r="B2725" s="3" t="s">
        <v>1896</v>
      </c>
      <c r="C2725" s="4">
        <v>167</v>
      </c>
      <c r="D2725" s="3" t="s">
        <v>251</v>
      </c>
      <c r="E2725" s="3" t="s">
        <v>49</v>
      </c>
      <c r="F2725" s="5">
        <v>0</v>
      </c>
      <c r="G2725" s="5">
        <v>210</v>
      </c>
      <c r="H2725" s="6">
        <v>0</v>
      </c>
      <c r="I2725" s="22">
        <v>10966.14</v>
      </c>
      <c r="J2725" s="24">
        <f t="shared" si="126"/>
        <v>7.5985721242238322E-5</v>
      </c>
      <c r="K2725" s="25">
        <f t="shared" si="128"/>
        <v>0.91461556546090417</v>
      </c>
      <c r="L2725" s="26" t="s">
        <v>7517</v>
      </c>
      <c r="M2725" s="28"/>
      <c r="N2725" s="28"/>
      <c r="O2725" s="20">
        <v>3817.86</v>
      </c>
      <c r="P2725" s="27" t="str">
        <f t="shared" si="127"/>
        <v>amarelo</v>
      </c>
    </row>
    <row r="2726" spans="1:16" ht="25.5">
      <c r="A2726" s="3" t="s">
        <v>4</v>
      </c>
      <c r="B2726" s="3" t="s">
        <v>1897</v>
      </c>
      <c r="C2726" s="4">
        <v>261</v>
      </c>
      <c r="D2726" s="3" t="s">
        <v>9</v>
      </c>
      <c r="E2726" s="3" t="s">
        <v>10</v>
      </c>
      <c r="F2726" s="5">
        <v>129</v>
      </c>
      <c r="G2726" s="5">
        <v>180</v>
      </c>
      <c r="H2726" s="6">
        <v>8374.7099999999991</v>
      </c>
      <c r="I2726" s="22">
        <v>10961.88</v>
      </c>
      <c r="J2726" s="24">
        <f t="shared" si="126"/>
        <v>7.5956203182785134E-5</v>
      </c>
      <c r="K2726" s="25">
        <f t="shared" si="128"/>
        <v>0.91469152166408696</v>
      </c>
      <c r="L2726" s="26" t="s">
        <v>7517</v>
      </c>
      <c r="M2726" s="28"/>
      <c r="N2726" s="28"/>
      <c r="O2726" s="20">
        <v>14221.59</v>
      </c>
      <c r="P2726" s="27" t="str">
        <f t="shared" si="127"/>
        <v>verde</v>
      </c>
    </row>
    <row r="2727" spans="1:16" ht="25.5">
      <c r="A2727" s="3" t="s">
        <v>4</v>
      </c>
      <c r="B2727" s="3" t="s">
        <v>1898</v>
      </c>
      <c r="C2727" s="4">
        <v>217</v>
      </c>
      <c r="D2727" s="3" t="s">
        <v>91</v>
      </c>
      <c r="E2727" s="3" t="s">
        <v>16</v>
      </c>
      <c r="F2727" s="5">
        <v>0</v>
      </c>
      <c r="G2727" s="5">
        <v>171</v>
      </c>
      <c r="H2727" s="6">
        <v>0</v>
      </c>
      <c r="I2727" s="22">
        <v>10960.65</v>
      </c>
      <c r="J2727" s="24">
        <f t="shared" si="126"/>
        <v>7.5947680362802172E-5</v>
      </c>
      <c r="K2727" s="25">
        <f t="shared" si="128"/>
        <v>0.91476746934444975</v>
      </c>
      <c r="L2727" s="26" t="s">
        <v>7517</v>
      </c>
      <c r="M2727" s="28"/>
      <c r="N2727" s="28"/>
      <c r="O2727" s="20" t="s">
        <v>7530</v>
      </c>
      <c r="P2727" s="27" t="str">
        <f t="shared" si="127"/>
        <v>vermelho</v>
      </c>
    </row>
    <row r="2728" spans="1:16" ht="51">
      <c r="A2728" s="3" t="s">
        <v>6657</v>
      </c>
      <c r="B2728" s="3" t="s">
        <v>6658</v>
      </c>
      <c r="C2728" s="4">
        <v>282</v>
      </c>
      <c r="D2728" s="3" t="s">
        <v>12</v>
      </c>
      <c r="E2728" s="3" t="s">
        <v>13</v>
      </c>
      <c r="F2728" s="5">
        <v>945</v>
      </c>
      <c r="G2728" s="5">
        <v>210</v>
      </c>
      <c r="H2728" s="6">
        <v>46094.874000000003</v>
      </c>
      <c r="I2728" s="22">
        <v>10954.98</v>
      </c>
      <c r="J2728" s="24">
        <f t="shared" si="126"/>
        <v>7.5908392241417303E-5</v>
      </c>
      <c r="K2728" s="25">
        <f t="shared" si="128"/>
        <v>0.91484337773669111</v>
      </c>
      <c r="L2728" s="26" t="s">
        <v>7517</v>
      </c>
      <c r="M2728" s="28"/>
      <c r="N2728" s="28"/>
      <c r="O2728" s="20" t="s">
        <v>7530</v>
      </c>
      <c r="P2728" s="27" t="str">
        <f t="shared" si="127"/>
        <v>vermelho</v>
      </c>
    </row>
    <row r="2729" spans="1:16" ht="25.5">
      <c r="A2729" s="3" t="s">
        <v>4</v>
      </c>
      <c r="B2729" s="3" t="s">
        <v>1899</v>
      </c>
      <c r="C2729" s="4">
        <v>217</v>
      </c>
      <c r="D2729" s="3" t="s">
        <v>91</v>
      </c>
      <c r="E2729" s="3" t="s">
        <v>16</v>
      </c>
      <c r="F2729" s="5">
        <v>0</v>
      </c>
      <c r="G2729" s="5">
        <v>180</v>
      </c>
      <c r="H2729" s="6">
        <v>0</v>
      </c>
      <c r="I2729" s="22">
        <v>10947.96</v>
      </c>
      <c r="J2729" s="24">
        <f t="shared" si="126"/>
        <v>7.5859749805416981E-5</v>
      </c>
      <c r="K2729" s="25">
        <f t="shared" si="128"/>
        <v>0.91491923748649651</v>
      </c>
      <c r="L2729" s="26" t="s">
        <v>7517</v>
      </c>
      <c r="M2729" s="28"/>
      <c r="N2729" s="28"/>
      <c r="O2729" s="20">
        <v>7559.4</v>
      </c>
      <c r="P2729" s="27" t="str">
        <f t="shared" si="127"/>
        <v>laranja</v>
      </c>
    </row>
    <row r="2730" spans="1:16" ht="25.5">
      <c r="A2730" s="3" t="s">
        <v>4</v>
      </c>
      <c r="B2730" s="3" t="s">
        <v>1900</v>
      </c>
      <c r="C2730" s="4">
        <v>264</v>
      </c>
      <c r="D2730" s="3" t="s">
        <v>40</v>
      </c>
      <c r="E2730" s="3" t="s">
        <v>41</v>
      </c>
      <c r="F2730" s="5">
        <v>0</v>
      </c>
      <c r="G2730" s="5">
        <v>261</v>
      </c>
      <c r="H2730" s="6">
        <v>0</v>
      </c>
      <c r="I2730" s="22">
        <v>10937.142</v>
      </c>
      <c r="J2730" s="24">
        <f t="shared" si="126"/>
        <v>7.578479056429856E-5</v>
      </c>
      <c r="K2730" s="25">
        <f t="shared" si="128"/>
        <v>0.91499502227706075</v>
      </c>
      <c r="L2730" s="26" t="s">
        <v>7517</v>
      </c>
      <c r="M2730" s="28"/>
      <c r="N2730" s="28"/>
      <c r="O2730" s="20" t="s">
        <v>7530</v>
      </c>
      <c r="P2730" s="27" t="str">
        <f t="shared" si="127"/>
        <v>vermelho</v>
      </c>
    </row>
    <row r="2731" spans="1:16" ht="38.25">
      <c r="A2731" s="3" t="s">
        <v>4</v>
      </c>
      <c r="B2731" s="3" t="s">
        <v>1901</v>
      </c>
      <c r="C2731" s="4">
        <v>34</v>
      </c>
      <c r="D2731" s="3" t="s">
        <v>54</v>
      </c>
      <c r="E2731" s="3" t="s">
        <v>49</v>
      </c>
      <c r="F2731" s="5">
        <v>372</v>
      </c>
      <c r="G2731" s="5">
        <v>150</v>
      </c>
      <c r="H2731" s="6">
        <v>22788.096000000001</v>
      </c>
      <c r="I2731" s="22">
        <v>10935.48</v>
      </c>
      <c r="J2731" s="24">
        <f t="shared" si="126"/>
        <v>7.5773274363638655E-5</v>
      </c>
      <c r="K2731" s="25">
        <f t="shared" si="128"/>
        <v>0.91507079555142434</v>
      </c>
      <c r="L2731" s="26" t="s">
        <v>7517</v>
      </c>
      <c r="M2731" s="28"/>
      <c r="N2731" s="28"/>
      <c r="O2731" s="20">
        <v>2454.48</v>
      </c>
      <c r="P2731" s="27" t="str">
        <f t="shared" si="127"/>
        <v>amarelo</v>
      </c>
    </row>
    <row r="2732" spans="1:16" ht="51">
      <c r="A2732" s="3" t="s">
        <v>6659</v>
      </c>
      <c r="B2732" s="3" t="s">
        <v>6660</v>
      </c>
      <c r="C2732" s="4">
        <v>282</v>
      </c>
      <c r="D2732" s="3" t="s">
        <v>12</v>
      </c>
      <c r="E2732" s="3" t="s">
        <v>13</v>
      </c>
      <c r="F2732" s="5">
        <v>180</v>
      </c>
      <c r="G2732" s="5">
        <v>192</v>
      </c>
      <c r="H2732" s="6">
        <v>8336.52</v>
      </c>
      <c r="I2732" s="22">
        <v>10929.744000000001</v>
      </c>
      <c r="J2732" s="24">
        <f t="shared" si="126"/>
        <v>7.573352892020592E-5</v>
      </c>
      <c r="K2732" s="25">
        <f t="shared" si="128"/>
        <v>0.91514652908034455</v>
      </c>
      <c r="L2732" s="26" t="s">
        <v>7517</v>
      </c>
      <c r="M2732" s="28"/>
      <c r="N2732" s="28"/>
      <c r="O2732" s="20" t="s">
        <v>7530</v>
      </c>
      <c r="P2732" s="27" t="str">
        <f t="shared" si="127"/>
        <v>vermelho</v>
      </c>
    </row>
    <row r="2733" spans="1:16" ht="25.5">
      <c r="A2733" s="3" t="s">
        <v>4</v>
      </c>
      <c r="B2733" s="3" t="s">
        <v>1902</v>
      </c>
      <c r="C2733" s="4">
        <v>15</v>
      </c>
      <c r="D2733" s="3" t="s">
        <v>18</v>
      </c>
      <c r="E2733" s="3" t="s">
        <v>16</v>
      </c>
      <c r="F2733" s="5">
        <v>312</v>
      </c>
      <c r="G2733" s="5">
        <v>168</v>
      </c>
      <c r="H2733" s="6">
        <v>18415.919999999998</v>
      </c>
      <c r="I2733" s="22">
        <v>10920</v>
      </c>
      <c r="J2733" s="24">
        <f t="shared" si="126"/>
        <v>7.5666011556048209E-5</v>
      </c>
      <c r="K2733" s="25">
        <f t="shared" si="128"/>
        <v>0.91522219509190061</v>
      </c>
      <c r="L2733" s="26" t="s">
        <v>7517</v>
      </c>
      <c r="M2733" s="28"/>
      <c r="N2733" s="28"/>
      <c r="O2733" s="20" t="s">
        <v>7530</v>
      </c>
      <c r="P2733" s="27" t="str">
        <f t="shared" si="127"/>
        <v>vermelho</v>
      </c>
    </row>
    <row r="2734" spans="1:16" ht="25.5">
      <c r="A2734" s="3" t="s">
        <v>4</v>
      </c>
      <c r="B2734" s="3" t="s">
        <v>1903</v>
      </c>
      <c r="C2734" s="4">
        <v>178</v>
      </c>
      <c r="D2734" s="3" t="s">
        <v>74</v>
      </c>
      <c r="E2734" s="3" t="s">
        <v>7</v>
      </c>
      <c r="F2734" s="5">
        <v>162</v>
      </c>
      <c r="G2734" s="5">
        <v>189</v>
      </c>
      <c r="H2734" s="6">
        <v>8902.3799999999992</v>
      </c>
      <c r="I2734" s="22">
        <v>10919.43</v>
      </c>
      <c r="J2734" s="24">
        <f t="shared" si="126"/>
        <v>7.5662061956543908E-5</v>
      </c>
      <c r="K2734" s="25">
        <f t="shared" si="128"/>
        <v>0.91529785715385714</v>
      </c>
      <c r="L2734" s="26" t="s">
        <v>7517</v>
      </c>
      <c r="M2734" s="28"/>
      <c r="N2734" s="28"/>
      <c r="O2734" s="20" t="s">
        <v>7530</v>
      </c>
      <c r="P2734" s="27" t="str">
        <f t="shared" si="127"/>
        <v>vermelho</v>
      </c>
    </row>
    <row r="2735" spans="1:16" ht="51">
      <c r="A2735" s="3" t="s">
        <v>4</v>
      </c>
      <c r="B2735" s="3" t="s">
        <v>1904</v>
      </c>
      <c r="C2735" s="4">
        <v>282</v>
      </c>
      <c r="D2735" s="3" t="s">
        <v>12</v>
      </c>
      <c r="E2735" s="3" t="s">
        <v>13</v>
      </c>
      <c r="F2735" s="5">
        <v>246</v>
      </c>
      <c r="G2735" s="5">
        <v>198</v>
      </c>
      <c r="H2735" s="6">
        <v>10170.36</v>
      </c>
      <c r="I2735" s="22">
        <v>10916.924999999999</v>
      </c>
      <c r="J2735" s="24">
        <f t="shared" si="126"/>
        <v>7.5644704506090804E-5</v>
      </c>
      <c r="K2735" s="25">
        <f t="shared" si="128"/>
        <v>0.91537350185836319</v>
      </c>
      <c r="L2735" s="26" t="s">
        <v>7517</v>
      </c>
      <c r="M2735" s="28"/>
      <c r="N2735" s="28"/>
      <c r="O2735" s="20" t="s">
        <v>7530</v>
      </c>
      <c r="P2735" s="27" t="str">
        <f t="shared" si="127"/>
        <v>vermelho</v>
      </c>
    </row>
    <row r="2736" spans="1:16" ht="25.5">
      <c r="A2736" s="3" t="s">
        <v>4</v>
      </c>
      <c r="B2736" s="3" t="s">
        <v>1905</v>
      </c>
      <c r="C2736" s="4">
        <v>231</v>
      </c>
      <c r="D2736" s="3" t="s">
        <v>52</v>
      </c>
      <c r="E2736" s="3" t="s">
        <v>7</v>
      </c>
      <c r="F2736" s="5">
        <v>312</v>
      </c>
      <c r="G2736" s="5">
        <v>144</v>
      </c>
      <c r="H2736" s="6">
        <v>17200.080000000002</v>
      </c>
      <c r="I2736" s="22">
        <v>10916.64</v>
      </c>
      <c r="J2736" s="24">
        <f t="shared" si="126"/>
        <v>7.5642729706338653E-5</v>
      </c>
      <c r="K2736" s="25">
        <f t="shared" si="128"/>
        <v>0.91544914458806959</v>
      </c>
      <c r="L2736" s="26" t="s">
        <v>7517</v>
      </c>
      <c r="M2736" s="28"/>
      <c r="N2736" s="28"/>
      <c r="O2736" s="20" t="s">
        <v>7530</v>
      </c>
      <c r="P2736" s="27" t="str">
        <f t="shared" si="127"/>
        <v>vermelho</v>
      </c>
    </row>
    <row r="2737" spans="1:16" ht="25.5">
      <c r="A2737" s="3" t="s">
        <v>4</v>
      </c>
      <c r="B2737" s="3" t="s">
        <v>1906</v>
      </c>
      <c r="C2737" s="4">
        <v>93</v>
      </c>
      <c r="D2737" s="3" t="s">
        <v>20</v>
      </c>
      <c r="E2737" s="3" t="s">
        <v>7</v>
      </c>
      <c r="F2737" s="5">
        <v>258</v>
      </c>
      <c r="G2737" s="5">
        <v>168</v>
      </c>
      <c r="H2737" s="6">
        <v>13458.63</v>
      </c>
      <c r="I2737" s="22">
        <v>10913.64</v>
      </c>
      <c r="J2737" s="24">
        <f t="shared" si="126"/>
        <v>7.5621942340526547E-5</v>
      </c>
      <c r="K2737" s="25">
        <f t="shared" si="128"/>
        <v>0.91552476653041015</v>
      </c>
      <c r="L2737" s="26" t="s">
        <v>7517</v>
      </c>
      <c r="M2737" s="28"/>
      <c r="N2737" s="28"/>
      <c r="O2737" s="20" t="s">
        <v>7530</v>
      </c>
      <c r="P2737" s="27" t="str">
        <f t="shared" si="127"/>
        <v>vermelho</v>
      </c>
    </row>
    <row r="2738" spans="1:16" ht="38.25">
      <c r="A2738" s="3" t="s">
        <v>6661</v>
      </c>
      <c r="B2738" s="3" t="s">
        <v>6662</v>
      </c>
      <c r="C2738" s="4">
        <v>38</v>
      </c>
      <c r="D2738" s="3" t="s">
        <v>184</v>
      </c>
      <c r="E2738" s="3" t="s">
        <v>49</v>
      </c>
      <c r="F2738" s="5">
        <v>869</v>
      </c>
      <c r="G2738" s="5">
        <v>222</v>
      </c>
      <c r="H2738" s="6">
        <v>31437.360000000001</v>
      </c>
      <c r="I2738" s="22">
        <v>10911.81</v>
      </c>
      <c r="J2738" s="24">
        <f t="shared" si="126"/>
        <v>7.5609262047381164E-5</v>
      </c>
      <c r="K2738" s="25">
        <f t="shared" si="128"/>
        <v>0.91560037579245757</v>
      </c>
      <c r="L2738" s="26" t="s">
        <v>7517</v>
      </c>
      <c r="M2738" s="28"/>
      <c r="N2738" s="28"/>
      <c r="O2738" s="20" t="s">
        <v>7530</v>
      </c>
      <c r="P2738" s="27" t="str">
        <f t="shared" si="127"/>
        <v>vermelho</v>
      </c>
    </row>
    <row r="2739" spans="1:16" ht="38.25">
      <c r="A2739" s="3" t="s">
        <v>4</v>
      </c>
      <c r="B2739" s="3" t="s">
        <v>1907</v>
      </c>
      <c r="C2739" s="4">
        <v>167</v>
      </c>
      <c r="D2739" s="3" t="s">
        <v>251</v>
      </c>
      <c r="E2739" s="3" t="s">
        <v>49</v>
      </c>
      <c r="F2739" s="5">
        <v>204</v>
      </c>
      <c r="G2739" s="5">
        <v>186</v>
      </c>
      <c r="H2739" s="6">
        <v>10721.88</v>
      </c>
      <c r="I2739" s="22">
        <v>10905.96</v>
      </c>
      <c r="J2739" s="24">
        <f t="shared" si="126"/>
        <v>7.5568726684047564E-5</v>
      </c>
      <c r="K2739" s="25">
        <f t="shared" si="128"/>
        <v>0.91567594451914158</v>
      </c>
      <c r="L2739" s="26" t="s">
        <v>7517</v>
      </c>
      <c r="M2739" s="28"/>
      <c r="N2739" s="28"/>
      <c r="O2739" s="20" t="s">
        <v>7530</v>
      </c>
      <c r="P2739" s="27" t="str">
        <f t="shared" si="127"/>
        <v>vermelho</v>
      </c>
    </row>
    <row r="2740" spans="1:16" ht="25.5">
      <c r="A2740" s="3" t="s">
        <v>4</v>
      </c>
      <c r="B2740" s="3" t="s">
        <v>1908</v>
      </c>
      <c r="C2740" s="4">
        <v>217</v>
      </c>
      <c r="D2740" s="3" t="s">
        <v>91</v>
      </c>
      <c r="E2740" s="3" t="s">
        <v>16</v>
      </c>
      <c r="F2740" s="5">
        <v>0</v>
      </c>
      <c r="G2740" s="5">
        <v>192</v>
      </c>
      <c r="H2740" s="6">
        <v>0</v>
      </c>
      <c r="I2740" s="22">
        <v>10893.6</v>
      </c>
      <c r="J2740" s="24">
        <f t="shared" si="126"/>
        <v>7.5483082736901716E-5</v>
      </c>
      <c r="K2740" s="25">
        <f t="shared" si="128"/>
        <v>0.91575142760187844</v>
      </c>
      <c r="L2740" s="26" t="s">
        <v>7517</v>
      </c>
      <c r="M2740" s="28"/>
      <c r="N2740" s="28"/>
      <c r="O2740" s="20" t="s">
        <v>7530</v>
      </c>
      <c r="P2740" s="27" t="str">
        <f t="shared" si="127"/>
        <v>vermelho</v>
      </c>
    </row>
    <row r="2741" spans="1:16">
      <c r="A2741" s="3" t="s">
        <v>4</v>
      </c>
      <c r="B2741" s="3" t="s">
        <v>1909</v>
      </c>
      <c r="C2741" s="4">
        <v>232</v>
      </c>
      <c r="D2741" s="3" t="s">
        <v>174</v>
      </c>
      <c r="E2741" s="3" t="s">
        <v>16</v>
      </c>
      <c r="F2741" s="5">
        <v>442</v>
      </c>
      <c r="G2741" s="5">
        <v>189</v>
      </c>
      <c r="H2741" s="6">
        <v>22556.06</v>
      </c>
      <c r="I2741" s="22">
        <v>10880.01</v>
      </c>
      <c r="J2741" s="24">
        <f t="shared" si="126"/>
        <v>7.5388915969772907E-5</v>
      </c>
      <c r="K2741" s="25">
        <f t="shared" si="128"/>
        <v>0.91582681651784825</v>
      </c>
      <c r="L2741" s="26" t="s">
        <v>7517</v>
      </c>
      <c r="M2741" s="28"/>
      <c r="N2741" s="28"/>
      <c r="O2741" s="20" t="s">
        <v>7530</v>
      </c>
      <c r="P2741" s="27" t="str">
        <f t="shared" si="127"/>
        <v>vermelho</v>
      </c>
    </row>
    <row r="2742" spans="1:16" ht="25.5">
      <c r="A2742" s="3" t="s">
        <v>4</v>
      </c>
      <c r="B2742" s="3" t="s">
        <v>1910</v>
      </c>
      <c r="C2742" s="4">
        <v>267</v>
      </c>
      <c r="D2742" s="3" t="s">
        <v>125</v>
      </c>
      <c r="E2742" s="3" t="s">
        <v>16</v>
      </c>
      <c r="F2742" s="5">
        <v>0</v>
      </c>
      <c r="G2742" s="5">
        <v>180</v>
      </c>
      <c r="H2742" s="6">
        <v>0</v>
      </c>
      <c r="I2742" s="22">
        <v>10878.84</v>
      </c>
      <c r="J2742" s="24">
        <f t="shared" si="126"/>
        <v>7.5380808897106184E-5</v>
      </c>
      <c r="K2742" s="25">
        <f t="shared" si="128"/>
        <v>0.91590219732674538</v>
      </c>
      <c r="L2742" s="26" t="s">
        <v>7517</v>
      </c>
      <c r="M2742" s="28"/>
      <c r="N2742" s="28"/>
      <c r="O2742" s="20" t="s">
        <v>7530</v>
      </c>
      <c r="P2742" s="27" t="str">
        <f t="shared" si="127"/>
        <v>vermelho</v>
      </c>
    </row>
    <row r="2743" spans="1:16" ht="25.5">
      <c r="A2743" s="3" t="s">
        <v>4</v>
      </c>
      <c r="B2743" s="3" t="s">
        <v>1911</v>
      </c>
      <c r="C2743" s="4">
        <v>93</v>
      </c>
      <c r="D2743" s="3" t="s">
        <v>20</v>
      </c>
      <c r="E2743" s="3" t="s">
        <v>7</v>
      </c>
      <c r="F2743" s="5">
        <v>264</v>
      </c>
      <c r="G2743" s="5">
        <v>180</v>
      </c>
      <c r="H2743" s="6">
        <v>14700.9</v>
      </c>
      <c r="I2743" s="22">
        <v>10878.12</v>
      </c>
      <c r="J2743" s="24">
        <f t="shared" si="126"/>
        <v>7.5375819929311284E-5</v>
      </c>
      <c r="K2743" s="25">
        <f t="shared" si="128"/>
        <v>0.91597757314667472</v>
      </c>
      <c r="L2743" s="26" t="s">
        <v>7517</v>
      </c>
      <c r="M2743" s="28"/>
      <c r="N2743" s="28"/>
      <c r="O2743" s="20">
        <v>6896.76</v>
      </c>
      <c r="P2743" s="27" t="str">
        <f t="shared" si="127"/>
        <v>laranja</v>
      </c>
    </row>
    <row r="2744" spans="1:16" ht="38.25">
      <c r="A2744" s="3" t="s">
        <v>4</v>
      </c>
      <c r="B2744" s="3" t="s">
        <v>1912</v>
      </c>
      <c r="C2744" s="4">
        <v>11</v>
      </c>
      <c r="D2744" s="3" t="s">
        <v>61</v>
      </c>
      <c r="E2744" s="3" t="s">
        <v>10</v>
      </c>
      <c r="F2744" s="5">
        <v>84</v>
      </c>
      <c r="G2744" s="5">
        <v>216</v>
      </c>
      <c r="H2744" s="6">
        <v>5605.32</v>
      </c>
      <c r="I2744" s="22">
        <v>10874.37</v>
      </c>
      <c r="J2744" s="24">
        <f t="shared" si="126"/>
        <v>7.5349835722046159E-5</v>
      </c>
      <c r="K2744" s="25">
        <f t="shared" si="128"/>
        <v>0.91605292298239671</v>
      </c>
      <c r="L2744" s="26" t="s">
        <v>7517</v>
      </c>
      <c r="M2744" s="28"/>
      <c r="N2744" s="28"/>
      <c r="O2744" s="20" t="s">
        <v>7530</v>
      </c>
      <c r="P2744" s="27" t="str">
        <f t="shared" si="127"/>
        <v>vermelho</v>
      </c>
    </row>
    <row r="2745" spans="1:16" ht="38.25">
      <c r="A2745" s="3" t="s">
        <v>6344</v>
      </c>
      <c r="B2745" s="3" t="s">
        <v>6345</v>
      </c>
      <c r="C2745" s="4">
        <v>11</v>
      </c>
      <c r="D2745" s="3" t="s">
        <v>61</v>
      </c>
      <c r="E2745" s="3" t="s">
        <v>10</v>
      </c>
      <c r="F2745" s="5">
        <v>0</v>
      </c>
      <c r="G2745" s="5">
        <v>174</v>
      </c>
      <c r="H2745" s="6">
        <v>0</v>
      </c>
      <c r="I2745" s="22">
        <v>10873.236000000001</v>
      </c>
      <c r="J2745" s="24">
        <f t="shared" si="126"/>
        <v>7.5341978097769182E-5</v>
      </c>
      <c r="K2745" s="25">
        <f t="shared" si="128"/>
        <v>0.91612826496049449</v>
      </c>
      <c r="L2745" s="26" t="s">
        <v>7517</v>
      </c>
      <c r="M2745" s="28"/>
      <c r="N2745" s="28"/>
      <c r="O2745" s="20" t="s">
        <v>7530</v>
      </c>
      <c r="P2745" s="27" t="str">
        <f t="shared" si="127"/>
        <v>vermelho</v>
      </c>
    </row>
    <row r="2746" spans="1:16" ht="51">
      <c r="A2746" s="3" t="s">
        <v>6663</v>
      </c>
      <c r="B2746" s="3" t="s">
        <v>6664</v>
      </c>
      <c r="C2746" s="4">
        <v>282</v>
      </c>
      <c r="D2746" s="3" t="s">
        <v>12</v>
      </c>
      <c r="E2746" s="3" t="s">
        <v>13</v>
      </c>
      <c r="F2746" s="5">
        <v>366</v>
      </c>
      <c r="G2746" s="5">
        <v>216</v>
      </c>
      <c r="H2746" s="6">
        <v>19143.66</v>
      </c>
      <c r="I2746" s="22">
        <v>10870.386</v>
      </c>
      <c r="J2746" s="24">
        <f t="shared" si="126"/>
        <v>7.5322230100247688E-5</v>
      </c>
      <c r="K2746" s="25">
        <f t="shared" si="128"/>
        <v>0.91620358719059469</v>
      </c>
      <c r="L2746" s="26" t="s">
        <v>7517</v>
      </c>
      <c r="M2746" s="28"/>
      <c r="N2746" s="28"/>
      <c r="O2746" s="20" t="s">
        <v>7530</v>
      </c>
      <c r="P2746" s="27" t="str">
        <f t="shared" si="127"/>
        <v>vermelho</v>
      </c>
    </row>
    <row r="2747" spans="1:16" ht="25.5">
      <c r="A2747" s="3" t="s">
        <v>4</v>
      </c>
      <c r="B2747" s="3" t="s">
        <v>1913</v>
      </c>
      <c r="C2747" s="4">
        <v>178</v>
      </c>
      <c r="D2747" s="3" t="s">
        <v>74</v>
      </c>
      <c r="E2747" s="3" t="s">
        <v>7</v>
      </c>
      <c r="F2747" s="5">
        <v>228</v>
      </c>
      <c r="G2747" s="5">
        <v>192</v>
      </c>
      <c r="H2747" s="6">
        <v>13865.04</v>
      </c>
      <c r="I2747" s="22">
        <v>10865.76</v>
      </c>
      <c r="J2747" s="24">
        <f t="shared" si="126"/>
        <v>7.5290175982165424E-5</v>
      </c>
      <c r="K2747" s="25">
        <f t="shared" si="128"/>
        <v>0.91627887736657687</v>
      </c>
      <c r="L2747" s="26" t="s">
        <v>7517</v>
      </c>
      <c r="M2747" s="28"/>
      <c r="N2747" s="28"/>
      <c r="O2747" s="20" t="s">
        <v>7530</v>
      </c>
      <c r="P2747" s="27" t="str">
        <f t="shared" si="127"/>
        <v>vermelho</v>
      </c>
    </row>
    <row r="2748" spans="1:16" ht="25.5">
      <c r="A2748" s="3" t="s">
        <v>4</v>
      </c>
      <c r="B2748" s="3" t="s">
        <v>1914</v>
      </c>
      <c r="C2748" s="4">
        <v>53</v>
      </c>
      <c r="D2748" s="3" t="s">
        <v>34</v>
      </c>
      <c r="E2748" s="3" t="s">
        <v>16</v>
      </c>
      <c r="F2748" s="5">
        <v>312</v>
      </c>
      <c r="G2748" s="5">
        <v>180</v>
      </c>
      <c r="H2748" s="6">
        <v>19438.8</v>
      </c>
      <c r="I2748" s="22">
        <v>10865.76</v>
      </c>
      <c r="J2748" s="24">
        <f t="shared" si="126"/>
        <v>7.5290175982165424E-5</v>
      </c>
      <c r="K2748" s="25">
        <f t="shared" si="128"/>
        <v>0.91635416754255905</v>
      </c>
      <c r="L2748" s="26" t="s">
        <v>7517</v>
      </c>
      <c r="M2748" s="28"/>
      <c r="N2748" s="28"/>
      <c r="O2748" s="20" t="s">
        <v>7530</v>
      </c>
      <c r="P2748" s="27" t="str">
        <f t="shared" si="127"/>
        <v>vermelho</v>
      </c>
    </row>
    <row r="2749" spans="1:16" ht="25.5">
      <c r="A2749" s="3" t="s">
        <v>4</v>
      </c>
      <c r="B2749" s="3" t="s">
        <v>1915</v>
      </c>
      <c r="C2749" s="4">
        <v>31</v>
      </c>
      <c r="D2749" s="3" t="s">
        <v>194</v>
      </c>
      <c r="E2749" s="3" t="s">
        <v>16</v>
      </c>
      <c r="F2749" s="5">
        <v>0</v>
      </c>
      <c r="G2749" s="5">
        <v>192</v>
      </c>
      <c r="H2749" s="6">
        <v>0</v>
      </c>
      <c r="I2749" s="22">
        <v>10865.76</v>
      </c>
      <c r="J2749" s="24">
        <f t="shared" si="126"/>
        <v>7.5290175982165424E-5</v>
      </c>
      <c r="K2749" s="25">
        <f t="shared" si="128"/>
        <v>0.91642945771854123</v>
      </c>
      <c r="L2749" s="26" t="s">
        <v>7517</v>
      </c>
      <c r="M2749" s="28"/>
      <c r="N2749" s="28"/>
      <c r="O2749" s="20" t="s">
        <v>7530</v>
      </c>
      <c r="P2749" s="27" t="str">
        <f t="shared" si="127"/>
        <v>vermelho</v>
      </c>
    </row>
    <row r="2750" spans="1:16" ht="25.5">
      <c r="A2750" s="3" t="s">
        <v>4</v>
      </c>
      <c r="B2750" s="3" t="s">
        <v>1916</v>
      </c>
      <c r="C2750" s="4">
        <v>299</v>
      </c>
      <c r="D2750" s="3" t="s">
        <v>111</v>
      </c>
      <c r="E2750" s="3" t="s">
        <v>49</v>
      </c>
      <c r="F2750" s="5">
        <v>180</v>
      </c>
      <c r="G2750" s="5">
        <v>180</v>
      </c>
      <c r="H2750" s="6">
        <v>8082.5640000000003</v>
      </c>
      <c r="I2750" s="22">
        <v>10862.61</v>
      </c>
      <c r="J2750" s="24">
        <f t="shared" si="126"/>
        <v>7.5268349248062719E-5</v>
      </c>
      <c r="K2750" s="25">
        <f t="shared" si="128"/>
        <v>0.91650472606778932</v>
      </c>
      <c r="L2750" s="26" t="s">
        <v>7517</v>
      </c>
      <c r="M2750" s="28"/>
      <c r="N2750" s="28"/>
      <c r="O2750" s="20">
        <v>1636.32</v>
      </c>
      <c r="P2750" s="27" t="str">
        <f t="shared" si="127"/>
        <v>amarelo</v>
      </c>
    </row>
    <row r="2751" spans="1:16" ht="25.5">
      <c r="A2751" s="3" t="s">
        <v>4</v>
      </c>
      <c r="B2751" s="3" t="s">
        <v>1917</v>
      </c>
      <c r="C2751" s="4">
        <v>335</v>
      </c>
      <c r="D2751" s="3" t="s">
        <v>36</v>
      </c>
      <c r="E2751" s="3" t="s">
        <v>7</v>
      </c>
      <c r="F2751" s="5">
        <v>0</v>
      </c>
      <c r="G2751" s="5">
        <v>180</v>
      </c>
      <c r="H2751" s="6">
        <v>0</v>
      </c>
      <c r="I2751" s="22">
        <v>10859.52</v>
      </c>
      <c r="J2751" s="24">
        <f t="shared" si="126"/>
        <v>7.5246938261276254E-5</v>
      </c>
      <c r="K2751" s="25">
        <f t="shared" si="128"/>
        <v>0.91657997300605065</v>
      </c>
      <c r="L2751" s="26" t="s">
        <v>7517</v>
      </c>
      <c r="M2751" s="28">
        <v>-2.7320633461713015E-2</v>
      </c>
      <c r="N2751" s="28"/>
      <c r="O2751" s="20">
        <v>7443.96</v>
      </c>
      <c r="P2751" s="27" t="str">
        <f t="shared" si="127"/>
        <v>laranja</v>
      </c>
    </row>
    <row r="2752" spans="1:16" ht="25.5">
      <c r="A2752" s="3" t="s">
        <v>4</v>
      </c>
      <c r="B2752" s="3" t="s">
        <v>1918</v>
      </c>
      <c r="C2752" s="4">
        <v>31</v>
      </c>
      <c r="D2752" s="3" t="s">
        <v>194</v>
      </c>
      <c r="E2752" s="3" t="s">
        <v>16</v>
      </c>
      <c r="F2752" s="5">
        <v>144</v>
      </c>
      <c r="G2752" s="5">
        <v>180</v>
      </c>
      <c r="H2752" s="6">
        <v>8013.42</v>
      </c>
      <c r="I2752" s="22">
        <v>10839.33</v>
      </c>
      <c r="J2752" s="24">
        <f t="shared" si="126"/>
        <v>7.5107039289360811E-5</v>
      </c>
      <c r="K2752" s="25">
        <f t="shared" si="128"/>
        <v>0.91665508004534002</v>
      </c>
      <c r="L2752" s="26" t="s">
        <v>7517</v>
      </c>
      <c r="M2752" s="28"/>
      <c r="N2752" s="28"/>
      <c r="O2752" s="20" t="s">
        <v>7530</v>
      </c>
      <c r="P2752" s="27" t="str">
        <f t="shared" si="127"/>
        <v>vermelho</v>
      </c>
    </row>
    <row r="2753" spans="1:16" ht="25.5">
      <c r="A2753" s="3" t="s">
        <v>4</v>
      </c>
      <c r="B2753" s="3" t="s">
        <v>1919</v>
      </c>
      <c r="C2753" s="4">
        <v>315</v>
      </c>
      <c r="D2753" s="3" t="s">
        <v>63</v>
      </c>
      <c r="E2753" s="3" t="s">
        <v>7</v>
      </c>
      <c r="F2753" s="5">
        <v>315</v>
      </c>
      <c r="G2753" s="5">
        <v>280</v>
      </c>
      <c r="H2753" s="6">
        <v>11848.536</v>
      </c>
      <c r="I2753" s="22">
        <v>10836.47</v>
      </c>
      <c r="J2753" s="24">
        <f t="shared" si="126"/>
        <v>7.5087222000619935E-5</v>
      </c>
      <c r="K2753" s="25">
        <f t="shared" si="128"/>
        <v>0.91673016726734069</v>
      </c>
      <c r="L2753" s="26" t="s">
        <v>7517</v>
      </c>
      <c r="M2753" s="28"/>
      <c r="N2753" s="28"/>
      <c r="O2753" s="20">
        <v>5131.32</v>
      </c>
      <c r="P2753" s="27" t="str">
        <f t="shared" si="127"/>
        <v>amarelo</v>
      </c>
    </row>
    <row r="2754" spans="1:16" ht="25.5">
      <c r="A2754" s="3" t="s">
        <v>4</v>
      </c>
      <c r="B2754" s="3" t="s">
        <v>1920</v>
      </c>
      <c r="C2754" s="4">
        <v>167</v>
      </c>
      <c r="D2754" s="3" t="s">
        <v>251</v>
      </c>
      <c r="E2754" s="3" t="s">
        <v>49</v>
      </c>
      <c r="F2754" s="5">
        <v>120</v>
      </c>
      <c r="G2754" s="5">
        <v>219</v>
      </c>
      <c r="H2754" s="6">
        <v>5923.8</v>
      </c>
      <c r="I2754" s="22">
        <v>10816.02</v>
      </c>
      <c r="J2754" s="24">
        <f t="shared" si="126"/>
        <v>7.4945521457000784E-5</v>
      </c>
      <c r="K2754" s="25">
        <f t="shared" si="128"/>
        <v>0.91680511278879773</v>
      </c>
      <c r="L2754" s="26" t="s">
        <v>7517</v>
      </c>
      <c r="M2754" s="28"/>
      <c r="N2754" s="28"/>
      <c r="O2754" s="20">
        <v>4880.76</v>
      </c>
      <c r="P2754" s="27" t="str">
        <f t="shared" si="127"/>
        <v>amarelo</v>
      </c>
    </row>
    <row r="2755" spans="1:16" ht="25.5">
      <c r="A2755" s="3" t="s">
        <v>4</v>
      </c>
      <c r="B2755" s="3" t="s">
        <v>1921</v>
      </c>
      <c r="C2755" s="4">
        <v>240</v>
      </c>
      <c r="D2755" s="3" t="s">
        <v>69</v>
      </c>
      <c r="E2755" s="3" t="s">
        <v>16</v>
      </c>
      <c r="F2755" s="5">
        <v>0</v>
      </c>
      <c r="G2755" s="5">
        <v>216</v>
      </c>
      <c r="H2755" s="6">
        <v>0</v>
      </c>
      <c r="I2755" s="22">
        <v>10812.6</v>
      </c>
      <c r="J2755" s="24">
        <f t="shared" ref="J2755:J2818" si="129">I2755/$I$6364</f>
        <v>7.4921823859974988E-5</v>
      </c>
      <c r="K2755" s="25">
        <f t="shared" si="128"/>
        <v>0.91688003461265766</v>
      </c>
      <c r="L2755" s="26" t="s">
        <v>7517</v>
      </c>
      <c r="M2755" s="28"/>
      <c r="N2755" s="28"/>
      <c r="O2755" s="20" t="s">
        <v>7530</v>
      </c>
      <c r="P2755" s="27" t="str">
        <f t="shared" ref="P2755:P2818" si="130">IF(O2755&lt;=0,"vermelho",IFERROR(IF(O2755/I2755&lt;=0.5098,"amarelo",IF(O2755/I2755&lt;1,"laranja","verde")),"vermelho"))</f>
        <v>vermelho</v>
      </c>
    </row>
    <row r="2756" spans="1:16" ht="25.5">
      <c r="A2756" s="3" t="s">
        <v>4</v>
      </c>
      <c r="B2756" s="3" t="s">
        <v>1922</v>
      </c>
      <c r="C2756" s="4">
        <v>93</v>
      </c>
      <c r="D2756" s="3" t="s">
        <v>20</v>
      </c>
      <c r="E2756" s="3" t="s">
        <v>7</v>
      </c>
      <c r="F2756" s="5">
        <v>132</v>
      </c>
      <c r="G2756" s="5">
        <v>180</v>
      </c>
      <c r="H2756" s="6">
        <v>6749.64</v>
      </c>
      <c r="I2756" s="22">
        <v>10801.08</v>
      </c>
      <c r="J2756" s="24">
        <f t="shared" si="129"/>
        <v>7.484200037525652E-5</v>
      </c>
      <c r="K2756" s="25">
        <f t="shared" ref="K2756:K2819" si="131">J2756+K2755</f>
        <v>0.91695487661303288</v>
      </c>
      <c r="L2756" s="26" t="s">
        <v>7517</v>
      </c>
      <c r="M2756" s="28"/>
      <c r="N2756" s="28"/>
      <c r="O2756" s="20">
        <v>10145.19</v>
      </c>
      <c r="P2756" s="27" t="str">
        <f t="shared" si="130"/>
        <v>laranja</v>
      </c>
    </row>
    <row r="2757" spans="1:16" ht="25.5">
      <c r="A2757" s="3" t="s">
        <v>4</v>
      </c>
      <c r="B2757" s="3" t="s">
        <v>1923</v>
      </c>
      <c r="C2757" s="4">
        <v>194</v>
      </c>
      <c r="D2757" s="3" t="s">
        <v>145</v>
      </c>
      <c r="E2757" s="3" t="s">
        <v>16</v>
      </c>
      <c r="F2757" s="5">
        <v>300</v>
      </c>
      <c r="G2757" s="5">
        <v>174</v>
      </c>
      <c r="H2757" s="6">
        <v>16936.32</v>
      </c>
      <c r="I2757" s="22">
        <v>10778.64</v>
      </c>
      <c r="J2757" s="24">
        <f t="shared" si="129"/>
        <v>7.4686510878982005E-5</v>
      </c>
      <c r="K2757" s="25">
        <f t="shared" si="131"/>
        <v>0.91702956312391182</v>
      </c>
      <c r="L2757" s="26" t="s">
        <v>7517</v>
      </c>
      <c r="M2757" s="28"/>
      <c r="N2757" s="28"/>
      <c r="O2757" s="20">
        <v>8692.92</v>
      </c>
      <c r="P2757" s="27" t="str">
        <f t="shared" si="130"/>
        <v>laranja</v>
      </c>
    </row>
    <row r="2758" spans="1:16" ht="25.5">
      <c r="A2758" s="3" t="s">
        <v>4</v>
      </c>
      <c r="B2758" s="3" t="s">
        <v>1924</v>
      </c>
      <c r="C2758" s="4">
        <v>266</v>
      </c>
      <c r="D2758" s="3" t="s">
        <v>80</v>
      </c>
      <c r="E2758" s="3" t="s">
        <v>10</v>
      </c>
      <c r="F2758" s="5">
        <v>0</v>
      </c>
      <c r="G2758" s="5">
        <v>219</v>
      </c>
      <c r="H2758" s="6">
        <v>0</v>
      </c>
      <c r="I2758" s="22">
        <v>10752.72</v>
      </c>
      <c r="J2758" s="24">
        <f t="shared" si="129"/>
        <v>7.4506908038365441E-5</v>
      </c>
      <c r="K2758" s="25">
        <f t="shared" si="131"/>
        <v>0.91710407003195016</v>
      </c>
      <c r="L2758" s="26" t="s">
        <v>7517</v>
      </c>
      <c r="M2758" s="28"/>
      <c r="N2758" s="28"/>
      <c r="O2758" s="20">
        <v>13352.249</v>
      </c>
      <c r="P2758" s="27" t="str">
        <f t="shared" si="130"/>
        <v>verde</v>
      </c>
    </row>
    <row r="2759" spans="1:16" ht="38.25">
      <c r="A2759" s="3" t="s">
        <v>4</v>
      </c>
      <c r="B2759" s="3" t="s">
        <v>1925</v>
      </c>
      <c r="C2759" s="4">
        <v>45</v>
      </c>
      <c r="D2759" s="3" t="s">
        <v>23</v>
      </c>
      <c r="E2759" s="3" t="s">
        <v>7</v>
      </c>
      <c r="F2759" s="5">
        <v>0</v>
      </c>
      <c r="G2759" s="5">
        <v>192</v>
      </c>
      <c r="H2759" s="6">
        <v>0</v>
      </c>
      <c r="I2759" s="22">
        <v>10750.56</v>
      </c>
      <c r="J2759" s="24">
        <f t="shared" si="129"/>
        <v>7.4491941134980727E-5</v>
      </c>
      <c r="K2759" s="25">
        <f t="shared" si="131"/>
        <v>0.91717856197308512</v>
      </c>
      <c r="L2759" s="26" t="s">
        <v>7517</v>
      </c>
      <c r="M2759" s="28"/>
      <c r="N2759" s="28"/>
      <c r="O2759" s="20" t="s">
        <v>7530</v>
      </c>
      <c r="P2759" s="27" t="str">
        <f t="shared" si="130"/>
        <v>vermelho</v>
      </c>
    </row>
    <row r="2760" spans="1:16" ht="25.5">
      <c r="A2760" s="3" t="s">
        <v>4</v>
      </c>
      <c r="B2760" s="3" t="s">
        <v>1926</v>
      </c>
      <c r="C2760" s="4">
        <v>23</v>
      </c>
      <c r="D2760" s="3" t="s">
        <v>87</v>
      </c>
      <c r="E2760" s="3" t="s">
        <v>7</v>
      </c>
      <c r="F2760" s="5">
        <v>255</v>
      </c>
      <c r="G2760" s="5">
        <v>180</v>
      </c>
      <c r="H2760" s="6">
        <v>13369.907999999999</v>
      </c>
      <c r="I2760" s="22">
        <v>10741.38</v>
      </c>
      <c r="J2760" s="24">
        <f t="shared" si="129"/>
        <v>7.4428331795595704E-5</v>
      </c>
      <c r="K2760" s="25">
        <f t="shared" si="131"/>
        <v>0.91725299030488072</v>
      </c>
      <c r="L2760" s="26" t="s">
        <v>7517</v>
      </c>
      <c r="M2760" s="28"/>
      <c r="N2760" s="28"/>
      <c r="O2760" s="20">
        <v>5603.13</v>
      </c>
      <c r="P2760" s="27" t="str">
        <f t="shared" si="130"/>
        <v>laranja</v>
      </c>
    </row>
    <row r="2761" spans="1:16" ht="25.5">
      <c r="A2761" s="3" t="s">
        <v>4</v>
      </c>
      <c r="B2761" s="3" t="s">
        <v>1927</v>
      </c>
      <c r="C2761" s="4">
        <v>266</v>
      </c>
      <c r="D2761" s="3" t="s">
        <v>80</v>
      </c>
      <c r="E2761" s="3" t="s">
        <v>10</v>
      </c>
      <c r="F2761" s="5">
        <v>411</v>
      </c>
      <c r="G2761" s="5">
        <v>183</v>
      </c>
      <c r="H2761" s="6">
        <v>23211.360000000001</v>
      </c>
      <c r="I2761" s="22">
        <v>10729.59</v>
      </c>
      <c r="J2761" s="24">
        <f t="shared" si="129"/>
        <v>7.4346637447954145E-5</v>
      </c>
      <c r="K2761" s="25">
        <f t="shared" si="131"/>
        <v>0.91732733694232871</v>
      </c>
      <c r="L2761" s="26" t="s">
        <v>7517</v>
      </c>
      <c r="M2761" s="28"/>
      <c r="N2761" s="28"/>
      <c r="O2761" s="20" t="s">
        <v>7530</v>
      </c>
      <c r="P2761" s="27" t="str">
        <f t="shared" si="130"/>
        <v>vermelho</v>
      </c>
    </row>
    <row r="2762" spans="1:16" ht="25.5">
      <c r="A2762" s="3" t="s">
        <v>6665</v>
      </c>
      <c r="B2762" s="3" t="s">
        <v>6666</v>
      </c>
      <c r="C2762" s="4">
        <v>328</v>
      </c>
      <c r="D2762" s="3" t="s">
        <v>215</v>
      </c>
      <c r="E2762" s="3" t="s">
        <v>41</v>
      </c>
      <c r="F2762" s="5">
        <v>378</v>
      </c>
      <c r="G2762" s="5">
        <v>177</v>
      </c>
      <c r="H2762" s="6">
        <v>24969.99</v>
      </c>
      <c r="I2762" s="22">
        <v>10719.42</v>
      </c>
      <c r="J2762" s="24">
        <f t="shared" si="129"/>
        <v>7.4276168277851131E-5</v>
      </c>
      <c r="K2762" s="25">
        <f t="shared" si="131"/>
        <v>0.91740161311060653</v>
      </c>
      <c r="L2762" s="26" t="s">
        <v>7517</v>
      </c>
      <c r="M2762" s="28"/>
      <c r="N2762" s="28"/>
      <c r="O2762" s="20">
        <v>13662.66</v>
      </c>
      <c r="P2762" s="27" t="str">
        <f t="shared" si="130"/>
        <v>verde</v>
      </c>
    </row>
    <row r="2763" spans="1:16" ht="25.5">
      <c r="A2763" s="3" t="s">
        <v>4</v>
      </c>
      <c r="B2763" s="3" t="s">
        <v>1928</v>
      </c>
      <c r="C2763" s="4">
        <v>296</v>
      </c>
      <c r="D2763" s="3" t="s">
        <v>282</v>
      </c>
      <c r="E2763" s="3" t="s">
        <v>10</v>
      </c>
      <c r="F2763" s="5">
        <v>0</v>
      </c>
      <c r="G2763" s="5">
        <v>213</v>
      </c>
      <c r="H2763" s="6">
        <v>0</v>
      </c>
      <c r="I2763" s="22">
        <v>10716.833000000001</v>
      </c>
      <c r="J2763" s="24">
        <f t="shared" si="129"/>
        <v>7.4258242639399166E-5</v>
      </c>
      <c r="K2763" s="25">
        <f t="shared" si="131"/>
        <v>0.91747587135324593</v>
      </c>
      <c r="L2763" s="26" t="s">
        <v>7517</v>
      </c>
      <c r="M2763" s="28"/>
      <c r="N2763" s="28"/>
      <c r="O2763" s="20" t="s">
        <v>7530</v>
      </c>
      <c r="P2763" s="27" t="str">
        <f t="shared" si="130"/>
        <v>vermelho</v>
      </c>
    </row>
    <row r="2764" spans="1:16" ht="25.5">
      <c r="A2764" s="3" t="s">
        <v>4</v>
      </c>
      <c r="B2764" s="3" t="s">
        <v>1929</v>
      </c>
      <c r="C2764" s="4">
        <v>321</v>
      </c>
      <c r="D2764" s="3" t="s">
        <v>136</v>
      </c>
      <c r="E2764" s="3" t="s">
        <v>41</v>
      </c>
      <c r="F2764" s="5">
        <v>246</v>
      </c>
      <c r="G2764" s="5">
        <v>174</v>
      </c>
      <c r="H2764" s="6">
        <v>13205.531999999999</v>
      </c>
      <c r="I2764" s="22">
        <v>10706.97</v>
      </c>
      <c r="J2764" s="24">
        <f t="shared" si="129"/>
        <v>7.4189900709730898E-5</v>
      </c>
      <c r="K2764" s="25">
        <f t="shared" si="131"/>
        <v>0.91755006125395566</v>
      </c>
      <c r="L2764" s="26" t="s">
        <v>7517</v>
      </c>
      <c r="M2764" s="28"/>
      <c r="N2764" s="28"/>
      <c r="O2764" s="20" t="s">
        <v>7530</v>
      </c>
      <c r="P2764" s="27" t="str">
        <f t="shared" si="130"/>
        <v>vermelho</v>
      </c>
    </row>
    <row r="2765" spans="1:16">
      <c r="A2765" s="3" t="s">
        <v>6667</v>
      </c>
      <c r="B2765" s="3" t="s">
        <v>6668</v>
      </c>
      <c r="C2765" s="4">
        <v>167</v>
      </c>
      <c r="D2765" s="3" t="s">
        <v>251</v>
      </c>
      <c r="E2765" s="3" t="s">
        <v>49</v>
      </c>
      <c r="F2765" s="5">
        <v>96</v>
      </c>
      <c r="G2765" s="5">
        <v>210</v>
      </c>
      <c r="H2765" s="6">
        <v>4498.08</v>
      </c>
      <c r="I2765" s="22">
        <v>10702.29</v>
      </c>
      <c r="J2765" s="24">
        <f t="shared" si="129"/>
        <v>7.4157472419064034E-5</v>
      </c>
      <c r="K2765" s="25">
        <f t="shared" si="131"/>
        <v>0.91762421872637467</v>
      </c>
      <c r="L2765" s="26" t="s">
        <v>7517</v>
      </c>
      <c r="M2765" s="28"/>
      <c r="N2765" s="28"/>
      <c r="O2765" s="20" t="s">
        <v>7530</v>
      </c>
      <c r="P2765" s="27" t="str">
        <f t="shared" si="130"/>
        <v>vermelho</v>
      </c>
    </row>
    <row r="2766" spans="1:16" ht="25.5">
      <c r="A2766" s="3" t="s">
        <v>4</v>
      </c>
      <c r="B2766" s="3" t="s">
        <v>1930</v>
      </c>
      <c r="C2766" s="4">
        <v>270</v>
      </c>
      <c r="D2766" s="3" t="s">
        <v>266</v>
      </c>
      <c r="E2766" s="3" t="s">
        <v>49</v>
      </c>
      <c r="F2766" s="5">
        <v>0</v>
      </c>
      <c r="G2766" s="5">
        <v>180</v>
      </c>
      <c r="H2766" s="6">
        <v>0</v>
      </c>
      <c r="I2766" s="22">
        <v>10702.2</v>
      </c>
      <c r="J2766" s="24">
        <f t="shared" si="129"/>
        <v>7.4156848798089675E-5</v>
      </c>
      <c r="K2766" s="25">
        <f t="shared" si="131"/>
        <v>0.91769837557517275</v>
      </c>
      <c r="L2766" s="26" t="s">
        <v>7517</v>
      </c>
      <c r="M2766" s="28"/>
      <c r="N2766" s="28"/>
      <c r="O2766" s="20" t="s">
        <v>7530</v>
      </c>
      <c r="P2766" s="27" t="str">
        <f t="shared" si="130"/>
        <v>vermelho</v>
      </c>
    </row>
    <row r="2767" spans="1:16" ht="25.5">
      <c r="A2767" s="3" t="s">
        <v>4</v>
      </c>
      <c r="B2767" s="3" t="s">
        <v>1931</v>
      </c>
      <c r="C2767" s="4">
        <v>240</v>
      </c>
      <c r="D2767" s="3" t="s">
        <v>69</v>
      </c>
      <c r="E2767" s="3" t="s">
        <v>16</v>
      </c>
      <c r="F2767" s="5">
        <v>0</v>
      </c>
      <c r="G2767" s="5">
        <v>189</v>
      </c>
      <c r="H2767" s="6">
        <v>0</v>
      </c>
      <c r="I2767" s="22">
        <v>10689.81</v>
      </c>
      <c r="J2767" s="24">
        <f t="shared" si="129"/>
        <v>7.4070996977285681E-5</v>
      </c>
      <c r="K2767" s="25">
        <f t="shared" si="131"/>
        <v>0.91777244657215007</v>
      </c>
      <c r="L2767" s="26" t="s">
        <v>7517</v>
      </c>
      <c r="M2767" s="28"/>
      <c r="N2767" s="28"/>
      <c r="O2767" s="20">
        <v>8610.24</v>
      </c>
      <c r="P2767" s="27" t="str">
        <f t="shared" si="130"/>
        <v>laranja</v>
      </c>
    </row>
    <row r="2768" spans="1:16">
      <c r="A2768" s="3" t="s">
        <v>6669</v>
      </c>
      <c r="B2768" s="3" t="s">
        <v>6670</v>
      </c>
      <c r="C2768" s="4">
        <v>232</v>
      </c>
      <c r="D2768" s="3" t="s">
        <v>174</v>
      </c>
      <c r="E2768" s="3" t="s">
        <v>16</v>
      </c>
      <c r="F2768" s="5">
        <v>192</v>
      </c>
      <c r="G2768" s="5">
        <v>192</v>
      </c>
      <c r="H2768" s="6">
        <v>11386.38</v>
      </c>
      <c r="I2768" s="22">
        <v>10676.28</v>
      </c>
      <c r="J2768" s="24">
        <f t="shared" si="129"/>
        <v>7.3977245957473111E-5</v>
      </c>
      <c r="K2768" s="25">
        <f t="shared" si="131"/>
        <v>0.91784642381810755</v>
      </c>
      <c r="L2768" s="26" t="s">
        <v>7517</v>
      </c>
      <c r="M2768" s="28"/>
      <c r="N2768" s="28"/>
      <c r="O2768" s="20">
        <v>4184.04</v>
      </c>
      <c r="P2768" s="27" t="str">
        <f t="shared" si="130"/>
        <v>amarelo</v>
      </c>
    </row>
    <row r="2769" spans="1:16" ht="38.25">
      <c r="A2769" s="3" t="s">
        <v>4</v>
      </c>
      <c r="B2769" s="3" t="s">
        <v>1932</v>
      </c>
      <c r="C2769" s="4">
        <v>371</v>
      </c>
      <c r="D2769" s="3" t="s">
        <v>82</v>
      </c>
      <c r="E2769" s="3" t="s">
        <v>49</v>
      </c>
      <c r="F2769" s="5">
        <v>48</v>
      </c>
      <c r="G2769" s="5">
        <v>156</v>
      </c>
      <c r="H2769" s="6">
        <v>3182.76</v>
      </c>
      <c r="I2769" s="22">
        <v>10653.45</v>
      </c>
      <c r="J2769" s="24">
        <f t="shared" si="129"/>
        <v>7.3819054103643026E-5</v>
      </c>
      <c r="K2769" s="25">
        <f t="shared" si="131"/>
        <v>0.91792024287221119</v>
      </c>
      <c r="L2769" s="26" t="s">
        <v>7517</v>
      </c>
      <c r="M2769" s="28"/>
      <c r="N2769" s="28"/>
      <c r="O2769" s="20">
        <v>11440.2</v>
      </c>
      <c r="P2769" s="27" t="str">
        <f t="shared" si="130"/>
        <v>verde</v>
      </c>
    </row>
    <row r="2770" spans="1:16" ht="25.5">
      <c r="A2770" s="3" t="s">
        <v>4</v>
      </c>
      <c r="B2770" s="3" t="s">
        <v>1933</v>
      </c>
      <c r="C2770" s="4">
        <v>231</v>
      </c>
      <c r="D2770" s="3" t="s">
        <v>52</v>
      </c>
      <c r="E2770" s="3" t="s">
        <v>7</v>
      </c>
      <c r="F2770" s="5">
        <v>0</v>
      </c>
      <c r="G2770" s="5">
        <v>180</v>
      </c>
      <c r="H2770" s="6">
        <v>0</v>
      </c>
      <c r="I2770" s="22">
        <v>10652.64</v>
      </c>
      <c r="J2770" s="24">
        <f t="shared" si="129"/>
        <v>7.3813441514873753E-5</v>
      </c>
      <c r="K2770" s="25">
        <f t="shared" si="131"/>
        <v>0.9179940563137261</v>
      </c>
      <c r="L2770" s="26" t="s">
        <v>7517</v>
      </c>
      <c r="M2770" s="28"/>
      <c r="N2770" s="28"/>
      <c r="O2770" s="20">
        <v>8960.52</v>
      </c>
      <c r="P2770" s="27" t="str">
        <f t="shared" si="130"/>
        <v>laranja</v>
      </c>
    </row>
    <row r="2771" spans="1:16">
      <c r="A2771" s="3" t="s">
        <v>6671</v>
      </c>
      <c r="B2771" s="3" t="s">
        <v>6672</v>
      </c>
      <c r="C2771" s="4">
        <v>240</v>
      </c>
      <c r="D2771" s="3" t="s">
        <v>69</v>
      </c>
      <c r="E2771" s="3" t="s">
        <v>16</v>
      </c>
      <c r="F2771" s="5">
        <v>150</v>
      </c>
      <c r="G2771" s="5">
        <v>204</v>
      </c>
      <c r="H2771" s="6">
        <v>6549.54</v>
      </c>
      <c r="I2771" s="22">
        <v>10649.4</v>
      </c>
      <c r="J2771" s="24">
        <f t="shared" si="129"/>
        <v>7.3790991159796676E-5</v>
      </c>
      <c r="K2771" s="25">
        <f t="shared" si="131"/>
        <v>0.91806784730488589</v>
      </c>
      <c r="L2771" s="26" t="s">
        <v>7517</v>
      </c>
      <c r="M2771" s="28"/>
      <c r="N2771" s="28"/>
      <c r="O2771" s="20" t="s">
        <v>7530</v>
      </c>
      <c r="P2771" s="27" t="str">
        <f t="shared" si="130"/>
        <v>vermelho</v>
      </c>
    </row>
    <row r="2772" spans="1:16" ht="25.5">
      <c r="A2772" s="3" t="s">
        <v>4</v>
      </c>
      <c r="B2772" s="3" t="s">
        <v>1934</v>
      </c>
      <c r="C2772" s="4">
        <v>31</v>
      </c>
      <c r="D2772" s="3" t="s">
        <v>194</v>
      </c>
      <c r="E2772" s="3" t="s">
        <v>16</v>
      </c>
      <c r="F2772" s="5">
        <v>108</v>
      </c>
      <c r="G2772" s="5">
        <v>204</v>
      </c>
      <c r="H2772" s="6">
        <v>5470.92</v>
      </c>
      <c r="I2772" s="22">
        <v>10648.68</v>
      </c>
      <c r="J2772" s="24">
        <f t="shared" si="129"/>
        <v>7.378600219200179E-5</v>
      </c>
      <c r="K2772" s="25">
        <f t="shared" si="131"/>
        <v>0.91814163330707788</v>
      </c>
      <c r="L2772" s="26" t="s">
        <v>7517</v>
      </c>
      <c r="M2772" s="28"/>
      <c r="N2772" s="28"/>
      <c r="O2772" s="20" t="s">
        <v>7530</v>
      </c>
      <c r="P2772" s="27" t="str">
        <f t="shared" si="130"/>
        <v>vermelho</v>
      </c>
    </row>
    <row r="2773" spans="1:16" ht="25.5">
      <c r="A2773" s="3" t="s">
        <v>4</v>
      </c>
      <c r="B2773" s="3" t="s">
        <v>1935</v>
      </c>
      <c r="C2773" s="4">
        <v>194</v>
      </c>
      <c r="D2773" s="3" t="s">
        <v>145</v>
      </c>
      <c r="E2773" s="3" t="s">
        <v>16</v>
      </c>
      <c r="F2773" s="5">
        <v>0</v>
      </c>
      <c r="G2773" s="5">
        <v>168</v>
      </c>
      <c r="H2773" s="6">
        <v>0</v>
      </c>
      <c r="I2773" s="22">
        <v>10648.56</v>
      </c>
      <c r="J2773" s="24">
        <f t="shared" si="129"/>
        <v>7.3785170697369297E-5</v>
      </c>
      <c r="K2773" s="25">
        <f t="shared" si="131"/>
        <v>0.91821541847777521</v>
      </c>
      <c r="L2773" s="26" t="s">
        <v>7517</v>
      </c>
      <c r="M2773" s="28"/>
      <c r="N2773" s="28"/>
      <c r="O2773" s="20" t="s">
        <v>7530</v>
      </c>
      <c r="P2773" s="27" t="str">
        <f t="shared" si="130"/>
        <v>vermelho</v>
      </c>
    </row>
    <row r="2774" spans="1:16" ht="25.5">
      <c r="A2774" s="3" t="s">
        <v>4</v>
      </c>
      <c r="B2774" s="3" t="s">
        <v>1936</v>
      </c>
      <c r="C2774" s="4">
        <v>61</v>
      </c>
      <c r="D2774" s="3" t="s">
        <v>48</v>
      </c>
      <c r="E2774" s="3" t="s">
        <v>49</v>
      </c>
      <c r="F2774" s="5">
        <v>60</v>
      </c>
      <c r="G2774" s="5">
        <v>183</v>
      </c>
      <c r="H2774" s="6">
        <v>2425.44</v>
      </c>
      <c r="I2774" s="22">
        <v>10646.85</v>
      </c>
      <c r="J2774" s="24">
        <f t="shared" si="129"/>
        <v>7.3773321898856406E-5</v>
      </c>
      <c r="K2774" s="25">
        <f t="shared" si="131"/>
        <v>0.91828919179967405</v>
      </c>
      <c r="L2774" s="26" t="s">
        <v>7517</v>
      </c>
      <c r="M2774" s="28"/>
      <c r="N2774" s="28"/>
      <c r="O2774" s="20">
        <v>8890.32</v>
      </c>
      <c r="P2774" s="27" t="str">
        <f t="shared" si="130"/>
        <v>laranja</v>
      </c>
    </row>
    <row r="2775" spans="1:16">
      <c r="A2775" s="3" t="s">
        <v>4</v>
      </c>
      <c r="B2775" s="3" t="s">
        <v>1937</v>
      </c>
      <c r="C2775" s="4">
        <v>315</v>
      </c>
      <c r="D2775" s="3" t="s">
        <v>63</v>
      </c>
      <c r="E2775" s="3" t="s">
        <v>7</v>
      </c>
      <c r="F2775" s="5">
        <v>171</v>
      </c>
      <c r="G2775" s="5">
        <v>195</v>
      </c>
      <c r="H2775" s="6">
        <v>9406.2659999999996</v>
      </c>
      <c r="I2775" s="22">
        <v>10627.714</v>
      </c>
      <c r="J2775" s="24">
        <f t="shared" si="129"/>
        <v>7.364072622146295E-5</v>
      </c>
      <c r="K2775" s="25">
        <f t="shared" si="131"/>
        <v>0.91836283252589557</v>
      </c>
      <c r="L2775" s="26" t="s">
        <v>7517</v>
      </c>
      <c r="M2775" s="28"/>
      <c r="N2775" s="28"/>
      <c r="O2775" s="20" t="s">
        <v>7530</v>
      </c>
      <c r="P2775" s="27" t="str">
        <f t="shared" si="130"/>
        <v>vermelho</v>
      </c>
    </row>
    <row r="2776" spans="1:16" ht="25.5">
      <c r="A2776" s="3" t="s">
        <v>4</v>
      </c>
      <c r="B2776" s="3" t="s">
        <v>1938</v>
      </c>
      <c r="C2776" s="4">
        <v>23</v>
      </c>
      <c r="D2776" s="3" t="s">
        <v>87</v>
      </c>
      <c r="E2776" s="3" t="s">
        <v>7</v>
      </c>
      <c r="F2776" s="5">
        <v>222</v>
      </c>
      <c r="G2776" s="5">
        <v>195</v>
      </c>
      <c r="H2776" s="6">
        <v>12030.78</v>
      </c>
      <c r="I2776" s="22">
        <v>10626.21</v>
      </c>
      <c r="J2776" s="24">
        <f t="shared" si="129"/>
        <v>7.3630304822069141E-5</v>
      </c>
      <c r="K2776" s="25">
        <f t="shared" si="131"/>
        <v>0.91843646283071767</v>
      </c>
      <c r="L2776" s="26" t="s">
        <v>7517</v>
      </c>
      <c r="M2776" s="28"/>
      <c r="N2776" s="28"/>
      <c r="O2776" s="20" t="s">
        <v>7530</v>
      </c>
      <c r="P2776" s="27" t="str">
        <f t="shared" si="130"/>
        <v>vermelho</v>
      </c>
    </row>
    <row r="2777" spans="1:16" ht="51">
      <c r="A2777" s="3" t="s">
        <v>4</v>
      </c>
      <c r="B2777" s="3" t="s">
        <v>1939</v>
      </c>
      <c r="C2777" s="4">
        <v>282</v>
      </c>
      <c r="D2777" s="3" t="s">
        <v>12</v>
      </c>
      <c r="E2777" s="3" t="s">
        <v>13</v>
      </c>
      <c r="F2777" s="5">
        <v>483</v>
      </c>
      <c r="G2777" s="5">
        <v>228</v>
      </c>
      <c r="H2777" s="6">
        <v>23182.23</v>
      </c>
      <c r="I2777" s="22">
        <v>10618.451999999999</v>
      </c>
      <c r="J2777" s="24">
        <f t="shared" si="129"/>
        <v>7.3576548694079052E-5</v>
      </c>
      <c r="K2777" s="25">
        <f t="shared" si="131"/>
        <v>0.91851003937941178</v>
      </c>
      <c r="L2777" s="26" t="s">
        <v>7517</v>
      </c>
      <c r="M2777" s="28"/>
      <c r="N2777" s="28"/>
      <c r="O2777" s="20" t="s">
        <v>7530</v>
      </c>
      <c r="P2777" s="27" t="str">
        <f t="shared" si="130"/>
        <v>vermelho</v>
      </c>
    </row>
    <row r="2778" spans="1:16" ht="25.5">
      <c r="A2778" s="3" t="s">
        <v>4</v>
      </c>
      <c r="B2778" s="3" t="s">
        <v>1940</v>
      </c>
      <c r="C2778" s="4">
        <v>231</v>
      </c>
      <c r="D2778" s="3" t="s">
        <v>52</v>
      </c>
      <c r="E2778" s="3" t="s">
        <v>7</v>
      </c>
      <c r="F2778" s="5">
        <v>0</v>
      </c>
      <c r="G2778" s="5">
        <v>210</v>
      </c>
      <c r="H2778" s="6">
        <v>0</v>
      </c>
      <c r="I2778" s="22">
        <v>10615.62</v>
      </c>
      <c r="J2778" s="24">
        <f t="shared" si="129"/>
        <v>7.3556925420752438E-5</v>
      </c>
      <c r="K2778" s="25">
        <f t="shared" si="131"/>
        <v>0.91858359630483255</v>
      </c>
      <c r="L2778" s="26" t="s">
        <v>7517</v>
      </c>
      <c r="M2778" s="28"/>
      <c r="N2778" s="28"/>
      <c r="O2778" s="20">
        <v>7093.38</v>
      </c>
      <c r="P2778" s="27" t="str">
        <f t="shared" si="130"/>
        <v>laranja</v>
      </c>
    </row>
    <row r="2779" spans="1:16" ht="25.5">
      <c r="A2779" s="3" t="s">
        <v>6673</v>
      </c>
      <c r="B2779" s="3" t="s">
        <v>6674</v>
      </c>
      <c r="C2779" s="4">
        <v>93</v>
      </c>
      <c r="D2779" s="3" t="s">
        <v>20</v>
      </c>
      <c r="E2779" s="3" t="s">
        <v>7</v>
      </c>
      <c r="F2779" s="5">
        <v>60</v>
      </c>
      <c r="G2779" s="5">
        <v>180</v>
      </c>
      <c r="H2779" s="6">
        <v>2845.2</v>
      </c>
      <c r="I2779" s="22">
        <v>10608.12</v>
      </c>
      <c r="J2779" s="24">
        <f t="shared" si="129"/>
        <v>7.3504957006222173E-5</v>
      </c>
      <c r="K2779" s="25">
        <f t="shared" si="131"/>
        <v>0.91865710126183875</v>
      </c>
      <c r="L2779" s="26" t="s">
        <v>7517</v>
      </c>
      <c r="M2779" s="28"/>
      <c r="N2779" s="28"/>
      <c r="O2779" s="20">
        <v>3448.08</v>
      </c>
      <c r="P2779" s="27" t="str">
        <f t="shared" si="130"/>
        <v>amarelo</v>
      </c>
    </row>
    <row r="2780" spans="1:16" ht="38.25">
      <c r="A2780" s="3" t="s">
        <v>4</v>
      </c>
      <c r="B2780" s="3" t="s">
        <v>1941</v>
      </c>
      <c r="C2780" s="4">
        <v>39</v>
      </c>
      <c r="D2780" s="3" t="s">
        <v>26</v>
      </c>
      <c r="E2780" s="3" t="s">
        <v>13</v>
      </c>
      <c r="F2780" s="5">
        <v>0</v>
      </c>
      <c r="G2780" s="5">
        <v>165</v>
      </c>
      <c r="H2780" s="6">
        <v>0</v>
      </c>
      <c r="I2780" s="22">
        <v>10604.25</v>
      </c>
      <c r="J2780" s="24">
        <f t="shared" si="129"/>
        <v>7.3478141304324568E-5</v>
      </c>
      <c r="K2780" s="25">
        <f t="shared" si="131"/>
        <v>0.91873057940314307</v>
      </c>
      <c r="L2780" s="26" t="s">
        <v>7517</v>
      </c>
      <c r="M2780" s="28"/>
      <c r="N2780" s="28"/>
      <c r="O2780" s="20" t="s">
        <v>7530</v>
      </c>
      <c r="P2780" s="27" t="str">
        <f t="shared" si="130"/>
        <v>vermelho</v>
      </c>
    </row>
    <row r="2781" spans="1:16" ht="25.5">
      <c r="A2781" s="3" t="s">
        <v>4</v>
      </c>
      <c r="B2781" s="3" t="s">
        <v>1942</v>
      </c>
      <c r="C2781" s="4">
        <v>31</v>
      </c>
      <c r="D2781" s="3" t="s">
        <v>194</v>
      </c>
      <c r="E2781" s="3" t="s">
        <v>16</v>
      </c>
      <c r="F2781" s="5">
        <v>0</v>
      </c>
      <c r="G2781" s="5">
        <v>192</v>
      </c>
      <c r="H2781" s="6">
        <v>0</v>
      </c>
      <c r="I2781" s="22">
        <v>10600.2</v>
      </c>
      <c r="J2781" s="24">
        <f t="shared" si="129"/>
        <v>7.3450078360478232E-5</v>
      </c>
      <c r="K2781" s="25">
        <f t="shared" si="131"/>
        <v>0.91880402948150353</v>
      </c>
      <c r="L2781" s="26" t="s">
        <v>7517</v>
      </c>
      <c r="M2781" s="28"/>
      <c r="N2781" s="28"/>
      <c r="O2781" s="20" t="s">
        <v>7530</v>
      </c>
      <c r="P2781" s="27" t="str">
        <f t="shared" si="130"/>
        <v>vermelho</v>
      </c>
    </row>
    <row r="2782" spans="1:16" ht="25.5">
      <c r="A2782" s="3" t="s">
        <v>4</v>
      </c>
      <c r="B2782" s="3" t="s">
        <v>1943</v>
      </c>
      <c r="C2782" s="4">
        <v>74</v>
      </c>
      <c r="D2782" s="3" t="s">
        <v>6</v>
      </c>
      <c r="E2782" s="3" t="s">
        <v>7</v>
      </c>
      <c r="F2782" s="5">
        <v>48</v>
      </c>
      <c r="G2782" s="5">
        <v>168</v>
      </c>
      <c r="H2782" s="6">
        <v>3251.52</v>
      </c>
      <c r="I2782" s="22">
        <v>10599.84</v>
      </c>
      <c r="J2782" s="24">
        <f t="shared" si="129"/>
        <v>7.3447583876580782E-5</v>
      </c>
      <c r="K2782" s="25">
        <f t="shared" si="131"/>
        <v>0.91887747706538014</v>
      </c>
      <c r="L2782" s="26" t="s">
        <v>7517</v>
      </c>
      <c r="M2782" s="28"/>
      <c r="N2782" s="28"/>
      <c r="O2782" s="20">
        <v>8735.8799999999992</v>
      </c>
      <c r="P2782" s="27" t="str">
        <f t="shared" si="130"/>
        <v>laranja</v>
      </c>
    </row>
    <row r="2783" spans="1:16" ht="25.5">
      <c r="A2783" s="3" t="s">
        <v>4</v>
      </c>
      <c r="B2783" s="3" t="s">
        <v>1944</v>
      </c>
      <c r="C2783" s="4">
        <v>316</v>
      </c>
      <c r="D2783" s="3" t="s">
        <v>247</v>
      </c>
      <c r="E2783" s="3" t="s">
        <v>10</v>
      </c>
      <c r="F2783" s="5">
        <v>0</v>
      </c>
      <c r="G2783" s="5">
        <v>231</v>
      </c>
      <c r="H2783" s="6">
        <v>0</v>
      </c>
      <c r="I2783" s="22">
        <v>10596.54</v>
      </c>
      <c r="J2783" s="24">
        <f t="shared" si="129"/>
        <v>7.3424717774187465E-5</v>
      </c>
      <c r="K2783" s="25">
        <f t="shared" si="131"/>
        <v>0.91895090178315431</v>
      </c>
      <c r="L2783" s="26" t="s">
        <v>7517</v>
      </c>
      <c r="M2783" s="28"/>
      <c r="N2783" s="28"/>
      <c r="O2783" s="20" t="s">
        <v>7530</v>
      </c>
      <c r="P2783" s="27" t="str">
        <f t="shared" si="130"/>
        <v>vermelho</v>
      </c>
    </row>
    <row r="2784" spans="1:16" ht="25.5">
      <c r="A2784" s="3" t="s">
        <v>5667</v>
      </c>
      <c r="B2784" s="3" t="s">
        <v>5668</v>
      </c>
      <c r="C2784" s="4">
        <v>74</v>
      </c>
      <c r="D2784" s="3" t="s">
        <v>6</v>
      </c>
      <c r="E2784" s="3" t="s">
        <v>7</v>
      </c>
      <c r="F2784" s="5">
        <v>333</v>
      </c>
      <c r="G2784" s="5">
        <v>168</v>
      </c>
      <c r="H2784" s="6">
        <v>19783.2</v>
      </c>
      <c r="I2784" s="22">
        <v>10591.08</v>
      </c>
      <c r="J2784" s="24">
        <f t="shared" si="129"/>
        <v>7.3386884768409435E-5</v>
      </c>
      <c r="K2784" s="25">
        <f t="shared" si="131"/>
        <v>0.91902428866792274</v>
      </c>
      <c r="L2784" s="26" t="s">
        <v>7517</v>
      </c>
      <c r="M2784" s="28"/>
      <c r="N2784" s="28"/>
      <c r="O2784" s="20">
        <v>10240.32</v>
      </c>
      <c r="P2784" s="27" t="str">
        <f t="shared" si="130"/>
        <v>laranja</v>
      </c>
    </row>
    <row r="2785" spans="1:16" ht="38.25">
      <c r="A2785" s="3" t="s">
        <v>4</v>
      </c>
      <c r="B2785" s="3" t="s">
        <v>1945</v>
      </c>
      <c r="C2785" s="4">
        <v>143</v>
      </c>
      <c r="D2785" s="3" t="s">
        <v>44</v>
      </c>
      <c r="E2785" s="3" t="s">
        <v>41</v>
      </c>
      <c r="F2785" s="5">
        <v>240</v>
      </c>
      <c r="G2785" s="5">
        <v>180</v>
      </c>
      <c r="H2785" s="6">
        <v>14568.84</v>
      </c>
      <c r="I2785" s="22">
        <v>10581</v>
      </c>
      <c r="J2785" s="24">
        <f t="shared" si="129"/>
        <v>7.331703921928078E-5</v>
      </c>
      <c r="K2785" s="25">
        <f t="shared" si="131"/>
        <v>0.91909760570714205</v>
      </c>
      <c r="L2785" s="26" t="s">
        <v>7517</v>
      </c>
      <c r="M2785" s="28"/>
      <c r="N2785" s="28"/>
      <c r="O2785" s="20" t="s">
        <v>7530</v>
      </c>
      <c r="P2785" s="27" t="str">
        <f t="shared" si="130"/>
        <v>vermelho</v>
      </c>
    </row>
    <row r="2786" spans="1:16" ht="25.5">
      <c r="A2786" s="3" t="s">
        <v>4</v>
      </c>
      <c r="B2786" s="3" t="s">
        <v>1946</v>
      </c>
      <c r="C2786" s="4">
        <v>178</v>
      </c>
      <c r="D2786" s="3" t="s">
        <v>74</v>
      </c>
      <c r="E2786" s="3" t="s">
        <v>7</v>
      </c>
      <c r="F2786" s="5">
        <v>132</v>
      </c>
      <c r="G2786" s="5">
        <v>192</v>
      </c>
      <c r="H2786" s="6">
        <v>8638.7999999999993</v>
      </c>
      <c r="I2786" s="22">
        <v>10579.92</v>
      </c>
      <c r="J2786" s="24">
        <f t="shared" si="129"/>
        <v>7.3309555767588416E-5</v>
      </c>
      <c r="K2786" s="25">
        <f t="shared" si="131"/>
        <v>0.91917091526290962</v>
      </c>
      <c r="L2786" s="26" t="s">
        <v>7517</v>
      </c>
      <c r="M2786" s="28"/>
      <c r="N2786" s="28"/>
      <c r="O2786" s="20">
        <v>8893.44</v>
      </c>
      <c r="P2786" s="27" t="str">
        <f t="shared" si="130"/>
        <v>laranja</v>
      </c>
    </row>
    <row r="2787" spans="1:16" ht="25.5">
      <c r="A2787" s="3" t="s">
        <v>4</v>
      </c>
      <c r="B2787" s="3" t="s">
        <v>1947</v>
      </c>
      <c r="C2787" s="4">
        <v>178</v>
      </c>
      <c r="D2787" s="3" t="s">
        <v>74</v>
      </c>
      <c r="E2787" s="3" t="s">
        <v>7</v>
      </c>
      <c r="F2787" s="5">
        <v>108</v>
      </c>
      <c r="G2787" s="5">
        <v>168</v>
      </c>
      <c r="H2787" s="6">
        <v>6898.92</v>
      </c>
      <c r="I2787" s="22">
        <v>10578.24</v>
      </c>
      <c r="J2787" s="24">
        <f t="shared" si="129"/>
        <v>7.3297914842733645E-5</v>
      </c>
      <c r="K2787" s="25">
        <f t="shared" si="131"/>
        <v>0.9192442131777524</v>
      </c>
      <c r="L2787" s="26" t="s">
        <v>7517</v>
      </c>
      <c r="M2787" s="28"/>
      <c r="N2787" s="28"/>
      <c r="O2787" s="20">
        <v>8404.2000000000007</v>
      </c>
      <c r="P2787" s="27" t="str">
        <f t="shared" si="130"/>
        <v>laranja</v>
      </c>
    </row>
    <row r="2788" spans="1:16" ht="25.5">
      <c r="A2788" s="3" t="s">
        <v>4</v>
      </c>
      <c r="B2788" s="3" t="s">
        <v>1948</v>
      </c>
      <c r="C2788" s="4">
        <v>261</v>
      </c>
      <c r="D2788" s="3" t="s">
        <v>9</v>
      </c>
      <c r="E2788" s="3" t="s">
        <v>10</v>
      </c>
      <c r="F2788" s="5">
        <v>249</v>
      </c>
      <c r="G2788" s="5">
        <v>174</v>
      </c>
      <c r="H2788" s="6">
        <v>14259.72</v>
      </c>
      <c r="I2788" s="22">
        <v>10574.34</v>
      </c>
      <c r="J2788" s="24">
        <f t="shared" si="129"/>
        <v>7.3270891267177921E-5</v>
      </c>
      <c r="K2788" s="25">
        <f t="shared" si="131"/>
        <v>0.91931748406901959</v>
      </c>
      <c r="L2788" s="26" t="s">
        <v>7517</v>
      </c>
      <c r="M2788" s="28"/>
      <c r="N2788" s="28"/>
      <c r="O2788" s="20">
        <v>9217.5</v>
      </c>
      <c r="P2788" s="27" t="str">
        <f t="shared" si="130"/>
        <v>laranja</v>
      </c>
    </row>
    <row r="2789" spans="1:16" ht="25.5">
      <c r="A2789" s="3" t="s">
        <v>4</v>
      </c>
      <c r="B2789" s="3" t="s">
        <v>1949</v>
      </c>
      <c r="C2789" s="4">
        <v>299</v>
      </c>
      <c r="D2789" s="3" t="s">
        <v>111</v>
      </c>
      <c r="E2789" s="3" t="s">
        <v>49</v>
      </c>
      <c r="F2789" s="5">
        <v>165</v>
      </c>
      <c r="G2789" s="5">
        <v>177</v>
      </c>
      <c r="H2789" s="6">
        <v>9474.06</v>
      </c>
      <c r="I2789" s="22">
        <v>10570.38</v>
      </c>
      <c r="J2789" s="24">
        <f t="shared" si="129"/>
        <v>7.324345194430593E-5</v>
      </c>
      <c r="K2789" s="25">
        <f t="shared" si="131"/>
        <v>0.91939072752096385</v>
      </c>
      <c r="L2789" s="26" t="s">
        <v>7517</v>
      </c>
      <c r="M2789" s="28"/>
      <c r="N2789" s="28"/>
      <c r="O2789" s="20" t="s">
        <v>7530</v>
      </c>
      <c r="P2789" s="27" t="str">
        <f t="shared" si="130"/>
        <v>vermelho</v>
      </c>
    </row>
    <row r="2790" spans="1:16" ht="38.25">
      <c r="A2790" s="3" t="s">
        <v>4</v>
      </c>
      <c r="B2790" s="3" t="s">
        <v>1950</v>
      </c>
      <c r="C2790" s="4">
        <v>371</v>
      </c>
      <c r="D2790" s="3" t="s">
        <v>82</v>
      </c>
      <c r="E2790" s="3" t="s">
        <v>49</v>
      </c>
      <c r="F2790" s="5">
        <v>0</v>
      </c>
      <c r="G2790" s="5">
        <v>210</v>
      </c>
      <c r="H2790" s="6">
        <v>0</v>
      </c>
      <c r="I2790" s="22">
        <v>10570.236000000001</v>
      </c>
      <c r="J2790" s="24">
        <f t="shared" si="129"/>
        <v>7.3242454150746972E-5</v>
      </c>
      <c r="K2790" s="25">
        <f t="shared" si="131"/>
        <v>0.91946396997511459</v>
      </c>
      <c r="L2790" s="26" t="s">
        <v>7517</v>
      </c>
      <c r="M2790" s="28"/>
      <c r="N2790" s="28"/>
      <c r="O2790" s="20" t="s">
        <v>7530</v>
      </c>
      <c r="P2790" s="27" t="str">
        <f t="shared" si="130"/>
        <v>vermelho</v>
      </c>
    </row>
    <row r="2791" spans="1:16" ht="38.25">
      <c r="A2791" s="3" t="s">
        <v>4</v>
      </c>
      <c r="B2791" s="3" t="s">
        <v>1951</v>
      </c>
      <c r="C2791" s="4">
        <v>11</v>
      </c>
      <c r="D2791" s="3" t="s">
        <v>61</v>
      </c>
      <c r="E2791" s="3" t="s">
        <v>10</v>
      </c>
      <c r="F2791" s="5">
        <v>0</v>
      </c>
      <c r="G2791" s="5">
        <v>192</v>
      </c>
      <c r="H2791" s="6">
        <v>0</v>
      </c>
      <c r="I2791" s="22">
        <v>10570.2</v>
      </c>
      <c r="J2791" s="24">
        <f t="shared" si="129"/>
        <v>7.3242204702357225E-5</v>
      </c>
      <c r="K2791" s="25">
        <f t="shared" si="131"/>
        <v>0.91953721217981699</v>
      </c>
      <c r="L2791" s="26" t="s">
        <v>7517</v>
      </c>
      <c r="M2791" s="28"/>
      <c r="N2791" s="28"/>
      <c r="O2791" s="20">
        <v>16684.62</v>
      </c>
      <c r="P2791" s="27" t="str">
        <f t="shared" si="130"/>
        <v>verde</v>
      </c>
    </row>
    <row r="2792" spans="1:16" ht="38.25">
      <c r="A2792" s="3" t="s">
        <v>4</v>
      </c>
      <c r="B2792" s="3" t="s">
        <v>1952</v>
      </c>
      <c r="C2792" s="4">
        <v>297</v>
      </c>
      <c r="D2792" s="3" t="s">
        <v>115</v>
      </c>
      <c r="E2792" s="3" t="s">
        <v>41</v>
      </c>
      <c r="F2792" s="5">
        <v>144</v>
      </c>
      <c r="G2792" s="5">
        <v>168</v>
      </c>
      <c r="H2792" s="6">
        <v>9253.32</v>
      </c>
      <c r="I2792" s="22">
        <v>10558.32</v>
      </c>
      <c r="J2792" s="24">
        <f t="shared" si="129"/>
        <v>7.3159886733741293E-5</v>
      </c>
      <c r="K2792" s="25">
        <f t="shared" si="131"/>
        <v>0.91961037206655072</v>
      </c>
      <c r="L2792" s="26" t="s">
        <v>7517</v>
      </c>
      <c r="M2792" s="28"/>
      <c r="N2792" s="28"/>
      <c r="O2792" s="20">
        <v>2191.56</v>
      </c>
      <c r="P2792" s="27" t="str">
        <f t="shared" si="130"/>
        <v>amarelo</v>
      </c>
    </row>
    <row r="2793" spans="1:16" ht="25.5">
      <c r="A2793" s="3" t="s">
        <v>4</v>
      </c>
      <c r="B2793" s="3" t="s">
        <v>1953</v>
      </c>
      <c r="C2793" s="4">
        <v>266</v>
      </c>
      <c r="D2793" s="3" t="s">
        <v>80</v>
      </c>
      <c r="E2793" s="3" t="s">
        <v>10</v>
      </c>
      <c r="F2793" s="5">
        <v>324</v>
      </c>
      <c r="G2793" s="5">
        <v>180</v>
      </c>
      <c r="H2793" s="6">
        <v>19052.22</v>
      </c>
      <c r="I2793" s="22">
        <v>10552.14</v>
      </c>
      <c r="J2793" s="24">
        <f t="shared" si="129"/>
        <v>7.3117064760168363E-5</v>
      </c>
      <c r="K2793" s="25">
        <f t="shared" si="131"/>
        <v>0.91968348913131093</v>
      </c>
      <c r="L2793" s="26" t="s">
        <v>7517</v>
      </c>
      <c r="M2793" s="28"/>
      <c r="N2793" s="28"/>
      <c r="O2793" s="20">
        <v>14032.86</v>
      </c>
      <c r="P2793" s="27" t="str">
        <f t="shared" si="130"/>
        <v>verde</v>
      </c>
    </row>
    <row r="2794" spans="1:16" ht="25.5">
      <c r="A2794" s="3" t="s">
        <v>4</v>
      </c>
      <c r="B2794" s="3" t="s">
        <v>1954</v>
      </c>
      <c r="C2794" s="4">
        <v>19</v>
      </c>
      <c r="D2794" s="3" t="s">
        <v>72</v>
      </c>
      <c r="E2794" s="3" t="s">
        <v>41</v>
      </c>
      <c r="F2794" s="5">
        <v>114</v>
      </c>
      <c r="G2794" s="5">
        <v>186</v>
      </c>
      <c r="H2794" s="6">
        <v>6220.86</v>
      </c>
      <c r="I2794" s="22">
        <v>10552.08</v>
      </c>
      <c r="J2794" s="24">
        <f t="shared" si="129"/>
        <v>7.3116649012852124E-5</v>
      </c>
      <c r="K2794" s="25">
        <f t="shared" si="131"/>
        <v>0.91975660578032381</v>
      </c>
      <c r="L2794" s="26" t="s">
        <v>7517</v>
      </c>
      <c r="M2794" s="28"/>
      <c r="N2794" s="28"/>
      <c r="O2794" s="20">
        <v>3307.62</v>
      </c>
      <c r="P2794" s="27" t="str">
        <f t="shared" si="130"/>
        <v>amarelo</v>
      </c>
    </row>
    <row r="2795" spans="1:16" ht="25.5">
      <c r="A2795" s="3" t="s">
        <v>4</v>
      </c>
      <c r="B2795" s="3" t="s">
        <v>1955</v>
      </c>
      <c r="C2795" s="4">
        <v>267</v>
      </c>
      <c r="D2795" s="3" t="s">
        <v>125</v>
      </c>
      <c r="E2795" s="3" t="s">
        <v>16</v>
      </c>
      <c r="F2795" s="5">
        <v>84</v>
      </c>
      <c r="G2795" s="5">
        <v>180</v>
      </c>
      <c r="H2795" s="6">
        <v>3743.16</v>
      </c>
      <c r="I2795" s="22">
        <v>10540.2</v>
      </c>
      <c r="J2795" s="24">
        <f t="shared" si="129"/>
        <v>7.3034331044236205E-5</v>
      </c>
      <c r="K2795" s="25">
        <f t="shared" si="131"/>
        <v>0.91982964011136803</v>
      </c>
      <c r="L2795" s="26" t="s">
        <v>7517</v>
      </c>
      <c r="M2795" s="28"/>
      <c r="N2795" s="28"/>
      <c r="O2795" s="20" t="s">
        <v>7530</v>
      </c>
      <c r="P2795" s="27" t="str">
        <f t="shared" si="130"/>
        <v>vermelho</v>
      </c>
    </row>
    <row r="2796" spans="1:16" ht="25.5">
      <c r="A2796" s="3" t="s">
        <v>4</v>
      </c>
      <c r="B2796" s="3" t="s">
        <v>1956</v>
      </c>
      <c r="C2796" s="4">
        <v>218</v>
      </c>
      <c r="D2796" s="3" t="s">
        <v>104</v>
      </c>
      <c r="E2796" s="3" t="s">
        <v>16</v>
      </c>
      <c r="F2796" s="5">
        <v>0</v>
      </c>
      <c r="G2796" s="5">
        <v>204</v>
      </c>
      <c r="H2796" s="6">
        <v>0</v>
      </c>
      <c r="I2796" s="22">
        <v>10539.45</v>
      </c>
      <c r="J2796" s="24">
        <f t="shared" si="129"/>
        <v>7.3029134202783186E-5</v>
      </c>
      <c r="K2796" s="25">
        <f t="shared" si="131"/>
        <v>0.91990266924557085</v>
      </c>
      <c r="L2796" s="26" t="s">
        <v>7517</v>
      </c>
      <c r="M2796" s="28"/>
      <c r="N2796" s="28"/>
      <c r="O2796" s="20" t="s">
        <v>7530</v>
      </c>
      <c r="P2796" s="27" t="str">
        <f t="shared" si="130"/>
        <v>vermelho</v>
      </c>
    </row>
    <row r="2797" spans="1:16" ht="25.5">
      <c r="A2797" s="3" t="s">
        <v>4</v>
      </c>
      <c r="B2797" s="3" t="s">
        <v>1957</v>
      </c>
      <c r="C2797" s="4">
        <v>178</v>
      </c>
      <c r="D2797" s="3" t="s">
        <v>74</v>
      </c>
      <c r="E2797" s="3" t="s">
        <v>7</v>
      </c>
      <c r="F2797" s="5">
        <v>0</v>
      </c>
      <c r="G2797" s="5">
        <v>180</v>
      </c>
      <c r="H2797" s="6">
        <v>0</v>
      </c>
      <c r="I2797" s="22">
        <v>10533.24</v>
      </c>
      <c r="J2797" s="24">
        <f t="shared" si="129"/>
        <v>7.2986104355552122E-5</v>
      </c>
      <c r="K2797" s="25">
        <f t="shared" si="131"/>
        <v>0.91997565534992642</v>
      </c>
      <c r="L2797" s="26" t="s">
        <v>7517</v>
      </c>
      <c r="M2797" s="28"/>
      <c r="N2797" s="28"/>
      <c r="O2797" s="20" t="s">
        <v>7530</v>
      </c>
      <c r="P2797" s="27" t="str">
        <f t="shared" si="130"/>
        <v>vermelho</v>
      </c>
    </row>
    <row r="2798" spans="1:16" ht="38.25">
      <c r="A2798" s="3" t="s">
        <v>4</v>
      </c>
      <c r="B2798" s="3" t="s">
        <v>1958</v>
      </c>
      <c r="C2798" s="4">
        <v>19</v>
      </c>
      <c r="D2798" s="3" t="s">
        <v>72</v>
      </c>
      <c r="E2798" s="3" t="s">
        <v>41</v>
      </c>
      <c r="F2798" s="5">
        <v>102</v>
      </c>
      <c r="G2798" s="5">
        <v>162</v>
      </c>
      <c r="H2798" s="6">
        <v>6804.81</v>
      </c>
      <c r="I2798" s="22">
        <v>10519.92</v>
      </c>
      <c r="J2798" s="24">
        <f t="shared" si="129"/>
        <v>7.2893808451346404E-5</v>
      </c>
      <c r="K2798" s="25">
        <f t="shared" si="131"/>
        <v>0.92004854915837775</v>
      </c>
      <c r="L2798" s="26" t="s">
        <v>7517</v>
      </c>
      <c r="M2798" s="28"/>
      <c r="N2798" s="28"/>
      <c r="O2798" s="20" t="s">
        <v>7530</v>
      </c>
      <c r="P2798" s="27" t="str">
        <f t="shared" si="130"/>
        <v>vermelho</v>
      </c>
    </row>
    <row r="2799" spans="1:16" ht="38.25">
      <c r="A2799" s="3" t="s">
        <v>6675</v>
      </c>
      <c r="B2799" s="3" t="s">
        <v>6676</v>
      </c>
      <c r="C2799" s="4">
        <v>292</v>
      </c>
      <c r="D2799" s="3" t="s">
        <v>57</v>
      </c>
      <c r="E2799" s="3" t="s">
        <v>49</v>
      </c>
      <c r="F2799" s="5">
        <v>264</v>
      </c>
      <c r="G2799" s="5">
        <v>207</v>
      </c>
      <c r="H2799" s="6">
        <v>14512.842000000001</v>
      </c>
      <c r="I2799" s="22">
        <v>10517.04</v>
      </c>
      <c r="J2799" s="24">
        <f t="shared" si="129"/>
        <v>7.287385258016679E-5</v>
      </c>
      <c r="K2799" s="25">
        <f t="shared" si="131"/>
        <v>0.9201214230109579</v>
      </c>
      <c r="L2799" s="26" t="s">
        <v>7517</v>
      </c>
      <c r="M2799" s="28"/>
      <c r="N2799" s="28"/>
      <c r="O2799" s="20">
        <v>19342.95</v>
      </c>
      <c r="P2799" s="27" t="str">
        <f t="shared" si="130"/>
        <v>verde</v>
      </c>
    </row>
    <row r="2800" spans="1:16" ht="25.5">
      <c r="A2800" s="3" t="s">
        <v>4</v>
      </c>
      <c r="B2800" s="3" t="s">
        <v>1959</v>
      </c>
      <c r="C2800" s="4">
        <v>167</v>
      </c>
      <c r="D2800" s="3" t="s">
        <v>251</v>
      </c>
      <c r="E2800" s="3" t="s">
        <v>49</v>
      </c>
      <c r="F2800" s="5">
        <v>96</v>
      </c>
      <c r="G2800" s="5">
        <v>174</v>
      </c>
      <c r="H2800" s="6">
        <v>5168.28</v>
      </c>
      <c r="I2800" s="22">
        <v>10509.18</v>
      </c>
      <c r="J2800" s="24">
        <f t="shared" si="129"/>
        <v>7.2819389681739075E-5</v>
      </c>
      <c r="K2800" s="25">
        <f t="shared" si="131"/>
        <v>0.92019424240063963</v>
      </c>
      <c r="L2800" s="26" t="s">
        <v>7517</v>
      </c>
      <c r="M2800" s="28"/>
      <c r="N2800" s="28"/>
      <c r="O2800" s="20" t="s">
        <v>7530</v>
      </c>
      <c r="P2800" s="27" t="str">
        <f t="shared" si="130"/>
        <v>vermelho</v>
      </c>
    </row>
    <row r="2801" spans="1:16" ht="25.5">
      <c r="A2801" s="3" t="s">
        <v>4</v>
      </c>
      <c r="B2801" s="3" t="s">
        <v>1960</v>
      </c>
      <c r="C2801" s="4">
        <v>197</v>
      </c>
      <c r="D2801" s="3" t="s">
        <v>66</v>
      </c>
      <c r="E2801" s="3" t="s">
        <v>41</v>
      </c>
      <c r="F2801" s="5">
        <v>180</v>
      </c>
      <c r="G2801" s="5">
        <v>216</v>
      </c>
      <c r="H2801" s="6">
        <v>7403.951</v>
      </c>
      <c r="I2801" s="22">
        <v>10497.72</v>
      </c>
      <c r="J2801" s="24">
        <f t="shared" si="129"/>
        <v>7.2739981944336846E-5</v>
      </c>
      <c r="K2801" s="25">
        <f t="shared" si="131"/>
        <v>0.92026698238258398</v>
      </c>
      <c r="L2801" s="26" t="s">
        <v>7517</v>
      </c>
      <c r="M2801" s="28"/>
      <c r="N2801" s="28"/>
      <c r="O2801" s="20" t="s">
        <v>7530</v>
      </c>
      <c r="P2801" s="27" t="str">
        <f t="shared" si="130"/>
        <v>vermelho</v>
      </c>
    </row>
    <row r="2802" spans="1:16" ht="25.5">
      <c r="A2802" s="3" t="s">
        <v>4</v>
      </c>
      <c r="B2802" s="3" t="s">
        <v>1961</v>
      </c>
      <c r="C2802" s="4">
        <v>328</v>
      </c>
      <c r="D2802" s="3" t="s">
        <v>215</v>
      </c>
      <c r="E2802" s="3" t="s">
        <v>41</v>
      </c>
      <c r="F2802" s="5">
        <v>120</v>
      </c>
      <c r="G2802" s="5">
        <v>174</v>
      </c>
      <c r="H2802" s="6">
        <v>6963.8040000000001</v>
      </c>
      <c r="I2802" s="22">
        <v>10492.51</v>
      </c>
      <c r="J2802" s="24">
        <f t="shared" si="129"/>
        <v>7.2703881219043169E-5</v>
      </c>
      <c r="K2802" s="25">
        <f t="shared" si="131"/>
        <v>0.92033968626380303</v>
      </c>
      <c r="L2802" s="26" t="s">
        <v>7517</v>
      </c>
      <c r="M2802" s="28"/>
      <c r="N2802" s="28"/>
      <c r="O2802" s="20">
        <v>9913.14</v>
      </c>
      <c r="P2802" s="27" t="str">
        <f t="shared" si="130"/>
        <v>laranja</v>
      </c>
    </row>
    <row r="2803" spans="1:16">
      <c r="A2803" s="3" t="s">
        <v>4</v>
      </c>
      <c r="B2803" s="3" t="s">
        <v>1962</v>
      </c>
      <c r="C2803" s="4">
        <v>315</v>
      </c>
      <c r="D2803" s="3" t="s">
        <v>63</v>
      </c>
      <c r="E2803" s="3" t="s">
        <v>7</v>
      </c>
      <c r="F2803" s="5">
        <v>228</v>
      </c>
      <c r="G2803" s="5">
        <v>183</v>
      </c>
      <c r="H2803" s="6">
        <v>13007.88</v>
      </c>
      <c r="I2803" s="22">
        <v>10491.532999999999</v>
      </c>
      <c r="J2803" s="24">
        <f t="shared" si="129"/>
        <v>7.2697111466910353E-5</v>
      </c>
      <c r="K2803" s="25">
        <f t="shared" si="131"/>
        <v>0.92041238337526998</v>
      </c>
      <c r="L2803" s="26" t="s">
        <v>7517</v>
      </c>
      <c r="M2803" s="28"/>
      <c r="N2803" s="28"/>
      <c r="O2803" s="20">
        <v>8125.4639999999999</v>
      </c>
      <c r="P2803" s="27" t="str">
        <f t="shared" si="130"/>
        <v>laranja</v>
      </c>
    </row>
    <row r="2804" spans="1:16" ht="38.25">
      <c r="A2804" s="3" t="s">
        <v>4</v>
      </c>
      <c r="B2804" s="3" t="s">
        <v>1963</v>
      </c>
      <c r="C2804" s="4">
        <v>232</v>
      </c>
      <c r="D2804" s="3" t="s">
        <v>174</v>
      </c>
      <c r="E2804" s="3" t="s">
        <v>16</v>
      </c>
      <c r="F2804" s="5">
        <v>162</v>
      </c>
      <c r="G2804" s="5">
        <v>180</v>
      </c>
      <c r="H2804" s="6">
        <v>8725.5</v>
      </c>
      <c r="I2804" s="22">
        <v>10486.86</v>
      </c>
      <c r="J2804" s="24">
        <f t="shared" si="129"/>
        <v>7.2664731680097052E-5</v>
      </c>
      <c r="K2804" s="25">
        <f t="shared" si="131"/>
        <v>0.92048504810695009</v>
      </c>
      <c r="L2804" s="26" t="s">
        <v>7517</v>
      </c>
      <c r="M2804" s="28"/>
      <c r="N2804" s="28"/>
      <c r="O2804" s="20" t="s">
        <v>7530</v>
      </c>
      <c r="P2804" s="27" t="str">
        <f t="shared" si="130"/>
        <v>vermelho</v>
      </c>
    </row>
    <row r="2805" spans="1:16">
      <c r="A2805" s="3" t="s">
        <v>6677</v>
      </c>
      <c r="B2805" s="3" t="s">
        <v>6678</v>
      </c>
      <c r="C2805" s="4">
        <v>240</v>
      </c>
      <c r="D2805" s="3" t="s">
        <v>69</v>
      </c>
      <c r="E2805" s="3" t="s">
        <v>16</v>
      </c>
      <c r="F2805" s="5">
        <v>243</v>
      </c>
      <c r="G2805" s="5">
        <v>153</v>
      </c>
      <c r="H2805" s="6">
        <v>14146.71</v>
      </c>
      <c r="I2805" s="22">
        <v>10486.26</v>
      </c>
      <c r="J2805" s="24">
        <f t="shared" si="129"/>
        <v>7.2660574206934631E-5</v>
      </c>
      <c r="K2805" s="25">
        <f t="shared" si="131"/>
        <v>0.92055770868115705</v>
      </c>
      <c r="L2805" s="26" t="s">
        <v>7517</v>
      </c>
      <c r="M2805" s="28"/>
      <c r="N2805" s="28"/>
      <c r="O2805" s="20">
        <v>5286.63</v>
      </c>
      <c r="P2805" s="27" t="str">
        <f t="shared" si="130"/>
        <v>amarelo</v>
      </c>
    </row>
    <row r="2806" spans="1:16" ht="25.5">
      <c r="A2806" s="3" t="s">
        <v>4</v>
      </c>
      <c r="B2806" s="3" t="s">
        <v>1964</v>
      </c>
      <c r="C2806" s="4">
        <v>240</v>
      </c>
      <c r="D2806" s="3" t="s">
        <v>69</v>
      </c>
      <c r="E2806" s="3" t="s">
        <v>16</v>
      </c>
      <c r="F2806" s="5">
        <v>228</v>
      </c>
      <c r="G2806" s="5">
        <v>192</v>
      </c>
      <c r="H2806" s="6">
        <v>12484.08</v>
      </c>
      <c r="I2806" s="22">
        <v>10486.2</v>
      </c>
      <c r="J2806" s="24">
        <f t="shared" si="129"/>
        <v>7.2660158459618391E-5</v>
      </c>
      <c r="K2806" s="25">
        <f t="shared" si="131"/>
        <v>0.92063036883961669</v>
      </c>
      <c r="L2806" s="26" t="s">
        <v>7517</v>
      </c>
      <c r="M2806" s="28"/>
      <c r="N2806" s="28"/>
      <c r="O2806" s="20">
        <v>10343.4</v>
      </c>
      <c r="P2806" s="27" t="str">
        <f t="shared" si="130"/>
        <v>laranja</v>
      </c>
    </row>
    <row r="2807" spans="1:16" ht="25.5">
      <c r="A2807" s="3" t="s">
        <v>4</v>
      </c>
      <c r="B2807" s="3" t="s">
        <v>1965</v>
      </c>
      <c r="C2807" s="4">
        <v>15</v>
      </c>
      <c r="D2807" s="3" t="s">
        <v>18</v>
      </c>
      <c r="E2807" s="3" t="s">
        <v>16</v>
      </c>
      <c r="F2807" s="5">
        <v>0</v>
      </c>
      <c r="G2807" s="5">
        <v>192</v>
      </c>
      <c r="H2807" s="6">
        <v>0</v>
      </c>
      <c r="I2807" s="22">
        <v>10485.719999999999</v>
      </c>
      <c r="J2807" s="24">
        <f t="shared" si="129"/>
        <v>7.2656832481088435E-5</v>
      </c>
      <c r="K2807" s="25">
        <f t="shared" si="131"/>
        <v>0.92070302567209783</v>
      </c>
      <c r="L2807" s="26" t="s">
        <v>7517</v>
      </c>
      <c r="M2807" s="28"/>
      <c r="N2807" s="28"/>
      <c r="O2807" s="20" t="s">
        <v>7530</v>
      </c>
      <c r="P2807" s="27" t="str">
        <f t="shared" si="130"/>
        <v>vermelho</v>
      </c>
    </row>
    <row r="2808" spans="1:16" ht="38.25">
      <c r="A2808" s="3" t="s">
        <v>4</v>
      </c>
      <c r="B2808" s="3" t="s">
        <v>1966</v>
      </c>
      <c r="C2808" s="4">
        <v>34</v>
      </c>
      <c r="D2808" s="3" t="s">
        <v>54</v>
      </c>
      <c r="E2808" s="3" t="s">
        <v>49</v>
      </c>
      <c r="F2808" s="5">
        <v>54</v>
      </c>
      <c r="G2808" s="5">
        <v>156</v>
      </c>
      <c r="H2808" s="6">
        <v>2855.46</v>
      </c>
      <c r="I2808" s="22">
        <v>10462.44</v>
      </c>
      <c r="J2808" s="24">
        <f t="shared" si="129"/>
        <v>7.2495522522386541E-5</v>
      </c>
      <c r="K2808" s="25">
        <f t="shared" si="131"/>
        <v>0.92077552119462025</v>
      </c>
      <c r="L2808" s="26" t="s">
        <v>7517</v>
      </c>
      <c r="M2808" s="28"/>
      <c r="N2808" s="28"/>
      <c r="O2808" s="20" t="s">
        <v>7530</v>
      </c>
      <c r="P2808" s="27" t="str">
        <f t="shared" si="130"/>
        <v>vermelho</v>
      </c>
    </row>
    <row r="2809" spans="1:16" ht="38.25">
      <c r="A2809" s="3" t="s">
        <v>4</v>
      </c>
      <c r="B2809" s="3" t="s">
        <v>1967</v>
      </c>
      <c r="C2809" s="4">
        <v>292</v>
      </c>
      <c r="D2809" s="3" t="s">
        <v>57</v>
      </c>
      <c r="E2809" s="3" t="s">
        <v>49</v>
      </c>
      <c r="F2809" s="5">
        <v>360</v>
      </c>
      <c r="G2809" s="5">
        <v>171</v>
      </c>
      <c r="H2809" s="6">
        <v>18809.063999999998</v>
      </c>
      <c r="I2809" s="22">
        <v>10461.723</v>
      </c>
      <c r="J2809" s="24">
        <f t="shared" si="129"/>
        <v>7.2490554341957448E-5</v>
      </c>
      <c r="K2809" s="25">
        <f t="shared" si="131"/>
        <v>0.92084801174896225</v>
      </c>
      <c r="L2809" s="26" t="s">
        <v>7517</v>
      </c>
      <c r="M2809" s="28"/>
      <c r="N2809" s="28"/>
      <c r="O2809" s="20">
        <v>9108.36</v>
      </c>
      <c r="P2809" s="27" t="str">
        <f t="shared" si="130"/>
        <v>laranja</v>
      </c>
    </row>
    <row r="2810" spans="1:16" ht="25.5">
      <c r="A2810" s="3" t="s">
        <v>6679</v>
      </c>
      <c r="B2810" s="3" t="s">
        <v>6680</v>
      </c>
      <c r="C2810" s="4">
        <v>261</v>
      </c>
      <c r="D2810" s="3" t="s">
        <v>9</v>
      </c>
      <c r="E2810" s="3" t="s">
        <v>10</v>
      </c>
      <c r="F2810" s="5">
        <v>240</v>
      </c>
      <c r="G2810" s="5">
        <v>216</v>
      </c>
      <c r="H2810" s="6">
        <v>12537.6</v>
      </c>
      <c r="I2810" s="22">
        <v>10451.879999999999</v>
      </c>
      <c r="J2810" s="24">
        <f t="shared" si="129"/>
        <v>7.2422350994727944E-5</v>
      </c>
      <c r="K2810" s="25">
        <f t="shared" si="131"/>
        <v>0.92092043409995694</v>
      </c>
      <c r="L2810" s="26" t="s">
        <v>7517</v>
      </c>
      <c r="M2810" s="28"/>
      <c r="N2810" s="28"/>
      <c r="O2810" s="20" t="s">
        <v>7530</v>
      </c>
      <c r="P2810" s="27" t="str">
        <f t="shared" si="130"/>
        <v>vermelho</v>
      </c>
    </row>
    <row r="2811" spans="1:16">
      <c r="A2811" s="3" t="s">
        <v>4</v>
      </c>
      <c r="B2811" s="3" t="s">
        <v>1968</v>
      </c>
      <c r="C2811" s="4">
        <v>217</v>
      </c>
      <c r="D2811" s="3" t="s">
        <v>91</v>
      </c>
      <c r="E2811" s="3" t="s">
        <v>16</v>
      </c>
      <c r="F2811" s="5">
        <v>514</v>
      </c>
      <c r="G2811" s="5">
        <v>213</v>
      </c>
      <c r="H2811" s="6">
        <v>23568.14</v>
      </c>
      <c r="I2811" s="22">
        <v>10446.450000000001</v>
      </c>
      <c r="J2811" s="24">
        <f t="shared" si="129"/>
        <v>7.2384725862608047E-5</v>
      </c>
      <c r="K2811" s="25">
        <f t="shared" si="131"/>
        <v>0.92099281882581951</v>
      </c>
      <c r="L2811" s="26" t="s">
        <v>7517</v>
      </c>
      <c r="M2811" s="28"/>
      <c r="N2811" s="28"/>
      <c r="O2811" s="20" t="s">
        <v>7530</v>
      </c>
      <c r="P2811" s="27" t="str">
        <f t="shared" si="130"/>
        <v>vermelho</v>
      </c>
    </row>
    <row r="2812" spans="1:16" ht="25.5">
      <c r="A2812" s="3" t="s">
        <v>4</v>
      </c>
      <c r="B2812" s="3" t="s">
        <v>1969</v>
      </c>
      <c r="C2812" s="4">
        <v>93</v>
      </c>
      <c r="D2812" s="3" t="s">
        <v>20</v>
      </c>
      <c r="E2812" s="3" t="s">
        <v>7</v>
      </c>
      <c r="F2812" s="5">
        <v>0</v>
      </c>
      <c r="G2812" s="5">
        <v>168</v>
      </c>
      <c r="H2812" s="6">
        <v>0</v>
      </c>
      <c r="I2812" s="22">
        <v>10439.76</v>
      </c>
      <c r="J2812" s="24">
        <f t="shared" si="129"/>
        <v>7.2338370036847054E-5</v>
      </c>
      <c r="K2812" s="25">
        <f t="shared" si="131"/>
        <v>0.92106515719585635</v>
      </c>
      <c r="L2812" s="26" t="s">
        <v>7517</v>
      </c>
      <c r="M2812" s="28"/>
      <c r="N2812" s="28"/>
      <c r="O2812" s="20">
        <v>6898.56</v>
      </c>
      <c r="P2812" s="27" t="str">
        <f t="shared" si="130"/>
        <v>laranja</v>
      </c>
    </row>
    <row r="2813" spans="1:16" ht="38.25">
      <c r="A2813" s="3" t="s">
        <v>4</v>
      </c>
      <c r="B2813" s="3" t="s">
        <v>1970</v>
      </c>
      <c r="C2813" s="4">
        <v>11</v>
      </c>
      <c r="D2813" s="3" t="s">
        <v>61</v>
      </c>
      <c r="E2813" s="3" t="s">
        <v>10</v>
      </c>
      <c r="F2813" s="5">
        <v>108</v>
      </c>
      <c r="G2813" s="5">
        <v>156</v>
      </c>
      <c r="H2813" s="6">
        <v>6586.8</v>
      </c>
      <c r="I2813" s="22">
        <v>10430.879999999999</v>
      </c>
      <c r="J2813" s="24">
        <f t="shared" si="129"/>
        <v>7.2276839434043229E-5</v>
      </c>
      <c r="K2813" s="25">
        <f t="shared" si="131"/>
        <v>0.92113743403529036</v>
      </c>
      <c r="L2813" s="26" t="s">
        <v>7517</v>
      </c>
      <c r="M2813" s="28"/>
      <c r="N2813" s="28"/>
      <c r="O2813" s="20" t="s">
        <v>7530</v>
      </c>
      <c r="P2813" s="27" t="str">
        <f t="shared" si="130"/>
        <v>vermelho</v>
      </c>
    </row>
    <row r="2814" spans="1:16" ht="25.5">
      <c r="A2814" s="3" t="s">
        <v>4</v>
      </c>
      <c r="B2814" s="3" t="s">
        <v>1971</v>
      </c>
      <c r="C2814" s="4">
        <v>194</v>
      </c>
      <c r="D2814" s="3" t="s">
        <v>145</v>
      </c>
      <c r="E2814" s="3" t="s">
        <v>16</v>
      </c>
      <c r="F2814" s="5">
        <v>0</v>
      </c>
      <c r="G2814" s="5">
        <v>180</v>
      </c>
      <c r="H2814" s="6">
        <v>0</v>
      </c>
      <c r="I2814" s="22">
        <v>10426.68</v>
      </c>
      <c r="J2814" s="24">
        <f t="shared" si="129"/>
        <v>7.2247737121906294E-5</v>
      </c>
      <c r="K2814" s="25">
        <f t="shared" si="131"/>
        <v>0.92120968177241225</v>
      </c>
      <c r="L2814" s="26" t="s">
        <v>7517</v>
      </c>
      <c r="M2814" s="28"/>
      <c r="N2814" s="28"/>
      <c r="O2814" s="20" t="s">
        <v>7530</v>
      </c>
      <c r="P2814" s="27" t="str">
        <f t="shared" si="130"/>
        <v>vermelho</v>
      </c>
    </row>
    <row r="2815" spans="1:16" ht="25.5">
      <c r="A2815" s="3" t="s">
        <v>4</v>
      </c>
      <c r="B2815" s="3" t="s">
        <v>1972</v>
      </c>
      <c r="C2815" s="4">
        <v>187</v>
      </c>
      <c r="D2815" s="3" t="s">
        <v>96</v>
      </c>
      <c r="E2815" s="3" t="s">
        <v>7</v>
      </c>
      <c r="F2815" s="5">
        <v>138</v>
      </c>
      <c r="G2815" s="5">
        <v>189</v>
      </c>
      <c r="H2815" s="6">
        <v>8099.94</v>
      </c>
      <c r="I2815" s="22">
        <v>10409.19</v>
      </c>
      <c r="J2815" s="24">
        <f t="shared" si="129"/>
        <v>7.2126546779221747E-5</v>
      </c>
      <c r="K2815" s="25">
        <f t="shared" si="131"/>
        <v>0.92128180831919149</v>
      </c>
      <c r="L2815" s="26" t="s">
        <v>7517</v>
      </c>
      <c r="M2815" s="28"/>
      <c r="N2815" s="28"/>
      <c r="O2815" s="20">
        <v>4420.38</v>
      </c>
      <c r="P2815" s="27" t="str">
        <f t="shared" si="130"/>
        <v>amarelo</v>
      </c>
    </row>
    <row r="2816" spans="1:16" ht="38.25">
      <c r="A2816" s="3" t="s">
        <v>4</v>
      </c>
      <c r="B2816" s="3" t="s">
        <v>1973</v>
      </c>
      <c r="C2816" s="4">
        <v>45</v>
      </c>
      <c r="D2816" s="3" t="s">
        <v>23</v>
      </c>
      <c r="E2816" s="3" t="s">
        <v>7</v>
      </c>
      <c r="F2816" s="5">
        <v>0</v>
      </c>
      <c r="G2816" s="5">
        <v>171</v>
      </c>
      <c r="H2816" s="6">
        <v>0</v>
      </c>
      <c r="I2816" s="22">
        <v>10399.86</v>
      </c>
      <c r="J2816" s="24">
        <f t="shared" si="129"/>
        <v>7.2061898071546112E-5</v>
      </c>
      <c r="K2816" s="25">
        <f t="shared" si="131"/>
        <v>0.921353870217263</v>
      </c>
      <c r="L2816" s="26" t="s">
        <v>7517</v>
      </c>
      <c r="M2816" s="28"/>
      <c r="N2816" s="28"/>
      <c r="O2816" s="20">
        <v>21411.99</v>
      </c>
      <c r="P2816" s="27" t="str">
        <f t="shared" si="130"/>
        <v>verde</v>
      </c>
    </row>
    <row r="2817" spans="1:16" ht="25.5">
      <c r="A2817" s="3" t="s">
        <v>4</v>
      </c>
      <c r="B2817" s="3" t="s">
        <v>1974</v>
      </c>
      <c r="C2817" s="4">
        <v>267</v>
      </c>
      <c r="D2817" s="3" t="s">
        <v>125</v>
      </c>
      <c r="E2817" s="3" t="s">
        <v>16</v>
      </c>
      <c r="F2817" s="5">
        <v>252</v>
      </c>
      <c r="G2817" s="5">
        <v>168</v>
      </c>
      <c r="H2817" s="6">
        <v>13059.9</v>
      </c>
      <c r="I2817" s="22">
        <v>10399.709999999999</v>
      </c>
      <c r="J2817" s="24">
        <f t="shared" si="129"/>
        <v>7.20608587032555E-5</v>
      </c>
      <c r="K2817" s="25">
        <f t="shared" si="131"/>
        <v>0.92142593107596626</v>
      </c>
      <c r="L2817" s="26" t="s">
        <v>7517</v>
      </c>
      <c r="M2817" s="28"/>
      <c r="N2817" s="28"/>
      <c r="O2817" s="20" t="s">
        <v>7530</v>
      </c>
      <c r="P2817" s="27" t="str">
        <f t="shared" si="130"/>
        <v>vermelho</v>
      </c>
    </row>
    <row r="2818" spans="1:16" ht="25.5">
      <c r="A2818" s="3" t="s">
        <v>4</v>
      </c>
      <c r="B2818" s="3" t="s">
        <v>1975</v>
      </c>
      <c r="C2818" s="4">
        <v>296</v>
      </c>
      <c r="D2818" s="3" t="s">
        <v>282</v>
      </c>
      <c r="E2818" s="3" t="s">
        <v>10</v>
      </c>
      <c r="F2818" s="5">
        <v>0</v>
      </c>
      <c r="G2818" s="5">
        <v>204</v>
      </c>
      <c r="H2818" s="6">
        <v>0</v>
      </c>
      <c r="I2818" s="22">
        <v>10399.564</v>
      </c>
      <c r="J2818" s="24">
        <f t="shared" si="129"/>
        <v>7.2059847051452657E-5</v>
      </c>
      <c r="K2818" s="25">
        <f t="shared" si="131"/>
        <v>0.92149799092301776</v>
      </c>
      <c r="L2818" s="26" t="s">
        <v>7517</v>
      </c>
      <c r="M2818" s="28"/>
      <c r="N2818" s="28"/>
      <c r="O2818" s="20" t="s">
        <v>7530</v>
      </c>
      <c r="P2818" s="27" t="str">
        <f t="shared" si="130"/>
        <v>vermelho</v>
      </c>
    </row>
    <row r="2819" spans="1:16" ht="25.5">
      <c r="A2819" s="3" t="s">
        <v>4</v>
      </c>
      <c r="B2819" s="3" t="s">
        <v>1976</v>
      </c>
      <c r="C2819" s="4">
        <v>266</v>
      </c>
      <c r="D2819" s="3" t="s">
        <v>80</v>
      </c>
      <c r="E2819" s="3" t="s">
        <v>10</v>
      </c>
      <c r="F2819" s="5">
        <v>0</v>
      </c>
      <c r="G2819" s="5">
        <v>201</v>
      </c>
      <c r="H2819" s="6">
        <v>0</v>
      </c>
      <c r="I2819" s="22">
        <v>10390.59</v>
      </c>
      <c r="J2819" s="24">
        <f t="shared" ref="J2819:J2882" si="132">I2819/$I$6364</f>
        <v>7.1997665111186716E-5</v>
      </c>
      <c r="K2819" s="25">
        <f t="shared" si="131"/>
        <v>0.921569988588129</v>
      </c>
      <c r="L2819" s="26" t="s">
        <v>7517</v>
      </c>
      <c r="M2819" s="28"/>
      <c r="N2819" s="28"/>
      <c r="O2819" s="20" t="s">
        <v>7530</v>
      </c>
      <c r="P2819" s="27" t="str">
        <f t="shared" ref="P2819:P2882" si="133">IF(O2819&lt;=0,"vermelho",IFERROR(IF(O2819/I2819&lt;=0.5098,"amarelo",IF(O2819/I2819&lt;1,"laranja","verde")),"vermelho"))</f>
        <v>vermelho</v>
      </c>
    </row>
    <row r="2820" spans="1:16">
      <c r="A2820" s="3" t="s">
        <v>4</v>
      </c>
      <c r="B2820" s="3" t="s">
        <v>1977</v>
      </c>
      <c r="C2820" s="4">
        <v>231</v>
      </c>
      <c r="D2820" s="3" t="s">
        <v>52</v>
      </c>
      <c r="E2820" s="3" t="s">
        <v>7</v>
      </c>
      <c r="F2820" s="5">
        <v>0</v>
      </c>
      <c r="G2820" s="5">
        <v>198</v>
      </c>
      <c r="H2820" s="6">
        <v>0</v>
      </c>
      <c r="I2820" s="22">
        <v>10386.66</v>
      </c>
      <c r="J2820" s="24">
        <f t="shared" si="132"/>
        <v>7.1970433661972858E-5</v>
      </c>
      <c r="K2820" s="25">
        <f t="shared" ref="K2820:K2883" si="134">J2820+K2819</f>
        <v>0.92164195902179102</v>
      </c>
      <c r="L2820" s="26" t="s">
        <v>7517</v>
      </c>
      <c r="M2820" s="28"/>
      <c r="N2820" s="28"/>
      <c r="O2820" s="20" t="s">
        <v>7530</v>
      </c>
      <c r="P2820" s="27" t="str">
        <f t="shared" si="133"/>
        <v>vermelho</v>
      </c>
    </row>
    <row r="2821" spans="1:16" ht="25.5">
      <c r="A2821" s="3" t="s">
        <v>4</v>
      </c>
      <c r="B2821" s="3" t="s">
        <v>1978</v>
      </c>
      <c r="C2821" s="4">
        <v>178</v>
      </c>
      <c r="D2821" s="3" t="s">
        <v>74</v>
      </c>
      <c r="E2821" s="3" t="s">
        <v>7</v>
      </c>
      <c r="F2821" s="5">
        <v>135</v>
      </c>
      <c r="G2821" s="5">
        <v>168</v>
      </c>
      <c r="H2821" s="6">
        <v>7614.36</v>
      </c>
      <c r="I2821" s="22">
        <v>10386.48</v>
      </c>
      <c r="J2821" s="24">
        <f t="shared" si="132"/>
        <v>7.196918642002414E-5</v>
      </c>
      <c r="K2821" s="25">
        <f t="shared" si="134"/>
        <v>0.92171392820821108</v>
      </c>
      <c r="L2821" s="26" t="s">
        <v>7517</v>
      </c>
      <c r="M2821" s="28"/>
      <c r="N2821" s="28"/>
      <c r="O2821" s="20" t="s">
        <v>7530</v>
      </c>
      <c r="P2821" s="27" t="str">
        <f t="shared" si="133"/>
        <v>vermelho</v>
      </c>
    </row>
    <row r="2822" spans="1:16" ht="38.25">
      <c r="A2822" s="3" t="s">
        <v>4</v>
      </c>
      <c r="B2822" s="3" t="s">
        <v>1979</v>
      </c>
      <c r="C2822" s="4">
        <v>45</v>
      </c>
      <c r="D2822" s="3" t="s">
        <v>23</v>
      </c>
      <c r="E2822" s="3" t="s">
        <v>7</v>
      </c>
      <c r="F2822" s="5">
        <v>192</v>
      </c>
      <c r="G2822" s="5">
        <v>180</v>
      </c>
      <c r="H2822" s="6">
        <v>10570.32</v>
      </c>
      <c r="I2822" s="22">
        <v>10370.280000000001</v>
      </c>
      <c r="J2822" s="24">
        <f t="shared" si="132"/>
        <v>7.1856934644638795E-5</v>
      </c>
      <c r="K2822" s="25">
        <f t="shared" si="134"/>
        <v>0.9217857851428557</v>
      </c>
      <c r="L2822" s="26" t="s">
        <v>7517</v>
      </c>
      <c r="M2822" s="28"/>
      <c r="N2822" s="28"/>
      <c r="O2822" s="20">
        <v>9465.27</v>
      </c>
      <c r="P2822" s="27" t="str">
        <f t="shared" si="133"/>
        <v>laranja</v>
      </c>
    </row>
    <row r="2823" spans="1:16" ht="25.5">
      <c r="A2823" s="3" t="s">
        <v>4</v>
      </c>
      <c r="B2823" s="3" t="s">
        <v>1981</v>
      </c>
      <c r="C2823" s="4">
        <v>61</v>
      </c>
      <c r="D2823" s="3" t="s">
        <v>48</v>
      </c>
      <c r="E2823" s="3" t="s">
        <v>49</v>
      </c>
      <c r="F2823" s="5">
        <v>0</v>
      </c>
      <c r="G2823" s="5">
        <v>180</v>
      </c>
      <c r="H2823" s="6">
        <v>0</v>
      </c>
      <c r="I2823" s="22">
        <v>10354.5</v>
      </c>
      <c r="J2823" s="24">
        <f t="shared" si="132"/>
        <v>7.1747593100467138E-5</v>
      </c>
      <c r="K2823" s="25">
        <f t="shared" si="134"/>
        <v>0.92185753273595616</v>
      </c>
      <c r="L2823" s="26" t="s">
        <v>7517</v>
      </c>
      <c r="M2823" s="28"/>
      <c r="N2823" s="28"/>
      <c r="O2823" s="20" t="s">
        <v>7530</v>
      </c>
      <c r="P2823" s="27" t="str">
        <f t="shared" si="133"/>
        <v>vermelho</v>
      </c>
    </row>
    <row r="2824" spans="1:16" ht="25.5">
      <c r="A2824" s="3" t="s">
        <v>6681</v>
      </c>
      <c r="B2824" s="3" t="s">
        <v>6682</v>
      </c>
      <c r="C2824" s="4">
        <v>218</v>
      </c>
      <c r="D2824" s="3" t="s">
        <v>104</v>
      </c>
      <c r="E2824" s="3" t="s">
        <v>16</v>
      </c>
      <c r="F2824" s="5">
        <v>570</v>
      </c>
      <c r="G2824" s="5">
        <v>180</v>
      </c>
      <c r="H2824" s="6">
        <v>32249.01</v>
      </c>
      <c r="I2824" s="22">
        <v>10333.32</v>
      </c>
      <c r="J2824" s="24">
        <f t="shared" si="132"/>
        <v>7.1600834297833705E-5</v>
      </c>
      <c r="K2824" s="25">
        <f t="shared" si="134"/>
        <v>0.92192913357025397</v>
      </c>
      <c r="L2824" s="26" t="s">
        <v>7517</v>
      </c>
      <c r="M2824" s="28"/>
      <c r="N2824" s="28"/>
      <c r="O2824" s="20">
        <v>3195.6</v>
      </c>
      <c r="P2824" s="27" t="str">
        <f t="shared" si="133"/>
        <v>amarelo</v>
      </c>
    </row>
    <row r="2825" spans="1:16" ht="38.25">
      <c r="A2825" s="3" t="s">
        <v>4</v>
      </c>
      <c r="B2825" s="3" t="s">
        <v>1982</v>
      </c>
      <c r="C2825" s="4">
        <v>371</v>
      </c>
      <c r="D2825" s="3" t="s">
        <v>82</v>
      </c>
      <c r="E2825" s="3" t="s">
        <v>49</v>
      </c>
      <c r="F2825" s="5">
        <v>516</v>
      </c>
      <c r="G2825" s="5">
        <v>207</v>
      </c>
      <c r="H2825" s="6">
        <v>24879.579000000002</v>
      </c>
      <c r="I2825" s="22">
        <v>10324.629999999999</v>
      </c>
      <c r="J2825" s="24">
        <f t="shared" si="132"/>
        <v>7.154062022819798E-5</v>
      </c>
      <c r="K2825" s="25">
        <f t="shared" si="134"/>
        <v>0.92200067419048215</v>
      </c>
      <c r="L2825" s="26" t="s">
        <v>7517</v>
      </c>
      <c r="M2825" s="28"/>
      <c r="N2825" s="28"/>
      <c r="O2825" s="20">
        <v>1831.4670000000001</v>
      </c>
      <c r="P2825" s="27" t="str">
        <f t="shared" si="133"/>
        <v>amarelo</v>
      </c>
    </row>
    <row r="2826" spans="1:16">
      <c r="A2826" s="3" t="s">
        <v>4</v>
      </c>
      <c r="B2826" s="3" t="s">
        <v>1983</v>
      </c>
      <c r="C2826" s="4">
        <v>232</v>
      </c>
      <c r="D2826" s="3" t="s">
        <v>174</v>
      </c>
      <c r="E2826" s="3" t="s">
        <v>16</v>
      </c>
      <c r="F2826" s="5">
        <v>186</v>
      </c>
      <c r="G2826" s="5">
        <v>168</v>
      </c>
      <c r="H2826" s="6">
        <v>9584.34</v>
      </c>
      <c r="I2826" s="22">
        <v>10322.64</v>
      </c>
      <c r="J2826" s="24">
        <f t="shared" si="132"/>
        <v>7.1526831275542629E-5</v>
      </c>
      <c r="K2826" s="25">
        <f t="shared" si="134"/>
        <v>0.92207220102175769</v>
      </c>
      <c r="L2826" s="26" t="s">
        <v>7517</v>
      </c>
      <c r="M2826" s="28"/>
      <c r="N2826" s="28"/>
      <c r="O2826" s="20" t="s">
        <v>7530</v>
      </c>
      <c r="P2826" s="27" t="str">
        <f t="shared" si="133"/>
        <v>vermelho</v>
      </c>
    </row>
    <row r="2827" spans="1:16" ht="25.5">
      <c r="A2827" s="3" t="s">
        <v>6683</v>
      </c>
      <c r="B2827" s="3" t="s">
        <v>6684</v>
      </c>
      <c r="C2827" s="4">
        <v>194</v>
      </c>
      <c r="D2827" s="3" t="s">
        <v>145</v>
      </c>
      <c r="E2827" s="3" t="s">
        <v>16</v>
      </c>
      <c r="F2827" s="5">
        <v>504</v>
      </c>
      <c r="G2827" s="5">
        <v>168</v>
      </c>
      <c r="H2827" s="6">
        <v>27645.84</v>
      </c>
      <c r="I2827" s="22">
        <v>10318.32</v>
      </c>
      <c r="J2827" s="24">
        <f t="shared" si="132"/>
        <v>7.1496897468773202E-5</v>
      </c>
      <c r="K2827" s="25">
        <f t="shared" si="134"/>
        <v>0.92214369791922646</v>
      </c>
      <c r="L2827" s="26" t="s">
        <v>7517</v>
      </c>
      <c r="M2827" s="28"/>
      <c r="N2827" s="28"/>
      <c r="O2827" s="20" t="s">
        <v>7530</v>
      </c>
      <c r="P2827" s="27" t="str">
        <f t="shared" si="133"/>
        <v>vermelho</v>
      </c>
    </row>
    <row r="2828" spans="1:16" ht="25.5">
      <c r="A2828" s="3" t="s">
        <v>4</v>
      </c>
      <c r="B2828" s="3" t="s">
        <v>1984</v>
      </c>
      <c r="C2828" s="4">
        <v>317</v>
      </c>
      <c r="D2828" s="3" t="s">
        <v>78</v>
      </c>
      <c r="E2828" s="3" t="s">
        <v>10</v>
      </c>
      <c r="F2828" s="5">
        <v>0</v>
      </c>
      <c r="G2828" s="5">
        <v>162</v>
      </c>
      <c r="H2828" s="6">
        <v>0</v>
      </c>
      <c r="I2828" s="22">
        <v>10282.379999999999</v>
      </c>
      <c r="J2828" s="24">
        <f t="shared" si="132"/>
        <v>7.1247864826344223E-5</v>
      </c>
      <c r="K2828" s="25">
        <f t="shared" si="134"/>
        <v>0.92221494578405283</v>
      </c>
      <c r="L2828" s="26" t="s">
        <v>7517</v>
      </c>
      <c r="M2828" s="28"/>
      <c r="N2828" s="28"/>
      <c r="O2828" s="20" t="s">
        <v>7530</v>
      </c>
      <c r="P2828" s="27" t="str">
        <f t="shared" si="133"/>
        <v>vermelho</v>
      </c>
    </row>
    <row r="2829" spans="1:16" ht="25.5">
      <c r="A2829" s="3" t="s">
        <v>4</v>
      </c>
      <c r="B2829" s="3" t="s">
        <v>1985</v>
      </c>
      <c r="C2829" s="4">
        <v>317</v>
      </c>
      <c r="D2829" s="3" t="s">
        <v>78</v>
      </c>
      <c r="E2829" s="3" t="s">
        <v>10</v>
      </c>
      <c r="F2829" s="5">
        <v>0</v>
      </c>
      <c r="G2829" s="5">
        <v>156</v>
      </c>
      <c r="H2829" s="6">
        <v>0</v>
      </c>
      <c r="I2829" s="22">
        <v>10280.16</v>
      </c>
      <c r="J2829" s="24">
        <f t="shared" si="132"/>
        <v>7.123248217564327E-5</v>
      </c>
      <c r="K2829" s="25">
        <f t="shared" si="134"/>
        <v>0.9222861782662285</v>
      </c>
      <c r="L2829" s="26" t="s">
        <v>7517</v>
      </c>
      <c r="M2829" s="28"/>
      <c r="N2829" s="28"/>
      <c r="O2829" s="20" t="s">
        <v>7530</v>
      </c>
      <c r="P2829" s="27" t="str">
        <f t="shared" si="133"/>
        <v>vermelho</v>
      </c>
    </row>
    <row r="2830" spans="1:16" ht="25.5">
      <c r="A2830" s="3" t="s">
        <v>4</v>
      </c>
      <c r="B2830" s="3" t="s">
        <v>1986</v>
      </c>
      <c r="C2830" s="4">
        <v>19</v>
      </c>
      <c r="D2830" s="3" t="s">
        <v>72</v>
      </c>
      <c r="E2830" s="3" t="s">
        <v>41</v>
      </c>
      <c r="F2830" s="5">
        <v>327</v>
      </c>
      <c r="G2830" s="5">
        <v>144</v>
      </c>
      <c r="H2830" s="6">
        <v>19073.73</v>
      </c>
      <c r="I2830" s="22">
        <v>10280.16</v>
      </c>
      <c r="J2830" s="24">
        <f t="shared" si="132"/>
        <v>7.123248217564327E-5</v>
      </c>
      <c r="K2830" s="25">
        <f t="shared" si="134"/>
        <v>0.92235741074840416</v>
      </c>
      <c r="L2830" s="26" t="s">
        <v>7517</v>
      </c>
      <c r="M2830" s="28"/>
      <c r="N2830" s="28"/>
      <c r="O2830" s="20" t="s">
        <v>7530</v>
      </c>
      <c r="P2830" s="27" t="str">
        <f t="shared" si="133"/>
        <v>vermelho</v>
      </c>
    </row>
    <row r="2831" spans="1:16" ht="38.25">
      <c r="A2831" s="3" t="s">
        <v>4</v>
      </c>
      <c r="B2831" s="3" t="s">
        <v>1987</v>
      </c>
      <c r="C2831" s="4">
        <v>34</v>
      </c>
      <c r="D2831" s="3" t="s">
        <v>54</v>
      </c>
      <c r="E2831" s="3" t="s">
        <v>49</v>
      </c>
      <c r="F2831" s="5">
        <v>180</v>
      </c>
      <c r="G2831" s="5">
        <v>174</v>
      </c>
      <c r="H2831" s="6">
        <v>6706.2</v>
      </c>
      <c r="I2831" s="22">
        <v>10273.68</v>
      </c>
      <c r="J2831" s="24">
        <f t="shared" si="132"/>
        <v>7.1187581465489142E-5</v>
      </c>
      <c r="K2831" s="25">
        <f t="shared" si="134"/>
        <v>0.92242859832986968</v>
      </c>
      <c r="L2831" s="26" t="s">
        <v>7517</v>
      </c>
      <c r="M2831" s="28"/>
      <c r="N2831" s="28"/>
      <c r="O2831" s="20" t="s">
        <v>7530</v>
      </c>
      <c r="P2831" s="27" t="str">
        <f t="shared" si="133"/>
        <v>vermelho</v>
      </c>
    </row>
    <row r="2832" spans="1:16" ht="38.25">
      <c r="A2832" s="3" t="s">
        <v>4</v>
      </c>
      <c r="B2832" s="3" t="s">
        <v>1988</v>
      </c>
      <c r="C2832" s="4">
        <v>45</v>
      </c>
      <c r="D2832" s="3" t="s">
        <v>23</v>
      </c>
      <c r="E2832" s="3" t="s">
        <v>7</v>
      </c>
      <c r="F2832" s="5">
        <v>333</v>
      </c>
      <c r="G2832" s="5">
        <v>156</v>
      </c>
      <c r="H2832" s="6">
        <v>20215.71</v>
      </c>
      <c r="I2832" s="22">
        <v>10270.44</v>
      </c>
      <c r="J2832" s="24">
        <f t="shared" si="132"/>
        <v>7.1165131110412065E-5</v>
      </c>
      <c r="K2832" s="25">
        <f t="shared" si="134"/>
        <v>0.92249976346098006</v>
      </c>
      <c r="L2832" s="26" t="s">
        <v>7517</v>
      </c>
      <c r="M2832" s="28"/>
      <c r="N2832" s="28"/>
      <c r="O2832" s="20" t="s">
        <v>7530</v>
      </c>
      <c r="P2832" s="27" t="str">
        <f t="shared" si="133"/>
        <v>vermelho</v>
      </c>
    </row>
    <row r="2833" spans="1:16" ht="25.5">
      <c r="A2833" s="3" t="s">
        <v>4</v>
      </c>
      <c r="B2833" s="3" t="s">
        <v>1989</v>
      </c>
      <c r="C2833" s="4">
        <v>187</v>
      </c>
      <c r="D2833" s="3" t="s">
        <v>96</v>
      </c>
      <c r="E2833" s="3" t="s">
        <v>7</v>
      </c>
      <c r="F2833" s="5">
        <v>0</v>
      </c>
      <c r="G2833" s="5">
        <v>156</v>
      </c>
      <c r="H2833" s="6">
        <v>0</v>
      </c>
      <c r="I2833" s="22">
        <v>10266.6</v>
      </c>
      <c r="J2833" s="24">
        <f t="shared" si="132"/>
        <v>7.113852328217258E-5</v>
      </c>
      <c r="K2833" s="25">
        <f t="shared" si="134"/>
        <v>0.92257090198426228</v>
      </c>
      <c r="L2833" s="26" t="s">
        <v>7517</v>
      </c>
      <c r="M2833" s="28"/>
      <c r="N2833" s="28"/>
      <c r="O2833" s="20" t="s">
        <v>7530</v>
      </c>
      <c r="P2833" s="27" t="str">
        <f t="shared" si="133"/>
        <v>vermelho</v>
      </c>
    </row>
    <row r="2834" spans="1:16" ht="25.5">
      <c r="A2834" s="3" t="s">
        <v>6685</v>
      </c>
      <c r="B2834" s="3" t="s">
        <v>6686</v>
      </c>
      <c r="C2834" s="4">
        <v>327</v>
      </c>
      <c r="D2834" s="3" t="s">
        <v>100</v>
      </c>
      <c r="E2834" s="3" t="s">
        <v>7</v>
      </c>
      <c r="F2834" s="5">
        <v>120</v>
      </c>
      <c r="G2834" s="5">
        <v>156</v>
      </c>
      <c r="H2834" s="6">
        <v>7721.34</v>
      </c>
      <c r="I2834" s="22">
        <v>10255.26</v>
      </c>
      <c r="J2834" s="24">
        <f t="shared" si="132"/>
        <v>7.1059947039402843E-5</v>
      </c>
      <c r="K2834" s="25">
        <f t="shared" si="134"/>
        <v>0.92264196193130166</v>
      </c>
      <c r="L2834" s="26" t="s">
        <v>7517</v>
      </c>
      <c r="M2834" s="28"/>
      <c r="N2834" s="28"/>
      <c r="O2834" s="20">
        <v>3117</v>
      </c>
      <c r="P2834" s="27" t="str">
        <f t="shared" si="133"/>
        <v>amarelo</v>
      </c>
    </row>
    <row r="2835" spans="1:16" ht="38.25">
      <c r="A2835" s="3" t="s">
        <v>4</v>
      </c>
      <c r="B2835" s="3" t="s">
        <v>1990</v>
      </c>
      <c r="C2835" s="4">
        <v>38</v>
      </c>
      <c r="D2835" s="3" t="s">
        <v>184</v>
      </c>
      <c r="E2835" s="3" t="s">
        <v>49</v>
      </c>
      <c r="F2835" s="5">
        <v>252</v>
      </c>
      <c r="G2835" s="5">
        <v>192</v>
      </c>
      <c r="H2835" s="6">
        <v>13655.64</v>
      </c>
      <c r="I2835" s="22">
        <v>10246.68</v>
      </c>
      <c r="J2835" s="24">
        <f t="shared" si="132"/>
        <v>7.1000495173180228E-5</v>
      </c>
      <c r="K2835" s="25">
        <f t="shared" si="134"/>
        <v>0.92271296242647483</v>
      </c>
      <c r="L2835" s="26" t="s">
        <v>7517</v>
      </c>
      <c r="M2835" s="28"/>
      <c r="N2835" s="28"/>
      <c r="O2835" s="20" t="s">
        <v>7530</v>
      </c>
      <c r="P2835" s="27" t="str">
        <f t="shared" si="133"/>
        <v>vermelho</v>
      </c>
    </row>
    <row r="2836" spans="1:16" ht="25.5">
      <c r="A2836" s="3" t="s">
        <v>6687</v>
      </c>
      <c r="B2836" s="3" t="s">
        <v>6688</v>
      </c>
      <c r="C2836" s="4">
        <v>328</v>
      </c>
      <c r="D2836" s="3" t="s">
        <v>215</v>
      </c>
      <c r="E2836" s="3" t="s">
        <v>41</v>
      </c>
      <c r="F2836" s="5">
        <v>0</v>
      </c>
      <c r="G2836" s="5">
        <v>324</v>
      </c>
      <c r="H2836" s="6">
        <v>0</v>
      </c>
      <c r="I2836" s="22">
        <v>10246.5</v>
      </c>
      <c r="J2836" s="24">
        <f t="shared" si="132"/>
        <v>7.0999247931231496E-5</v>
      </c>
      <c r="K2836" s="25">
        <f t="shared" si="134"/>
        <v>0.92278396167440602</v>
      </c>
      <c r="L2836" s="26" t="s">
        <v>7517</v>
      </c>
      <c r="M2836" s="28"/>
      <c r="N2836" s="28"/>
      <c r="O2836" s="20" t="s">
        <v>7530</v>
      </c>
      <c r="P2836" s="27" t="str">
        <f t="shared" si="133"/>
        <v>vermelho</v>
      </c>
    </row>
    <row r="2837" spans="1:16" ht="25.5">
      <c r="A2837" s="3" t="s">
        <v>4</v>
      </c>
      <c r="B2837" s="3" t="s">
        <v>1991</v>
      </c>
      <c r="C2837" s="4">
        <v>297</v>
      </c>
      <c r="D2837" s="3" t="s">
        <v>115</v>
      </c>
      <c r="E2837" s="3" t="s">
        <v>41</v>
      </c>
      <c r="F2837" s="5">
        <v>576</v>
      </c>
      <c r="G2837" s="5">
        <v>189</v>
      </c>
      <c r="H2837" s="6">
        <v>34669.32</v>
      </c>
      <c r="I2837" s="22">
        <v>10244.31</v>
      </c>
      <c r="J2837" s="24">
        <f t="shared" si="132"/>
        <v>7.0984073154188663E-5</v>
      </c>
      <c r="K2837" s="25">
        <f t="shared" si="134"/>
        <v>0.92285494574756022</v>
      </c>
      <c r="L2837" s="26" t="s">
        <v>7517</v>
      </c>
      <c r="M2837" s="28"/>
      <c r="N2837" s="28"/>
      <c r="O2837" s="20" t="s">
        <v>7530</v>
      </c>
      <c r="P2837" s="27" t="str">
        <f t="shared" si="133"/>
        <v>vermelho</v>
      </c>
    </row>
    <row r="2838" spans="1:16" ht="25.5">
      <c r="A2838" s="3" t="s">
        <v>4</v>
      </c>
      <c r="B2838" s="3" t="s">
        <v>1992</v>
      </c>
      <c r="C2838" s="4">
        <v>267</v>
      </c>
      <c r="D2838" s="3" t="s">
        <v>125</v>
      </c>
      <c r="E2838" s="3" t="s">
        <v>16</v>
      </c>
      <c r="F2838" s="5">
        <v>348</v>
      </c>
      <c r="G2838" s="5">
        <v>204</v>
      </c>
      <c r="H2838" s="6">
        <v>18215.04</v>
      </c>
      <c r="I2838" s="22">
        <v>10226.879999999999</v>
      </c>
      <c r="J2838" s="24">
        <f t="shared" si="132"/>
        <v>7.0863298558820355E-5</v>
      </c>
      <c r="K2838" s="25">
        <f t="shared" si="134"/>
        <v>0.92292580904611898</v>
      </c>
      <c r="L2838" s="26" t="s">
        <v>7517</v>
      </c>
      <c r="M2838" s="28"/>
      <c r="N2838" s="28"/>
      <c r="O2838" s="20" t="s">
        <v>7530</v>
      </c>
      <c r="P2838" s="27" t="str">
        <f t="shared" si="133"/>
        <v>vermelho</v>
      </c>
    </row>
    <row r="2839" spans="1:16" ht="25.5">
      <c r="A2839" s="3" t="s">
        <v>4</v>
      </c>
      <c r="B2839" s="3" t="s">
        <v>1993</v>
      </c>
      <c r="C2839" s="4">
        <v>273</v>
      </c>
      <c r="D2839" s="3" t="s">
        <v>149</v>
      </c>
      <c r="E2839" s="3" t="s">
        <v>16</v>
      </c>
      <c r="F2839" s="5">
        <v>0</v>
      </c>
      <c r="G2839" s="5">
        <v>147</v>
      </c>
      <c r="H2839" s="6">
        <v>0</v>
      </c>
      <c r="I2839" s="22">
        <v>10223.573</v>
      </c>
      <c r="J2839" s="24">
        <f t="shared" si="132"/>
        <v>7.084038395257349E-5</v>
      </c>
      <c r="K2839" s="25">
        <f t="shared" si="134"/>
        <v>0.92299664943007154</v>
      </c>
      <c r="L2839" s="26" t="s">
        <v>7517</v>
      </c>
      <c r="M2839" s="28"/>
      <c r="N2839" s="28"/>
      <c r="O2839" s="20" t="s">
        <v>7530</v>
      </c>
      <c r="P2839" s="27" t="str">
        <f t="shared" si="133"/>
        <v>vermelho</v>
      </c>
    </row>
    <row r="2840" spans="1:16" ht="25.5">
      <c r="A2840" s="3" t="s">
        <v>5078</v>
      </c>
      <c r="B2840" s="3" t="s">
        <v>4963</v>
      </c>
      <c r="C2840" s="4">
        <v>31</v>
      </c>
      <c r="D2840" s="3" t="s">
        <v>194</v>
      </c>
      <c r="E2840" s="3" t="s">
        <v>16</v>
      </c>
      <c r="F2840" s="5">
        <v>0</v>
      </c>
      <c r="G2840" s="5">
        <v>192</v>
      </c>
      <c r="H2840" s="6">
        <v>0</v>
      </c>
      <c r="I2840" s="22">
        <v>10218.15</v>
      </c>
      <c r="J2840" s="24">
        <f t="shared" si="132"/>
        <v>7.0802807324307142E-5</v>
      </c>
      <c r="K2840" s="25">
        <f t="shared" si="134"/>
        <v>0.92306745223739584</v>
      </c>
      <c r="L2840" s="26" t="s">
        <v>7517</v>
      </c>
      <c r="M2840" s="28"/>
      <c r="N2840" s="28"/>
      <c r="O2840" s="20">
        <v>284940.21000000002</v>
      </c>
      <c r="P2840" s="27" t="str">
        <f t="shared" si="133"/>
        <v>verde</v>
      </c>
    </row>
    <row r="2841" spans="1:16" ht="25.5">
      <c r="A2841" s="3" t="s">
        <v>4</v>
      </c>
      <c r="B2841" s="3" t="s">
        <v>1994</v>
      </c>
      <c r="C2841" s="4">
        <v>266</v>
      </c>
      <c r="D2841" s="3" t="s">
        <v>80</v>
      </c>
      <c r="E2841" s="3" t="s">
        <v>10</v>
      </c>
      <c r="F2841" s="5">
        <v>0</v>
      </c>
      <c r="G2841" s="5">
        <v>168</v>
      </c>
      <c r="H2841" s="6">
        <v>0</v>
      </c>
      <c r="I2841" s="22">
        <v>10216.56</v>
      </c>
      <c r="J2841" s="24">
        <f t="shared" si="132"/>
        <v>7.0791790020426729E-5</v>
      </c>
      <c r="K2841" s="25">
        <f t="shared" si="134"/>
        <v>0.92313824402741629</v>
      </c>
      <c r="L2841" s="26" t="s">
        <v>7517</v>
      </c>
      <c r="M2841" s="28"/>
      <c r="N2841" s="28"/>
      <c r="O2841" s="20" t="s">
        <v>7530</v>
      </c>
      <c r="P2841" s="27" t="str">
        <f t="shared" si="133"/>
        <v>vermelho</v>
      </c>
    </row>
    <row r="2842" spans="1:16" ht="25.5">
      <c r="A2842" s="3" t="s">
        <v>4</v>
      </c>
      <c r="B2842" s="3" t="s">
        <v>1995</v>
      </c>
      <c r="C2842" s="4">
        <v>74</v>
      </c>
      <c r="D2842" s="3" t="s">
        <v>6</v>
      </c>
      <c r="E2842" s="3" t="s">
        <v>7</v>
      </c>
      <c r="F2842" s="5">
        <v>1302</v>
      </c>
      <c r="G2842" s="5">
        <v>162</v>
      </c>
      <c r="H2842" s="6">
        <v>78690.720000000001</v>
      </c>
      <c r="I2842" s="22">
        <v>10216.379999999999</v>
      </c>
      <c r="J2842" s="24">
        <f t="shared" si="132"/>
        <v>7.0790542778477998E-5</v>
      </c>
      <c r="K2842" s="25">
        <f t="shared" si="134"/>
        <v>0.92320903457019476</v>
      </c>
      <c r="L2842" s="26" t="s">
        <v>7517</v>
      </c>
      <c r="M2842" s="28"/>
      <c r="N2842" s="28"/>
      <c r="O2842" s="20" t="s">
        <v>7530</v>
      </c>
      <c r="P2842" s="27" t="str">
        <f t="shared" si="133"/>
        <v>vermelho</v>
      </c>
    </row>
    <row r="2843" spans="1:16" ht="38.25">
      <c r="A2843" s="3" t="s">
        <v>4</v>
      </c>
      <c r="B2843" s="3" t="s">
        <v>1996</v>
      </c>
      <c r="C2843" s="4">
        <v>301</v>
      </c>
      <c r="D2843" s="3" t="s">
        <v>519</v>
      </c>
      <c r="E2843" s="3" t="s">
        <v>16</v>
      </c>
      <c r="F2843" s="5">
        <v>0</v>
      </c>
      <c r="G2843" s="5">
        <v>165</v>
      </c>
      <c r="H2843" s="6">
        <v>0</v>
      </c>
      <c r="I2843" s="22">
        <v>10214.040000000001</v>
      </c>
      <c r="J2843" s="24">
        <f t="shared" si="132"/>
        <v>7.0774328633144566E-5</v>
      </c>
      <c r="K2843" s="25">
        <f t="shared" si="134"/>
        <v>0.92327980889882788</v>
      </c>
      <c r="L2843" s="26" t="s">
        <v>7517</v>
      </c>
      <c r="M2843" s="28"/>
      <c r="N2843" s="28"/>
      <c r="O2843" s="20" t="s">
        <v>7530</v>
      </c>
      <c r="P2843" s="27" t="str">
        <f t="shared" si="133"/>
        <v>vermelho</v>
      </c>
    </row>
    <row r="2844" spans="1:16">
      <c r="A2844" s="3" t="s">
        <v>4</v>
      </c>
      <c r="B2844" s="3" t="s">
        <v>1997</v>
      </c>
      <c r="C2844" s="4">
        <v>240</v>
      </c>
      <c r="D2844" s="3" t="s">
        <v>69</v>
      </c>
      <c r="E2844" s="3" t="s">
        <v>16</v>
      </c>
      <c r="F2844" s="5">
        <v>414</v>
      </c>
      <c r="G2844" s="5">
        <v>189</v>
      </c>
      <c r="H2844" s="6">
        <v>21292.29</v>
      </c>
      <c r="I2844" s="22">
        <v>10207.86</v>
      </c>
      <c r="J2844" s="24">
        <f t="shared" si="132"/>
        <v>7.0731506659571635E-5</v>
      </c>
      <c r="K2844" s="25">
        <f t="shared" si="134"/>
        <v>0.92335054040548747</v>
      </c>
      <c r="L2844" s="26" t="s">
        <v>7517</v>
      </c>
      <c r="M2844" s="28"/>
      <c r="N2844" s="28"/>
      <c r="O2844" s="20" t="s">
        <v>7530</v>
      </c>
      <c r="P2844" s="27" t="str">
        <f t="shared" si="133"/>
        <v>vermelho</v>
      </c>
    </row>
    <row r="2845" spans="1:16" ht="38.25">
      <c r="A2845" s="3" t="s">
        <v>4</v>
      </c>
      <c r="B2845" s="3" t="s">
        <v>1998</v>
      </c>
      <c r="C2845" s="4">
        <v>197</v>
      </c>
      <c r="D2845" s="3" t="s">
        <v>66</v>
      </c>
      <c r="E2845" s="3" t="s">
        <v>41</v>
      </c>
      <c r="F2845" s="5">
        <v>96</v>
      </c>
      <c r="G2845" s="5">
        <v>150</v>
      </c>
      <c r="H2845" s="6">
        <v>5080.1400000000003</v>
      </c>
      <c r="I2845" s="22">
        <v>10207.74</v>
      </c>
      <c r="J2845" s="24">
        <f t="shared" si="132"/>
        <v>7.0730675164939157E-5</v>
      </c>
      <c r="K2845" s="25">
        <f t="shared" si="134"/>
        <v>0.92342127108065242</v>
      </c>
      <c r="L2845" s="26" t="s">
        <v>7517</v>
      </c>
      <c r="M2845" s="28"/>
      <c r="N2845" s="28"/>
      <c r="O2845" s="20" t="s">
        <v>7530</v>
      </c>
      <c r="P2845" s="27" t="str">
        <f t="shared" si="133"/>
        <v>vermelho</v>
      </c>
    </row>
    <row r="2846" spans="1:16" ht="25.5">
      <c r="A2846" s="3" t="s">
        <v>4</v>
      </c>
      <c r="B2846" s="3" t="s">
        <v>1999</v>
      </c>
      <c r="C2846" s="4">
        <v>266</v>
      </c>
      <c r="D2846" s="3" t="s">
        <v>80</v>
      </c>
      <c r="E2846" s="3" t="s">
        <v>10</v>
      </c>
      <c r="F2846" s="5">
        <v>0</v>
      </c>
      <c r="G2846" s="5">
        <v>159</v>
      </c>
      <c r="H2846" s="6">
        <v>0</v>
      </c>
      <c r="I2846" s="22">
        <v>10200.450000000001</v>
      </c>
      <c r="J2846" s="24">
        <f t="shared" si="132"/>
        <v>7.0680161866015757E-5</v>
      </c>
      <c r="K2846" s="25">
        <f t="shared" si="134"/>
        <v>0.92349195124251848</v>
      </c>
      <c r="L2846" s="26" t="s">
        <v>7517</v>
      </c>
      <c r="M2846" s="28"/>
      <c r="N2846" s="28"/>
      <c r="O2846" s="20">
        <v>2966.518</v>
      </c>
      <c r="P2846" s="27" t="str">
        <f t="shared" si="133"/>
        <v>amarelo</v>
      </c>
    </row>
    <row r="2847" spans="1:16" ht="25.5">
      <c r="A2847" s="3" t="s">
        <v>4</v>
      </c>
      <c r="B2847" s="3" t="s">
        <v>2000</v>
      </c>
      <c r="C2847" s="4">
        <v>23</v>
      </c>
      <c r="D2847" s="3" t="s">
        <v>87</v>
      </c>
      <c r="E2847" s="3" t="s">
        <v>7</v>
      </c>
      <c r="F2847" s="5">
        <v>204</v>
      </c>
      <c r="G2847" s="5">
        <v>156</v>
      </c>
      <c r="H2847" s="6">
        <v>10425.959999999999</v>
      </c>
      <c r="I2847" s="22">
        <v>10195.44</v>
      </c>
      <c r="J2847" s="24">
        <f t="shared" si="132"/>
        <v>7.0645446965109535E-5</v>
      </c>
      <c r="K2847" s="25">
        <f t="shared" si="134"/>
        <v>0.92356259668948359</v>
      </c>
      <c r="L2847" s="26" t="s">
        <v>7517</v>
      </c>
      <c r="M2847" s="28"/>
      <c r="N2847" s="28"/>
      <c r="O2847" s="20" t="s">
        <v>7530</v>
      </c>
      <c r="P2847" s="27" t="str">
        <f t="shared" si="133"/>
        <v>vermelho</v>
      </c>
    </row>
    <row r="2848" spans="1:16">
      <c r="A2848" s="3" t="s">
        <v>4</v>
      </c>
      <c r="B2848" s="3" t="s">
        <v>2001</v>
      </c>
      <c r="C2848" s="4">
        <v>240</v>
      </c>
      <c r="D2848" s="3" t="s">
        <v>69</v>
      </c>
      <c r="E2848" s="3" t="s">
        <v>16</v>
      </c>
      <c r="F2848" s="5">
        <v>123</v>
      </c>
      <c r="G2848" s="5">
        <v>150</v>
      </c>
      <c r="H2848" s="6">
        <v>6777.9</v>
      </c>
      <c r="I2848" s="22">
        <v>10192.620000000001</v>
      </c>
      <c r="J2848" s="24">
        <f t="shared" si="132"/>
        <v>7.0625906841246175E-5</v>
      </c>
      <c r="K2848" s="25">
        <f t="shared" si="134"/>
        <v>0.92363322259632485</v>
      </c>
      <c r="L2848" s="26" t="s">
        <v>7517</v>
      </c>
      <c r="M2848" s="28"/>
      <c r="N2848" s="28"/>
      <c r="O2848" s="20" t="s">
        <v>7530</v>
      </c>
      <c r="P2848" s="27" t="str">
        <f t="shared" si="133"/>
        <v>vermelho</v>
      </c>
    </row>
    <row r="2849" spans="1:16" ht="25.5">
      <c r="A2849" s="3" t="s">
        <v>4</v>
      </c>
      <c r="B2849" s="3" t="s">
        <v>2002</v>
      </c>
      <c r="C2849" s="4">
        <v>93</v>
      </c>
      <c r="D2849" s="3" t="s">
        <v>20</v>
      </c>
      <c r="E2849" s="3" t="s">
        <v>7</v>
      </c>
      <c r="F2849" s="5">
        <v>0</v>
      </c>
      <c r="G2849" s="5">
        <v>168</v>
      </c>
      <c r="H2849" s="6">
        <v>0</v>
      </c>
      <c r="I2849" s="22">
        <v>10183.5</v>
      </c>
      <c r="J2849" s="24">
        <f t="shared" si="132"/>
        <v>7.0562713249177378E-5</v>
      </c>
      <c r="K2849" s="25">
        <f t="shared" si="134"/>
        <v>0.92370378530957398</v>
      </c>
      <c r="L2849" s="26" t="s">
        <v>7517</v>
      </c>
      <c r="M2849" s="28"/>
      <c r="N2849" s="28"/>
      <c r="O2849" s="20" t="s">
        <v>7530</v>
      </c>
      <c r="P2849" s="27" t="str">
        <f t="shared" si="133"/>
        <v>vermelho</v>
      </c>
    </row>
    <row r="2850" spans="1:16" ht="25.5">
      <c r="A2850" s="3" t="s">
        <v>4</v>
      </c>
      <c r="B2850" s="3" t="s">
        <v>2003</v>
      </c>
      <c r="C2850" s="4">
        <v>23</v>
      </c>
      <c r="D2850" s="3" t="s">
        <v>87</v>
      </c>
      <c r="E2850" s="3" t="s">
        <v>7</v>
      </c>
      <c r="F2850" s="5">
        <v>0</v>
      </c>
      <c r="G2850" s="5">
        <v>159</v>
      </c>
      <c r="H2850" s="6">
        <v>0</v>
      </c>
      <c r="I2850" s="22">
        <v>10179.516</v>
      </c>
      <c r="J2850" s="24">
        <f t="shared" si="132"/>
        <v>7.0535107627378907E-5</v>
      </c>
      <c r="K2850" s="25">
        <f t="shared" si="134"/>
        <v>0.92377432041720131</v>
      </c>
      <c r="L2850" s="26" t="s">
        <v>7517</v>
      </c>
      <c r="M2850" s="28"/>
      <c r="N2850" s="28"/>
      <c r="O2850" s="20">
        <v>4567.4399999999996</v>
      </c>
      <c r="P2850" s="27" t="str">
        <f t="shared" si="133"/>
        <v>amarelo</v>
      </c>
    </row>
    <row r="2851" spans="1:16" ht="25.5">
      <c r="A2851" s="3" t="s">
        <v>4</v>
      </c>
      <c r="B2851" s="3" t="s">
        <v>2004</v>
      </c>
      <c r="C2851" s="4">
        <v>299</v>
      </c>
      <c r="D2851" s="3" t="s">
        <v>111</v>
      </c>
      <c r="E2851" s="3" t="s">
        <v>49</v>
      </c>
      <c r="F2851" s="5">
        <v>72</v>
      </c>
      <c r="G2851" s="5">
        <v>189</v>
      </c>
      <c r="H2851" s="6">
        <v>4285.7640000000001</v>
      </c>
      <c r="I2851" s="22">
        <v>10179.42</v>
      </c>
      <c r="J2851" s="24">
        <f t="shared" si="132"/>
        <v>7.0534442431672922E-5</v>
      </c>
      <c r="K2851" s="25">
        <f t="shared" si="134"/>
        <v>0.92384485485963297</v>
      </c>
      <c r="L2851" s="26" t="s">
        <v>7517</v>
      </c>
      <c r="M2851" s="28"/>
      <c r="N2851" s="28"/>
      <c r="O2851" s="20" t="s">
        <v>7530</v>
      </c>
      <c r="P2851" s="27" t="str">
        <f t="shared" si="133"/>
        <v>vermelho</v>
      </c>
    </row>
    <row r="2852" spans="1:16" ht="25.5">
      <c r="A2852" s="3" t="s">
        <v>6689</v>
      </c>
      <c r="B2852" s="3" t="s">
        <v>6690</v>
      </c>
      <c r="C2852" s="4">
        <v>194</v>
      </c>
      <c r="D2852" s="3" t="s">
        <v>145</v>
      </c>
      <c r="E2852" s="3" t="s">
        <v>16</v>
      </c>
      <c r="F2852" s="5">
        <v>480</v>
      </c>
      <c r="G2852" s="5">
        <v>312</v>
      </c>
      <c r="H2852" s="6">
        <v>27683.52</v>
      </c>
      <c r="I2852" s="22">
        <v>10179</v>
      </c>
      <c r="J2852" s="24">
        <f t="shared" si="132"/>
        <v>7.0531532200459219E-5</v>
      </c>
      <c r="K2852" s="25">
        <f t="shared" si="134"/>
        <v>0.92391538639183346</v>
      </c>
      <c r="L2852" s="26" t="s">
        <v>7517</v>
      </c>
      <c r="M2852" s="28"/>
      <c r="N2852" s="28"/>
      <c r="O2852" s="20" t="s">
        <v>7530</v>
      </c>
      <c r="P2852" s="27" t="str">
        <f t="shared" si="133"/>
        <v>vermelho</v>
      </c>
    </row>
    <row r="2853" spans="1:16" ht="25.5">
      <c r="A2853" s="3" t="s">
        <v>5006</v>
      </c>
      <c r="B2853" s="3" t="s">
        <v>5007</v>
      </c>
      <c r="C2853" s="4">
        <v>320</v>
      </c>
      <c r="D2853" s="3" t="s">
        <v>218</v>
      </c>
      <c r="E2853" s="3" t="s">
        <v>16</v>
      </c>
      <c r="F2853" s="5">
        <v>279</v>
      </c>
      <c r="G2853" s="5">
        <v>162</v>
      </c>
      <c r="H2853" s="6">
        <v>14644.2</v>
      </c>
      <c r="I2853" s="22">
        <v>10172.94</v>
      </c>
      <c r="J2853" s="24">
        <f t="shared" si="132"/>
        <v>7.0489541721518781E-5</v>
      </c>
      <c r="K2853" s="25">
        <f t="shared" si="134"/>
        <v>0.92398587593355497</v>
      </c>
      <c r="L2853" s="26" t="s">
        <v>7517</v>
      </c>
      <c r="M2853" s="28"/>
      <c r="N2853" s="28"/>
      <c r="O2853" s="20">
        <v>155848.85999999999</v>
      </c>
      <c r="P2853" s="27" t="str">
        <f t="shared" si="133"/>
        <v>verde</v>
      </c>
    </row>
    <row r="2854" spans="1:16" ht="25.5">
      <c r="A2854" s="3" t="s">
        <v>4</v>
      </c>
      <c r="B2854" s="3" t="s">
        <v>2005</v>
      </c>
      <c r="C2854" s="4">
        <v>240</v>
      </c>
      <c r="D2854" s="3" t="s">
        <v>69</v>
      </c>
      <c r="E2854" s="3" t="s">
        <v>16</v>
      </c>
      <c r="F2854" s="5">
        <v>108</v>
      </c>
      <c r="G2854" s="5">
        <v>192</v>
      </c>
      <c r="H2854" s="6">
        <v>5865.6</v>
      </c>
      <c r="I2854" s="22">
        <v>10172.76</v>
      </c>
      <c r="J2854" s="24">
        <f t="shared" si="132"/>
        <v>7.0488294479570049E-5</v>
      </c>
      <c r="K2854" s="25">
        <f t="shared" si="134"/>
        <v>0.9240563642280345</v>
      </c>
      <c r="L2854" s="26" t="s">
        <v>7517</v>
      </c>
      <c r="M2854" s="28"/>
      <c r="N2854" s="28"/>
      <c r="O2854" s="20" t="s">
        <v>7530</v>
      </c>
      <c r="P2854" s="27" t="str">
        <f t="shared" si="133"/>
        <v>vermelho</v>
      </c>
    </row>
    <row r="2855" spans="1:16" ht="38.25">
      <c r="A2855" s="3" t="s">
        <v>4</v>
      </c>
      <c r="B2855" s="3" t="s">
        <v>2006</v>
      </c>
      <c r="C2855" s="4">
        <v>292</v>
      </c>
      <c r="D2855" s="3" t="s">
        <v>57</v>
      </c>
      <c r="E2855" s="3" t="s">
        <v>10</v>
      </c>
      <c r="F2855" s="5">
        <v>0</v>
      </c>
      <c r="G2855" s="5">
        <v>177</v>
      </c>
      <c r="H2855" s="6">
        <v>0</v>
      </c>
      <c r="I2855" s="22">
        <v>10168.92</v>
      </c>
      <c r="J2855" s="24">
        <f t="shared" si="132"/>
        <v>7.0461686651330564E-5</v>
      </c>
      <c r="K2855" s="25">
        <f t="shared" si="134"/>
        <v>0.92412682591468587</v>
      </c>
      <c r="L2855" s="26" t="s">
        <v>7517</v>
      </c>
      <c r="M2855" s="28"/>
      <c r="N2855" s="28"/>
      <c r="O2855" s="20" t="s">
        <v>7530</v>
      </c>
      <c r="P2855" s="27" t="str">
        <f t="shared" si="133"/>
        <v>vermelho</v>
      </c>
    </row>
    <row r="2856" spans="1:16" ht="38.25">
      <c r="A2856" s="3" t="s">
        <v>4</v>
      </c>
      <c r="B2856" s="3" t="s">
        <v>2007</v>
      </c>
      <c r="C2856" s="4">
        <v>45</v>
      </c>
      <c r="D2856" s="3" t="s">
        <v>23</v>
      </c>
      <c r="E2856" s="3" t="s">
        <v>7</v>
      </c>
      <c r="F2856" s="5">
        <v>156</v>
      </c>
      <c r="G2856" s="5">
        <v>153</v>
      </c>
      <c r="H2856" s="6">
        <v>9177.1200000000008</v>
      </c>
      <c r="I2856" s="22">
        <v>10166.700000000001</v>
      </c>
      <c r="J2856" s="24">
        <f t="shared" si="132"/>
        <v>7.0446304000629611E-5</v>
      </c>
      <c r="K2856" s="25">
        <f t="shared" si="134"/>
        <v>0.92419727221868653</v>
      </c>
      <c r="L2856" s="26" t="s">
        <v>7517</v>
      </c>
      <c r="M2856" s="28"/>
      <c r="N2856" s="28"/>
      <c r="O2856" s="20" t="s">
        <v>7530</v>
      </c>
      <c r="P2856" s="27" t="str">
        <f t="shared" si="133"/>
        <v>vermelho</v>
      </c>
    </row>
    <row r="2857" spans="1:16" ht="25.5">
      <c r="A2857" s="3" t="s">
        <v>4</v>
      </c>
      <c r="B2857" s="3" t="s">
        <v>2008</v>
      </c>
      <c r="C2857" s="4">
        <v>267</v>
      </c>
      <c r="D2857" s="3" t="s">
        <v>125</v>
      </c>
      <c r="E2857" s="3" t="s">
        <v>16</v>
      </c>
      <c r="F2857" s="5">
        <v>120</v>
      </c>
      <c r="G2857" s="5">
        <v>204</v>
      </c>
      <c r="H2857" s="6">
        <v>5216.3999999999996</v>
      </c>
      <c r="I2857" s="22">
        <v>10164</v>
      </c>
      <c r="J2857" s="24">
        <f t="shared" si="132"/>
        <v>7.0427595371398715E-5</v>
      </c>
      <c r="K2857" s="25">
        <f t="shared" si="134"/>
        <v>0.92426769981405787</v>
      </c>
      <c r="L2857" s="26" t="s">
        <v>7517</v>
      </c>
      <c r="M2857" s="28"/>
      <c r="N2857" s="28"/>
      <c r="O2857" s="20">
        <v>4957.2</v>
      </c>
      <c r="P2857" s="27" t="str">
        <f t="shared" si="133"/>
        <v>amarelo</v>
      </c>
    </row>
    <row r="2858" spans="1:16" ht="25.5">
      <c r="A2858" s="3" t="s">
        <v>4</v>
      </c>
      <c r="B2858" s="3" t="s">
        <v>2009</v>
      </c>
      <c r="C2858" s="4">
        <v>178</v>
      </c>
      <c r="D2858" s="3" t="s">
        <v>74</v>
      </c>
      <c r="E2858" s="3" t="s">
        <v>7</v>
      </c>
      <c r="F2858" s="5">
        <v>0</v>
      </c>
      <c r="G2858" s="5">
        <v>186</v>
      </c>
      <c r="H2858" s="6">
        <v>0</v>
      </c>
      <c r="I2858" s="22">
        <v>10160.25</v>
      </c>
      <c r="J2858" s="24">
        <f t="shared" si="132"/>
        <v>7.040161116413359E-5</v>
      </c>
      <c r="K2858" s="25">
        <f t="shared" si="134"/>
        <v>0.92433810142522199</v>
      </c>
      <c r="L2858" s="26" t="s">
        <v>7517</v>
      </c>
      <c r="M2858" s="28"/>
      <c r="N2858" s="28"/>
      <c r="O2858" s="20" t="s">
        <v>7530</v>
      </c>
      <c r="P2858" s="27" t="str">
        <f t="shared" si="133"/>
        <v>vermelho</v>
      </c>
    </row>
    <row r="2859" spans="1:16">
      <c r="A2859" s="3" t="s">
        <v>6691</v>
      </c>
      <c r="B2859" s="3" t="s">
        <v>6692</v>
      </c>
      <c r="C2859" s="4">
        <v>240</v>
      </c>
      <c r="D2859" s="3" t="s">
        <v>69</v>
      </c>
      <c r="E2859" s="3" t="s">
        <v>16</v>
      </c>
      <c r="F2859" s="5">
        <v>153</v>
      </c>
      <c r="G2859" s="5">
        <v>159</v>
      </c>
      <c r="H2859" s="6">
        <v>9243.09</v>
      </c>
      <c r="I2859" s="22">
        <v>10145.370000000001</v>
      </c>
      <c r="J2859" s="24">
        <f t="shared" si="132"/>
        <v>7.0298505829705579E-5</v>
      </c>
      <c r="K2859" s="25">
        <f t="shared" si="134"/>
        <v>0.92440839993105173</v>
      </c>
      <c r="L2859" s="26" t="s">
        <v>7517</v>
      </c>
      <c r="M2859" s="28"/>
      <c r="N2859" s="28"/>
      <c r="O2859" s="20" t="s">
        <v>7530</v>
      </c>
      <c r="P2859" s="27" t="str">
        <f t="shared" si="133"/>
        <v>vermelho</v>
      </c>
    </row>
    <row r="2860" spans="1:16" ht="25.5">
      <c r="A2860" s="3" t="s">
        <v>4</v>
      </c>
      <c r="B2860" s="3" t="s">
        <v>2010</v>
      </c>
      <c r="C2860" s="4">
        <v>23</v>
      </c>
      <c r="D2860" s="3" t="s">
        <v>87</v>
      </c>
      <c r="E2860" s="3" t="s">
        <v>7</v>
      </c>
      <c r="F2860" s="5">
        <v>174</v>
      </c>
      <c r="G2860" s="5">
        <v>162</v>
      </c>
      <c r="H2860" s="6">
        <v>11115.06</v>
      </c>
      <c r="I2860" s="22">
        <v>10127.700000000001</v>
      </c>
      <c r="J2860" s="24">
        <f t="shared" si="132"/>
        <v>7.01760682450723E-5</v>
      </c>
      <c r="K2860" s="25">
        <f t="shared" si="134"/>
        <v>0.92447857599929684</v>
      </c>
      <c r="L2860" s="26" t="s">
        <v>7517</v>
      </c>
      <c r="M2860" s="28"/>
      <c r="N2860" s="28"/>
      <c r="O2860" s="20" t="s">
        <v>7530</v>
      </c>
      <c r="P2860" s="27" t="str">
        <f t="shared" si="133"/>
        <v>vermelho</v>
      </c>
    </row>
    <row r="2861" spans="1:16" ht="25.5">
      <c r="A2861" s="3" t="s">
        <v>4</v>
      </c>
      <c r="B2861" s="3" t="s">
        <v>2011</v>
      </c>
      <c r="C2861" s="4">
        <v>317</v>
      </c>
      <c r="D2861" s="3" t="s">
        <v>78</v>
      </c>
      <c r="E2861" s="3" t="s">
        <v>10</v>
      </c>
      <c r="F2861" s="5">
        <v>354</v>
      </c>
      <c r="G2861" s="5">
        <v>144</v>
      </c>
      <c r="H2861" s="6">
        <v>20228.580000000002</v>
      </c>
      <c r="I2861" s="22">
        <v>10125.719999999999</v>
      </c>
      <c r="J2861" s="24">
        <f t="shared" si="132"/>
        <v>7.0162348583636304E-5</v>
      </c>
      <c r="K2861" s="25">
        <f t="shared" si="134"/>
        <v>0.92454873834788043</v>
      </c>
      <c r="L2861" s="26" t="s">
        <v>7517</v>
      </c>
      <c r="M2861" s="28"/>
      <c r="N2861" s="28"/>
      <c r="O2861" s="20" t="s">
        <v>7530</v>
      </c>
      <c r="P2861" s="27" t="str">
        <f t="shared" si="133"/>
        <v>vermelho</v>
      </c>
    </row>
    <row r="2862" spans="1:16" ht="25.5">
      <c r="A2862" s="3" t="s">
        <v>4</v>
      </c>
      <c r="B2862" s="3" t="s">
        <v>2012</v>
      </c>
      <c r="C2862" s="4">
        <v>335</v>
      </c>
      <c r="D2862" s="3" t="s">
        <v>36</v>
      </c>
      <c r="E2862" s="3" t="s">
        <v>7</v>
      </c>
      <c r="F2862" s="5">
        <v>90</v>
      </c>
      <c r="G2862" s="5">
        <v>144</v>
      </c>
      <c r="H2862" s="6">
        <v>6106.59</v>
      </c>
      <c r="I2862" s="22">
        <v>10120.32</v>
      </c>
      <c r="J2862" s="24">
        <f t="shared" si="132"/>
        <v>7.0124931325174527E-5</v>
      </c>
      <c r="K2862" s="25">
        <f t="shared" si="134"/>
        <v>0.92461886327920562</v>
      </c>
      <c r="L2862" s="26" t="s">
        <v>7517</v>
      </c>
      <c r="M2862" s="28"/>
      <c r="N2862" s="28"/>
      <c r="O2862" s="20" t="s">
        <v>7530</v>
      </c>
      <c r="P2862" s="27" t="str">
        <f t="shared" si="133"/>
        <v>vermelho</v>
      </c>
    </row>
    <row r="2863" spans="1:16" ht="25.5">
      <c r="A2863" s="3" t="s">
        <v>4</v>
      </c>
      <c r="B2863" s="3" t="s">
        <v>2013</v>
      </c>
      <c r="C2863" s="4">
        <v>178</v>
      </c>
      <c r="D2863" s="3" t="s">
        <v>74</v>
      </c>
      <c r="E2863" s="3" t="s">
        <v>7</v>
      </c>
      <c r="F2863" s="5">
        <v>372</v>
      </c>
      <c r="G2863" s="5">
        <v>156</v>
      </c>
      <c r="H2863" s="6">
        <v>19614.84</v>
      </c>
      <c r="I2863" s="22">
        <v>10120.200000000001</v>
      </c>
      <c r="J2863" s="24">
        <f t="shared" si="132"/>
        <v>7.0124099830542048E-5</v>
      </c>
      <c r="K2863" s="25">
        <f t="shared" si="134"/>
        <v>0.92468898737903615</v>
      </c>
      <c r="L2863" s="26" t="s">
        <v>7517</v>
      </c>
      <c r="M2863" s="28"/>
      <c r="N2863" s="28"/>
      <c r="O2863" s="20" t="s">
        <v>7530</v>
      </c>
      <c r="P2863" s="27" t="str">
        <f t="shared" si="133"/>
        <v>vermelho</v>
      </c>
    </row>
    <row r="2864" spans="1:16" ht="25.5">
      <c r="A2864" s="3" t="s">
        <v>6693</v>
      </c>
      <c r="B2864" s="3" t="s">
        <v>6694</v>
      </c>
      <c r="C2864" s="4">
        <v>61</v>
      </c>
      <c r="D2864" s="3" t="s">
        <v>48</v>
      </c>
      <c r="E2864" s="3" t="s">
        <v>49</v>
      </c>
      <c r="F2864" s="5">
        <v>96</v>
      </c>
      <c r="G2864" s="5">
        <v>168</v>
      </c>
      <c r="H2864" s="6">
        <v>4212.84</v>
      </c>
      <c r="I2864" s="22">
        <v>10120.200000000001</v>
      </c>
      <c r="J2864" s="24">
        <f t="shared" si="132"/>
        <v>7.0124099830542048E-5</v>
      </c>
      <c r="K2864" s="25">
        <f t="shared" si="134"/>
        <v>0.92475911147886669</v>
      </c>
      <c r="L2864" s="26" t="s">
        <v>7517</v>
      </c>
      <c r="M2864" s="28"/>
      <c r="N2864" s="28"/>
      <c r="O2864" s="20" t="s">
        <v>7530</v>
      </c>
      <c r="P2864" s="27" t="str">
        <f t="shared" si="133"/>
        <v>vermelho</v>
      </c>
    </row>
    <row r="2865" spans="1:16" ht="25.5">
      <c r="A2865" s="3" t="s">
        <v>4</v>
      </c>
      <c r="B2865" s="3" t="s">
        <v>2014</v>
      </c>
      <c r="C2865" s="4">
        <v>93</v>
      </c>
      <c r="D2865" s="3" t="s">
        <v>20</v>
      </c>
      <c r="E2865" s="3" t="s">
        <v>7</v>
      </c>
      <c r="F2865" s="5">
        <v>252</v>
      </c>
      <c r="G2865" s="5">
        <v>192</v>
      </c>
      <c r="H2865" s="6">
        <v>11823.732</v>
      </c>
      <c r="I2865" s="22">
        <v>10119.959999999999</v>
      </c>
      <c r="J2865" s="24">
        <f t="shared" si="132"/>
        <v>7.0122436841277063E-5</v>
      </c>
      <c r="K2865" s="25">
        <f t="shared" si="134"/>
        <v>0.92482923391570793</v>
      </c>
      <c r="L2865" s="26" t="s">
        <v>7517</v>
      </c>
      <c r="M2865" s="28"/>
      <c r="N2865" s="28"/>
      <c r="O2865" s="20">
        <v>24804.36</v>
      </c>
      <c r="P2865" s="27" t="str">
        <f t="shared" si="133"/>
        <v>verde</v>
      </c>
    </row>
    <row r="2866" spans="1:16" ht="25.5">
      <c r="A2866" s="3" t="s">
        <v>4</v>
      </c>
      <c r="B2866" s="3" t="s">
        <v>2015</v>
      </c>
      <c r="C2866" s="4">
        <v>316</v>
      </c>
      <c r="D2866" s="3" t="s">
        <v>247</v>
      </c>
      <c r="E2866" s="3" t="s">
        <v>10</v>
      </c>
      <c r="F2866" s="5">
        <v>0</v>
      </c>
      <c r="G2866" s="5">
        <v>168</v>
      </c>
      <c r="H2866" s="6">
        <v>0</v>
      </c>
      <c r="I2866" s="22">
        <v>10112.4</v>
      </c>
      <c r="J2866" s="24">
        <f t="shared" si="132"/>
        <v>7.0070052679430572E-5</v>
      </c>
      <c r="K2866" s="25">
        <f t="shared" si="134"/>
        <v>0.92489930396838738</v>
      </c>
      <c r="L2866" s="26" t="s">
        <v>7517</v>
      </c>
      <c r="M2866" s="28"/>
      <c r="N2866" s="28"/>
      <c r="O2866" s="20" t="s">
        <v>7530</v>
      </c>
      <c r="P2866" s="27" t="str">
        <f t="shared" si="133"/>
        <v>vermelho</v>
      </c>
    </row>
    <row r="2867" spans="1:16">
      <c r="A2867" s="3" t="s">
        <v>4</v>
      </c>
      <c r="B2867" s="3" t="s">
        <v>2016</v>
      </c>
      <c r="C2867" s="4">
        <v>232</v>
      </c>
      <c r="D2867" s="3" t="s">
        <v>174</v>
      </c>
      <c r="E2867" s="3" t="s">
        <v>16</v>
      </c>
      <c r="F2867" s="5">
        <v>0</v>
      </c>
      <c r="G2867" s="5">
        <v>156</v>
      </c>
      <c r="H2867" s="6">
        <v>0</v>
      </c>
      <c r="I2867" s="22">
        <v>10105.799999999999</v>
      </c>
      <c r="J2867" s="24">
        <f t="shared" si="132"/>
        <v>7.0024320474643953E-5</v>
      </c>
      <c r="K2867" s="25">
        <f t="shared" si="134"/>
        <v>0.92496932828886202</v>
      </c>
      <c r="L2867" s="26" t="s">
        <v>7517</v>
      </c>
      <c r="M2867" s="28"/>
      <c r="N2867" s="28"/>
      <c r="O2867" s="20" t="s">
        <v>7530</v>
      </c>
      <c r="P2867" s="27" t="str">
        <f t="shared" si="133"/>
        <v>vermelho</v>
      </c>
    </row>
    <row r="2868" spans="1:16" ht="25.5">
      <c r="A2868" s="3" t="s">
        <v>6695</v>
      </c>
      <c r="B2868" s="3" t="s">
        <v>6696</v>
      </c>
      <c r="C2868" s="4">
        <v>240</v>
      </c>
      <c r="D2868" s="3" t="s">
        <v>69</v>
      </c>
      <c r="E2868" s="3" t="s">
        <v>16</v>
      </c>
      <c r="F2868" s="5">
        <v>336</v>
      </c>
      <c r="G2868" s="5">
        <v>216</v>
      </c>
      <c r="H2868" s="6">
        <v>18745.32</v>
      </c>
      <c r="I2868" s="22">
        <v>10105.32</v>
      </c>
      <c r="J2868" s="24">
        <f t="shared" si="132"/>
        <v>7.0020994496114024E-5</v>
      </c>
      <c r="K2868" s="25">
        <f t="shared" si="134"/>
        <v>0.92503934928335818</v>
      </c>
      <c r="L2868" s="26" t="s">
        <v>7517</v>
      </c>
      <c r="M2868" s="28"/>
      <c r="N2868" s="28"/>
      <c r="O2868" s="20" t="s">
        <v>7530</v>
      </c>
      <c r="P2868" s="27" t="str">
        <f t="shared" si="133"/>
        <v>vermelho</v>
      </c>
    </row>
    <row r="2869" spans="1:16">
      <c r="A2869" s="3" t="s">
        <v>4</v>
      </c>
      <c r="B2869" s="3" t="s">
        <v>2017</v>
      </c>
      <c r="C2869" s="4">
        <v>167</v>
      </c>
      <c r="D2869" s="3" t="s">
        <v>251</v>
      </c>
      <c r="E2869" s="3" t="s">
        <v>49</v>
      </c>
      <c r="F2869" s="5">
        <v>75</v>
      </c>
      <c r="G2869" s="5">
        <v>195</v>
      </c>
      <c r="H2869" s="6">
        <v>4824.21</v>
      </c>
      <c r="I2869" s="22">
        <v>10104.9</v>
      </c>
      <c r="J2869" s="24">
        <f t="shared" si="132"/>
        <v>7.0018084264900321E-5</v>
      </c>
      <c r="K2869" s="25">
        <f t="shared" si="134"/>
        <v>0.92510936736762306</v>
      </c>
      <c r="L2869" s="26" t="s">
        <v>7517</v>
      </c>
      <c r="M2869" s="28"/>
      <c r="N2869" s="28"/>
      <c r="O2869" s="20">
        <v>5843.58</v>
      </c>
      <c r="P2869" s="27" t="str">
        <f t="shared" si="133"/>
        <v>laranja</v>
      </c>
    </row>
    <row r="2870" spans="1:16" ht="38.25">
      <c r="A2870" s="3" t="s">
        <v>4</v>
      </c>
      <c r="B2870" s="3" t="s">
        <v>2018</v>
      </c>
      <c r="C2870" s="4">
        <v>45</v>
      </c>
      <c r="D2870" s="3" t="s">
        <v>23</v>
      </c>
      <c r="E2870" s="3" t="s">
        <v>7</v>
      </c>
      <c r="F2870" s="5">
        <v>96</v>
      </c>
      <c r="G2870" s="5">
        <v>150</v>
      </c>
      <c r="H2870" s="6">
        <v>6407.04</v>
      </c>
      <c r="I2870" s="22">
        <v>10102.5</v>
      </c>
      <c r="J2870" s="24">
        <f t="shared" si="132"/>
        <v>7.000145437225065E-5</v>
      </c>
      <c r="K2870" s="25">
        <f t="shared" si="134"/>
        <v>0.92517936882199536</v>
      </c>
      <c r="L2870" s="26" t="s">
        <v>7517</v>
      </c>
      <c r="M2870" s="28"/>
      <c r="N2870" s="28">
        <v>3.6072254754068521E-2</v>
      </c>
      <c r="O2870" s="20">
        <v>11237.52</v>
      </c>
      <c r="P2870" s="27" t="str">
        <f t="shared" si="133"/>
        <v>verde</v>
      </c>
    </row>
    <row r="2871" spans="1:16" ht="25.5">
      <c r="A2871" s="3" t="s">
        <v>4</v>
      </c>
      <c r="B2871" s="3" t="s">
        <v>2019</v>
      </c>
      <c r="C2871" s="4">
        <v>23</v>
      </c>
      <c r="D2871" s="3" t="s">
        <v>87</v>
      </c>
      <c r="E2871" s="3" t="s">
        <v>7</v>
      </c>
      <c r="F2871" s="5">
        <v>0</v>
      </c>
      <c r="G2871" s="5">
        <v>159</v>
      </c>
      <c r="H2871" s="6">
        <v>0</v>
      </c>
      <c r="I2871" s="22">
        <v>10102.14</v>
      </c>
      <c r="J2871" s="24">
        <f t="shared" si="132"/>
        <v>6.9998959888353186E-5</v>
      </c>
      <c r="K2871" s="25">
        <f t="shared" si="134"/>
        <v>0.92524936778188371</v>
      </c>
      <c r="L2871" s="26" t="s">
        <v>7517</v>
      </c>
      <c r="M2871" s="28"/>
      <c r="N2871" s="28"/>
      <c r="O2871" s="20">
        <v>4726.5</v>
      </c>
      <c r="P2871" s="27" t="str">
        <f t="shared" si="133"/>
        <v>amarelo</v>
      </c>
    </row>
    <row r="2872" spans="1:16">
      <c r="A2872" s="3" t="s">
        <v>6697</v>
      </c>
      <c r="B2872" s="3" t="s">
        <v>6698</v>
      </c>
      <c r="C2872" s="4">
        <v>231</v>
      </c>
      <c r="D2872" s="3" t="s">
        <v>52</v>
      </c>
      <c r="E2872" s="3" t="s">
        <v>7</v>
      </c>
      <c r="F2872" s="5">
        <v>96</v>
      </c>
      <c r="G2872" s="5">
        <v>162</v>
      </c>
      <c r="H2872" s="6">
        <v>5586.12</v>
      </c>
      <c r="I2872" s="22">
        <v>10098.84</v>
      </c>
      <c r="J2872" s="24">
        <f t="shared" si="132"/>
        <v>6.9976093785959883E-5</v>
      </c>
      <c r="K2872" s="25">
        <f t="shared" si="134"/>
        <v>0.92531934387566972</v>
      </c>
      <c r="L2872" s="26" t="s">
        <v>7517</v>
      </c>
      <c r="M2872" s="28"/>
      <c r="N2872" s="28"/>
      <c r="O2872" s="20" t="s">
        <v>7530</v>
      </c>
      <c r="P2872" s="27" t="str">
        <f t="shared" si="133"/>
        <v>vermelho</v>
      </c>
    </row>
    <row r="2873" spans="1:16" ht="25.5">
      <c r="A2873" s="3" t="s">
        <v>4</v>
      </c>
      <c r="B2873" s="3" t="s">
        <v>2020</v>
      </c>
      <c r="C2873" s="4">
        <v>335</v>
      </c>
      <c r="D2873" s="3" t="s">
        <v>36</v>
      </c>
      <c r="E2873" s="3" t="s">
        <v>7</v>
      </c>
      <c r="F2873" s="5">
        <v>0</v>
      </c>
      <c r="G2873" s="5">
        <v>162</v>
      </c>
      <c r="H2873" s="6">
        <v>0</v>
      </c>
      <c r="I2873" s="22">
        <v>10093.56</v>
      </c>
      <c r="J2873" s="24">
        <f t="shared" si="132"/>
        <v>6.9939508022130584E-5</v>
      </c>
      <c r="K2873" s="25">
        <f t="shared" si="134"/>
        <v>0.92538928338369186</v>
      </c>
      <c r="L2873" s="26" t="s">
        <v>7517</v>
      </c>
      <c r="M2873" s="28"/>
      <c r="N2873" s="28"/>
      <c r="O2873" s="20" t="s">
        <v>7530</v>
      </c>
      <c r="P2873" s="27" t="str">
        <f t="shared" si="133"/>
        <v>vermelho</v>
      </c>
    </row>
    <row r="2874" spans="1:16" ht="38.25">
      <c r="A2874" s="3" t="s">
        <v>4</v>
      </c>
      <c r="B2874" s="3" t="s">
        <v>2021</v>
      </c>
      <c r="C2874" s="4">
        <v>143</v>
      </c>
      <c r="D2874" s="3" t="s">
        <v>44</v>
      </c>
      <c r="E2874" s="3" t="s">
        <v>41</v>
      </c>
      <c r="F2874" s="5">
        <v>378</v>
      </c>
      <c r="G2874" s="5">
        <v>168</v>
      </c>
      <c r="H2874" s="6">
        <v>21136.14</v>
      </c>
      <c r="I2874" s="22">
        <v>10093.5</v>
      </c>
      <c r="J2874" s="24">
        <f t="shared" si="132"/>
        <v>6.9939092274814345E-5</v>
      </c>
      <c r="K2874" s="25">
        <f t="shared" si="134"/>
        <v>0.92545922247596668</v>
      </c>
      <c r="L2874" s="26" t="s">
        <v>7517</v>
      </c>
      <c r="M2874" s="28"/>
      <c r="N2874" s="28"/>
      <c r="O2874" s="20" t="s">
        <v>7530</v>
      </c>
      <c r="P2874" s="27" t="str">
        <f t="shared" si="133"/>
        <v>vermelho</v>
      </c>
    </row>
    <row r="2875" spans="1:16" ht="25.5">
      <c r="A2875" s="3" t="s">
        <v>4</v>
      </c>
      <c r="B2875" s="3" t="s">
        <v>2022</v>
      </c>
      <c r="C2875" s="4">
        <v>266</v>
      </c>
      <c r="D2875" s="3" t="s">
        <v>80</v>
      </c>
      <c r="E2875" s="3" t="s">
        <v>10</v>
      </c>
      <c r="F2875" s="5">
        <v>0</v>
      </c>
      <c r="G2875" s="5">
        <v>162</v>
      </c>
      <c r="H2875" s="6">
        <v>0</v>
      </c>
      <c r="I2875" s="22">
        <v>10087.41</v>
      </c>
      <c r="J2875" s="24">
        <f t="shared" si="132"/>
        <v>6.9896893922215774E-5</v>
      </c>
      <c r="K2875" s="25">
        <f t="shared" si="134"/>
        <v>0.92552911936988891</v>
      </c>
      <c r="L2875" s="26" t="s">
        <v>7517</v>
      </c>
      <c r="M2875" s="28"/>
      <c r="N2875" s="28"/>
      <c r="O2875" s="20" t="s">
        <v>7530</v>
      </c>
      <c r="P2875" s="27" t="str">
        <f t="shared" si="133"/>
        <v>vermelho</v>
      </c>
    </row>
    <row r="2876" spans="1:16">
      <c r="A2876" s="3" t="s">
        <v>4</v>
      </c>
      <c r="B2876" s="3" t="s">
        <v>2023</v>
      </c>
      <c r="C2876" s="4">
        <v>231</v>
      </c>
      <c r="D2876" s="3" t="s">
        <v>52</v>
      </c>
      <c r="E2876" s="3" t="s">
        <v>7</v>
      </c>
      <c r="F2876" s="5">
        <v>48</v>
      </c>
      <c r="G2876" s="5">
        <v>132</v>
      </c>
      <c r="H2876" s="6">
        <v>2639.52</v>
      </c>
      <c r="I2876" s="22">
        <v>10085.76</v>
      </c>
      <c r="J2876" s="24">
        <f t="shared" si="132"/>
        <v>6.9885460871019122E-5</v>
      </c>
      <c r="K2876" s="25">
        <f t="shared" si="134"/>
        <v>0.92559900483075996</v>
      </c>
      <c r="L2876" s="26" t="s">
        <v>7517</v>
      </c>
      <c r="M2876" s="28">
        <v>4.4872321614565759E-2</v>
      </c>
      <c r="N2876" s="28"/>
      <c r="O2876" s="20" t="s">
        <v>7530</v>
      </c>
      <c r="P2876" s="27" t="str">
        <f t="shared" si="133"/>
        <v>vermelho</v>
      </c>
    </row>
    <row r="2877" spans="1:16" ht="25.5">
      <c r="A2877" s="3" t="s">
        <v>4</v>
      </c>
      <c r="B2877" s="3" t="s">
        <v>2024</v>
      </c>
      <c r="C2877" s="4">
        <v>61</v>
      </c>
      <c r="D2877" s="3" t="s">
        <v>48</v>
      </c>
      <c r="E2877" s="3" t="s">
        <v>49</v>
      </c>
      <c r="F2877" s="5">
        <v>0</v>
      </c>
      <c r="G2877" s="5">
        <v>174</v>
      </c>
      <c r="H2877" s="6">
        <v>0</v>
      </c>
      <c r="I2877" s="22">
        <v>10084.68</v>
      </c>
      <c r="J2877" s="24">
        <f t="shared" si="132"/>
        <v>6.9877977419326772E-5</v>
      </c>
      <c r="K2877" s="25">
        <f t="shared" si="134"/>
        <v>0.92566888280817927</v>
      </c>
      <c r="L2877" s="26" t="s">
        <v>7517</v>
      </c>
      <c r="M2877" s="28"/>
      <c r="N2877" s="28"/>
      <c r="O2877" s="20" t="s">
        <v>7530</v>
      </c>
      <c r="P2877" s="27" t="str">
        <f t="shared" si="133"/>
        <v>vermelho</v>
      </c>
    </row>
    <row r="2878" spans="1:16" ht="25.5">
      <c r="A2878" s="3" t="s">
        <v>4</v>
      </c>
      <c r="B2878" s="3" t="s">
        <v>2025</v>
      </c>
      <c r="C2878" s="4">
        <v>31</v>
      </c>
      <c r="D2878" s="3" t="s">
        <v>194</v>
      </c>
      <c r="E2878" s="3" t="s">
        <v>16</v>
      </c>
      <c r="F2878" s="5">
        <v>0</v>
      </c>
      <c r="G2878" s="5">
        <v>156</v>
      </c>
      <c r="H2878" s="6">
        <v>0</v>
      </c>
      <c r="I2878" s="22">
        <v>10078.56</v>
      </c>
      <c r="J2878" s="24">
        <f t="shared" si="132"/>
        <v>6.9835571193070068E-5</v>
      </c>
      <c r="K2878" s="25">
        <f t="shared" si="134"/>
        <v>0.92573871837937238</v>
      </c>
      <c r="L2878" s="26" t="s">
        <v>7517</v>
      </c>
      <c r="M2878" s="28"/>
      <c r="N2878" s="28"/>
      <c r="O2878" s="20" t="s">
        <v>7530</v>
      </c>
      <c r="P2878" s="27" t="str">
        <f t="shared" si="133"/>
        <v>vermelho</v>
      </c>
    </row>
    <row r="2879" spans="1:16" ht="25.5">
      <c r="A2879" s="3" t="s">
        <v>4</v>
      </c>
      <c r="B2879" s="3" t="s">
        <v>2026</v>
      </c>
      <c r="C2879" s="4">
        <v>317</v>
      </c>
      <c r="D2879" s="3" t="s">
        <v>78</v>
      </c>
      <c r="E2879" s="3" t="s">
        <v>10</v>
      </c>
      <c r="F2879" s="5">
        <v>54</v>
      </c>
      <c r="G2879" s="5">
        <v>144</v>
      </c>
      <c r="H2879" s="6">
        <v>3120.3</v>
      </c>
      <c r="I2879" s="22">
        <v>10075.44</v>
      </c>
      <c r="J2879" s="24">
        <f t="shared" si="132"/>
        <v>6.9813952332625496E-5</v>
      </c>
      <c r="K2879" s="25">
        <f t="shared" si="134"/>
        <v>0.92580853233170501</v>
      </c>
      <c r="L2879" s="26" t="s">
        <v>7517</v>
      </c>
      <c r="M2879" s="28"/>
      <c r="N2879" s="28"/>
      <c r="O2879" s="20" t="s">
        <v>7530</v>
      </c>
      <c r="P2879" s="27" t="str">
        <f t="shared" si="133"/>
        <v>vermelho</v>
      </c>
    </row>
    <row r="2880" spans="1:16" ht="38.25">
      <c r="A2880" s="3" t="s">
        <v>4</v>
      </c>
      <c r="B2880" s="3" t="s">
        <v>2027</v>
      </c>
      <c r="C2880" s="4">
        <v>371</v>
      </c>
      <c r="D2880" s="3" t="s">
        <v>82</v>
      </c>
      <c r="E2880" s="3" t="s">
        <v>49</v>
      </c>
      <c r="F2880" s="5">
        <v>63</v>
      </c>
      <c r="G2880" s="5">
        <v>219</v>
      </c>
      <c r="H2880" s="6">
        <v>2369.0700000000002</v>
      </c>
      <c r="I2880" s="22">
        <v>10069.797</v>
      </c>
      <c r="J2880" s="24">
        <f t="shared" si="132"/>
        <v>6.9774851297532928E-5</v>
      </c>
      <c r="K2880" s="25">
        <f t="shared" si="134"/>
        <v>0.92587830718300257</v>
      </c>
      <c r="L2880" s="26" t="s">
        <v>7517</v>
      </c>
      <c r="M2880" s="28"/>
      <c r="N2880" s="28"/>
      <c r="O2880" s="20">
        <v>2617.92</v>
      </c>
      <c r="P2880" s="27" t="str">
        <f t="shared" si="133"/>
        <v>amarelo</v>
      </c>
    </row>
    <row r="2881" spans="1:16" ht="25.5">
      <c r="A2881" s="3" t="s">
        <v>4</v>
      </c>
      <c r="B2881" s="3" t="s">
        <v>2028</v>
      </c>
      <c r="C2881" s="4">
        <v>266</v>
      </c>
      <c r="D2881" s="3" t="s">
        <v>80</v>
      </c>
      <c r="E2881" s="3" t="s">
        <v>10</v>
      </c>
      <c r="F2881" s="5">
        <v>0</v>
      </c>
      <c r="G2881" s="5">
        <v>168</v>
      </c>
      <c r="H2881" s="6">
        <v>0</v>
      </c>
      <c r="I2881" s="22">
        <v>10068.780000000001</v>
      </c>
      <c r="J2881" s="24">
        <f t="shared" si="132"/>
        <v>6.9767804380522637E-5</v>
      </c>
      <c r="K2881" s="25">
        <f t="shared" si="134"/>
        <v>0.92594807498738307</v>
      </c>
      <c r="L2881" s="26" t="s">
        <v>7517</v>
      </c>
      <c r="M2881" s="28"/>
      <c r="N2881" s="28"/>
      <c r="O2881" s="20" t="s">
        <v>7530</v>
      </c>
      <c r="P2881" s="27" t="str">
        <f t="shared" si="133"/>
        <v>vermelho</v>
      </c>
    </row>
    <row r="2882" spans="1:16" ht="25.5">
      <c r="A2882" s="3" t="s">
        <v>4</v>
      </c>
      <c r="B2882" s="3" t="s">
        <v>2029</v>
      </c>
      <c r="C2882" s="4">
        <v>327</v>
      </c>
      <c r="D2882" s="3" t="s">
        <v>100</v>
      </c>
      <c r="E2882" s="3" t="s">
        <v>7</v>
      </c>
      <c r="F2882" s="5">
        <v>0</v>
      </c>
      <c r="G2882" s="5">
        <v>180</v>
      </c>
      <c r="H2882" s="6">
        <v>0</v>
      </c>
      <c r="I2882" s="22">
        <v>10066.98</v>
      </c>
      <c r="J2882" s="24">
        <f t="shared" si="132"/>
        <v>6.975533196103536E-5</v>
      </c>
      <c r="K2882" s="25">
        <f t="shared" si="134"/>
        <v>0.92601783031934415</v>
      </c>
      <c r="L2882" s="26" t="s">
        <v>7517</v>
      </c>
      <c r="M2882" s="28"/>
      <c r="N2882" s="28"/>
      <c r="O2882" s="20" t="s">
        <v>7530</v>
      </c>
      <c r="P2882" s="27" t="str">
        <f t="shared" si="133"/>
        <v>vermelho</v>
      </c>
    </row>
    <row r="2883" spans="1:16" ht="25.5">
      <c r="A2883" s="3" t="s">
        <v>4</v>
      </c>
      <c r="B2883" s="3" t="s">
        <v>2030</v>
      </c>
      <c r="C2883" s="4">
        <v>61</v>
      </c>
      <c r="D2883" s="3" t="s">
        <v>48</v>
      </c>
      <c r="E2883" s="3" t="s">
        <v>49</v>
      </c>
      <c r="F2883" s="5">
        <v>0</v>
      </c>
      <c r="G2883" s="5">
        <v>162</v>
      </c>
      <c r="H2883" s="6">
        <v>0</v>
      </c>
      <c r="I2883" s="22">
        <v>10066.86</v>
      </c>
      <c r="J2883" s="24">
        <f t="shared" ref="J2883:J2946" si="135">I2883/$I$6364</f>
        <v>6.9754500466402881E-5</v>
      </c>
      <c r="K2883" s="25">
        <f t="shared" si="134"/>
        <v>0.92608758481981057</v>
      </c>
      <c r="L2883" s="26" t="s">
        <v>7517</v>
      </c>
      <c r="M2883" s="28"/>
      <c r="N2883" s="28"/>
      <c r="O2883" s="20" t="s">
        <v>7530</v>
      </c>
      <c r="P2883" s="27" t="str">
        <f t="shared" ref="P2883:P2946" si="136">IF(O2883&lt;=0,"vermelho",IFERROR(IF(O2883/I2883&lt;=0.5098,"amarelo",IF(O2883/I2883&lt;1,"laranja","verde")),"vermelho"))</f>
        <v>vermelho</v>
      </c>
    </row>
    <row r="2884" spans="1:16" ht="25.5">
      <c r="A2884" s="3" t="s">
        <v>6699</v>
      </c>
      <c r="B2884" s="3" t="s">
        <v>6700</v>
      </c>
      <c r="C2884" s="4">
        <v>93</v>
      </c>
      <c r="D2884" s="3" t="s">
        <v>20</v>
      </c>
      <c r="E2884" s="3" t="s">
        <v>7</v>
      </c>
      <c r="F2884" s="5">
        <v>282</v>
      </c>
      <c r="G2884" s="5">
        <v>192</v>
      </c>
      <c r="H2884" s="6">
        <v>13545.402</v>
      </c>
      <c r="I2884" s="22">
        <v>10066.56</v>
      </c>
      <c r="J2884" s="24">
        <f t="shared" si="135"/>
        <v>6.975242172982167E-5</v>
      </c>
      <c r="K2884" s="25">
        <f t="shared" ref="K2884:K2947" si="137">J2884+K2883</f>
        <v>0.92615733724154037</v>
      </c>
      <c r="L2884" s="26" t="s">
        <v>7517</v>
      </c>
      <c r="M2884" s="28"/>
      <c r="N2884" s="28"/>
      <c r="O2884" s="20" t="s">
        <v>7530</v>
      </c>
      <c r="P2884" s="27" t="str">
        <f t="shared" si="136"/>
        <v>vermelho</v>
      </c>
    </row>
    <row r="2885" spans="1:16" ht="25.5">
      <c r="A2885" s="3" t="s">
        <v>4</v>
      </c>
      <c r="B2885" s="3" t="s">
        <v>2031</v>
      </c>
      <c r="C2885" s="4">
        <v>93</v>
      </c>
      <c r="D2885" s="3" t="s">
        <v>20</v>
      </c>
      <c r="E2885" s="3" t="s">
        <v>7</v>
      </c>
      <c r="F2885" s="5">
        <v>0</v>
      </c>
      <c r="G2885" s="5">
        <v>150</v>
      </c>
      <c r="H2885" s="6">
        <v>0</v>
      </c>
      <c r="I2885" s="22">
        <v>10060.5</v>
      </c>
      <c r="J2885" s="24">
        <f t="shared" si="135"/>
        <v>6.9710431250881232E-5</v>
      </c>
      <c r="K2885" s="25">
        <f t="shared" si="137"/>
        <v>0.92622704767279129</v>
      </c>
      <c r="L2885" s="26" t="s">
        <v>7517</v>
      </c>
      <c r="M2885" s="28"/>
      <c r="N2885" s="28"/>
      <c r="O2885" s="20" t="s">
        <v>7530</v>
      </c>
      <c r="P2885" s="27" t="str">
        <f t="shared" si="136"/>
        <v>vermelho</v>
      </c>
    </row>
    <row r="2886" spans="1:16" ht="25.5">
      <c r="A2886" s="3" t="s">
        <v>4</v>
      </c>
      <c r="B2886" s="3" t="s">
        <v>2032</v>
      </c>
      <c r="C2886" s="4">
        <v>297</v>
      </c>
      <c r="D2886" s="3" t="s">
        <v>115</v>
      </c>
      <c r="E2886" s="3" t="s">
        <v>41</v>
      </c>
      <c r="F2886" s="5">
        <v>0</v>
      </c>
      <c r="G2886" s="5">
        <v>186</v>
      </c>
      <c r="H2886" s="6">
        <v>0</v>
      </c>
      <c r="I2886" s="22">
        <v>10053.629999999999</v>
      </c>
      <c r="J2886" s="24">
        <f t="shared" si="135"/>
        <v>6.9662828183171508E-5</v>
      </c>
      <c r="K2886" s="25">
        <f t="shared" si="137"/>
        <v>0.92629671050097451</v>
      </c>
      <c r="L2886" s="26" t="s">
        <v>7517</v>
      </c>
      <c r="M2886" s="28"/>
      <c r="N2886" s="28"/>
      <c r="O2886" s="20">
        <v>8225.4</v>
      </c>
      <c r="P2886" s="27" t="str">
        <f t="shared" si="136"/>
        <v>laranja</v>
      </c>
    </row>
    <row r="2887" spans="1:16">
      <c r="A2887" s="3" t="s">
        <v>4</v>
      </c>
      <c r="B2887" s="3" t="s">
        <v>2033</v>
      </c>
      <c r="C2887" s="4">
        <v>217</v>
      </c>
      <c r="D2887" s="3" t="s">
        <v>91</v>
      </c>
      <c r="E2887" s="3" t="s">
        <v>16</v>
      </c>
      <c r="F2887" s="5">
        <v>168</v>
      </c>
      <c r="G2887" s="5">
        <v>168</v>
      </c>
      <c r="H2887" s="6">
        <v>9232.32</v>
      </c>
      <c r="I2887" s="22">
        <v>10051.200000000001</v>
      </c>
      <c r="J2887" s="24">
        <f t="shared" si="135"/>
        <v>6.9645990416863717E-5</v>
      </c>
      <c r="K2887" s="25">
        <f t="shared" si="137"/>
        <v>0.92636635649139132</v>
      </c>
      <c r="L2887" s="26" t="s">
        <v>7517</v>
      </c>
      <c r="M2887" s="28"/>
      <c r="N2887" s="28"/>
      <c r="O2887" s="20" t="s">
        <v>7530</v>
      </c>
      <c r="P2887" s="27" t="str">
        <f t="shared" si="136"/>
        <v>vermelho</v>
      </c>
    </row>
    <row r="2888" spans="1:16" ht="25.5">
      <c r="A2888" s="3" t="s">
        <v>4</v>
      </c>
      <c r="B2888" s="3" t="s">
        <v>2034</v>
      </c>
      <c r="C2888" s="4">
        <v>194</v>
      </c>
      <c r="D2888" s="3" t="s">
        <v>145</v>
      </c>
      <c r="E2888" s="3" t="s">
        <v>16</v>
      </c>
      <c r="F2888" s="5">
        <v>384</v>
      </c>
      <c r="G2888" s="5">
        <v>156</v>
      </c>
      <c r="H2888" s="6">
        <v>23362.32</v>
      </c>
      <c r="I2888" s="22">
        <v>10050.84</v>
      </c>
      <c r="J2888" s="24">
        <f t="shared" si="135"/>
        <v>6.9643495932966267E-5</v>
      </c>
      <c r="K2888" s="25">
        <f t="shared" si="137"/>
        <v>0.92643599998732429</v>
      </c>
      <c r="L2888" s="26" t="s">
        <v>7517</v>
      </c>
      <c r="M2888" s="28"/>
      <c r="N2888" s="28"/>
      <c r="O2888" s="20" t="s">
        <v>7530</v>
      </c>
      <c r="P2888" s="27" t="str">
        <f t="shared" si="136"/>
        <v>vermelho</v>
      </c>
    </row>
    <row r="2889" spans="1:16">
      <c r="A2889" s="3" t="s">
        <v>4</v>
      </c>
      <c r="B2889" s="3" t="s">
        <v>2035</v>
      </c>
      <c r="C2889" s="4">
        <v>240</v>
      </c>
      <c r="D2889" s="3" t="s">
        <v>69</v>
      </c>
      <c r="E2889" s="3" t="s">
        <v>16</v>
      </c>
      <c r="F2889" s="5">
        <v>237</v>
      </c>
      <c r="G2889" s="5">
        <v>168</v>
      </c>
      <c r="H2889" s="6">
        <v>12974.46</v>
      </c>
      <c r="I2889" s="22">
        <v>10044.93</v>
      </c>
      <c r="J2889" s="24">
        <f t="shared" si="135"/>
        <v>6.9602544822316428E-5</v>
      </c>
      <c r="K2889" s="25">
        <f t="shared" si="137"/>
        <v>0.92650560253214664</v>
      </c>
      <c r="L2889" s="26" t="s">
        <v>7517</v>
      </c>
      <c r="M2889" s="28"/>
      <c r="N2889" s="28"/>
      <c r="O2889" s="20" t="s">
        <v>7530</v>
      </c>
      <c r="P2889" s="27" t="str">
        <f t="shared" si="136"/>
        <v>vermelho</v>
      </c>
    </row>
    <row r="2890" spans="1:16" ht="25.5">
      <c r="A2890" s="3" t="s">
        <v>4</v>
      </c>
      <c r="B2890" s="3" t="s">
        <v>2036</v>
      </c>
      <c r="C2890" s="4">
        <v>208</v>
      </c>
      <c r="D2890" s="3" t="s">
        <v>15</v>
      </c>
      <c r="E2890" s="3" t="s">
        <v>16</v>
      </c>
      <c r="F2890" s="5">
        <v>156</v>
      </c>
      <c r="G2890" s="5">
        <v>240</v>
      </c>
      <c r="H2890" s="6">
        <v>7894.44</v>
      </c>
      <c r="I2890" s="22">
        <v>10030.950000000001</v>
      </c>
      <c r="J2890" s="24">
        <f t="shared" si="135"/>
        <v>6.9505675697632035E-5</v>
      </c>
      <c r="K2890" s="25">
        <f t="shared" si="137"/>
        <v>0.92657510820784428</v>
      </c>
      <c r="L2890" s="26" t="s">
        <v>7517</v>
      </c>
      <c r="M2890" s="28"/>
      <c r="N2890" s="28">
        <v>4.4174843019045916E-2</v>
      </c>
      <c r="O2890" s="20">
        <v>7752.84</v>
      </c>
      <c r="P2890" s="27" t="str">
        <f t="shared" si="136"/>
        <v>laranja</v>
      </c>
    </row>
    <row r="2891" spans="1:16" ht="25.5">
      <c r="A2891" s="3" t="s">
        <v>4</v>
      </c>
      <c r="B2891" s="3" t="s">
        <v>2037</v>
      </c>
      <c r="C2891" s="4">
        <v>321</v>
      </c>
      <c r="D2891" s="3" t="s">
        <v>136</v>
      </c>
      <c r="E2891" s="3" t="s">
        <v>41</v>
      </c>
      <c r="F2891" s="5">
        <v>267</v>
      </c>
      <c r="G2891" s="5">
        <v>159</v>
      </c>
      <c r="H2891" s="6">
        <v>15049.53</v>
      </c>
      <c r="I2891" s="22">
        <v>10026.9</v>
      </c>
      <c r="J2891" s="24">
        <f t="shared" si="135"/>
        <v>6.9477612753785699E-5</v>
      </c>
      <c r="K2891" s="25">
        <f t="shared" si="137"/>
        <v>0.92664458582059805</v>
      </c>
      <c r="L2891" s="26" t="s">
        <v>7517</v>
      </c>
      <c r="M2891" s="28"/>
      <c r="N2891" s="28"/>
      <c r="O2891" s="20" t="s">
        <v>7530</v>
      </c>
      <c r="P2891" s="27" t="str">
        <f t="shared" si="136"/>
        <v>vermelho</v>
      </c>
    </row>
    <row r="2892" spans="1:16" ht="25.5">
      <c r="A2892" s="3" t="s">
        <v>4</v>
      </c>
      <c r="B2892" s="3" t="s">
        <v>2038</v>
      </c>
      <c r="C2892" s="4">
        <v>41</v>
      </c>
      <c r="D2892" s="3" t="s">
        <v>178</v>
      </c>
      <c r="E2892" s="3" t="s">
        <v>41</v>
      </c>
      <c r="F2892" s="5">
        <v>195</v>
      </c>
      <c r="G2892" s="5">
        <v>162</v>
      </c>
      <c r="H2892" s="6">
        <v>9989.25</v>
      </c>
      <c r="I2892" s="22">
        <v>10019.120000000001</v>
      </c>
      <c r="J2892" s="24">
        <f t="shared" si="135"/>
        <v>6.9423704185112988E-5</v>
      </c>
      <c r="K2892" s="25">
        <f t="shared" si="137"/>
        <v>0.92671400952478322</v>
      </c>
      <c r="L2892" s="26" t="s">
        <v>7517</v>
      </c>
      <c r="M2892" s="28"/>
      <c r="N2892" s="28"/>
      <c r="O2892" s="20" t="s">
        <v>7530</v>
      </c>
      <c r="P2892" s="27" t="str">
        <f t="shared" si="136"/>
        <v>vermelho</v>
      </c>
    </row>
    <row r="2893" spans="1:16" ht="25.5">
      <c r="A2893" s="3" t="s">
        <v>4</v>
      </c>
      <c r="B2893" s="3" t="s">
        <v>2039</v>
      </c>
      <c r="C2893" s="4">
        <v>197</v>
      </c>
      <c r="D2893" s="3" t="s">
        <v>66</v>
      </c>
      <c r="E2893" s="3" t="s">
        <v>41</v>
      </c>
      <c r="F2893" s="5">
        <v>72</v>
      </c>
      <c r="G2893" s="5">
        <v>156</v>
      </c>
      <c r="H2893" s="6">
        <v>5064.24</v>
      </c>
      <c r="I2893" s="22">
        <v>10013.280000000001</v>
      </c>
      <c r="J2893" s="24">
        <f t="shared" si="135"/>
        <v>6.9383238112998756E-5</v>
      </c>
      <c r="K2893" s="25">
        <f t="shared" si="137"/>
        <v>0.92678339276289623</v>
      </c>
      <c r="L2893" s="26" t="s">
        <v>7517</v>
      </c>
      <c r="M2893" s="28"/>
      <c r="N2893" s="28"/>
      <c r="O2893" s="20" t="s">
        <v>7530</v>
      </c>
      <c r="P2893" s="27" t="str">
        <f t="shared" si="136"/>
        <v>vermelho</v>
      </c>
    </row>
    <row r="2894" spans="1:16" ht="25.5">
      <c r="A2894" s="3" t="s">
        <v>4</v>
      </c>
      <c r="B2894" s="3" t="s">
        <v>2040</v>
      </c>
      <c r="C2894" s="4">
        <v>194</v>
      </c>
      <c r="D2894" s="3" t="s">
        <v>145</v>
      </c>
      <c r="E2894" s="3" t="s">
        <v>16</v>
      </c>
      <c r="F2894" s="5">
        <v>156</v>
      </c>
      <c r="G2894" s="5">
        <v>174</v>
      </c>
      <c r="H2894" s="6">
        <v>8388</v>
      </c>
      <c r="I2894" s="22">
        <v>9999.9</v>
      </c>
      <c r="J2894" s="24">
        <f t="shared" si="135"/>
        <v>6.9290526461476785E-5</v>
      </c>
      <c r="K2894" s="25">
        <f t="shared" si="137"/>
        <v>0.92685268328935766</v>
      </c>
      <c r="L2894" s="26" t="s">
        <v>7517</v>
      </c>
      <c r="M2894" s="28"/>
      <c r="N2894" s="28"/>
      <c r="O2894" s="20">
        <v>3447</v>
      </c>
      <c r="P2894" s="27" t="str">
        <f t="shared" si="136"/>
        <v>amarelo</v>
      </c>
    </row>
    <row r="2895" spans="1:16">
      <c r="A2895" s="3" t="s">
        <v>4</v>
      </c>
      <c r="B2895" s="3" t="s">
        <v>2041</v>
      </c>
      <c r="C2895" s="4">
        <v>232</v>
      </c>
      <c r="D2895" s="3" t="s">
        <v>174</v>
      </c>
      <c r="E2895" s="3" t="s">
        <v>16</v>
      </c>
      <c r="F2895" s="5">
        <v>336</v>
      </c>
      <c r="G2895" s="5">
        <v>180</v>
      </c>
      <c r="H2895" s="6">
        <v>17668.68</v>
      </c>
      <c r="I2895" s="22">
        <v>9988.2000000000007</v>
      </c>
      <c r="J2895" s="24">
        <f t="shared" si="135"/>
        <v>6.9209455734809598E-5</v>
      </c>
      <c r="K2895" s="25">
        <f t="shared" si="137"/>
        <v>0.92692189274509251</v>
      </c>
      <c r="L2895" s="26" t="s">
        <v>7517</v>
      </c>
      <c r="M2895" s="28"/>
      <c r="N2895" s="28"/>
      <c r="O2895" s="20" t="s">
        <v>7530</v>
      </c>
      <c r="P2895" s="27" t="str">
        <f t="shared" si="136"/>
        <v>vermelho</v>
      </c>
    </row>
    <row r="2896" spans="1:16" ht="25.5">
      <c r="A2896" s="3" t="s">
        <v>4</v>
      </c>
      <c r="B2896" s="3" t="s">
        <v>2042</v>
      </c>
      <c r="C2896" s="4">
        <v>218</v>
      </c>
      <c r="D2896" s="3" t="s">
        <v>104</v>
      </c>
      <c r="E2896" s="3" t="s">
        <v>16</v>
      </c>
      <c r="F2896" s="5">
        <v>0</v>
      </c>
      <c r="G2896" s="5">
        <v>192</v>
      </c>
      <c r="H2896" s="6">
        <v>0</v>
      </c>
      <c r="I2896" s="22">
        <v>9985.08</v>
      </c>
      <c r="J2896" s="24">
        <f t="shared" si="135"/>
        <v>6.9187836874365E-5</v>
      </c>
      <c r="K2896" s="25">
        <f t="shared" si="137"/>
        <v>0.92699108058196689</v>
      </c>
      <c r="L2896" s="26" t="s">
        <v>7517</v>
      </c>
      <c r="M2896" s="28"/>
      <c r="N2896" s="28"/>
      <c r="O2896" s="20" t="s">
        <v>7530</v>
      </c>
      <c r="P2896" s="27" t="str">
        <f t="shared" si="136"/>
        <v>vermelho</v>
      </c>
    </row>
    <row r="2897" spans="1:16" ht="25.5">
      <c r="A2897" s="3" t="s">
        <v>4</v>
      </c>
      <c r="B2897" s="3" t="s">
        <v>2043</v>
      </c>
      <c r="C2897" s="4">
        <v>208</v>
      </c>
      <c r="D2897" s="3" t="s">
        <v>15</v>
      </c>
      <c r="E2897" s="3" t="s">
        <v>16</v>
      </c>
      <c r="F2897" s="5">
        <v>0</v>
      </c>
      <c r="G2897" s="5">
        <v>168</v>
      </c>
      <c r="H2897" s="6">
        <v>0</v>
      </c>
      <c r="I2897" s="22">
        <v>9980.7000000000007</v>
      </c>
      <c r="J2897" s="24">
        <f t="shared" si="135"/>
        <v>6.9157487320279347E-5</v>
      </c>
      <c r="K2897" s="25">
        <f t="shared" si="137"/>
        <v>0.92706023806928717</v>
      </c>
      <c r="L2897" s="26" t="s">
        <v>7517</v>
      </c>
      <c r="M2897" s="28"/>
      <c r="N2897" s="28"/>
      <c r="O2897" s="20" t="s">
        <v>7530</v>
      </c>
      <c r="P2897" s="27" t="str">
        <f t="shared" si="136"/>
        <v>vermelho</v>
      </c>
    </row>
    <row r="2898" spans="1:16" ht="25.5">
      <c r="A2898" s="3" t="s">
        <v>4</v>
      </c>
      <c r="B2898" s="3" t="s">
        <v>2044</v>
      </c>
      <c r="C2898" s="4">
        <v>261</v>
      </c>
      <c r="D2898" s="3" t="s">
        <v>9</v>
      </c>
      <c r="E2898" s="3" t="s">
        <v>10</v>
      </c>
      <c r="F2898" s="5">
        <v>174</v>
      </c>
      <c r="G2898" s="5">
        <v>186</v>
      </c>
      <c r="H2898" s="6">
        <v>9644.91</v>
      </c>
      <c r="I2898" s="22">
        <v>9972.5400000000009</v>
      </c>
      <c r="J2898" s="24">
        <f t="shared" si="135"/>
        <v>6.9100945685270435E-5</v>
      </c>
      <c r="K2898" s="25">
        <f t="shared" si="137"/>
        <v>0.92712933901497241</v>
      </c>
      <c r="L2898" s="26" t="s">
        <v>7517</v>
      </c>
      <c r="M2898" s="28"/>
      <c r="N2898" s="28"/>
      <c r="O2898" s="20">
        <v>12176.34</v>
      </c>
      <c r="P2898" s="27" t="str">
        <f t="shared" si="136"/>
        <v>verde</v>
      </c>
    </row>
    <row r="2899" spans="1:16" ht="25.5">
      <c r="A2899" s="3" t="s">
        <v>4</v>
      </c>
      <c r="B2899" s="3" t="s">
        <v>2045</v>
      </c>
      <c r="C2899" s="4">
        <v>93</v>
      </c>
      <c r="D2899" s="3" t="s">
        <v>20</v>
      </c>
      <c r="E2899" s="3" t="s">
        <v>7</v>
      </c>
      <c r="F2899" s="5">
        <v>0</v>
      </c>
      <c r="G2899" s="5">
        <v>168</v>
      </c>
      <c r="H2899" s="6">
        <v>0</v>
      </c>
      <c r="I2899" s="22">
        <v>9969.27</v>
      </c>
      <c r="J2899" s="24">
        <f t="shared" si="135"/>
        <v>6.9078287456535238E-5</v>
      </c>
      <c r="K2899" s="25">
        <f t="shared" si="137"/>
        <v>0.92719841730242891</v>
      </c>
      <c r="L2899" s="26" t="s">
        <v>7517</v>
      </c>
      <c r="M2899" s="28"/>
      <c r="N2899" s="28"/>
      <c r="O2899" s="20" t="s">
        <v>7530</v>
      </c>
      <c r="P2899" s="27" t="str">
        <f t="shared" si="136"/>
        <v>vermelho</v>
      </c>
    </row>
    <row r="2900" spans="1:16">
      <c r="A2900" s="3" t="s">
        <v>4</v>
      </c>
      <c r="B2900" s="3" t="s">
        <v>2046</v>
      </c>
      <c r="C2900" s="4">
        <v>231</v>
      </c>
      <c r="D2900" s="3" t="s">
        <v>52</v>
      </c>
      <c r="E2900" s="3" t="s">
        <v>7</v>
      </c>
      <c r="F2900" s="5">
        <v>0</v>
      </c>
      <c r="G2900" s="5">
        <v>186</v>
      </c>
      <c r="H2900" s="6">
        <v>0</v>
      </c>
      <c r="I2900" s="22">
        <v>9951.0300000000007</v>
      </c>
      <c r="J2900" s="24">
        <f t="shared" si="135"/>
        <v>6.8951900272397657E-5</v>
      </c>
      <c r="K2900" s="25">
        <f t="shared" si="137"/>
        <v>0.92726736920270136</v>
      </c>
      <c r="L2900" s="26" t="s">
        <v>7517</v>
      </c>
      <c r="M2900" s="28"/>
      <c r="N2900" s="28"/>
      <c r="O2900" s="20" t="s">
        <v>7530</v>
      </c>
      <c r="P2900" s="27" t="str">
        <f t="shared" si="136"/>
        <v>vermelho</v>
      </c>
    </row>
    <row r="2901" spans="1:16" ht="38.25">
      <c r="A2901" s="3" t="s">
        <v>4</v>
      </c>
      <c r="B2901" s="3" t="s">
        <v>2047</v>
      </c>
      <c r="C2901" s="4">
        <v>38</v>
      </c>
      <c r="D2901" s="3" t="s">
        <v>184</v>
      </c>
      <c r="E2901" s="3" t="s">
        <v>49</v>
      </c>
      <c r="F2901" s="5">
        <v>264</v>
      </c>
      <c r="G2901" s="5">
        <v>168</v>
      </c>
      <c r="H2901" s="6">
        <v>15777.12</v>
      </c>
      <c r="I2901" s="22">
        <v>9948.24</v>
      </c>
      <c r="J2901" s="24">
        <f t="shared" si="135"/>
        <v>6.8932568022192403E-5</v>
      </c>
      <c r="K2901" s="25">
        <f t="shared" si="137"/>
        <v>0.92733630177072357</v>
      </c>
      <c r="L2901" s="26" t="s">
        <v>7517</v>
      </c>
      <c r="M2901" s="28"/>
      <c r="N2901" s="28"/>
      <c r="O2901" s="20" t="s">
        <v>7530</v>
      </c>
      <c r="P2901" s="27" t="str">
        <f t="shared" si="136"/>
        <v>vermelho</v>
      </c>
    </row>
    <row r="2902" spans="1:16" ht="25.5">
      <c r="A2902" s="3" t="s">
        <v>4</v>
      </c>
      <c r="B2902" s="3" t="s">
        <v>2048</v>
      </c>
      <c r="C2902" s="4">
        <v>267</v>
      </c>
      <c r="D2902" s="3" t="s">
        <v>125</v>
      </c>
      <c r="E2902" s="3" t="s">
        <v>16</v>
      </c>
      <c r="F2902" s="5">
        <v>0</v>
      </c>
      <c r="G2902" s="5">
        <v>174</v>
      </c>
      <c r="H2902" s="6">
        <v>0</v>
      </c>
      <c r="I2902" s="22">
        <v>9947.4</v>
      </c>
      <c r="J2902" s="24">
        <f t="shared" si="135"/>
        <v>6.892674755976501E-5</v>
      </c>
      <c r="K2902" s="25">
        <f t="shared" si="137"/>
        <v>0.92740522851828333</v>
      </c>
      <c r="L2902" s="26" t="s">
        <v>7517</v>
      </c>
      <c r="M2902" s="28"/>
      <c r="N2902" s="28"/>
      <c r="O2902" s="20">
        <v>5484.24</v>
      </c>
      <c r="P2902" s="27" t="str">
        <f t="shared" si="136"/>
        <v>laranja</v>
      </c>
    </row>
    <row r="2903" spans="1:16" ht="38.25">
      <c r="A2903" s="3" t="s">
        <v>4</v>
      </c>
      <c r="B2903" s="3" t="s">
        <v>2049</v>
      </c>
      <c r="C2903" s="4">
        <v>143</v>
      </c>
      <c r="D2903" s="3" t="s">
        <v>44</v>
      </c>
      <c r="E2903" s="3" t="s">
        <v>41</v>
      </c>
      <c r="F2903" s="5">
        <v>0</v>
      </c>
      <c r="G2903" s="5">
        <v>168</v>
      </c>
      <c r="H2903" s="6">
        <v>0</v>
      </c>
      <c r="I2903" s="22">
        <v>9947.2800000000007</v>
      </c>
      <c r="J2903" s="24">
        <f t="shared" si="135"/>
        <v>6.8925916065132531E-5</v>
      </c>
      <c r="K2903" s="25">
        <f t="shared" si="137"/>
        <v>0.92747415443434844</v>
      </c>
      <c r="L2903" s="26" t="s">
        <v>7517</v>
      </c>
      <c r="M2903" s="28"/>
      <c r="N2903" s="28"/>
      <c r="O2903" s="20" t="s">
        <v>7530</v>
      </c>
      <c r="P2903" s="27" t="str">
        <f t="shared" si="136"/>
        <v>vermelho</v>
      </c>
    </row>
    <row r="2904" spans="1:16" ht="25.5">
      <c r="A2904" s="3" t="s">
        <v>4</v>
      </c>
      <c r="B2904" s="3" t="s">
        <v>2050</v>
      </c>
      <c r="C2904" s="4">
        <v>296</v>
      </c>
      <c r="D2904" s="3" t="s">
        <v>282</v>
      </c>
      <c r="E2904" s="3" t="s">
        <v>16</v>
      </c>
      <c r="F2904" s="5">
        <v>0</v>
      </c>
      <c r="G2904" s="5">
        <v>150</v>
      </c>
      <c r="H2904" s="6">
        <v>0</v>
      </c>
      <c r="I2904" s="22">
        <v>9946.5</v>
      </c>
      <c r="J2904" s="24">
        <f t="shared" si="135"/>
        <v>6.8920511350021378E-5</v>
      </c>
      <c r="K2904" s="25">
        <f t="shared" si="137"/>
        <v>0.92754307494569843</v>
      </c>
      <c r="L2904" s="26" t="s">
        <v>7517</v>
      </c>
      <c r="M2904" s="28"/>
      <c r="N2904" s="28"/>
      <c r="O2904" s="20" t="s">
        <v>7530</v>
      </c>
      <c r="P2904" s="27" t="str">
        <f t="shared" si="136"/>
        <v>vermelho</v>
      </c>
    </row>
    <row r="2905" spans="1:16" ht="25.5">
      <c r="A2905" s="3" t="s">
        <v>4</v>
      </c>
      <c r="B2905" s="3" t="s">
        <v>2051</v>
      </c>
      <c r="C2905" s="4">
        <v>270</v>
      </c>
      <c r="D2905" s="3" t="s">
        <v>266</v>
      </c>
      <c r="E2905" s="3" t="s">
        <v>49</v>
      </c>
      <c r="F2905" s="5">
        <v>0</v>
      </c>
      <c r="G2905" s="5">
        <v>162</v>
      </c>
      <c r="H2905" s="6">
        <v>0</v>
      </c>
      <c r="I2905" s="22">
        <v>9946.3799999999992</v>
      </c>
      <c r="J2905" s="24">
        <f t="shared" si="135"/>
        <v>6.89196798553889E-5</v>
      </c>
      <c r="K2905" s="25">
        <f t="shared" si="137"/>
        <v>0.92761199462555377</v>
      </c>
      <c r="L2905" s="26" t="s">
        <v>7517</v>
      </c>
      <c r="M2905" s="28"/>
      <c r="N2905" s="28"/>
      <c r="O2905" s="20" t="s">
        <v>7530</v>
      </c>
      <c r="P2905" s="27" t="str">
        <f t="shared" si="136"/>
        <v>vermelho</v>
      </c>
    </row>
    <row r="2906" spans="1:16" ht="25.5">
      <c r="A2906" s="3" t="s">
        <v>4</v>
      </c>
      <c r="B2906" s="3" t="s">
        <v>2052</v>
      </c>
      <c r="C2906" s="4">
        <v>337</v>
      </c>
      <c r="D2906" s="3" t="s">
        <v>202</v>
      </c>
      <c r="E2906" s="3" t="s">
        <v>16</v>
      </c>
      <c r="F2906" s="5">
        <v>144</v>
      </c>
      <c r="G2906" s="5">
        <v>180</v>
      </c>
      <c r="H2906" s="6">
        <v>8180.64</v>
      </c>
      <c r="I2906" s="22">
        <v>9946.08</v>
      </c>
      <c r="J2906" s="24">
        <f t="shared" si="135"/>
        <v>6.8917601118807689E-5</v>
      </c>
      <c r="K2906" s="25">
        <f t="shared" si="137"/>
        <v>0.92768091222667259</v>
      </c>
      <c r="L2906" s="26" t="s">
        <v>7517</v>
      </c>
      <c r="M2906" s="28"/>
      <c r="N2906" s="28"/>
      <c r="O2906" s="20" t="s">
        <v>7530</v>
      </c>
      <c r="P2906" s="27" t="str">
        <f t="shared" si="136"/>
        <v>vermelho</v>
      </c>
    </row>
    <row r="2907" spans="1:16">
      <c r="A2907" s="3" t="s">
        <v>6701</v>
      </c>
      <c r="B2907" s="3" t="s">
        <v>6702</v>
      </c>
      <c r="C2907" s="4">
        <v>334</v>
      </c>
      <c r="D2907" s="3" t="s">
        <v>531</v>
      </c>
      <c r="E2907" s="3" t="s">
        <v>7</v>
      </c>
      <c r="F2907" s="5">
        <v>48</v>
      </c>
      <c r="G2907" s="5">
        <v>141</v>
      </c>
      <c r="H2907" s="6">
        <v>2883</v>
      </c>
      <c r="I2907" s="22">
        <v>9931.44</v>
      </c>
      <c r="J2907" s="24">
        <f t="shared" si="135"/>
        <v>6.8816158773644636E-5</v>
      </c>
      <c r="K2907" s="25">
        <f t="shared" si="137"/>
        <v>0.92774972838544623</v>
      </c>
      <c r="L2907" s="26" t="s">
        <v>7517</v>
      </c>
      <c r="M2907" s="28"/>
      <c r="N2907" s="28"/>
      <c r="O2907" s="20">
        <v>9931.44</v>
      </c>
      <c r="P2907" s="27" t="str">
        <f t="shared" si="136"/>
        <v>verde</v>
      </c>
    </row>
    <row r="2908" spans="1:16" ht="38.25">
      <c r="A2908" s="3" t="s">
        <v>4</v>
      </c>
      <c r="B2908" s="3" t="s">
        <v>2053</v>
      </c>
      <c r="C2908" s="4">
        <v>292</v>
      </c>
      <c r="D2908" s="3" t="s">
        <v>57</v>
      </c>
      <c r="E2908" s="3" t="s">
        <v>49</v>
      </c>
      <c r="F2908" s="5">
        <v>156</v>
      </c>
      <c r="G2908" s="5">
        <v>183</v>
      </c>
      <c r="H2908" s="6">
        <v>6397.92</v>
      </c>
      <c r="I2908" s="22">
        <v>9923.25</v>
      </c>
      <c r="J2908" s="24">
        <f t="shared" si="135"/>
        <v>6.8759409264977604E-5</v>
      </c>
      <c r="K2908" s="25">
        <f t="shared" si="137"/>
        <v>0.92781848779471121</v>
      </c>
      <c r="L2908" s="26" t="s">
        <v>7517</v>
      </c>
      <c r="M2908" s="28"/>
      <c r="N2908" s="28"/>
      <c r="O2908" s="20" t="s">
        <v>7530</v>
      </c>
      <c r="P2908" s="27" t="str">
        <f t="shared" si="136"/>
        <v>vermelho</v>
      </c>
    </row>
    <row r="2909" spans="1:16" ht="25.5">
      <c r="A2909" s="3" t="s">
        <v>4</v>
      </c>
      <c r="B2909" s="3" t="s">
        <v>2054</v>
      </c>
      <c r="C2909" s="4">
        <v>328</v>
      </c>
      <c r="D2909" s="3" t="s">
        <v>215</v>
      </c>
      <c r="E2909" s="3" t="s">
        <v>41</v>
      </c>
      <c r="F2909" s="5">
        <v>0</v>
      </c>
      <c r="G2909" s="5">
        <v>168</v>
      </c>
      <c r="H2909" s="6">
        <v>0</v>
      </c>
      <c r="I2909" s="22">
        <v>9917.64</v>
      </c>
      <c r="J2909" s="24">
        <f t="shared" si="135"/>
        <v>6.8720536890908961E-5</v>
      </c>
      <c r="K2909" s="25">
        <f t="shared" si="137"/>
        <v>0.9278872083316021</v>
      </c>
      <c r="L2909" s="26" t="s">
        <v>7517</v>
      </c>
      <c r="M2909" s="28"/>
      <c r="N2909" s="28"/>
      <c r="O2909" s="20">
        <v>1699.8</v>
      </c>
      <c r="P2909" s="27" t="str">
        <f t="shared" si="136"/>
        <v>amarelo</v>
      </c>
    </row>
    <row r="2910" spans="1:16">
      <c r="A2910" s="3" t="s">
        <v>6703</v>
      </c>
      <c r="B2910" s="3" t="s">
        <v>6704</v>
      </c>
      <c r="C2910" s="4">
        <v>217</v>
      </c>
      <c r="D2910" s="3" t="s">
        <v>91</v>
      </c>
      <c r="E2910" s="3" t="s">
        <v>16</v>
      </c>
      <c r="F2910" s="5">
        <v>0</v>
      </c>
      <c r="G2910" s="5">
        <v>162</v>
      </c>
      <c r="H2910" s="6">
        <v>0</v>
      </c>
      <c r="I2910" s="22">
        <v>9915.57</v>
      </c>
      <c r="J2910" s="24">
        <f t="shared" si="135"/>
        <v>6.870619360849862E-5</v>
      </c>
      <c r="K2910" s="25">
        <f t="shared" si="137"/>
        <v>0.92795591452521065</v>
      </c>
      <c r="L2910" s="26" t="s">
        <v>7517</v>
      </c>
      <c r="M2910" s="28"/>
      <c r="N2910" s="28"/>
      <c r="O2910" s="20" t="s">
        <v>7530</v>
      </c>
      <c r="P2910" s="27" t="str">
        <f t="shared" si="136"/>
        <v>vermelho</v>
      </c>
    </row>
    <row r="2911" spans="1:16" ht="25.5">
      <c r="A2911" s="3" t="s">
        <v>6705</v>
      </c>
      <c r="B2911" s="3" t="s">
        <v>6706</v>
      </c>
      <c r="C2911" s="4">
        <v>39</v>
      </c>
      <c r="D2911" s="3" t="s">
        <v>26</v>
      </c>
      <c r="E2911" s="3" t="s">
        <v>13</v>
      </c>
      <c r="F2911" s="5">
        <v>732</v>
      </c>
      <c r="G2911" s="5">
        <v>240</v>
      </c>
      <c r="H2911" s="6">
        <v>27178.799999999999</v>
      </c>
      <c r="I2911" s="22">
        <v>9913.44</v>
      </c>
      <c r="J2911" s="24">
        <f t="shared" si="135"/>
        <v>6.8691434578772027E-5</v>
      </c>
      <c r="K2911" s="25">
        <f t="shared" si="137"/>
        <v>0.92802460595978942</v>
      </c>
      <c r="L2911" s="26" t="s">
        <v>7517</v>
      </c>
      <c r="M2911" s="28"/>
      <c r="N2911" s="28"/>
      <c r="O2911" s="20" t="s">
        <v>7530</v>
      </c>
      <c r="P2911" s="27" t="str">
        <f t="shared" si="136"/>
        <v>vermelho</v>
      </c>
    </row>
    <row r="2912" spans="1:16" ht="25.5">
      <c r="A2912" s="3" t="s">
        <v>4</v>
      </c>
      <c r="B2912" s="3" t="s">
        <v>2055</v>
      </c>
      <c r="C2912" s="4">
        <v>299</v>
      </c>
      <c r="D2912" s="3" t="s">
        <v>111</v>
      </c>
      <c r="E2912" s="3" t="s">
        <v>49</v>
      </c>
      <c r="F2912" s="5">
        <v>468</v>
      </c>
      <c r="G2912" s="5">
        <v>171</v>
      </c>
      <c r="H2912" s="6">
        <v>23977.416000000001</v>
      </c>
      <c r="I2912" s="22">
        <v>9913.41</v>
      </c>
      <c r="J2912" s="24">
        <f t="shared" si="135"/>
        <v>6.8691226705113907E-5</v>
      </c>
      <c r="K2912" s="25">
        <f t="shared" si="137"/>
        <v>0.92809329718649458</v>
      </c>
      <c r="L2912" s="26" t="s">
        <v>7517</v>
      </c>
      <c r="M2912" s="28"/>
      <c r="N2912" s="28">
        <v>3.0490208101356903E-2</v>
      </c>
      <c r="O2912" s="20">
        <v>4999.92</v>
      </c>
      <c r="P2912" s="27" t="str">
        <f t="shared" si="136"/>
        <v>amarelo</v>
      </c>
    </row>
    <row r="2913" spans="1:16" ht="25.5">
      <c r="A2913" s="3" t="s">
        <v>4</v>
      </c>
      <c r="B2913" s="3" t="s">
        <v>2056</v>
      </c>
      <c r="C2913" s="4">
        <v>337</v>
      </c>
      <c r="D2913" s="3" t="s">
        <v>202</v>
      </c>
      <c r="E2913" s="3" t="s">
        <v>16</v>
      </c>
      <c r="F2913" s="5">
        <v>0</v>
      </c>
      <c r="G2913" s="5">
        <v>204</v>
      </c>
      <c r="H2913" s="6">
        <v>0</v>
      </c>
      <c r="I2913" s="22">
        <v>9908.52</v>
      </c>
      <c r="J2913" s="24">
        <f t="shared" si="135"/>
        <v>6.8657343298840192E-5</v>
      </c>
      <c r="K2913" s="25">
        <f t="shared" si="137"/>
        <v>0.92816195452979344</v>
      </c>
      <c r="L2913" s="26" t="s">
        <v>7517</v>
      </c>
      <c r="M2913" s="28"/>
      <c r="N2913" s="28"/>
      <c r="O2913" s="20" t="s">
        <v>7530</v>
      </c>
      <c r="P2913" s="27" t="str">
        <f t="shared" si="136"/>
        <v>vermelho</v>
      </c>
    </row>
    <row r="2914" spans="1:16" ht="25.5">
      <c r="A2914" s="3" t="s">
        <v>4</v>
      </c>
      <c r="B2914" s="3" t="s">
        <v>2057</v>
      </c>
      <c r="C2914" s="4">
        <v>231</v>
      </c>
      <c r="D2914" s="3" t="s">
        <v>52</v>
      </c>
      <c r="E2914" s="3" t="s">
        <v>7</v>
      </c>
      <c r="F2914" s="5">
        <v>204</v>
      </c>
      <c r="G2914" s="5">
        <v>180</v>
      </c>
      <c r="H2914" s="6">
        <v>10732.44</v>
      </c>
      <c r="I2914" s="22">
        <v>9907.56</v>
      </c>
      <c r="J2914" s="24">
        <f t="shared" si="135"/>
        <v>6.8650691341780307E-5</v>
      </c>
      <c r="K2914" s="25">
        <f t="shared" si="137"/>
        <v>0.92823060522113521</v>
      </c>
      <c r="L2914" s="26" t="s">
        <v>7517</v>
      </c>
      <c r="M2914" s="28"/>
      <c r="N2914" s="28"/>
      <c r="O2914" s="20">
        <v>3120.36</v>
      </c>
      <c r="P2914" s="27" t="str">
        <f t="shared" si="136"/>
        <v>amarelo</v>
      </c>
    </row>
    <row r="2915" spans="1:16" ht="25.5">
      <c r="A2915" s="3" t="s">
        <v>6707</v>
      </c>
      <c r="B2915" s="3" t="s">
        <v>6708</v>
      </c>
      <c r="C2915" s="4">
        <v>218</v>
      </c>
      <c r="D2915" s="3" t="s">
        <v>104</v>
      </c>
      <c r="E2915" s="3" t="s">
        <v>16</v>
      </c>
      <c r="F2915" s="5">
        <v>0</v>
      </c>
      <c r="G2915" s="5">
        <v>192</v>
      </c>
      <c r="H2915" s="6">
        <v>0</v>
      </c>
      <c r="I2915" s="22">
        <v>9907.2000000000007</v>
      </c>
      <c r="J2915" s="24">
        <f t="shared" si="135"/>
        <v>6.864819685788287E-5</v>
      </c>
      <c r="K2915" s="25">
        <f t="shared" si="137"/>
        <v>0.92829925341799313</v>
      </c>
      <c r="L2915" s="26" t="s">
        <v>7517</v>
      </c>
      <c r="M2915" s="28"/>
      <c r="N2915" s="28"/>
      <c r="O2915" s="20" t="s">
        <v>7530</v>
      </c>
      <c r="P2915" s="27" t="str">
        <f t="shared" si="136"/>
        <v>vermelho</v>
      </c>
    </row>
    <row r="2916" spans="1:16">
      <c r="A2916" s="3" t="s">
        <v>6709</v>
      </c>
      <c r="B2916" s="3" t="s">
        <v>6710</v>
      </c>
      <c r="C2916" s="4">
        <v>240</v>
      </c>
      <c r="D2916" s="3" t="s">
        <v>69</v>
      </c>
      <c r="E2916" s="3" t="s">
        <v>16</v>
      </c>
      <c r="F2916" s="5">
        <v>72</v>
      </c>
      <c r="G2916" s="5">
        <v>204</v>
      </c>
      <c r="H2916" s="6">
        <v>3985.11</v>
      </c>
      <c r="I2916" s="22">
        <v>9906.6</v>
      </c>
      <c r="J2916" s="24">
        <f t="shared" si="135"/>
        <v>6.8644039384720436E-5</v>
      </c>
      <c r="K2916" s="25">
        <f t="shared" si="137"/>
        <v>0.9283678974573778</v>
      </c>
      <c r="L2916" s="26" t="s">
        <v>7517</v>
      </c>
      <c r="M2916" s="28"/>
      <c r="N2916" s="28"/>
      <c r="O2916" s="20">
        <v>4332.3599999999997</v>
      </c>
      <c r="P2916" s="27" t="str">
        <f t="shared" si="136"/>
        <v>amarelo</v>
      </c>
    </row>
    <row r="2917" spans="1:16" ht="25.5">
      <c r="A2917" s="3" t="s">
        <v>4</v>
      </c>
      <c r="B2917" s="3" t="s">
        <v>2058</v>
      </c>
      <c r="C2917" s="4">
        <v>266</v>
      </c>
      <c r="D2917" s="3" t="s">
        <v>80</v>
      </c>
      <c r="E2917" s="3" t="s">
        <v>10</v>
      </c>
      <c r="F2917" s="5">
        <v>114</v>
      </c>
      <c r="G2917" s="5">
        <v>162</v>
      </c>
      <c r="H2917" s="6">
        <v>6342.24</v>
      </c>
      <c r="I2917" s="22">
        <v>9899.01</v>
      </c>
      <c r="J2917" s="24">
        <f t="shared" si="135"/>
        <v>6.8591447349215825E-5</v>
      </c>
      <c r="K2917" s="25">
        <f t="shared" si="137"/>
        <v>0.92843648890472696</v>
      </c>
      <c r="L2917" s="26" t="s">
        <v>7517</v>
      </c>
      <c r="M2917" s="28"/>
      <c r="N2917" s="28"/>
      <c r="O2917" s="20" t="s">
        <v>7530</v>
      </c>
      <c r="P2917" s="27" t="str">
        <f t="shared" si="136"/>
        <v>vermelho</v>
      </c>
    </row>
    <row r="2918" spans="1:16">
      <c r="A2918" s="3" t="s">
        <v>4</v>
      </c>
      <c r="B2918" s="3" t="s">
        <v>2059</v>
      </c>
      <c r="C2918" s="4">
        <v>232</v>
      </c>
      <c r="D2918" s="3" t="s">
        <v>174</v>
      </c>
      <c r="E2918" s="3" t="s">
        <v>16</v>
      </c>
      <c r="F2918" s="5">
        <v>204</v>
      </c>
      <c r="G2918" s="5">
        <v>192</v>
      </c>
      <c r="H2918" s="6">
        <v>10749.36</v>
      </c>
      <c r="I2918" s="22">
        <v>9898.02</v>
      </c>
      <c r="J2918" s="24">
        <f t="shared" si="135"/>
        <v>6.8584587518497834E-5</v>
      </c>
      <c r="K2918" s="25">
        <f t="shared" si="137"/>
        <v>0.92850507349224543</v>
      </c>
      <c r="L2918" s="26" t="s">
        <v>7517</v>
      </c>
      <c r="M2918" s="28"/>
      <c r="N2918" s="28">
        <v>6.4883850124769049E-2</v>
      </c>
      <c r="O2918" s="20">
        <v>8557.2000000000007</v>
      </c>
      <c r="P2918" s="27" t="str">
        <f t="shared" si="136"/>
        <v>laranja</v>
      </c>
    </row>
    <row r="2919" spans="1:16" ht="25.5">
      <c r="A2919" s="3" t="s">
        <v>4</v>
      </c>
      <c r="B2919" s="3" t="s">
        <v>2060</v>
      </c>
      <c r="C2919" s="4">
        <v>23</v>
      </c>
      <c r="D2919" s="3" t="s">
        <v>87</v>
      </c>
      <c r="E2919" s="3" t="s">
        <v>7</v>
      </c>
      <c r="F2919" s="5">
        <v>0</v>
      </c>
      <c r="G2919" s="5">
        <v>162</v>
      </c>
      <c r="H2919" s="6">
        <v>0</v>
      </c>
      <c r="I2919" s="22">
        <v>9892.3799999999992</v>
      </c>
      <c r="J2919" s="24">
        <f t="shared" si="135"/>
        <v>6.8545507270771072E-5</v>
      </c>
      <c r="K2919" s="25">
        <f t="shared" si="137"/>
        <v>0.92857361899951618</v>
      </c>
      <c r="L2919" s="26" t="s">
        <v>7517</v>
      </c>
      <c r="M2919" s="28"/>
      <c r="N2919" s="28"/>
      <c r="O2919" s="20" t="s">
        <v>7530</v>
      </c>
      <c r="P2919" s="27" t="str">
        <f t="shared" si="136"/>
        <v>vermelho</v>
      </c>
    </row>
    <row r="2920" spans="1:16" ht="25.5">
      <c r="A2920" s="3" t="s">
        <v>6711</v>
      </c>
      <c r="B2920" s="3" t="s">
        <v>6712</v>
      </c>
      <c r="C2920" s="4">
        <v>317</v>
      </c>
      <c r="D2920" s="3" t="s">
        <v>78</v>
      </c>
      <c r="E2920" s="3" t="s">
        <v>10</v>
      </c>
      <c r="F2920" s="5">
        <v>153</v>
      </c>
      <c r="G2920" s="5">
        <v>162</v>
      </c>
      <c r="H2920" s="6">
        <v>11005.62</v>
      </c>
      <c r="I2920" s="22">
        <v>9882.18</v>
      </c>
      <c r="J2920" s="24">
        <f t="shared" si="135"/>
        <v>6.8474830227009938E-5</v>
      </c>
      <c r="K2920" s="25">
        <f t="shared" si="137"/>
        <v>0.92864209382974316</v>
      </c>
      <c r="L2920" s="26" t="s">
        <v>7517</v>
      </c>
      <c r="M2920" s="28"/>
      <c r="N2920" s="28"/>
      <c r="O2920" s="20" t="s">
        <v>7530</v>
      </c>
      <c r="P2920" s="27" t="str">
        <f t="shared" si="136"/>
        <v>vermelho</v>
      </c>
    </row>
    <row r="2921" spans="1:16" ht="25.5">
      <c r="A2921" s="3" t="s">
        <v>4</v>
      </c>
      <c r="B2921" s="3" t="s">
        <v>2061</v>
      </c>
      <c r="C2921" s="4">
        <v>93</v>
      </c>
      <c r="D2921" s="3" t="s">
        <v>20</v>
      </c>
      <c r="E2921" s="3" t="s">
        <v>7</v>
      </c>
      <c r="F2921" s="5">
        <v>231</v>
      </c>
      <c r="G2921" s="5">
        <v>153</v>
      </c>
      <c r="H2921" s="6">
        <v>11536.478999999999</v>
      </c>
      <c r="I2921" s="22">
        <v>9880.4699999999993</v>
      </c>
      <c r="J2921" s="24">
        <f t="shared" si="135"/>
        <v>6.8462981428497034E-5</v>
      </c>
      <c r="K2921" s="25">
        <f t="shared" si="137"/>
        <v>0.92871055681117165</v>
      </c>
      <c r="L2921" s="26" t="s">
        <v>7517</v>
      </c>
      <c r="M2921" s="28"/>
      <c r="N2921" s="28"/>
      <c r="O2921" s="20" t="s">
        <v>7530</v>
      </c>
      <c r="P2921" s="27" t="str">
        <f t="shared" si="136"/>
        <v>vermelho</v>
      </c>
    </row>
    <row r="2922" spans="1:16" ht="25.5">
      <c r="A2922" s="3" t="s">
        <v>4</v>
      </c>
      <c r="B2922" s="3" t="s">
        <v>2062</v>
      </c>
      <c r="C2922" s="4">
        <v>218</v>
      </c>
      <c r="D2922" s="3" t="s">
        <v>104</v>
      </c>
      <c r="E2922" s="3" t="s">
        <v>16</v>
      </c>
      <c r="F2922" s="5">
        <v>144</v>
      </c>
      <c r="G2922" s="5">
        <v>204</v>
      </c>
      <c r="H2922" s="6">
        <v>6259.68</v>
      </c>
      <c r="I2922" s="22">
        <v>9878.64</v>
      </c>
      <c r="J2922" s="24">
        <f t="shared" si="135"/>
        <v>6.845030113535165E-5</v>
      </c>
      <c r="K2922" s="25">
        <f t="shared" si="137"/>
        <v>0.92877900711230699</v>
      </c>
      <c r="L2922" s="26" t="s">
        <v>7517</v>
      </c>
      <c r="M2922" s="28"/>
      <c r="N2922" s="28"/>
      <c r="O2922" s="20" t="s">
        <v>7530</v>
      </c>
      <c r="P2922" s="27" t="str">
        <f t="shared" si="136"/>
        <v>vermelho</v>
      </c>
    </row>
    <row r="2923" spans="1:16" ht="25.5">
      <c r="A2923" s="3" t="s">
        <v>4</v>
      </c>
      <c r="B2923" s="3" t="s">
        <v>2063</v>
      </c>
      <c r="C2923" s="4">
        <v>31</v>
      </c>
      <c r="D2923" s="3" t="s">
        <v>194</v>
      </c>
      <c r="E2923" s="3" t="s">
        <v>16</v>
      </c>
      <c r="F2923" s="5">
        <v>0</v>
      </c>
      <c r="G2923" s="5">
        <v>147</v>
      </c>
      <c r="H2923" s="6">
        <v>0</v>
      </c>
      <c r="I2923" s="22">
        <v>9858.2999999999993</v>
      </c>
      <c r="J2923" s="24">
        <f t="shared" si="135"/>
        <v>6.8309362795145609E-5</v>
      </c>
      <c r="K2923" s="25">
        <f t="shared" si="137"/>
        <v>0.9288473164751021</v>
      </c>
      <c r="L2923" s="26" t="s">
        <v>7517</v>
      </c>
      <c r="M2923" s="28"/>
      <c r="N2923" s="28"/>
      <c r="O2923" s="20">
        <v>9858.2999999999993</v>
      </c>
      <c r="P2923" s="27" t="str">
        <f t="shared" si="136"/>
        <v>verde</v>
      </c>
    </row>
    <row r="2924" spans="1:16">
      <c r="A2924" s="3" t="s">
        <v>6713</v>
      </c>
      <c r="B2924" s="3" t="s">
        <v>6457</v>
      </c>
      <c r="C2924" s="4">
        <v>240</v>
      </c>
      <c r="D2924" s="3" t="s">
        <v>69</v>
      </c>
      <c r="E2924" s="3" t="s">
        <v>16</v>
      </c>
      <c r="F2924" s="5">
        <v>216</v>
      </c>
      <c r="G2924" s="5">
        <v>165</v>
      </c>
      <c r="H2924" s="6">
        <v>11089.32</v>
      </c>
      <c r="I2924" s="22">
        <v>9855.1200000000008</v>
      </c>
      <c r="J2924" s="24">
        <f t="shared" si="135"/>
        <v>6.8287328187384785E-5</v>
      </c>
      <c r="K2924" s="25">
        <f t="shared" si="137"/>
        <v>0.92891560380328952</v>
      </c>
      <c r="L2924" s="26" t="s">
        <v>7517</v>
      </c>
      <c r="M2924" s="28"/>
      <c r="N2924" s="28"/>
      <c r="O2924" s="20">
        <v>14906.4</v>
      </c>
      <c r="P2924" s="27" t="str">
        <f t="shared" si="136"/>
        <v>verde</v>
      </c>
    </row>
    <row r="2925" spans="1:16" ht="38.25">
      <c r="A2925" s="3" t="s">
        <v>4</v>
      </c>
      <c r="B2925" s="3" t="s">
        <v>2064</v>
      </c>
      <c r="C2925" s="4">
        <v>333</v>
      </c>
      <c r="D2925" s="3" t="s">
        <v>1394</v>
      </c>
      <c r="E2925" s="3" t="s">
        <v>41</v>
      </c>
      <c r="F2925" s="5">
        <v>0</v>
      </c>
      <c r="G2925" s="5">
        <v>165</v>
      </c>
      <c r="H2925" s="6">
        <v>0</v>
      </c>
      <c r="I2925" s="22">
        <v>9853.86</v>
      </c>
      <c r="J2925" s="24">
        <f t="shared" si="135"/>
        <v>6.8278597493743703E-5</v>
      </c>
      <c r="K2925" s="25">
        <f t="shared" si="137"/>
        <v>0.92898388240078322</v>
      </c>
      <c r="L2925" s="26" t="s">
        <v>7517</v>
      </c>
      <c r="M2925" s="28"/>
      <c r="N2925" s="28"/>
      <c r="O2925" s="20" t="s">
        <v>7530</v>
      </c>
      <c r="P2925" s="27" t="str">
        <f t="shared" si="136"/>
        <v>vermelho</v>
      </c>
    </row>
    <row r="2926" spans="1:16" ht="25.5">
      <c r="A2926" s="3" t="s">
        <v>4</v>
      </c>
      <c r="B2926" s="3" t="s">
        <v>2065</v>
      </c>
      <c r="C2926" s="4">
        <v>315</v>
      </c>
      <c r="D2926" s="3" t="s">
        <v>63</v>
      </c>
      <c r="E2926" s="3" t="s">
        <v>7</v>
      </c>
      <c r="F2926" s="5">
        <v>0</v>
      </c>
      <c r="G2926" s="5">
        <v>174</v>
      </c>
      <c r="H2926" s="6">
        <v>0</v>
      </c>
      <c r="I2926" s="22">
        <v>9848.0360000000001</v>
      </c>
      <c r="J2926" s="24">
        <f t="shared" si="135"/>
        <v>6.8238242287580481E-5</v>
      </c>
      <c r="K2926" s="25">
        <f t="shared" si="137"/>
        <v>0.92905212064307086</v>
      </c>
      <c r="L2926" s="26" t="s">
        <v>7517</v>
      </c>
      <c r="M2926" s="28"/>
      <c r="N2926" s="28"/>
      <c r="O2926" s="20" t="s">
        <v>7530</v>
      </c>
      <c r="P2926" s="27" t="str">
        <f t="shared" si="136"/>
        <v>vermelho</v>
      </c>
    </row>
    <row r="2927" spans="1:16" ht="25.5">
      <c r="A2927" s="3" t="s">
        <v>4</v>
      </c>
      <c r="B2927" s="3" t="s">
        <v>2066</v>
      </c>
      <c r="C2927" s="4">
        <v>53</v>
      </c>
      <c r="D2927" s="3" t="s">
        <v>34</v>
      </c>
      <c r="E2927" s="3" t="s">
        <v>16</v>
      </c>
      <c r="F2927" s="5">
        <v>84</v>
      </c>
      <c r="G2927" s="5">
        <v>176</v>
      </c>
      <c r="H2927" s="6">
        <v>4663.8</v>
      </c>
      <c r="I2927" s="22">
        <v>9847.67</v>
      </c>
      <c r="J2927" s="24">
        <f t="shared" si="135"/>
        <v>6.8235706228951404E-5</v>
      </c>
      <c r="K2927" s="25">
        <f t="shared" si="137"/>
        <v>0.92912035634929979</v>
      </c>
      <c r="L2927" s="26" t="s">
        <v>7517</v>
      </c>
      <c r="M2927" s="28"/>
      <c r="N2927" s="28"/>
      <c r="O2927" s="20" t="s">
        <v>7530</v>
      </c>
      <c r="P2927" s="27" t="str">
        <f t="shared" si="136"/>
        <v>vermelho</v>
      </c>
    </row>
    <row r="2928" spans="1:16" ht="25.5">
      <c r="A2928" s="3" t="s">
        <v>4</v>
      </c>
      <c r="B2928" s="3" t="s">
        <v>2067</v>
      </c>
      <c r="C2928" s="4">
        <v>261</v>
      </c>
      <c r="D2928" s="3" t="s">
        <v>9</v>
      </c>
      <c r="E2928" s="3" t="s">
        <v>10</v>
      </c>
      <c r="F2928" s="5">
        <v>0</v>
      </c>
      <c r="G2928" s="5">
        <v>144</v>
      </c>
      <c r="H2928" s="6">
        <v>0</v>
      </c>
      <c r="I2928" s="22">
        <v>9846.24</v>
      </c>
      <c r="J2928" s="24">
        <f t="shared" si="135"/>
        <v>6.8225797584580959E-5</v>
      </c>
      <c r="K2928" s="25">
        <f t="shared" si="137"/>
        <v>0.92918858214688438</v>
      </c>
      <c r="L2928" s="26" t="s">
        <v>7517</v>
      </c>
      <c r="M2928" s="28"/>
      <c r="N2928" s="28"/>
      <c r="O2928" s="20" t="s">
        <v>7530</v>
      </c>
      <c r="P2928" s="27" t="str">
        <f t="shared" si="136"/>
        <v>vermelho</v>
      </c>
    </row>
    <row r="2929" spans="1:16" ht="38.25">
      <c r="A2929" s="3" t="s">
        <v>4</v>
      </c>
      <c r="B2929" s="3" t="s">
        <v>2068</v>
      </c>
      <c r="C2929" s="4">
        <v>11</v>
      </c>
      <c r="D2929" s="3" t="s">
        <v>61</v>
      </c>
      <c r="E2929" s="3" t="s">
        <v>10</v>
      </c>
      <c r="F2929" s="5">
        <v>0</v>
      </c>
      <c r="G2929" s="5">
        <v>180</v>
      </c>
      <c r="H2929" s="6">
        <v>0</v>
      </c>
      <c r="I2929" s="22">
        <v>9839.3539999999994</v>
      </c>
      <c r="J2929" s="24">
        <f t="shared" si="135"/>
        <v>6.8178083650920253E-5</v>
      </c>
      <c r="K2929" s="25">
        <f t="shared" si="137"/>
        <v>0.92925676023053527</v>
      </c>
      <c r="L2929" s="26" t="s">
        <v>7517</v>
      </c>
      <c r="M2929" s="28"/>
      <c r="N2929" s="28"/>
      <c r="O2929" s="20" t="s">
        <v>7530</v>
      </c>
      <c r="P2929" s="27" t="str">
        <f t="shared" si="136"/>
        <v>vermelho</v>
      </c>
    </row>
    <row r="2930" spans="1:16" ht="25.5">
      <c r="A2930" s="3" t="s">
        <v>4</v>
      </c>
      <c r="B2930" s="3" t="s">
        <v>2069</v>
      </c>
      <c r="C2930" s="4">
        <v>240</v>
      </c>
      <c r="D2930" s="3" t="s">
        <v>69</v>
      </c>
      <c r="E2930" s="3" t="s">
        <v>16</v>
      </c>
      <c r="F2930" s="5">
        <v>0</v>
      </c>
      <c r="G2930" s="5">
        <v>180</v>
      </c>
      <c r="H2930" s="6">
        <v>0</v>
      </c>
      <c r="I2930" s="22">
        <v>9835.2000000000007</v>
      </c>
      <c r="J2930" s="24">
        <f t="shared" si="135"/>
        <v>6.8149300078392433E-5</v>
      </c>
      <c r="K2930" s="25">
        <f t="shared" si="137"/>
        <v>0.92932490953061364</v>
      </c>
      <c r="L2930" s="26" t="s">
        <v>7517</v>
      </c>
      <c r="M2930" s="28"/>
      <c r="N2930" s="28"/>
      <c r="O2930" s="20" t="s">
        <v>7530</v>
      </c>
      <c r="P2930" s="27" t="str">
        <f t="shared" si="136"/>
        <v>vermelho</v>
      </c>
    </row>
    <row r="2931" spans="1:16" ht="25.5">
      <c r="A2931" s="3" t="s">
        <v>4</v>
      </c>
      <c r="B2931" s="3" t="s">
        <v>2070</v>
      </c>
      <c r="C2931" s="4">
        <v>327</v>
      </c>
      <c r="D2931" s="3" t="s">
        <v>100</v>
      </c>
      <c r="E2931" s="3" t="s">
        <v>7</v>
      </c>
      <c r="F2931" s="5">
        <v>108</v>
      </c>
      <c r="G2931" s="5">
        <v>138</v>
      </c>
      <c r="H2931" s="6">
        <v>5301.6</v>
      </c>
      <c r="I2931" s="22">
        <v>9827.4</v>
      </c>
      <c r="J2931" s="24">
        <f t="shared" si="135"/>
        <v>6.8095252927280971E-5</v>
      </c>
      <c r="K2931" s="25">
        <f t="shared" si="137"/>
        <v>0.92939300478354092</v>
      </c>
      <c r="L2931" s="26" t="s">
        <v>7517</v>
      </c>
      <c r="M2931" s="28"/>
      <c r="N2931" s="28"/>
      <c r="O2931" s="20">
        <v>5140.78</v>
      </c>
      <c r="P2931" s="27" t="str">
        <f t="shared" si="136"/>
        <v>laranja</v>
      </c>
    </row>
    <row r="2932" spans="1:16">
      <c r="A2932" s="3" t="s">
        <v>4</v>
      </c>
      <c r="B2932" s="3" t="s">
        <v>2071</v>
      </c>
      <c r="C2932" s="4">
        <v>315</v>
      </c>
      <c r="D2932" s="3" t="s">
        <v>63</v>
      </c>
      <c r="E2932" s="3" t="s">
        <v>7</v>
      </c>
      <c r="F2932" s="5">
        <v>192</v>
      </c>
      <c r="G2932" s="5">
        <v>186</v>
      </c>
      <c r="H2932" s="6">
        <v>8694.48</v>
      </c>
      <c r="I2932" s="22">
        <v>9825.2999999999993</v>
      </c>
      <c r="J2932" s="24">
        <f t="shared" si="135"/>
        <v>6.8080701771212497E-5</v>
      </c>
      <c r="K2932" s="25">
        <f t="shared" si="137"/>
        <v>0.92946108548531214</v>
      </c>
      <c r="L2932" s="26" t="s">
        <v>7517</v>
      </c>
      <c r="M2932" s="28"/>
      <c r="N2932" s="28"/>
      <c r="O2932" s="20" t="s">
        <v>7530</v>
      </c>
      <c r="P2932" s="27" t="str">
        <f t="shared" si="136"/>
        <v>vermelho</v>
      </c>
    </row>
    <row r="2933" spans="1:16" ht="25.5">
      <c r="A2933" s="3" t="s">
        <v>4</v>
      </c>
      <c r="B2933" s="3" t="s">
        <v>2072</v>
      </c>
      <c r="C2933" s="4">
        <v>61</v>
      </c>
      <c r="D2933" s="3" t="s">
        <v>48</v>
      </c>
      <c r="E2933" s="3" t="s">
        <v>49</v>
      </c>
      <c r="F2933" s="5">
        <v>513</v>
      </c>
      <c r="G2933" s="5">
        <v>171</v>
      </c>
      <c r="H2933" s="6">
        <v>29178.66</v>
      </c>
      <c r="I2933" s="22">
        <v>9813.7800000000007</v>
      </c>
      <c r="J2933" s="24">
        <f t="shared" si="135"/>
        <v>6.8000878286494029E-5</v>
      </c>
      <c r="K2933" s="25">
        <f t="shared" si="137"/>
        <v>0.92952908636359866</v>
      </c>
      <c r="L2933" s="26" t="s">
        <v>7517</v>
      </c>
      <c r="M2933" s="28"/>
      <c r="N2933" s="28"/>
      <c r="O2933" s="20" t="s">
        <v>7530</v>
      </c>
      <c r="P2933" s="27" t="str">
        <f t="shared" si="136"/>
        <v>vermelho</v>
      </c>
    </row>
    <row r="2934" spans="1:16" ht="25.5">
      <c r="A2934" s="3" t="s">
        <v>6714</v>
      </c>
      <c r="B2934" s="3" t="s">
        <v>6715</v>
      </c>
      <c r="C2934" s="4">
        <v>273</v>
      </c>
      <c r="D2934" s="3" t="s">
        <v>149</v>
      </c>
      <c r="E2934" s="3" t="s">
        <v>16</v>
      </c>
      <c r="F2934" s="5">
        <v>0</v>
      </c>
      <c r="G2934" s="5">
        <v>174</v>
      </c>
      <c r="H2934" s="6">
        <v>0</v>
      </c>
      <c r="I2934" s="22">
        <v>9804.81</v>
      </c>
      <c r="J2934" s="24">
        <f t="shared" si="135"/>
        <v>6.7938724062715844E-5</v>
      </c>
      <c r="K2934" s="25">
        <f t="shared" si="137"/>
        <v>0.9295970250876614</v>
      </c>
      <c r="L2934" s="26" t="s">
        <v>7517</v>
      </c>
      <c r="M2934" s="28"/>
      <c r="N2934" s="28"/>
      <c r="O2934" s="20">
        <v>6189.6</v>
      </c>
      <c r="P2934" s="27" t="str">
        <f t="shared" si="136"/>
        <v>laranja</v>
      </c>
    </row>
    <row r="2935" spans="1:16" ht="25.5">
      <c r="A2935" s="3" t="s">
        <v>4</v>
      </c>
      <c r="B2935" s="3" t="s">
        <v>2073</v>
      </c>
      <c r="C2935" s="4">
        <v>93</v>
      </c>
      <c r="D2935" s="3" t="s">
        <v>20</v>
      </c>
      <c r="E2935" s="3" t="s">
        <v>7</v>
      </c>
      <c r="F2935" s="5">
        <v>0</v>
      </c>
      <c r="G2935" s="5">
        <v>177</v>
      </c>
      <c r="H2935" s="6">
        <v>0</v>
      </c>
      <c r="I2935" s="22">
        <v>9801.75</v>
      </c>
      <c r="J2935" s="24">
        <f t="shared" si="135"/>
        <v>6.7917520949587498E-5</v>
      </c>
      <c r="K2935" s="25">
        <f t="shared" si="137"/>
        <v>0.92966494260861099</v>
      </c>
      <c r="L2935" s="26" t="s">
        <v>7517</v>
      </c>
      <c r="M2935" s="28"/>
      <c r="N2935" s="28"/>
      <c r="O2935" s="20">
        <v>5450.88</v>
      </c>
      <c r="P2935" s="27" t="str">
        <f t="shared" si="136"/>
        <v>laranja</v>
      </c>
    </row>
    <row r="2936" spans="1:16" ht="38.25">
      <c r="A2936" s="3" t="s">
        <v>4</v>
      </c>
      <c r="B2936" s="3" t="s">
        <v>1767</v>
      </c>
      <c r="C2936" s="4">
        <v>371</v>
      </c>
      <c r="D2936" s="3" t="s">
        <v>82</v>
      </c>
      <c r="E2936" s="3" t="s">
        <v>10</v>
      </c>
      <c r="F2936" s="5">
        <v>0</v>
      </c>
      <c r="G2936" s="5">
        <v>216</v>
      </c>
      <c r="H2936" s="6">
        <v>0</v>
      </c>
      <c r="I2936" s="22">
        <v>9797.482</v>
      </c>
      <c r="J2936" s="24">
        <f t="shared" si="135"/>
        <v>6.7887947457158826E-5</v>
      </c>
      <c r="K2936" s="25">
        <f t="shared" si="137"/>
        <v>0.92973283055606815</v>
      </c>
      <c r="L2936" s="26" t="s">
        <v>7517</v>
      </c>
      <c r="M2936" s="28">
        <v>-1.326913096879008E-2</v>
      </c>
      <c r="N2936" s="28"/>
      <c r="O2936" s="20">
        <v>3431.9920000000002</v>
      </c>
      <c r="P2936" s="27" t="str">
        <f t="shared" si="136"/>
        <v>amarelo</v>
      </c>
    </row>
    <row r="2937" spans="1:16" ht="25.5">
      <c r="A2937" s="3" t="s">
        <v>4</v>
      </c>
      <c r="B2937" s="3" t="s">
        <v>2074</v>
      </c>
      <c r="C2937" s="4">
        <v>19</v>
      </c>
      <c r="D2937" s="3" t="s">
        <v>72</v>
      </c>
      <c r="E2937" s="3" t="s">
        <v>41</v>
      </c>
      <c r="F2937" s="5">
        <v>0</v>
      </c>
      <c r="G2937" s="5">
        <v>138</v>
      </c>
      <c r="H2937" s="6">
        <v>0</v>
      </c>
      <c r="I2937" s="22">
        <v>9789.42</v>
      </c>
      <c r="J2937" s="24">
        <f t="shared" si="135"/>
        <v>6.7832084876099771E-5</v>
      </c>
      <c r="K2937" s="25">
        <f t="shared" si="137"/>
        <v>0.9298006626409443</v>
      </c>
      <c r="L2937" s="26" t="s">
        <v>7517</v>
      </c>
      <c r="M2937" s="28"/>
      <c r="N2937" s="28"/>
      <c r="O2937" s="20" t="s">
        <v>7530</v>
      </c>
      <c r="P2937" s="27" t="str">
        <f t="shared" si="136"/>
        <v>vermelho</v>
      </c>
    </row>
    <row r="2938" spans="1:16" ht="25.5">
      <c r="A2938" s="3" t="s">
        <v>4</v>
      </c>
      <c r="B2938" s="3" t="s">
        <v>2075</v>
      </c>
      <c r="C2938" s="4">
        <v>218</v>
      </c>
      <c r="D2938" s="3" t="s">
        <v>104</v>
      </c>
      <c r="E2938" s="3" t="s">
        <v>16</v>
      </c>
      <c r="F2938" s="5">
        <v>336</v>
      </c>
      <c r="G2938" s="5">
        <v>186</v>
      </c>
      <c r="H2938" s="6">
        <v>17477.16</v>
      </c>
      <c r="I2938" s="22">
        <v>9787.65</v>
      </c>
      <c r="J2938" s="24">
        <f t="shared" si="135"/>
        <v>6.7819820330270627E-5</v>
      </c>
      <c r="K2938" s="25">
        <f t="shared" si="137"/>
        <v>0.92986848246127451</v>
      </c>
      <c r="L2938" s="26" t="s">
        <v>7517</v>
      </c>
      <c r="M2938" s="28"/>
      <c r="N2938" s="28"/>
      <c r="O2938" s="20" t="s">
        <v>7530</v>
      </c>
      <c r="P2938" s="27" t="str">
        <f t="shared" si="136"/>
        <v>vermelho</v>
      </c>
    </row>
    <row r="2939" spans="1:16" ht="25.5">
      <c r="A2939" s="3" t="s">
        <v>4</v>
      </c>
      <c r="B2939" s="3" t="s">
        <v>2076</v>
      </c>
      <c r="C2939" s="4">
        <v>266</v>
      </c>
      <c r="D2939" s="3" t="s">
        <v>80</v>
      </c>
      <c r="E2939" s="3" t="s">
        <v>10</v>
      </c>
      <c r="F2939" s="5">
        <v>0</v>
      </c>
      <c r="G2939" s="5">
        <v>168</v>
      </c>
      <c r="H2939" s="6">
        <v>0</v>
      </c>
      <c r="I2939" s="22">
        <v>9784.2000000000007</v>
      </c>
      <c r="J2939" s="24">
        <f t="shared" si="135"/>
        <v>6.7795914859586712E-5</v>
      </c>
      <c r="K2939" s="25">
        <f t="shared" si="137"/>
        <v>0.92993627837613413</v>
      </c>
      <c r="L2939" s="26" t="s">
        <v>7517</v>
      </c>
      <c r="M2939" s="28"/>
      <c r="N2939" s="28"/>
      <c r="O2939" s="20" t="s">
        <v>7530</v>
      </c>
      <c r="P2939" s="27" t="str">
        <f t="shared" si="136"/>
        <v>vermelho</v>
      </c>
    </row>
    <row r="2940" spans="1:16" ht="25.5">
      <c r="A2940" s="3" t="s">
        <v>4</v>
      </c>
      <c r="B2940" s="3" t="s">
        <v>2077</v>
      </c>
      <c r="C2940" s="4">
        <v>299</v>
      </c>
      <c r="D2940" s="3" t="s">
        <v>111</v>
      </c>
      <c r="E2940" s="3" t="s">
        <v>49</v>
      </c>
      <c r="F2940" s="5">
        <v>0</v>
      </c>
      <c r="G2940" s="5">
        <v>168</v>
      </c>
      <c r="H2940" s="6">
        <v>0</v>
      </c>
      <c r="I2940" s="22">
        <v>9779.4240000000009</v>
      </c>
      <c r="J2940" s="24">
        <f t="shared" si="135"/>
        <v>6.7762821373213848E-5</v>
      </c>
      <c r="K2940" s="25">
        <f t="shared" si="137"/>
        <v>0.93000404119750735</v>
      </c>
      <c r="L2940" s="26" t="s">
        <v>7517</v>
      </c>
      <c r="M2940" s="28"/>
      <c r="N2940" s="28"/>
      <c r="O2940" s="20" t="s">
        <v>7530</v>
      </c>
      <c r="P2940" s="27" t="str">
        <f t="shared" si="136"/>
        <v>vermelho</v>
      </c>
    </row>
    <row r="2941" spans="1:16" ht="25.5">
      <c r="A2941" s="3" t="s">
        <v>4</v>
      </c>
      <c r="B2941" s="3" t="s">
        <v>2078</v>
      </c>
      <c r="C2941" s="4">
        <v>321</v>
      </c>
      <c r="D2941" s="3" t="s">
        <v>136</v>
      </c>
      <c r="E2941" s="3" t="s">
        <v>41</v>
      </c>
      <c r="F2941" s="5">
        <v>231</v>
      </c>
      <c r="G2941" s="5">
        <v>234</v>
      </c>
      <c r="H2941" s="6">
        <v>14091.69</v>
      </c>
      <c r="I2941" s="22">
        <v>9778.86</v>
      </c>
      <c r="J2941" s="24">
        <f t="shared" si="135"/>
        <v>6.7758913348441174E-5</v>
      </c>
      <c r="K2941" s="25">
        <f t="shared" si="137"/>
        <v>0.93007180011085577</v>
      </c>
      <c r="L2941" s="26" t="s">
        <v>7517</v>
      </c>
      <c r="M2941" s="28"/>
      <c r="N2941" s="28"/>
      <c r="O2941" s="20" t="s">
        <v>7530</v>
      </c>
      <c r="P2941" s="27" t="str">
        <f t="shared" si="136"/>
        <v>vermelho</v>
      </c>
    </row>
    <row r="2942" spans="1:16" ht="25.5">
      <c r="A2942" s="3" t="s">
        <v>4</v>
      </c>
      <c r="B2942" s="3" t="s">
        <v>2079</v>
      </c>
      <c r="C2942" s="4">
        <v>317</v>
      </c>
      <c r="D2942" s="3" t="s">
        <v>78</v>
      </c>
      <c r="E2942" s="3" t="s">
        <v>10</v>
      </c>
      <c r="F2942" s="5">
        <v>0</v>
      </c>
      <c r="G2942" s="5">
        <v>147</v>
      </c>
      <c r="H2942" s="6">
        <v>0</v>
      </c>
      <c r="I2942" s="22">
        <v>9774.06</v>
      </c>
      <c r="J2942" s="24">
        <f t="shared" si="135"/>
        <v>6.7725653563141804E-5</v>
      </c>
      <c r="K2942" s="25">
        <f t="shared" si="137"/>
        <v>0.93013952576441894</v>
      </c>
      <c r="L2942" s="26" t="s">
        <v>7517</v>
      </c>
      <c r="M2942" s="28"/>
      <c r="N2942" s="28"/>
      <c r="O2942" s="20" t="s">
        <v>7530</v>
      </c>
      <c r="P2942" s="27" t="str">
        <f t="shared" si="136"/>
        <v>vermelho</v>
      </c>
    </row>
    <row r="2943" spans="1:16" ht="38.25">
      <c r="A2943" s="3" t="s">
        <v>4</v>
      </c>
      <c r="B2943" s="3" t="s">
        <v>1461</v>
      </c>
      <c r="C2943" s="4">
        <v>273</v>
      </c>
      <c r="D2943" s="3" t="s">
        <v>149</v>
      </c>
      <c r="E2943" s="3" t="s">
        <v>16</v>
      </c>
      <c r="F2943" s="5">
        <v>0</v>
      </c>
      <c r="G2943" s="5">
        <v>183</v>
      </c>
      <c r="H2943" s="6">
        <v>0</v>
      </c>
      <c r="I2943" s="22">
        <v>9770.8119999999999</v>
      </c>
      <c r="J2943" s="24">
        <f t="shared" si="135"/>
        <v>6.7703147775089243E-5</v>
      </c>
      <c r="K2943" s="25">
        <f t="shared" si="137"/>
        <v>0.93020722891219398</v>
      </c>
      <c r="L2943" s="26" t="s">
        <v>7517</v>
      </c>
      <c r="M2943" s="28"/>
      <c r="N2943" s="28">
        <v>4.2311408539967579E-2</v>
      </c>
      <c r="O2943" s="20">
        <v>4074.6</v>
      </c>
      <c r="P2943" s="27" t="str">
        <f t="shared" si="136"/>
        <v>amarelo</v>
      </c>
    </row>
    <row r="2944" spans="1:16" ht="25.5">
      <c r="A2944" s="3" t="s">
        <v>4</v>
      </c>
      <c r="B2944" s="3" t="s">
        <v>2080</v>
      </c>
      <c r="C2944" s="4">
        <v>296</v>
      </c>
      <c r="D2944" s="3" t="s">
        <v>282</v>
      </c>
      <c r="E2944" s="3" t="s">
        <v>10</v>
      </c>
      <c r="F2944" s="5">
        <v>0</v>
      </c>
      <c r="G2944" s="5">
        <v>156</v>
      </c>
      <c r="H2944" s="6">
        <v>0</v>
      </c>
      <c r="I2944" s="22">
        <v>9768.1200000000008</v>
      </c>
      <c r="J2944" s="24">
        <f t="shared" si="135"/>
        <v>6.7684494578833858E-5</v>
      </c>
      <c r="K2944" s="25">
        <f t="shared" si="137"/>
        <v>0.93027491340677282</v>
      </c>
      <c r="L2944" s="26" t="s">
        <v>7517</v>
      </c>
      <c r="M2944" s="28"/>
      <c r="N2944" s="28"/>
      <c r="O2944" s="20" t="s">
        <v>7530</v>
      </c>
      <c r="P2944" s="27" t="str">
        <f t="shared" si="136"/>
        <v>vermelho</v>
      </c>
    </row>
    <row r="2945" spans="1:16" ht="25.5">
      <c r="A2945" s="3" t="s">
        <v>4</v>
      </c>
      <c r="B2945" s="3" t="s">
        <v>2081</v>
      </c>
      <c r="C2945" s="4">
        <v>217</v>
      </c>
      <c r="D2945" s="3" t="s">
        <v>91</v>
      </c>
      <c r="E2945" s="3" t="s">
        <v>16</v>
      </c>
      <c r="F2945" s="5">
        <v>0</v>
      </c>
      <c r="G2945" s="5">
        <v>144</v>
      </c>
      <c r="H2945" s="6">
        <v>0</v>
      </c>
      <c r="I2945" s="22">
        <v>9763.65</v>
      </c>
      <c r="J2945" s="24">
        <f t="shared" si="135"/>
        <v>6.7653521403773819E-5</v>
      </c>
      <c r="K2945" s="25">
        <f t="shared" si="137"/>
        <v>0.93034256692817663</v>
      </c>
      <c r="L2945" s="26" t="s">
        <v>7517</v>
      </c>
      <c r="M2945" s="28"/>
      <c r="N2945" s="28"/>
      <c r="O2945" s="20" t="s">
        <v>7530</v>
      </c>
      <c r="P2945" s="27" t="str">
        <f t="shared" si="136"/>
        <v>vermelho</v>
      </c>
    </row>
    <row r="2946" spans="1:16" ht="25.5">
      <c r="A2946" s="3" t="s">
        <v>4</v>
      </c>
      <c r="B2946" s="3" t="s">
        <v>2082</v>
      </c>
      <c r="C2946" s="4">
        <v>194</v>
      </c>
      <c r="D2946" s="3" t="s">
        <v>145</v>
      </c>
      <c r="E2946" s="3" t="s">
        <v>16</v>
      </c>
      <c r="F2946" s="5">
        <v>264</v>
      </c>
      <c r="G2946" s="5">
        <v>144</v>
      </c>
      <c r="H2946" s="6">
        <v>14267.7</v>
      </c>
      <c r="I2946" s="22">
        <v>9755.0400000000009</v>
      </c>
      <c r="J2946" s="24">
        <f t="shared" si="135"/>
        <v>6.7593861663893098E-5</v>
      </c>
      <c r="K2946" s="25">
        <f t="shared" si="137"/>
        <v>0.93041016078984051</v>
      </c>
      <c r="L2946" s="26" t="s">
        <v>7517</v>
      </c>
      <c r="M2946" s="28"/>
      <c r="N2946" s="28">
        <v>3.6178861353725014E-2</v>
      </c>
      <c r="O2946" s="20">
        <v>3622.08</v>
      </c>
      <c r="P2946" s="27" t="str">
        <f t="shared" si="136"/>
        <v>amarelo</v>
      </c>
    </row>
    <row r="2947" spans="1:16" ht="25.5">
      <c r="A2947" s="3" t="s">
        <v>4</v>
      </c>
      <c r="B2947" s="3" t="s">
        <v>2083</v>
      </c>
      <c r="C2947" s="4">
        <v>273</v>
      </c>
      <c r="D2947" s="3" t="s">
        <v>149</v>
      </c>
      <c r="E2947" s="3" t="s">
        <v>16</v>
      </c>
      <c r="F2947" s="5">
        <v>0</v>
      </c>
      <c r="G2947" s="5">
        <v>169</v>
      </c>
      <c r="H2947" s="6">
        <v>0</v>
      </c>
      <c r="I2947" s="22">
        <v>9750.1409999999996</v>
      </c>
      <c r="J2947" s="24">
        <f t="shared" ref="J2947:J3010" si="138">I2947/$I$6364</f>
        <v>6.7559915895521922E-5</v>
      </c>
      <c r="K2947" s="25">
        <f t="shared" si="137"/>
        <v>0.93047772070573609</v>
      </c>
      <c r="L2947" s="26" t="s">
        <v>7517</v>
      </c>
      <c r="M2947" s="28"/>
      <c r="N2947" s="28"/>
      <c r="O2947" s="20" t="s">
        <v>7530</v>
      </c>
      <c r="P2947" s="27" t="str">
        <f t="shared" ref="P2947:P3010" si="139">IF(O2947&lt;=0,"vermelho",IFERROR(IF(O2947/I2947&lt;=0.5098,"amarelo",IF(O2947/I2947&lt;1,"laranja","verde")),"vermelho"))</f>
        <v>vermelho</v>
      </c>
    </row>
    <row r="2948" spans="1:16" ht="51">
      <c r="A2948" s="3" t="s">
        <v>4</v>
      </c>
      <c r="B2948" s="3" t="s">
        <v>2084</v>
      </c>
      <c r="C2948" s="4">
        <v>282</v>
      </c>
      <c r="D2948" s="3" t="s">
        <v>12</v>
      </c>
      <c r="E2948" s="3" t="s">
        <v>13</v>
      </c>
      <c r="F2948" s="5">
        <v>0</v>
      </c>
      <c r="G2948" s="5">
        <v>162</v>
      </c>
      <c r="H2948" s="6">
        <v>0</v>
      </c>
      <c r="I2948" s="22">
        <v>9747.24</v>
      </c>
      <c r="J2948" s="24">
        <f t="shared" si="138"/>
        <v>6.7539814512781622E-5</v>
      </c>
      <c r="K2948" s="25">
        <f t="shared" ref="K2948:K3011" si="140">J2948+K2947</f>
        <v>0.93054526052024888</v>
      </c>
      <c r="L2948" s="26" t="s">
        <v>7517</v>
      </c>
      <c r="M2948" s="28"/>
      <c r="N2948" s="28"/>
      <c r="O2948" s="20" t="s">
        <v>7530</v>
      </c>
      <c r="P2948" s="27" t="str">
        <f t="shared" si="139"/>
        <v>vermelho</v>
      </c>
    </row>
    <row r="2949" spans="1:16" ht="51">
      <c r="A2949" s="3" t="s">
        <v>6716</v>
      </c>
      <c r="B2949" s="3" t="s">
        <v>6717</v>
      </c>
      <c r="C2949" s="4">
        <v>282</v>
      </c>
      <c r="D2949" s="3" t="s">
        <v>12</v>
      </c>
      <c r="E2949" s="3" t="s">
        <v>13</v>
      </c>
      <c r="F2949" s="5">
        <v>444</v>
      </c>
      <c r="G2949" s="5">
        <v>168</v>
      </c>
      <c r="H2949" s="6">
        <v>23412.93</v>
      </c>
      <c r="I2949" s="22">
        <v>9742.6200000000008</v>
      </c>
      <c r="J2949" s="24">
        <f t="shared" si="138"/>
        <v>6.7507801969430997E-5</v>
      </c>
      <c r="K2949" s="25">
        <f t="shared" si="140"/>
        <v>0.93061276832221829</v>
      </c>
      <c r="L2949" s="26" t="s">
        <v>7517</v>
      </c>
      <c r="M2949" s="28"/>
      <c r="N2949" s="28"/>
      <c r="O2949" s="20" t="s">
        <v>7530</v>
      </c>
      <c r="P2949" s="27" t="str">
        <f t="shared" si="139"/>
        <v>vermelho</v>
      </c>
    </row>
    <row r="2950" spans="1:16">
      <c r="A2950" s="3" t="s">
        <v>6718</v>
      </c>
      <c r="B2950" s="3" t="s">
        <v>6719</v>
      </c>
      <c r="C2950" s="4">
        <v>15</v>
      </c>
      <c r="D2950" s="3" t="s">
        <v>18</v>
      </c>
      <c r="E2950" s="3" t="s">
        <v>16</v>
      </c>
      <c r="F2950" s="5">
        <v>234</v>
      </c>
      <c r="G2950" s="5">
        <v>156</v>
      </c>
      <c r="H2950" s="6">
        <v>13138.26</v>
      </c>
      <c r="I2950" s="22">
        <v>9737.52</v>
      </c>
      <c r="J2950" s="24">
        <f t="shared" si="138"/>
        <v>6.7472463447550417E-5</v>
      </c>
      <c r="K2950" s="25">
        <f t="shared" si="140"/>
        <v>0.9306802407856658</v>
      </c>
      <c r="L2950" s="26" t="s">
        <v>7517</v>
      </c>
      <c r="M2950" s="28"/>
      <c r="N2950" s="28"/>
      <c r="O2950" s="20" t="s">
        <v>7530</v>
      </c>
      <c r="P2950" s="27" t="str">
        <f t="shared" si="139"/>
        <v>vermelho</v>
      </c>
    </row>
    <row r="2951" spans="1:16" ht="25.5">
      <c r="A2951" s="3" t="s">
        <v>4</v>
      </c>
      <c r="B2951" s="3" t="s">
        <v>2085</v>
      </c>
      <c r="C2951" s="4">
        <v>167</v>
      </c>
      <c r="D2951" s="3" t="s">
        <v>251</v>
      </c>
      <c r="E2951" s="3" t="s">
        <v>49</v>
      </c>
      <c r="F2951" s="5">
        <v>186</v>
      </c>
      <c r="G2951" s="5">
        <v>171</v>
      </c>
      <c r="H2951" s="6">
        <v>10317.84</v>
      </c>
      <c r="I2951" s="22">
        <v>9734.1299999999992</v>
      </c>
      <c r="J2951" s="24">
        <f t="shared" si="138"/>
        <v>6.7448973724182741E-5</v>
      </c>
      <c r="K2951" s="25">
        <f t="shared" si="140"/>
        <v>0.93074768975939004</v>
      </c>
      <c r="L2951" s="26" t="s">
        <v>7517</v>
      </c>
      <c r="M2951" s="28"/>
      <c r="N2951" s="28"/>
      <c r="O2951" s="20" t="s">
        <v>7530</v>
      </c>
      <c r="P2951" s="27" t="str">
        <f t="shared" si="139"/>
        <v>vermelho</v>
      </c>
    </row>
    <row r="2952" spans="1:16" ht="25.5">
      <c r="A2952" s="3" t="s">
        <v>4</v>
      </c>
      <c r="B2952" s="3" t="s">
        <v>2086</v>
      </c>
      <c r="C2952" s="4">
        <v>23</v>
      </c>
      <c r="D2952" s="3" t="s">
        <v>87</v>
      </c>
      <c r="E2952" s="3" t="s">
        <v>7</v>
      </c>
      <c r="F2952" s="5">
        <v>54</v>
      </c>
      <c r="G2952" s="5">
        <v>159</v>
      </c>
      <c r="H2952" s="6">
        <v>3347.1</v>
      </c>
      <c r="I2952" s="22">
        <v>9733.98</v>
      </c>
      <c r="J2952" s="24">
        <f t="shared" si="138"/>
        <v>6.7447934355892129E-5</v>
      </c>
      <c r="K2952" s="25">
        <f t="shared" si="140"/>
        <v>0.93081513769374591</v>
      </c>
      <c r="L2952" s="26" t="s">
        <v>7517</v>
      </c>
      <c r="M2952" s="28"/>
      <c r="N2952" s="28"/>
      <c r="O2952" s="20" t="s">
        <v>7530</v>
      </c>
      <c r="P2952" s="27" t="str">
        <f t="shared" si="139"/>
        <v>vermelho</v>
      </c>
    </row>
    <row r="2953" spans="1:16" ht="25.5">
      <c r="A2953" s="3" t="s">
        <v>4</v>
      </c>
      <c r="B2953" s="3" t="s">
        <v>2087</v>
      </c>
      <c r="C2953" s="4">
        <v>61</v>
      </c>
      <c r="D2953" s="3" t="s">
        <v>48</v>
      </c>
      <c r="E2953" s="3" t="s">
        <v>49</v>
      </c>
      <c r="F2953" s="5">
        <v>462</v>
      </c>
      <c r="G2953" s="5">
        <v>144</v>
      </c>
      <c r="H2953" s="6">
        <v>24822.36</v>
      </c>
      <c r="I2953" s="22">
        <v>9729.6</v>
      </c>
      <c r="J2953" s="24">
        <f t="shared" si="138"/>
        <v>6.7417584801806476E-5</v>
      </c>
      <c r="K2953" s="25">
        <f t="shared" si="140"/>
        <v>0.93088255527854769</v>
      </c>
      <c r="L2953" s="26" t="s">
        <v>7517</v>
      </c>
      <c r="M2953" s="28"/>
      <c r="N2953" s="28"/>
      <c r="O2953" s="20" t="s">
        <v>7530</v>
      </c>
      <c r="P2953" s="27" t="str">
        <f t="shared" si="139"/>
        <v>vermelho</v>
      </c>
    </row>
    <row r="2954" spans="1:16" ht="51">
      <c r="A2954" s="3" t="s">
        <v>4</v>
      </c>
      <c r="B2954" s="3" t="s">
        <v>2088</v>
      </c>
      <c r="C2954" s="4">
        <v>282</v>
      </c>
      <c r="D2954" s="3" t="s">
        <v>12</v>
      </c>
      <c r="E2954" s="3" t="s">
        <v>13</v>
      </c>
      <c r="F2954" s="5">
        <v>0</v>
      </c>
      <c r="G2954" s="5">
        <v>171</v>
      </c>
      <c r="H2954" s="6">
        <v>0</v>
      </c>
      <c r="I2954" s="22">
        <v>9720.81</v>
      </c>
      <c r="J2954" s="24">
        <f t="shared" si="138"/>
        <v>6.7356677819977009E-5</v>
      </c>
      <c r="K2954" s="25">
        <f t="shared" si="140"/>
        <v>0.93094991195636767</v>
      </c>
      <c r="L2954" s="26" t="s">
        <v>7517</v>
      </c>
      <c r="M2954" s="28"/>
      <c r="N2954" s="28"/>
      <c r="O2954" s="20" t="s">
        <v>7530</v>
      </c>
      <c r="P2954" s="27" t="str">
        <f t="shared" si="139"/>
        <v>vermelho</v>
      </c>
    </row>
    <row r="2955" spans="1:16" ht="38.25">
      <c r="A2955" s="3" t="s">
        <v>4</v>
      </c>
      <c r="B2955" s="3" t="s">
        <v>2089</v>
      </c>
      <c r="C2955" s="4">
        <v>143</v>
      </c>
      <c r="D2955" s="3" t="s">
        <v>44</v>
      </c>
      <c r="E2955" s="3" t="s">
        <v>41</v>
      </c>
      <c r="F2955" s="5">
        <v>516</v>
      </c>
      <c r="G2955" s="5">
        <v>156</v>
      </c>
      <c r="H2955" s="6">
        <v>31221.48</v>
      </c>
      <c r="I2955" s="22">
        <v>9720.66</v>
      </c>
      <c r="J2955" s="24">
        <f t="shared" si="138"/>
        <v>6.7355638451686411E-5</v>
      </c>
      <c r="K2955" s="25">
        <f t="shared" si="140"/>
        <v>0.9310172675948194</v>
      </c>
      <c r="L2955" s="26" t="s">
        <v>7517</v>
      </c>
      <c r="M2955" s="28"/>
      <c r="N2955" s="28"/>
      <c r="O2955" s="20" t="s">
        <v>7530</v>
      </c>
      <c r="P2955" s="27" t="str">
        <f t="shared" si="139"/>
        <v>vermelho</v>
      </c>
    </row>
    <row r="2956" spans="1:16" ht="25.5">
      <c r="A2956" s="3" t="s">
        <v>6720</v>
      </c>
      <c r="B2956" s="3" t="s">
        <v>6721</v>
      </c>
      <c r="C2956" s="4">
        <v>266</v>
      </c>
      <c r="D2956" s="3" t="s">
        <v>80</v>
      </c>
      <c r="E2956" s="3" t="s">
        <v>10</v>
      </c>
      <c r="F2956" s="5">
        <v>153</v>
      </c>
      <c r="G2956" s="5">
        <v>174</v>
      </c>
      <c r="H2956" s="6">
        <v>7776.63</v>
      </c>
      <c r="I2956" s="22">
        <v>9715.26</v>
      </c>
      <c r="J2956" s="24">
        <f t="shared" si="138"/>
        <v>6.7318221193224634E-5</v>
      </c>
      <c r="K2956" s="25">
        <f t="shared" si="140"/>
        <v>0.93108458581601261</v>
      </c>
      <c r="L2956" s="26" t="s">
        <v>7517</v>
      </c>
      <c r="M2956" s="28"/>
      <c r="N2956" s="28"/>
      <c r="O2956" s="20" t="s">
        <v>7530</v>
      </c>
      <c r="P2956" s="27" t="str">
        <f t="shared" si="139"/>
        <v>vermelho</v>
      </c>
    </row>
    <row r="2957" spans="1:16" ht="25.5">
      <c r="A2957" s="3" t="s">
        <v>4</v>
      </c>
      <c r="B2957" s="3" t="s">
        <v>2090</v>
      </c>
      <c r="C2957" s="4">
        <v>321</v>
      </c>
      <c r="D2957" s="3" t="s">
        <v>136</v>
      </c>
      <c r="E2957" s="3" t="s">
        <v>41</v>
      </c>
      <c r="F2957" s="5">
        <v>135</v>
      </c>
      <c r="G2957" s="5">
        <v>183</v>
      </c>
      <c r="H2957" s="6">
        <v>7973.01</v>
      </c>
      <c r="I2957" s="22">
        <v>9705.5400000000009</v>
      </c>
      <c r="J2957" s="24">
        <f t="shared" si="138"/>
        <v>6.7250870127993429E-5</v>
      </c>
      <c r="K2957" s="25">
        <f t="shared" si="140"/>
        <v>0.93115183668614065</v>
      </c>
      <c r="L2957" s="26" t="s">
        <v>7517</v>
      </c>
      <c r="M2957" s="28">
        <v>-7.6467497016370192E-2</v>
      </c>
      <c r="N2957" s="28"/>
      <c r="O2957" s="20" t="s">
        <v>7530</v>
      </c>
      <c r="P2957" s="27" t="str">
        <f t="shared" si="139"/>
        <v>vermelho</v>
      </c>
    </row>
    <row r="2958" spans="1:16" ht="25.5">
      <c r="A2958" s="3" t="s">
        <v>4</v>
      </c>
      <c r="B2958" s="3" t="s">
        <v>2091</v>
      </c>
      <c r="C2958" s="4">
        <v>317</v>
      </c>
      <c r="D2958" s="3" t="s">
        <v>78</v>
      </c>
      <c r="E2958" s="3" t="s">
        <v>10</v>
      </c>
      <c r="F2958" s="5">
        <v>0</v>
      </c>
      <c r="G2958" s="5">
        <v>153</v>
      </c>
      <c r="H2958" s="6">
        <v>0</v>
      </c>
      <c r="I2958" s="22">
        <v>9697.59</v>
      </c>
      <c r="J2958" s="24">
        <f t="shared" si="138"/>
        <v>6.7195783608591355E-5</v>
      </c>
      <c r="K2958" s="25">
        <f t="shared" si="140"/>
        <v>0.93121903246974924</v>
      </c>
      <c r="L2958" s="26" t="s">
        <v>7517</v>
      </c>
      <c r="M2958" s="28"/>
      <c r="N2958" s="28"/>
      <c r="O2958" s="20" t="s">
        <v>7530</v>
      </c>
      <c r="P2958" s="27" t="str">
        <f t="shared" si="139"/>
        <v>vermelho</v>
      </c>
    </row>
    <row r="2959" spans="1:16" ht="25.5">
      <c r="A2959" s="3" t="s">
        <v>6722</v>
      </c>
      <c r="B2959" s="3" t="s">
        <v>6723</v>
      </c>
      <c r="C2959" s="4">
        <v>317</v>
      </c>
      <c r="D2959" s="3" t="s">
        <v>78</v>
      </c>
      <c r="E2959" s="3" t="s">
        <v>10</v>
      </c>
      <c r="F2959" s="5">
        <v>0</v>
      </c>
      <c r="G2959" s="5">
        <v>144</v>
      </c>
      <c r="H2959" s="6">
        <v>0</v>
      </c>
      <c r="I2959" s="22">
        <v>9697.5</v>
      </c>
      <c r="J2959" s="24">
        <f t="shared" si="138"/>
        <v>6.7195159987616982E-5</v>
      </c>
      <c r="K2959" s="25">
        <f t="shared" si="140"/>
        <v>0.9312862276297369</v>
      </c>
      <c r="L2959" s="26" t="s">
        <v>7517</v>
      </c>
      <c r="M2959" s="28"/>
      <c r="N2959" s="28"/>
      <c r="O2959" s="20" t="s">
        <v>7530</v>
      </c>
      <c r="P2959" s="27" t="str">
        <f t="shared" si="139"/>
        <v>vermelho</v>
      </c>
    </row>
    <row r="2960" spans="1:16" ht="25.5">
      <c r="A2960" s="3" t="s">
        <v>4</v>
      </c>
      <c r="B2960" s="3" t="s">
        <v>2092</v>
      </c>
      <c r="C2960" s="4">
        <v>218</v>
      </c>
      <c r="D2960" s="3" t="s">
        <v>104</v>
      </c>
      <c r="E2960" s="3" t="s">
        <v>16</v>
      </c>
      <c r="F2960" s="5">
        <v>144</v>
      </c>
      <c r="G2960" s="5">
        <v>180</v>
      </c>
      <c r="H2960" s="6">
        <v>7164.12</v>
      </c>
      <c r="I2960" s="22">
        <v>9694.2000000000007</v>
      </c>
      <c r="J2960" s="24">
        <f t="shared" si="138"/>
        <v>6.7172293885223679E-5</v>
      </c>
      <c r="K2960" s="25">
        <f t="shared" si="140"/>
        <v>0.93135339992362209</v>
      </c>
      <c r="L2960" s="26" t="s">
        <v>7517</v>
      </c>
      <c r="M2960" s="28"/>
      <c r="N2960" s="28"/>
      <c r="O2960" s="20" t="s">
        <v>7530</v>
      </c>
      <c r="P2960" s="27" t="str">
        <f t="shared" si="139"/>
        <v>vermelho</v>
      </c>
    </row>
    <row r="2961" spans="1:16" ht="38.25">
      <c r="A2961" s="3" t="s">
        <v>4</v>
      </c>
      <c r="B2961" s="3" t="s">
        <v>2093</v>
      </c>
      <c r="C2961" s="4">
        <v>218</v>
      </c>
      <c r="D2961" s="3" t="s">
        <v>104</v>
      </c>
      <c r="E2961" s="3" t="s">
        <v>16</v>
      </c>
      <c r="F2961" s="5">
        <v>84</v>
      </c>
      <c r="G2961" s="5">
        <v>168</v>
      </c>
      <c r="H2961" s="6">
        <v>4736.6400000000003</v>
      </c>
      <c r="I2961" s="22">
        <v>9662.2800000000007</v>
      </c>
      <c r="J2961" s="24">
        <f t="shared" si="138"/>
        <v>6.695111631298293E-5</v>
      </c>
      <c r="K2961" s="25">
        <f t="shared" si="140"/>
        <v>0.93142035103993503</v>
      </c>
      <c r="L2961" s="26" t="s">
        <v>7517</v>
      </c>
      <c r="M2961" s="28"/>
      <c r="N2961" s="28"/>
      <c r="O2961" s="20" t="s">
        <v>7530</v>
      </c>
      <c r="P2961" s="27" t="str">
        <f t="shared" si="139"/>
        <v>vermelho</v>
      </c>
    </row>
    <row r="2962" spans="1:16" ht="38.25">
      <c r="A2962" s="3" t="s">
        <v>6724</v>
      </c>
      <c r="B2962" s="3" t="s">
        <v>6725</v>
      </c>
      <c r="C2962" s="4">
        <v>34</v>
      </c>
      <c r="D2962" s="3" t="s">
        <v>54</v>
      </c>
      <c r="E2962" s="3" t="s">
        <v>49</v>
      </c>
      <c r="F2962" s="5">
        <v>45</v>
      </c>
      <c r="G2962" s="5">
        <v>151</v>
      </c>
      <c r="H2962" s="6">
        <v>2774.55</v>
      </c>
      <c r="I2962" s="22">
        <v>9653.81</v>
      </c>
      <c r="J2962" s="24">
        <f t="shared" si="138"/>
        <v>6.6892426650173425E-5</v>
      </c>
      <c r="K2962" s="25">
        <f t="shared" si="140"/>
        <v>0.93148724346658518</v>
      </c>
      <c r="L2962" s="26" t="s">
        <v>7517</v>
      </c>
      <c r="M2962" s="28"/>
      <c r="N2962" s="28"/>
      <c r="O2962" s="20" t="s">
        <v>7530</v>
      </c>
      <c r="P2962" s="27" t="str">
        <f t="shared" si="139"/>
        <v>vermelho</v>
      </c>
    </row>
    <row r="2963" spans="1:16" ht="25.5">
      <c r="A2963" s="3" t="s">
        <v>4</v>
      </c>
      <c r="B2963" s="3" t="s">
        <v>2094</v>
      </c>
      <c r="C2963" s="4">
        <v>261</v>
      </c>
      <c r="D2963" s="3" t="s">
        <v>9</v>
      </c>
      <c r="E2963" s="3" t="s">
        <v>10</v>
      </c>
      <c r="F2963" s="5">
        <v>0</v>
      </c>
      <c r="G2963" s="5">
        <v>156</v>
      </c>
      <c r="H2963" s="6">
        <v>0</v>
      </c>
      <c r="I2963" s="22">
        <v>9630.5020000000004</v>
      </c>
      <c r="J2963" s="24">
        <f t="shared" si="138"/>
        <v>6.6730922676057268E-5</v>
      </c>
      <c r="K2963" s="25">
        <f t="shared" si="140"/>
        <v>0.93155397438926124</v>
      </c>
      <c r="L2963" s="26" t="s">
        <v>7517</v>
      </c>
      <c r="M2963" s="28"/>
      <c r="N2963" s="28">
        <v>5.4530921754471273E-2</v>
      </c>
      <c r="O2963" s="20">
        <v>3816.8690000000001</v>
      </c>
      <c r="P2963" s="27" t="str">
        <f t="shared" si="139"/>
        <v>amarelo</v>
      </c>
    </row>
    <row r="2964" spans="1:16" ht="25.5">
      <c r="A2964" s="3" t="s">
        <v>4</v>
      </c>
      <c r="B2964" s="3" t="s">
        <v>2095</v>
      </c>
      <c r="C2964" s="4">
        <v>266</v>
      </c>
      <c r="D2964" s="3" t="s">
        <v>80</v>
      </c>
      <c r="E2964" s="3" t="s">
        <v>10</v>
      </c>
      <c r="F2964" s="5">
        <v>0</v>
      </c>
      <c r="G2964" s="5">
        <v>174</v>
      </c>
      <c r="H2964" s="6">
        <v>0</v>
      </c>
      <c r="I2964" s="22">
        <v>9610.74</v>
      </c>
      <c r="J2964" s="24">
        <f t="shared" si="138"/>
        <v>6.6593989368331027E-5</v>
      </c>
      <c r="K2964" s="25">
        <f t="shared" si="140"/>
        <v>0.93162056837862961</v>
      </c>
      <c r="L2964" s="26" t="s">
        <v>7517</v>
      </c>
      <c r="M2964" s="28"/>
      <c r="N2964" s="28"/>
      <c r="O2964" s="20" t="s">
        <v>7530</v>
      </c>
      <c r="P2964" s="27" t="str">
        <f t="shared" si="139"/>
        <v>vermelho</v>
      </c>
    </row>
    <row r="2965" spans="1:16" ht="25.5">
      <c r="A2965" s="3" t="s">
        <v>4</v>
      </c>
      <c r="B2965" s="3" t="s">
        <v>2096</v>
      </c>
      <c r="C2965" s="4">
        <v>327</v>
      </c>
      <c r="D2965" s="3" t="s">
        <v>100</v>
      </c>
      <c r="E2965" s="3" t="s">
        <v>7</v>
      </c>
      <c r="F2965" s="5">
        <v>819</v>
      </c>
      <c r="G2965" s="5">
        <v>174</v>
      </c>
      <c r="H2965" s="6">
        <v>41919.233999999997</v>
      </c>
      <c r="I2965" s="22">
        <v>9610.26</v>
      </c>
      <c r="J2965" s="24">
        <f t="shared" si="138"/>
        <v>6.6590663389801084E-5</v>
      </c>
      <c r="K2965" s="25">
        <f t="shared" si="140"/>
        <v>0.93168715904201937</v>
      </c>
      <c r="L2965" s="26" t="s">
        <v>7517</v>
      </c>
      <c r="M2965" s="28"/>
      <c r="N2965" s="28"/>
      <c r="O2965" s="20" t="s">
        <v>7530</v>
      </c>
      <c r="P2965" s="27" t="str">
        <f t="shared" si="139"/>
        <v>vermelho</v>
      </c>
    </row>
    <row r="2966" spans="1:16" ht="25.5">
      <c r="A2966" s="3" t="s">
        <v>4</v>
      </c>
      <c r="B2966" s="3" t="s">
        <v>2097</v>
      </c>
      <c r="C2966" s="4">
        <v>317</v>
      </c>
      <c r="D2966" s="3" t="s">
        <v>78</v>
      </c>
      <c r="E2966" s="3" t="s">
        <v>10</v>
      </c>
      <c r="F2966" s="5">
        <v>372</v>
      </c>
      <c r="G2966" s="5">
        <v>144</v>
      </c>
      <c r="H2966" s="6">
        <v>21172.2</v>
      </c>
      <c r="I2966" s="22">
        <v>9609.7199999999993</v>
      </c>
      <c r="J2966" s="24">
        <f t="shared" si="138"/>
        <v>6.6586921663954902E-5</v>
      </c>
      <c r="K2966" s="25">
        <f t="shared" si="140"/>
        <v>0.93175374596368332</v>
      </c>
      <c r="L2966" s="26" t="s">
        <v>7517</v>
      </c>
      <c r="M2966" s="28"/>
      <c r="N2966" s="28"/>
      <c r="O2966" s="20" t="s">
        <v>7530</v>
      </c>
      <c r="P2966" s="27" t="str">
        <f t="shared" si="139"/>
        <v>vermelho</v>
      </c>
    </row>
    <row r="2967" spans="1:16" ht="38.25">
      <c r="A2967" s="3" t="s">
        <v>4</v>
      </c>
      <c r="B2967" s="3" t="s">
        <v>2098</v>
      </c>
      <c r="C2967" s="4">
        <v>371</v>
      </c>
      <c r="D2967" s="3" t="s">
        <v>82</v>
      </c>
      <c r="E2967" s="3" t="s">
        <v>49</v>
      </c>
      <c r="F2967" s="5">
        <v>0</v>
      </c>
      <c r="G2967" s="5">
        <v>198</v>
      </c>
      <c r="H2967" s="6">
        <v>0</v>
      </c>
      <c r="I2967" s="22">
        <v>9607.0499999999993</v>
      </c>
      <c r="J2967" s="24">
        <f t="shared" si="138"/>
        <v>6.656842090838214E-5</v>
      </c>
      <c r="K2967" s="25">
        <f t="shared" si="140"/>
        <v>0.93182031438459167</v>
      </c>
      <c r="L2967" s="26" t="s">
        <v>7517</v>
      </c>
      <c r="M2967" s="28"/>
      <c r="N2967" s="28"/>
      <c r="O2967" s="20" t="s">
        <v>7530</v>
      </c>
      <c r="P2967" s="27" t="str">
        <f t="shared" si="139"/>
        <v>vermelho</v>
      </c>
    </row>
    <row r="2968" spans="1:16" ht="38.25">
      <c r="A2968" s="3" t="s">
        <v>4</v>
      </c>
      <c r="B2968" s="3" t="s">
        <v>2099</v>
      </c>
      <c r="C2968" s="4">
        <v>34</v>
      </c>
      <c r="D2968" s="3" t="s">
        <v>54</v>
      </c>
      <c r="E2968" s="3" t="s">
        <v>49</v>
      </c>
      <c r="F2968" s="5">
        <v>219</v>
      </c>
      <c r="G2968" s="5">
        <v>162</v>
      </c>
      <c r="H2968" s="6">
        <v>11987.01</v>
      </c>
      <c r="I2968" s="22">
        <v>9602.9699999999993</v>
      </c>
      <c r="J2968" s="24">
        <f t="shared" si="138"/>
        <v>6.654015009087767E-5</v>
      </c>
      <c r="K2968" s="25">
        <f t="shared" si="140"/>
        <v>0.93188685453468256</v>
      </c>
      <c r="L2968" s="26" t="s">
        <v>7517</v>
      </c>
      <c r="M2968" s="28"/>
      <c r="N2968" s="28">
        <v>4.8673265297627943E-2</v>
      </c>
      <c r="O2968" s="20">
        <v>2447.1</v>
      </c>
      <c r="P2968" s="27" t="str">
        <f t="shared" si="139"/>
        <v>amarelo</v>
      </c>
    </row>
    <row r="2969" spans="1:16" ht="38.25">
      <c r="A2969" s="3" t="s">
        <v>4</v>
      </c>
      <c r="B2969" s="3" t="s">
        <v>2100</v>
      </c>
      <c r="C2969" s="4">
        <v>331</v>
      </c>
      <c r="D2969" s="3" t="s">
        <v>603</v>
      </c>
      <c r="E2969" s="3" t="s">
        <v>13</v>
      </c>
      <c r="F2969" s="5">
        <v>0</v>
      </c>
      <c r="G2969" s="5">
        <v>204</v>
      </c>
      <c r="H2969" s="6">
        <v>0</v>
      </c>
      <c r="I2969" s="22">
        <v>9601.2000000000007</v>
      </c>
      <c r="J2969" s="24">
        <f t="shared" si="138"/>
        <v>6.652788554504854E-5</v>
      </c>
      <c r="K2969" s="25">
        <f t="shared" si="140"/>
        <v>0.93195338242022763</v>
      </c>
      <c r="L2969" s="26" t="s">
        <v>7517</v>
      </c>
      <c r="M2969" s="28"/>
      <c r="N2969" s="28"/>
      <c r="O2969" s="20" t="s">
        <v>7530</v>
      </c>
      <c r="P2969" s="27" t="str">
        <f t="shared" si="139"/>
        <v>vermelho</v>
      </c>
    </row>
    <row r="2970" spans="1:16" ht="25.5">
      <c r="A2970" s="3" t="s">
        <v>4</v>
      </c>
      <c r="B2970" s="3" t="s">
        <v>2101</v>
      </c>
      <c r="C2970" s="4">
        <v>208</v>
      </c>
      <c r="D2970" s="3" t="s">
        <v>15</v>
      </c>
      <c r="E2970" s="3" t="s">
        <v>16</v>
      </c>
      <c r="F2970" s="5">
        <v>0</v>
      </c>
      <c r="G2970" s="5">
        <v>132</v>
      </c>
      <c r="H2970" s="6">
        <v>0</v>
      </c>
      <c r="I2970" s="22">
        <v>9598.68</v>
      </c>
      <c r="J2970" s="24">
        <f t="shared" si="138"/>
        <v>6.6510424157766376E-5</v>
      </c>
      <c r="K2970" s="25">
        <f t="shared" si="140"/>
        <v>0.93201989284438536</v>
      </c>
      <c r="L2970" s="26" t="s">
        <v>7517</v>
      </c>
      <c r="M2970" s="28"/>
      <c r="N2970" s="28"/>
      <c r="O2970" s="20" t="s">
        <v>7530</v>
      </c>
      <c r="P2970" s="27" t="str">
        <f t="shared" si="139"/>
        <v>vermelho</v>
      </c>
    </row>
    <row r="2971" spans="1:16">
      <c r="A2971" s="3" t="s">
        <v>4</v>
      </c>
      <c r="B2971" s="3" t="s">
        <v>2102</v>
      </c>
      <c r="C2971" s="4">
        <v>15</v>
      </c>
      <c r="D2971" s="3" t="s">
        <v>18</v>
      </c>
      <c r="E2971" s="3" t="s">
        <v>16</v>
      </c>
      <c r="F2971" s="5">
        <v>0</v>
      </c>
      <c r="G2971" s="5">
        <v>168</v>
      </c>
      <c r="H2971" s="6">
        <v>0</v>
      </c>
      <c r="I2971" s="22">
        <v>9594.48</v>
      </c>
      <c r="J2971" s="24">
        <f t="shared" si="138"/>
        <v>6.6481321845629428E-5</v>
      </c>
      <c r="K2971" s="25">
        <f t="shared" si="140"/>
        <v>0.93208637416623097</v>
      </c>
      <c r="L2971" s="26" t="s">
        <v>7517</v>
      </c>
      <c r="M2971" s="28"/>
      <c r="N2971" s="28"/>
      <c r="O2971" s="20" t="s">
        <v>7530</v>
      </c>
      <c r="P2971" s="27" t="str">
        <f t="shared" si="139"/>
        <v>vermelho</v>
      </c>
    </row>
    <row r="2972" spans="1:16">
      <c r="A2972" s="3" t="s">
        <v>4</v>
      </c>
      <c r="B2972" s="3" t="s">
        <v>2103</v>
      </c>
      <c r="C2972" s="4">
        <v>232</v>
      </c>
      <c r="D2972" s="3" t="s">
        <v>174</v>
      </c>
      <c r="E2972" s="3" t="s">
        <v>16</v>
      </c>
      <c r="F2972" s="5">
        <v>144</v>
      </c>
      <c r="G2972" s="5">
        <v>180</v>
      </c>
      <c r="H2972" s="6">
        <v>7807.68</v>
      </c>
      <c r="I2972" s="22">
        <v>9581.16</v>
      </c>
      <c r="J2972" s="24">
        <f t="shared" si="138"/>
        <v>6.638902594142371E-5</v>
      </c>
      <c r="K2972" s="25">
        <f t="shared" si="140"/>
        <v>0.93215276319217244</v>
      </c>
      <c r="L2972" s="26" t="s">
        <v>7517</v>
      </c>
      <c r="M2972" s="28"/>
      <c r="N2972" s="28"/>
      <c r="O2972" s="20">
        <v>4825.08</v>
      </c>
      <c r="P2972" s="27" t="str">
        <f t="shared" si="139"/>
        <v>amarelo</v>
      </c>
    </row>
    <row r="2973" spans="1:16" ht="25.5">
      <c r="A2973" s="3" t="s">
        <v>4</v>
      </c>
      <c r="B2973" s="3" t="s">
        <v>2104</v>
      </c>
      <c r="C2973" s="4">
        <v>167</v>
      </c>
      <c r="D2973" s="3" t="s">
        <v>251</v>
      </c>
      <c r="E2973" s="3" t="s">
        <v>49</v>
      </c>
      <c r="F2973" s="5">
        <v>114</v>
      </c>
      <c r="G2973" s="5">
        <v>144</v>
      </c>
      <c r="H2973" s="6">
        <v>7384.86</v>
      </c>
      <c r="I2973" s="22">
        <v>9580.56</v>
      </c>
      <c r="J2973" s="24">
        <f t="shared" si="138"/>
        <v>6.6384868468261288E-5</v>
      </c>
      <c r="K2973" s="25">
        <f t="shared" si="140"/>
        <v>0.93221914806064066</v>
      </c>
      <c r="L2973" s="26" t="s">
        <v>7517</v>
      </c>
      <c r="M2973" s="28"/>
      <c r="N2973" s="28"/>
      <c r="O2973" s="20" t="s">
        <v>7530</v>
      </c>
      <c r="P2973" s="27" t="str">
        <f t="shared" si="139"/>
        <v>vermelho</v>
      </c>
    </row>
    <row r="2974" spans="1:16">
      <c r="A2974" s="3" t="s">
        <v>6726</v>
      </c>
      <c r="B2974" s="3" t="s">
        <v>6727</v>
      </c>
      <c r="C2974" s="4">
        <v>240</v>
      </c>
      <c r="D2974" s="3" t="s">
        <v>69</v>
      </c>
      <c r="E2974" s="3" t="s">
        <v>16</v>
      </c>
      <c r="F2974" s="5">
        <v>0</v>
      </c>
      <c r="G2974" s="5">
        <v>156</v>
      </c>
      <c r="H2974" s="6">
        <v>0</v>
      </c>
      <c r="I2974" s="22">
        <v>9562.0969999999998</v>
      </c>
      <c r="J2974" s="24">
        <f t="shared" si="138"/>
        <v>6.6256936089931681E-5</v>
      </c>
      <c r="K2974" s="25">
        <f t="shared" si="140"/>
        <v>0.93228540499673063</v>
      </c>
      <c r="L2974" s="26" t="s">
        <v>7517</v>
      </c>
      <c r="M2974" s="28"/>
      <c r="N2974" s="28"/>
      <c r="O2974" s="20">
        <v>10931.16</v>
      </c>
      <c r="P2974" s="27" t="str">
        <f t="shared" si="139"/>
        <v>verde</v>
      </c>
    </row>
    <row r="2975" spans="1:16" ht="38.25">
      <c r="A2975" s="3" t="s">
        <v>4</v>
      </c>
      <c r="B2975" s="3" t="s">
        <v>2105</v>
      </c>
      <c r="C2975" s="4">
        <v>11</v>
      </c>
      <c r="D2975" s="3" t="s">
        <v>61</v>
      </c>
      <c r="E2975" s="3" t="s">
        <v>10</v>
      </c>
      <c r="F2975" s="5">
        <v>495</v>
      </c>
      <c r="G2975" s="5">
        <v>144</v>
      </c>
      <c r="H2975" s="6">
        <v>29106.69</v>
      </c>
      <c r="I2975" s="22">
        <v>9561.7199999999993</v>
      </c>
      <c r="J2975" s="24">
        <f t="shared" si="138"/>
        <v>6.6254323810961287E-5</v>
      </c>
      <c r="K2975" s="25">
        <f t="shared" si="140"/>
        <v>0.93235165932054154</v>
      </c>
      <c r="L2975" s="26" t="s">
        <v>7517</v>
      </c>
      <c r="M2975" s="28"/>
      <c r="N2975" s="28"/>
      <c r="O2975" s="20" t="s">
        <v>7530</v>
      </c>
      <c r="P2975" s="27" t="str">
        <f t="shared" si="139"/>
        <v>vermelho</v>
      </c>
    </row>
    <row r="2976" spans="1:16" ht="25.5">
      <c r="A2976" s="3" t="s">
        <v>4</v>
      </c>
      <c r="B2976" s="3" t="s">
        <v>2107</v>
      </c>
      <c r="C2976" s="4">
        <v>218</v>
      </c>
      <c r="D2976" s="3" t="s">
        <v>104</v>
      </c>
      <c r="E2976" s="3" t="s">
        <v>16</v>
      </c>
      <c r="F2976" s="5">
        <v>48</v>
      </c>
      <c r="G2976" s="5">
        <v>150</v>
      </c>
      <c r="H2976" s="6">
        <v>2970.96</v>
      </c>
      <c r="I2976" s="22">
        <v>9561.36</v>
      </c>
      <c r="J2976" s="24">
        <f t="shared" si="138"/>
        <v>6.6251829327063837E-5</v>
      </c>
      <c r="K2976" s="25">
        <f t="shared" si="140"/>
        <v>0.93241791114986861</v>
      </c>
      <c r="L2976" s="26" t="s">
        <v>7517</v>
      </c>
      <c r="M2976" s="28"/>
      <c r="N2976" s="28"/>
      <c r="O2976" s="20" t="s">
        <v>7530</v>
      </c>
      <c r="P2976" s="27" t="str">
        <f t="shared" si="139"/>
        <v>vermelho</v>
      </c>
    </row>
    <row r="2977" spans="1:16" ht="25.5">
      <c r="A2977" s="3" t="s">
        <v>4</v>
      </c>
      <c r="B2977" s="3" t="s">
        <v>2109</v>
      </c>
      <c r="C2977" s="4">
        <v>23</v>
      </c>
      <c r="D2977" s="3" t="s">
        <v>87</v>
      </c>
      <c r="E2977" s="3" t="s">
        <v>7</v>
      </c>
      <c r="F2977" s="5">
        <v>60</v>
      </c>
      <c r="G2977" s="5">
        <v>153</v>
      </c>
      <c r="H2977" s="6">
        <v>3011.4</v>
      </c>
      <c r="I2977" s="22">
        <v>9547.5</v>
      </c>
      <c r="J2977" s="24">
        <f t="shared" si="138"/>
        <v>6.6155791697011936E-5</v>
      </c>
      <c r="K2977" s="25">
        <f t="shared" si="140"/>
        <v>0.9324840669415656</v>
      </c>
      <c r="L2977" s="26" t="s">
        <v>7517</v>
      </c>
      <c r="M2977" s="28"/>
      <c r="N2977" s="28"/>
      <c r="O2977" s="20" t="s">
        <v>7530</v>
      </c>
      <c r="P2977" s="27" t="str">
        <f t="shared" si="139"/>
        <v>vermelho</v>
      </c>
    </row>
    <row r="2978" spans="1:16" ht="25.5">
      <c r="A2978" s="3" t="s">
        <v>4</v>
      </c>
      <c r="B2978" s="3" t="s">
        <v>2110</v>
      </c>
      <c r="C2978" s="4">
        <v>261</v>
      </c>
      <c r="D2978" s="3" t="s">
        <v>9</v>
      </c>
      <c r="E2978" s="3" t="s">
        <v>10</v>
      </c>
      <c r="F2978" s="5">
        <v>645</v>
      </c>
      <c r="G2978" s="5">
        <v>153</v>
      </c>
      <c r="H2978" s="6">
        <v>36555.599999999999</v>
      </c>
      <c r="I2978" s="22">
        <v>9545.61</v>
      </c>
      <c r="J2978" s="24">
        <f t="shared" si="138"/>
        <v>6.6142695656550314E-5</v>
      </c>
      <c r="K2978" s="25">
        <f t="shared" si="140"/>
        <v>0.93255020963722213</v>
      </c>
      <c r="L2978" s="26" t="s">
        <v>7517</v>
      </c>
      <c r="M2978" s="28"/>
      <c r="N2978" s="28"/>
      <c r="O2978" s="20" t="s">
        <v>7530</v>
      </c>
      <c r="P2978" s="27" t="str">
        <f t="shared" si="139"/>
        <v>vermelho</v>
      </c>
    </row>
    <row r="2979" spans="1:16" ht="25.5">
      <c r="A2979" s="3" t="s">
        <v>4</v>
      </c>
      <c r="B2979" s="3" t="s">
        <v>2111</v>
      </c>
      <c r="C2979" s="4">
        <v>321</v>
      </c>
      <c r="D2979" s="3" t="s">
        <v>136</v>
      </c>
      <c r="E2979" s="3" t="s">
        <v>41</v>
      </c>
      <c r="F2979" s="5">
        <v>408</v>
      </c>
      <c r="G2979" s="5">
        <v>168</v>
      </c>
      <c r="H2979" s="6">
        <v>25471.86</v>
      </c>
      <c r="I2979" s="22">
        <v>9538.5</v>
      </c>
      <c r="J2979" s="24">
        <f t="shared" si="138"/>
        <v>6.6093429599575632E-5</v>
      </c>
      <c r="K2979" s="25">
        <f t="shared" si="140"/>
        <v>0.93261630306682175</v>
      </c>
      <c r="L2979" s="26" t="s">
        <v>7517</v>
      </c>
      <c r="M2979" s="28"/>
      <c r="N2979" s="28"/>
      <c r="O2979" s="20" t="s">
        <v>7530</v>
      </c>
      <c r="P2979" s="27" t="str">
        <f t="shared" si="139"/>
        <v>vermelho</v>
      </c>
    </row>
    <row r="2980" spans="1:16" ht="25.5">
      <c r="A2980" s="3" t="s">
        <v>4</v>
      </c>
      <c r="B2980" s="3" t="s">
        <v>2112</v>
      </c>
      <c r="C2980" s="4">
        <v>167</v>
      </c>
      <c r="D2980" s="3" t="s">
        <v>251</v>
      </c>
      <c r="E2980" s="3" t="s">
        <v>49</v>
      </c>
      <c r="F2980" s="5">
        <v>0</v>
      </c>
      <c r="G2980" s="5">
        <v>192</v>
      </c>
      <c r="H2980" s="6">
        <v>0</v>
      </c>
      <c r="I2980" s="22">
        <v>9538.08</v>
      </c>
      <c r="J2980" s="24">
        <f t="shared" si="138"/>
        <v>6.6090519368361929E-5</v>
      </c>
      <c r="K2980" s="25">
        <f t="shared" si="140"/>
        <v>0.93268239358619009</v>
      </c>
      <c r="L2980" s="26" t="s">
        <v>7517</v>
      </c>
      <c r="M2980" s="28"/>
      <c r="N2980" s="28"/>
      <c r="O2980" s="20" t="s">
        <v>7530</v>
      </c>
      <c r="P2980" s="27" t="str">
        <f t="shared" si="139"/>
        <v>vermelho</v>
      </c>
    </row>
    <row r="2981" spans="1:16" ht="38.25">
      <c r="A2981" s="3" t="s">
        <v>4</v>
      </c>
      <c r="B2981" s="3" t="s">
        <v>2113</v>
      </c>
      <c r="C2981" s="4">
        <v>34</v>
      </c>
      <c r="D2981" s="3" t="s">
        <v>54</v>
      </c>
      <c r="E2981" s="3" t="s">
        <v>49</v>
      </c>
      <c r="F2981" s="5">
        <v>0</v>
      </c>
      <c r="G2981" s="5">
        <v>147</v>
      </c>
      <c r="H2981" s="6">
        <v>0</v>
      </c>
      <c r="I2981" s="22">
        <v>9535.11</v>
      </c>
      <c r="J2981" s="24">
        <f t="shared" si="138"/>
        <v>6.6069939876207956E-5</v>
      </c>
      <c r="K2981" s="25">
        <f t="shared" si="140"/>
        <v>0.93274846352606633</v>
      </c>
      <c r="L2981" s="26" t="s">
        <v>7517</v>
      </c>
      <c r="M2981" s="28"/>
      <c r="N2981" s="28"/>
      <c r="O2981" s="20" t="s">
        <v>7530</v>
      </c>
      <c r="P2981" s="27" t="str">
        <f t="shared" si="139"/>
        <v>vermelho</v>
      </c>
    </row>
    <row r="2982" spans="1:16" ht="25.5">
      <c r="A2982" s="3" t="s">
        <v>4</v>
      </c>
      <c r="B2982" s="3" t="s">
        <v>2114</v>
      </c>
      <c r="C2982" s="4">
        <v>266</v>
      </c>
      <c r="D2982" s="3" t="s">
        <v>80</v>
      </c>
      <c r="E2982" s="3" t="s">
        <v>10</v>
      </c>
      <c r="F2982" s="5">
        <v>0</v>
      </c>
      <c r="G2982" s="5">
        <v>189</v>
      </c>
      <c r="H2982" s="6">
        <v>0</v>
      </c>
      <c r="I2982" s="22">
        <v>9527.49</v>
      </c>
      <c r="J2982" s="24">
        <f t="shared" si="138"/>
        <v>6.6017139967045212E-5</v>
      </c>
      <c r="K2982" s="25">
        <f t="shared" si="140"/>
        <v>0.93281448066603334</v>
      </c>
      <c r="L2982" s="26" t="s">
        <v>7517</v>
      </c>
      <c r="M2982" s="28"/>
      <c r="N2982" s="28"/>
      <c r="O2982" s="20" t="s">
        <v>7530</v>
      </c>
      <c r="P2982" s="27" t="str">
        <f t="shared" si="139"/>
        <v>vermelho</v>
      </c>
    </row>
    <row r="2983" spans="1:16">
      <c r="A2983" s="3" t="s">
        <v>6728</v>
      </c>
      <c r="B2983" s="3" t="s">
        <v>6729</v>
      </c>
      <c r="C2983" s="4">
        <v>217</v>
      </c>
      <c r="D2983" s="3" t="s">
        <v>91</v>
      </c>
      <c r="E2983" s="3" t="s">
        <v>16</v>
      </c>
      <c r="F2983" s="5">
        <v>168</v>
      </c>
      <c r="G2983" s="5">
        <v>204</v>
      </c>
      <c r="H2983" s="6">
        <v>8727.84</v>
      </c>
      <c r="I2983" s="22">
        <v>9526.7999999999993</v>
      </c>
      <c r="J2983" s="24">
        <f t="shared" si="138"/>
        <v>6.6012358872908432E-5</v>
      </c>
      <c r="K2983" s="25">
        <f t="shared" si="140"/>
        <v>0.93288049302490628</v>
      </c>
      <c r="L2983" s="26" t="s">
        <v>7517</v>
      </c>
      <c r="M2983" s="28"/>
      <c r="N2983" s="28"/>
      <c r="O2983" s="20" t="s">
        <v>7530</v>
      </c>
      <c r="P2983" s="27" t="str">
        <f t="shared" si="139"/>
        <v>vermelho</v>
      </c>
    </row>
    <row r="2984" spans="1:16" ht="38.25">
      <c r="A2984" s="3" t="s">
        <v>4</v>
      </c>
      <c r="B2984" s="3" t="s">
        <v>2115</v>
      </c>
      <c r="C2984" s="4">
        <v>143</v>
      </c>
      <c r="D2984" s="3" t="s">
        <v>44</v>
      </c>
      <c r="E2984" s="3" t="s">
        <v>41</v>
      </c>
      <c r="F2984" s="5">
        <v>0</v>
      </c>
      <c r="G2984" s="5">
        <v>144</v>
      </c>
      <c r="H2984" s="6">
        <v>0</v>
      </c>
      <c r="I2984" s="22">
        <v>9520.92</v>
      </c>
      <c r="J2984" s="24">
        <f t="shared" si="138"/>
        <v>6.5971615635916712E-5</v>
      </c>
      <c r="K2984" s="25">
        <f t="shared" si="140"/>
        <v>0.93294646464054221</v>
      </c>
      <c r="L2984" s="26" t="s">
        <v>7517</v>
      </c>
      <c r="M2984" s="28"/>
      <c r="N2984" s="28"/>
      <c r="O2984" s="20" t="s">
        <v>7530</v>
      </c>
      <c r="P2984" s="27" t="str">
        <f t="shared" si="139"/>
        <v>vermelho</v>
      </c>
    </row>
    <row r="2985" spans="1:16" ht="25.5">
      <c r="A2985" s="3" t="s">
        <v>4</v>
      </c>
      <c r="B2985" s="3" t="s">
        <v>2116</v>
      </c>
      <c r="C2985" s="4">
        <v>194</v>
      </c>
      <c r="D2985" s="3" t="s">
        <v>145</v>
      </c>
      <c r="E2985" s="3" t="s">
        <v>16</v>
      </c>
      <c r="F2985" s="5">
        <v>168</v>
      </c>
      <c r="G2985" s="5">
        <v>168</v>
      </c>
      <c r="H2985" s="6">
        <v>9850.2900000000009</v>
      </c>
      <c r="I2985" s="22">
        <v>9514.32</v>
      </c>
      <c r="J2985" s="24">
        <f t="shared" si="138"/>
        <v>6.5925883431130092E-5</v>
      </c>
      <c r="K2985" s="25">
        <f t="shared" si="140"/>
        <v>0.93301239052397333</v>
      </c>
      <c r="L2985" s="26" t="s">
        <v>7517</v>
      </c>
      <c r="M2985" s="28"/>
      <c r="N2985" s="28"/>
      <c r="O2985" s="20">
        <v>14503.92</v>
      </c>
      <c r="P2985" s="27" t="str">
        <f t="shared" si="139"/>
        <v>verde</v>
      </c>
    </row>
    <row r="2986" spans="1:16">
      <c r="A2986" s="3" t="s">
        <v>4</v>
      </c>
      <c r="B2986" s="3" t="s">
        <v>2117</v>
      </c>
      <c r="C2986" s="4">
        <v>232</v>
      </c>
      <c r="D2986" s="3" t="s">
        <v>174</v>
      </c>
      <c r="E2986" s="3" t="s">
        <v>16</v>
      </c>
      <c r="F2986" s="5">
        <v>0</v>
      </c>
      <c r="G2986" s="5">
        <v>144</v>
      </c>
      <c r="H2986" s="6">
        <v>0</v>
      </c>
      <c r="I2986" s="22">
        <v>9507.84</v>
      </c>
      <c r="J2986" s="24">
        <f t="shared" si="138"/>
        <v>6.5880982720975951E-5</v>
      </c>
      <c r="K2986" s="25">
        <f t="shared" si="140"/>
        <v>0.93307827150669431</v>
      </c>
      <c r="L2986" s="26" t="s">
        <v>7517</v>
      </c>
      <c r="M2986" s="28"/>
      <c r="N2986" s="28"/>
      <c r="O2986" s="20" t="s">
        <v>7530</v>
      </c>
      <c r="P2986" s="27" t="str">
        <f t="shared" si="139"/>
        <v>vermelho</v>
      </c>
    </row>
    <row r="2987" spans="1:16" ht="25.5">
      <c r="A2987" s="3" t="s">
        <v>4</v>
      </c>
      <c r="B2987" s="3" t="s">
        <v>2118</v>
      </c>
      <c r="C2987" s="4">
        <v>273</v>
      </c>
      <c r="D2987" s="3" t="s">
        <v>149</v>
      </c>
      <c r="E2987" s="3" t="s">
        <v>16</v>
      </c>
      <c r="F2987" s="5">
        <v>0</v>
      </c>
      <c r="G2987" s="5">
        <v>174</v>
      </c>
      <c r="H2987" s="6">
        <v>0</v>
      </c>
      <c r="I2987" s="22">
        <v>9507.4480000000003</v>
      </c>
      <c r="J2987" s="24">
        <f t="shared" si="138"/>
        <v>6.5878266505176511E-5</v>
      </c>
      <c r="K2987" s="25">
        <f t="shared" si="140"/>
        <v>0.93314414977319948</v>
      </c>
      <c r="L2987" s="26" t="s">
        <v>7517</v>
      </c>
      <c r="M2987" s="28">
        <v>-2.1870648179333676E-2</v>
      </c>
      <c r="N2987" s="28"/>
      <c r="O2987" s="20" t="s">
        <v>7530</v>
      </c>
      <c r="P2987" s="27" t="str">
        <f t="shared" si="139"/>
        <v>vermelho</v>
      </c>
    </row>
    <row r="2988" spans="1:16" ht="38.25">
      <c r="A2988" s="3" t="s">
        <v>4</v>
      </c>
      <c r="B2988" s="3" t="s">
        <v>2119</v>
      </c>
      <c r="C2988" s="4">
        <v>143</v>
      </c>
      <c r="D2988" s="3" t="s">
        <v>44</v>
      </c>
      <c r="E2988" s="3" t="s">
        <v>41</v>
      </c>
      <c r="F2988" s="5">
        <v>0</v>
      </c>
      <c r="G2988" s="5">
        <v>147</v>
      </c>
      <c r="H2988" s="6">
        <v>0</v>
      </c>
      <c r="I2988" s="22">
        <v>9494.34</v>
      </c>
      <c r="J2988" s="24">
        <f t="shared" si="138"/>
        <v>6.5787439574821501E-5</v>
      </c>
      <c r="K2988" s="25">
        <f t="shared" si="140"/>
        <v>0.93320993721277434</v>
      </c>
      <c r="L2988" s="26" t="s">
        <v>7517</v>
      </c>
      <c r="M2988" s="28"/>
      <c r="N2988" s="28"/>
      <c r="O2988" s="20" t="s">
        <v>7530</v>
      </c>
      <c r="P2988" s="27" t="str">
        <f t="shared" si="139"/>
        <v>vermelho</v>
      </c>
    </row>
    <row r="2989" spans="1:16" ht="38.25">
      <c r="A2989" s="3" t="s">
        <v>4</v>
      </c>
      <c r="B2989" s="3" t="s">
        <v>2120</v>
      </c>
      <c r="C2989" s="4">
        <v>45</v>
      </c>
      <c r="D2989" s="3" t="s">
        <v>23</v>
      </c>
      <c r="E2989" s="3" t="s">
        <v>7</v>
      </c>
      <c r="F2989" s="5">
        <v>168</v>
      </c>
      <c r="G2989" s="5">
        <v>156</v>
      </c>
      <c r="H2989" s="6">
        <v>8737.02</v>
      </c>
      <c r="I2989" s="22">
        <v>9494.2800000000007</v>
      </c>
      <c r="J2989" s="24">
        <f t="shared" si="138"/>
        <v>6.5787023827505262E-5</v>
      </c>
      <c r="K2989" s="25">
        <f t="shared" si="140"/>
        <v>0.93327572423660188</v>
      </c>
      <c r="L2989" s="26" t="s">
        <v>7517</v>
      </c>
      <c r="M2989" s="28"/>
      <c r="N2989" s="28"/>
      <c r="O2989" s="20">
        <v>6427.38</v>
      </c>
      <c r="P2989" s="27" t="str">
        <f t="shared" si="139"/>
        <v>laranja</v>
      </c>
    </row>
    <row r="2990" spans="1:16" ht="25.5">
      <c r="A2990" s="3" t="s">
        <v>4</v>
      </c>
      <c r="B2990" s="3" t="s">
        <v>2121</v>
      </c>
      <c r="C2990" s="4">
        <v>261</v>
      </c>
      <c r="D2990" s="3" t="s">
        <v>9</v>
      </c>
      <c r="E2990" s="3" t="s">
        <v>10</v>
      </c>
      <c r="F2990" s="5">
        <v>54</v>
      </c>
      <c r="G2990" s="5">
        <v>159</v>
      </c>
      <c r="H2990" s="6">
        <v>2906.28</v>
      </c>
      <c r="I2990" s="22">
        <v>9493.83</v>
      </c>
      <c r="J2990" s="24">
        <f t="shared" si="138"/>
        <v>6.5783905722633439E-5</v>
      </c>
      <c r="K2990" s="25">
        <f t="shared" si="140"/>
        <v>0.93334150814232453</v>
      </c>
      <c r="L2990" s="26" t="s">
        <v>7517</v>
      </c>
      <c r="M2990" s="28"/>
      <c r="N2990" s="28"/>
      <c r="O2990" s="20">
        <v>3122.52</v>
      </c>
      <c r="P2990" s="27" t="str">
        <f t="shared" si="139"/>
        <v>amarelo</v>
      </c>
    </row>
    <row r="2991" spans="1:16" ht="25.5">
      <c r="A2991" s="3" t="s">
        <v>4</v>
      </c>
      <c r="B2991" s="3" t="s">
        <v>2122</v>
      </c>
      <c r="C2991" s="4">
        <v>178</v>
      </c>
      <c r="D2991" s="3" t="s">
        <v>74</v>
      </c>
      <c r="E2991" s="3" t="s">
        <v>7</v>
      </c>
      <c r="F2991" s="5">
        <v>0</v>
      </c>
      <c r="G2991" s="5">
        <v>144</v>
      </c>
      <c r="H2991" s="6">
        <v>0</v>
      </c>
      <c r="I2991" s="22">
        <v>9480.9599999999991</v>
      </c>
      <c r="J2991" s="24">
        <f t="shared" si="138"/>
        <v>6.5694727923299516E-5</v>
      </c>
      <c r="K2991" s="25">
        <f t="shared" si="140"/>
        <v>0.93340720287024781</v>
      </c>
      <c r="L2991" s="26" t="s">
        <v>7517</v>
      </c>
      <c r="M2991" s="28"/>
      <c r="N2991" s="28"/>
      <c r="O2991" s="20" t="s">
        <v>7530</v>
      </c>
      <c r="P2991" s="27" t="str">
        <f t="shared" si="139"/>
        <v>vermelho</v>
      </c>
    </row>
    <row r="2992" spans="1:16" ht="25.5">
      <c r="A2992" s="3" t="s">
        <v>6730</v>
      </c>
      <c r="B2992" s="3" t="s">
        <v>6731</v>
      </c>
      <c r="C2992" s="4">
        <v>273</v>
      </c>
      <c r="D2992" s="3" t="s">
        <v>149</v>
      </c>
      <c r="E2992" s="3" t="s">
        <v>16</v>
      </c>
      <c r="F2992" s="5">
        <v>0</v>
      </c>
      <c r="G2992" s="5">
        <v>162</v>
      </c>
      <c r="H2992" s="6">
        <v>0</v>
      </c>
      <c r="I2992" s="22">
        <v>9475.8250000000007</v>
      </c>
      <c r="J2992" s="24">
        <f t="shared" si="138"/>
        <v>6.5659146882151152E-5</v>
      </c>
      <c r="K2992" s="25">
        <f t="shared" si="140"/>
        <v>0.93347286201712998</v>
      </c>
      <c r="L2992" s="26" t="s">
        <v>7517</v>
      </c>
      <c r="M2992" s="28"/>
      <c r="N2992" s="28"/>
      <c r="O2992" s="20" t="s">
        <v>7530</v>
      </c>
      <c r="P2992" s="27" t="str">
        <f t="shared" si="139"/>
        <v>vermelho</v>
      </c>
    </row>
    <row r="2993" spans="1:16" ht="25.5">
      <c r="A2993" s="3" t="s">
        <v>4</v>
      </c>
      <c r="B2993" s="3" t="s">
        <v>2123</v>
      </c>
      <c r="C2993" s="4">
        <v>23</v>
      </c>
      <c r="D2993" s="3" t="s">
        <v>87</v>
      </c>
      <c r="E2993" s="3" t="s">
        <v>7</v>
      </c>
      <c r="F2993" s="5">
        <v>459</v>
      </c>
      <c r="G2993" s="5">
        <v>143</v>
      </c>
      <c r="H2993" s="6">
        <v>26685.966</v>
      </c>
      <c r="I2993" s="22">
        <v>9472.1</v>
      </c>
      <c r="J2993" s="24">
        <f t="shared" si="138"/>
        <v>6.5633335902934455E-5</v>
      </c>
      <c r="K2993" s="25">
        <f t="shared" si="140"/>
        <v>0.9335384953530329</v>
      </c>
      <c r="L2993" s="26" t="s">
        <v>7517</v>
      </c>
      <c r="M2993" s="28"/>
      <c r="N2993" s="28"/>
      <c r="O2993" s="20" t="s">
        <v>7530</v>
      </c>
      <c r="P2993" s="27" t="str">
        <f t="shared" si="139"/>
        <v>vermelho</v>
      </c>
    </row>
    <row r="2994" spans="1:16" ht="25.5">
      <c r="A2994" s="3" t="s">
        <v>6732</v>
      </c>
      <c r="B2994" s="3" t="s">
        <v>6733</v>
      </c>
      <c r="C2994" s="4">
        <v>93</v>
      </c>
      <c r="D2994" s="3" t="s">
        <v>20</v>
      </c>
      <c r="E2994" s="3" t="s">
        <v>7</v>
      </c>
      <c r="F2994" s="5">
        <v>168</v>
      </c>
      <c r="G2994" s="5">
        <v>180</v>
      </c>
      <c r="H2994" s="6">
        <v>8990.4290000000001</v>
      </c>
      <c r="I2994" s="22">
        <v>9466.2000000000007</v>
      </c>
      <c r="J2994" s="24">
        <f t="shared" si="138"/>
        <v>6.5592454083503998E-5</v>
      </c>
      <c r="K2994" s="25">
        <f t="shared" si="140"/>
        <v>0.93360408780711646</v>
      </c>
      <c r="L2994" s="26" t="s">
        <v>7517</v>
      </c>
      <c r="M2994" s="28"/>
      <c r="N2994" s="28"/>
      <c r="O2994" s="20" t="s">
        <v>7530</v>
      </c>
      <c r="P2994" s="27" t="str">
        <f t="shared" si="139"/>
        <v>vermelho</v>
      </c>
    </row>
    <row r="2995" spans="1:16" ht="25.5">
      <c r="A2995" s="3" t="s">
        <v>6734</v>
      </c>
      <c r="B2995" s="3" t="s">
        <v>6735</v>
      </c>
      <c r="C2995" s="4">
        <v>328</v>
      </c>
      <c r="D2995" s="3" t="s">
        <v>215</v>
      </c>
      <c r="E2995" s="3" t="s">
        <v>41</v>
      </c>
      <c r="F2995" s="5">
        <v>165</v>
      </c>
      <c r="G2995" s="5">
        <v>180</v>
      </c>
      <c r="H2995" s="6">
        <v>9221.58</v>
      </c>
      <c r="I2995" s="22">
        <v>9464.0519999999997</v>
      </c>
      <c r="J2995" s="24">
        <f t="shared" si="138"/>
        <v>6.5577570329582524E-5</v>
      </c>
      <c r="K2995" s="25">
        <f t="shared" si="140"/>
        <v>0.933669665377446</v>
      </c>
      <c r="L2995" s="26" t="s">
        <v>7517</v>
      </c>
      <c r="M2995" s="28"/>
      <c r="N2995" s="28"/>
      <c r="O2995" s="20" t="s">
        <v>7530</v>
      </c>
      <c r="P2995" s="27" t="str">
        <f t="shared" si="139"/>
        <v>vermelho</v>
      </c>
    </row>
    <row r="2996" spans="1:16" ht="25.5">
      <c r="A2996" s="3" t="s">
        <v>4</v>
      </c>
      <c r="B2996" s="3" t="s">
        <v>2124</v>
      </c>
      <c r="C2996" s="4">
        <v>337</v>
      </c>
      <c r="D2996" s="3" t="s">
        <v>202</v>
      </c>
      <c r="E2996" s="3" t="s">
        <v>16</v>
      </c>
      <c r="F2996" s="5">
        <v>0</v>
      </c>
      <c r="G2996" s="5">
        <v>150</v>
      </c>
      <c r="H2996" s="6">
        <v>0</v>
      </c>
      <c r="I2996" s="22">
        <v>9454.44</v>
      </c>
      <c r="J2996" s="24">
        <f t="shared" si="138"/>
        <v>6.5510967609520558E-5</v>
      </c>
      <c r="K2996" s="25">
        <f t="shared" si="140"/>
        <v>0.93373517634505554</v>
      </c>
      <c r="L2996" s="26" t="s">
        <v>7517</v>
      </c>
      <c r="M2996" s="28"/>
      <c r="N2996" s="28"/>
      <c r="O2996" s="20">
        <v>5140.08</v>
      </c>
      <c r="P2996" s="27" t="str">
        <f t="shared" si="139"/>
        <v>laranja</v>
      </c>
    </row>
    <row r="2997" spans="1:16" ht="38.25">
      <c r="A2997" s="3" t="s">
        <v>6452</v>
      </c>
      <c r="B2997" s="3" t="s">
        <v>6453</v>
      </c>
      <c r="C2997" s="4">
        <v>11</v>
      </c>
      <c r="D2997" s="3" t="s">
        <v>61</v>
      </c>
      <c r="E2997" s="3" t="s">
        <v>10</v>
      </c>
      <c r="F2997" s="5">
        <v>180</v>
      </c>
      <c r="G2997" s="5">
        <v>144</v>
      </c>
      <c r="H2997" s="6">
        <v>9733.44</v>
      </c>
      <c r="I2997" s="22">
        <v>9453.1200000000008</v>
      </c>
      <c r="J2997" s="24">
        <f t="shared" si="138"/>
        <v>6.5501821168563237E-5</v>
      </c>
      <c r="K2997" s="25">
        <f t="shared" si="140"/>
        <v>0.93380067816622414</v>
      </c>
      <c r="L2997" s="26" t="s">
        <v>7517</v>
      </c>
      <c r="M2997" s="28"/>
      <c r="N2997" s="28"/>
      <c r="O2997" s="20" t="s">
        <v>7530</v>
      </c>
      <c r="P2997" s="27" t="str">
        <f t="shared" si="139"/>
        <v>vermelho</v>
      </c>
    </row>
    <row r="2998" spans="1:16">
      <c r="A2998" s="3" t="s">
        <v>6736</v>
      </c>
      <c r="B2998" s="3" t="s">
        <v>6737</v>
      </c>
      <c r="C2998" s="4">
        <v>232</v>
      </c>
      <c r="D2998" s="3" t="s">
        <v>174</v>
      </c>
      <c r="E2998" s="3" t="s">
        <v>16</v>
      </c>
      <c r="F2998" s="5">
        <v>360</v>
      </c>
      <c r="G2998" s="5">
        <v>192</v>
      </c>
      <c r="H2998" s="6">
        <v>20643.72</v>
      </c>
      <c r="I2998" s="22">
        <v>9445.92</v>
      </c>
      <c r="J2998" s="24">
        <f t="shared" si="138"/>
        <v>6.5451931490614183E-5</v>
      </c>
      <c r="K2998" s="25">
        <f t="shared" si="140"/>
        <v>0.9338661300977148</v>
      </c>
      <c r="L2998" s="26" t="s">
        <v>7517</v>
      </c>
      <c r="M2998" s="28"/>
      <c r="N2998" s="28"/>
      <c r="O2998" s="20">
        <v>3586.32</v>
      </c>
      <c r="P2998" s="27" t="str">
        <f t="shared" si="139"/>
        <v>amarelo</v>
      </c>
    </row>
    <row r="2999" spans="1:16" ht="25.5">
      <c r="A2999" s="3" t="s">
        <v>4</v>
      </c>
      <c r="B2999" s="3" t="s">
        <v>2125</v>
      </c>
      <c r="C2999" s="4">
        <v>335</v>
      </c>
      <c r="D2999" s="3" t="s">
        <v>36</v>
      </c>
      <c r="E2999" s="3" t="s">
        <v>7</v>
      </c>
      <c r="F2999" s="5">
        <v>0</v>
      </c>
      <c r="G2999" s="5">
        <v>144</v>
      </c>
      <c r="H2999" s="6">
        <v>0</v>
      </c>
      <c r="I2999" s="22">
        <v>9431.64</v>
      </c>
      <c r="J2999" s="24">
        <f t="shared" si="138"/>
        <v>6.5352983629348579E-5</v>
      </c>
      <c r="K2999" s="25">
        <f t="shared" si="140"/>
        <v>0.9339314830813441</v>
      </c>
      <c r="L2999" s="26" t="s">
        <v>7517</v>
      </c>
      <c r="M2999" s="28"/>
      <c r="N2999" s="28"/>
      <c r="O2999" s="20" t="s">
        <v>7530</v>
      </c>
      <c r="P2999" s="27" t="str">
        <f t="shared" si="139"/>
        <v>vermelho</v>
      </c>
    </row>
    <row r="3000" spans="1:16">
      <c r="A3000" s="3" t="s">
        <v>6738</v>
      </c>
      <c r="B3000" s="3" t="s">
        <v>6739</v>
      </c>
      <c r="C3000" s="4">
        <v>334</v>
      </c>
      <c r="D3000" s="3" t="s">
        <v>531</v>
      </c>
      <c r="E3000" s="3" t="s">
        <v>7</v>
      </c>
      <c r="F3000" s="5">
        <v>0</v>
      </c>
      <c r="G3000" s="5">
        <v>132</v>
      </c>
      <c r="H3000" s="6">
        <v>0</v>
      </c>
      <c r="I3000" s="22">
        <v>9427.9940000000006</v>
      </c>
      <c r="J3000" s="24">
        <f t="shared" si="138"/>
        <v>6.5327720050764951E-5</v>
      </c>
      <c r="K3000" s="25">
        <f t="shared" si="140"/>
        <v>0.93399681080139485</v>
      </c>
      <c r="L3000" s="26" t="s">
        <v>7517</v>
      </c>
      <c r="M3000" s="28"/>
      <c r="N3000" s="28"/>
      <c r="O3000" s="20" t="s">
        <v>7530</v>
      </c>
      <c r="P3000" s="27" t="str">
        <f t="shared" si="139"/>
        <v>vermelho</v>
      </c>
    </row>
    <row r="3001" spans="1:16" ht="38.25">
      <c r="A3001" s="3" t="s">
        <v>4</v>
      </c>
      <c r="B3001" s="3" t="s">
        <v>2126</v>
      </c>
      <c r="C3001" s="4">
        <v>41</v>
      </c>
      <c r="D3001" s="3" t="s">
        <v>178</v>
      </c>
      <c r="E3001" s="3" t="s">
        <v>41</v>
      </c>
      <c r="F3001" s="5">
        <v>0</v>
      </c>
      <c r="G3001" s="5">
        <v>132</v>
      </c>
      <c r="H3001" s="6">
        <v>0</v>
      </c>
      <c r="I3001" s="22">
        <v>9427.92</v>
      </c>
      <c r="J3001" s="24">
        <f t="shared" si="138"/>
        <v>6.5327207295741573E-5</v>
      </c>
      <c r="K3001" s="25">
        <f t="shared" si="140"/>
        <v>0.93406213800869065</v>
      </c>
      <c r="L3001" s="26" t="s">
        <v>7517</v>
      </c>
      <c r="M3001" s="28"/>
      <c r="N3001" s="28"/>
      <c r="O3001" s="20">
        <v>4254.3599999999997</v>
      </c>
      <c r="P3001" s="27" t="str">
        <f t="shared" si="139"/>
        <v>amarelo</v>
      </c>
    </row>
    <row r="3002" spans="1:16" ht="25.5">
      <c r="A3002" s="3" t="s">
        <v>4</v>
      </c>
      <c r="B3002" s="3" t="s">
        <v>2127</v>
      </c>
      <c r="C3002" s="4">
        <v>208</v>
      </c>
      <c r="D3002" s="3" t="s">
        <v>15</v>
      </c>
      <c r="E3002" s="3" t="s">
        <v>16</v>
      </c>
      <c r="F3002" s="5">
        <v>0</v>
      </c>
      <c r="G3002" s="5">
        <v>192</v>
      </c>
      <c r="H3002" s="6">
        <v>0</v>
      </c>
      <c r="I3002" s="22">
        <v>9426.24</v>
      </c>
      <c r="J3002" s="24">
        <f t="shared" si="138"/>
        <v>6.5315566370886802E-5</v>
      </c>
      <c r="K3002" s="25">
        <f t="shared" si="140"/>
        <v>0.93412745357506155</v>
      </c>
      <c r="L3002" s="26" t="s">
        <v>7517</v>
      </c>
      <c r="M3002" s="28"/>
      <c r="N3002" s="28"/>
      <c r="O3002" s="20" t="s">
        <v>7530</v>
      </c>
      <c r="P3002" s="27" t="str">
        <f t="shared" si="139"/>
        <v>vermelho</v>
      </c>
    </row>
    <row r="3003" spans="1:16" ht="38.25">
      <c r="A3003" s="3" t="s">
        <v>4</v>
      </c>
      <c r="B3003" s="3" t="s">
        <v>2128</v>
      </c>
      <c r="C3003" s="4">
        <v>292</v>
      </c>
      <c r="D3003" s="3" t="s">
        <v>57</v>
      </c>
      <c r="E3003" s="3" t="s">
        <v>49</v>
      </c>
      <c r="F3003" s="5">
        <v>156</v>
      </c>
      <c r="G3003" s="5">
        <v>171</v>
      </c>
      <c r="H3003" s="6">
        <v>6947.9639999999999</v>
      </c>
      <c r="I3003" s="22">
        <v>9419.73</v>
      </c>
      <c r="J3003" s="24">
        <f t="shared" si="138"/>
        <v>6.5270457787074541E-5</v>
      </c>
      <c r="K3003" s="25">
        <f t="shared" si="140"/>
        <v>0.93419272403284859</v>
      </c>
      <c r="L3003" s="26" t="s">
        <v>7517</v>
      </c>
      <c r="M3003" s="28"/>
      <c r="N3003" s="28"/>
      <c r="O3003" s="20" t="s">
        <v>7530</v>
      </c>
      <c r="P3003" s="27" t="str">
        <f t="shared" si="139"/>
        <v>vermelho</v>
      </c>
    </row>
    <row r="3004" spans="1:16" ht="38.25">
      <c r="A3004" s="3" t="s">
        <v>4</v>
      </c>
      <c r="B3004" s="3" t="s">
        <v>2129</v>
      </c>
      <c r="C3004" s="4">
        <v>371</v>
      </c>
      <c r="D3004" s="3" t="s">
        <v>82</v>
      </c>
      <c r="E3004" s="3" t="s">
        <v>49</v>
      </c>
      <c r="F3004" s="5">
        <v>240</v>
      </c>
      <c r="G3004" s="5">
        <v>216</v>
      </c>
      <c r="H3004" s="6">
        <v>8607.7800000000007</v>
      </c>
      <c r="I3004" s="22">
        <v>9410.52</v>
      </c>
      <c r="J3004" s="24">
        <f t="shared" si="138"/>
        <v>6.5206640574031399E-5</v>
      </c>
      <c r="K3004" s="25">
        <f t="shared" si="140"/>
        <v>0.93425793067342267</v>
      </c>
      <c r="L3004" s="26" t="s">
        <v>7517</v>
      </c>
      <c r="M3004" s="28"/>
      <c r="N3004" s="28"/>
      <c r="O3004" s="20" t="s">
        <v>7530</v>
      </c>
      <c r="P3004" s="27" t="str">
        <f t="shared" si="139"/>
        <v>vermelho</v>
      </c>
    </row>
    <row r="3005" spans="1:16" ht="38.25">
      <c r="A3005" s="3" t="s">
        <v>4</v>
      </c>
      <c r="B3005" s="3" t="s">
        <v>2130</v>
      </c>
      <c r="C3005" s="4">
        <v>371</v>
      </c>
      <c r="D3005" s="3" t="s">
        <v>82</v>
      </c>
      <c r="E3005" s="3" t="s">
        <v>49</v>
      </c>
      <c r="F3005" s="5">
        <v>0</v>
      </c>
      <c r="G3005" s="5">
        <v>216</v>
      </c>
      <c r="H3005" s="6">
        <v>0</v>
      </c>
      <c r="I3005" s="22">
        <v>9410.52</v>
      </c>
      <c r="J3005" s="24">
        <f t="shared" si="138"/>
        <v>6.5206640574031399E-5</v>
      </c>
      <c r="K3005" s="25">
        <f t="shared" si="140"/>
        <v>0.93432313731399674</v>
      </c>
      <c r="L3005" s="26" t="s">
        <v>7517</v>
      </c>
      <c r="M3005" s="28"/>
      <c r="N3005" s="28"/>
      <c r="O3005" s="20" t="s">
        <v>7530</v>
      </c>
      <c r="P3005" s="27" t="str">
        <f t="shared" si="139"/>
        <v>vermelho</v>
      </c>
    </row>
    <row r="3006" spans="1:16" ht="51">
      <c r="A3006" s="3" t="s">
        <v>6740</v>
      </c>
      <c r="B3006" s="3" t="s">
        <v>6741</v>
      </c>
      <c r="C3006" s="4">
        <v>282</v>
      </c>
      <c r="D3006" s="3" t="s">
        <v>12</v>
      </c>
      <c r="E3006" s="3" t="s">
        <v>13</v>
      </c>
      <c r="F3006" s="5">
        <v>222</v>
      </c>
      <c r="G3006" s="5">
        <v>198</v>
      </c>
      <c r="H3006" s="6">
        <v>12287.262000000001</v>
      </c>
      <c r="I3006" s="22">
        <v>9408.3359999999993</v>
      </c>
      <c r="J3006" s="24">
        <f t="shared" si="138"/>
        <v>6.5191507371720179E-5</v>
      </c>
      <c r="K3006" s="25">
        <f t="shared" si="140"/>
        <v>0.93438832882136846</v>
      </c>
      <c r="L3006" s="26" t="s">
        <v>7517</v>
      </c>
      <c r="M3006" s="28"/>
      <c r="N3006" s="28"/>
      <c r="O3006" s="20" t="s">
        <v>7530</v>
      </c>
      <c r="P3006" s="27" t="str">
        <f t="shared" si="139"/>
        <v>vermelho</v>
      </c>
    </row>
    <row r="3007" spans="1:16" ht="25.5">
      <c r="A3007" s="3" t="s">
        <v>4</v>
      </c>
      <c r="B3007" s="3" t="s">
        <v>2131</v>
      </c>
      <c r="C3007" s="4">
        <v>267</v>
      </c>
      <c r="D3007" s="3" t="s">
        <v>125</v>
      </c>
      <c r="E3007" s="3" t="s">
        <v>16</v>
      </c>
      <c r="F3007" s="5">
        <v>144</v>
      </c>
      <c r="G3007" s="5">
        <v>168</v>
      </c>
      <c r="H3007" s="6">
        <v>8131.32</v>
      </c>
      <c r="I3007" s="22">
        <v>9407.82</v>
      </c>
      <c r="J3007" s="24">
        <f t="shared" si="138"/>
        <v>6.5187931944800503E-5</v>
      </c>
      <c r="K3007" s="25">
        <f t="shared" si="140"/>
        <v>0.93445351675331323</v>
      </c>
      <c r="L3007" s="26" t="s">
        <v>7517</v>
      </c>
      <c r="M3007" s="28"/>
      <c r="N3007" s="28"/>
      <c r="O3007" s="20" t="s">
        <v>7530</v>
      </c>
      <c r="P3007" s="27" t="str">
        <f t="shared" si="139"/>
        <v>vermelho</v>
      </c>
    </row>
    <row r="3008" spans="1:16" ht="25.5">
      <c r="A3008" s="3" t="s">
        <v>4</v>
      </c>
      <c r="B3008" s="3" t="s">
        <v>2132</v>
      </c>
      <c r="C3008" s="4">
        <v>317</v>
      </c>
      <c r="D3008" s="3" t="s">
        <v>78</v>
      </c>
      <c r="E3008" s="3" t="s">
        <v>10</v>
      </c>
      <c r="F3008" s="5">
        <v>0</v>
      </c>
      <c r="G3008" s="5">
        <v>168</v>
      </c>
      <c r="H3008" s="6">
        <v>0</v>
      </c>
      <c r="I3008" s="22">
        <v>9407.7900000000009</v>
      </c>
      <c r="J3008" s="24">
        <f t="shared" si="138"/>
        <v>6.5187724071142384E-5</v>
      </c>
      <c r="K3008" s="25">
        <f t="shared" si="140"/>
        <v>0.93451870447738439</v>
      </c>
      <c r="L3008" s="26" t="s">
        <v>7517</v>
      </c>
      <c r="M3008" s="28"/>
      <c r="N3008" s="28"/>
      <c r="O3008" s="20" t="s">
        <v>7530</v>
      </c>
      <c r="P3008" s="27" t="str">
        <f t="shared" si="139"/>
        <v>vermelho</v>
      </c>
    </row>
    <row r="3009" spans="1:16">
      <c r="A3009" s="3" t="s">
        <v>4</v>
      </c>
      <c r="B3009" s="3" t="s">
        <v>2133</v>
      </c>
      <c r="C3009" s="4">
        <v>315</v>
      </c>
      <c r="D3009" s="3" t="s">
        <v>63</v>
      </c>
      <c r="E3009" s="3" t="s">
        <v>7</v>
      </c>
      <c r="F3009" s="5">
        <v>72</v>
      </c>
      <c r="G3009" s="5">
        <v>162</v>
      </c>
      <c r="H3009" s="6">
        <v>3392.04</v>
      </c>
      <c r="I3009" s="22">
        <v>9396.49</v>
      </c>
      <c r="J3009" s="24">
        <f t="shared" si="138"/>
        <v>6.5109424993250136E-5</v>
      </c>
      <c r="K3009" s="25">
        <f t="shared" si="140"/>
        <v>0.93458381390237766</v>
      </c>
      <c r="L3009" s="26" t="s">
        <v>7517</v>
      </c>
      <c r="M3009" s="28"/>
      <c r="N3009" s="28"/>
      <c r="O3009" s="20" t="s">
        <v>7530</v>
      </c>
      <c r="P3009" s="27" t="str">
        <f t="shared" si="139"/>
        <v>vermelho</v>
      </c>
    </row>
    <row r="3010" spans="1:16" ht="25.5">
      <c r="A3010" s="3" t="s">
        <v>4</v>
      </c>
      <c r="B3010" s="3" t="s">
        <v>2134</v>
      </c>
      <c r="C3010" s="4">
        <v>194</v>
      </c>
      <c r="D3010" s="3" t="s">
        <v>145</v>
      </c>
      <c r="E3010" s="3" t="s">
        <v>16</v>
      </c>
      <c r="F3010" s="5">
        <v>0</v>
      </c>
      <c r="G3010" s="5">
        <v>153</v>
      </c>
      <c r="H3010" s="6">
        <v>0</v>
      </c>
      <c r="I3010" s="22">
        <v>9387.81</v>
      </c>
      <c r="J3010" s="24">
        <f t="shared" si="138"/>
        <v>6.5049280214833779E-5</v>
      </c>
      <c r="K3010" s="25">
        <f t="shared" si="140"/>
        <v>0.93464886318259244</v>
      </c>
      <c r="L3010" s="26" t="s">
        <v>7517</v>
      </c>
      <c r="M3010" s="28"/>
      <c r="N3010" s="28"/>
      <c r="O3010" s="20">
        <v>5677.2</v>
      </c>
      <c r="P3010" s="27" t="str">
        <f t="shared" si="139"/>
        <v>laranja</v>
      </c>
    </row>
    <row r="3011" spans="1:16" ht="25.5">
      <c r="A3011" s="3" t="s">
        <v>4</v>
      </c>
      <c r="B3011" s="3" t="s">
        <v>2135</v>
      </c>
      <c r="C3011" s="4">
        <v>267</v>
      </c>
      <c r="D3011" s="3" t="s">
        <v>125</v>
      </c>
      <c r="E3011" s="3" t="s">
        <v>16</v>
      </c>
      <c r="F3011" s="5">
        <v>0</v>
      </c>
      <c r="G3011" s="5">
        <v>156</v>
      </c>
      <c r="H3011" s="6">
        <v>0</v>
      </c>
      <c r="I3011" s="22">
        <v>9387.7800000000007</v>
      </c>
      <c r="J3011" s="24">
        <f t="shared" ref="J3011:J3074" si="141">I3011/$I$6364</f>
        <v>6.5049072341175673E-5</v>
      </c>
      <c r="K3011" s="25">
        <f t="shared" si="140"/>
        <v>0.93471391225493361</v>
      </c>
      <c r="L3011" s="26" t="s">
        <v>7517</v>
      </c>
      <c r="M3011" s="28"/>
      <c r="N3011" s="28"/>
      <c r="O3011" s="20">
        <v>20979.75</v>
      </c>
      <c r="P3011" s="27" t="str">
        <f t="shared" ref="P3011:P3074" si="142">IF(O3011&lt;=0,"vermelho",IFERROR(IF(O3011/I3011&lt;=0.5098,"amarelo",IF(O3011/I3011&lt;1,"laranja","verde")),"vermelho"))</f>
        <v>verde</v>
      </c>
    </row>
    <row r="3012" spans="1:16" ht="25.5">
      <c r="A3012" s="3" t="s">
        <v>4</v>
      </c>
      <c r="B3012" s="3" t="s">
        <v>2136</v>
      </c>
      <c r="C3012" s="4">
        <v>194</v>
      </c>
      <c r="D3012" s="3" t="s">
        <v>145</v>
      </c>
      <c r="E3012" s="3" t="s">
        <v>16</v>
      </c>
      <c r="F3012" s="5">
        <v>0</v>
      </c>
      <c r="G3012" s="5">
        <v>198</v>
      </c>
      <c r="H3012" s="6">
        <v>0</v>
      </c>
      <c r="I3012" s="22">
        <v>9382.59</v>
      </c>
      <c r="J3012" s="24">
        <f t="shared" si="141"/>
        <v>6.5013110198320733E-5</v>
      </c>
      <c r="K3012" s="25">
        <f t="shared" ref="K3012:K3075" si="143">J3012+K3011</f>
        <v>0.93477892536513196</v>
      </c>
      <c r="L3012" s="26" t="s">
        <v>7517</v>
      </c>
      <c r="M3012" s="28"/>
      <c r="N3012" s="28"/>
      <c r="O3012" s="20" t="s">
        <v>7530</v>
      </c>
      <c r="P3012" s="27" t="str">
        <f t="shared" si="142"/>
        <v>vermelho</v>
      </c>
    </row>
    <row r="3013" spans="1:16" ht="25.5">
      <c r="A3013" s="3" t="s">
        <v>6742</v>
      </c>
      <c r="B3013" s="3" t="s">
        <v>6743</v>
      </c>
      <c r="C3013" s="4">
        <v>31</v>
      </c>
      <c r="D3013" s="3" t="s">
        <v>194</v>
      </c>
      <c r="E3013" s="3" t="s">
        <v>16</v>
      </c>
      <c r="F3013" s="5">
        <v>240</v>
      </c>
      <c r="G3013" s="5">
        <v>156</v>
      </c>
      <c r="H3013" s="6">
        <v>13000.08</v>
      </c>
      <c r="I3013" s="22">
        <v>9374.2800000000007</v>
      </c>
      <c r="J3013" s="24">
        <f t="shared" si="141"/>
        <v>6.4955529195021209E-5</v>
      </c>
      <c r="K3013" s="25">
        <f t="shared" si="143"/>
        <v>0.93484388089432702</v>
      </c>
      <c r="L3013" s="26" t="s">
        <v>7517</v>
      </c>
      <c r="M3013" s="28"/>
      <c r="N3013" s="28"/>
      <c r="O3013" s="20">
        <v>9823.92</v>
      </c>
      <c r="P3013" s="27" t="str">
        <f t="shared" si="142"/>
        <v>verde</v>
      </c>
    </row>
    <row r="3014" spans="1:16" ht="25.5">
      <c r="A3014" s="3" t="s">
        <v>4</v>
      </c>
      <c r="B3014" s="3" t="s">
        <v>2137</v>
      </c>
      <c r="C3014" s="4">
        <v>31</v>
      </c>
      <c r="D3014" s="3" t="s">
        <v>194</v>
      </c>
      <c r="E3014" s="3" t="s">
        <v>16</v>
      </c>
      <c r="F3014" s="5">
        <v>261</v>
      </c>
      <c r="G3014" s="5">
        <v>153</v>
      </c>
      <c r="H3014" s="6">
        <v>15409.89</v>
      </c>
      <c r="I3014" s="22">
        <v>9370.89</v>
      </c>
      <c r="J3014" s="24">
        <f t="shared" si="141"/>
        <v>6.4932039471653533E-5</v>
      </c>
      <c r="K3014" s="25">
        <f t="shared" si="143"/>
        <v>0.93490881293379868</v>
      </c>
      <c r="L3014" s="26" t="s">
        <v>7517</v>
      </c>
      <c r="M3014" s="28"/>
      <c r="N3014" s="28"/>
      <c r="O3014" s="20" t="s">
        <v>7530</v>
      </c>
      <c r="P3014" s="27" t="str">
        <f t="shared" si="142"/>
        <v>vermelho</v>
      </c>
    </row>
    <row r="3015" spans="1:16" ht="25.5">
      <c r="A3015" s="3" t="s">
        <v>4</v>
      </c>
      <c r="B3015" s="3" t="s">
        <v>2138</v>
      </c>
      <c r="C3015" s="4">
        <v>93</v>
      </c>
      <c r="D3015" s="3" t="s">
        <v>20</v>
      </c>
      <c r="E3015" s="3" t="s">
        <v>7</v>
      </c>
      <c r="F3015" s="5">
        <v>0</v>
      </c>
      <c r="G3015" s="5">
        <v>165</v>
      </c>
      <c r="H3015" s="6">
        <v>0</v>
      </c>
      <c r="I3015" s="22">
        <v>9358.32</v>
      </c>
      <c r="J3015" s="24">
        <f t="shared" si="141"/>
        <v>6.4844940408900835E-5</v>
      </c>
      <c r="K3015" s="25">
        <f t="shared" si="143"/>
        <v>0.93497365787420761</v>
      </c>
      <c r="L3015" s="26" t="s">
        <v>7517</v>
      </c>
      <c r="M3015" s="28"/>
      <c r="N3015" s="28"/>
      <c r="O3015" s="20">
        <v>5450.88</v>
      </c>
      <c r="P3015" s="27" t="str">
        <f t="shared" si="142"/>
        <v>laranja</v>
      </c>
    </row>
    <row r="3016" spans="1:16" ht="25.5">
      <c r="A3016" s="3" t="s">
        <v>4</v>
      </c>
      <c r="B3016" s="3" t="s">
        <v>2139</v>
      </c>
      <c r="C3016" s="4">
        <v>61</v>
      </c>
      <c r="D3016" s="3" t="s">
        <v>48</v>
      </c>
      <c r="E3016" s="3" t="s">
        <v>49</v>
      </c>
      <c r="F3016" s="5">
        <v>294</v>
      </c>
      <c r="G3016" s="5">
        <v>171</v>
      </c>
      <c r="H3016" s="6">
        <v>13733.7</v>
      </c>
      <c r="I3016" s="22">
        <v>9358.26</v>
      </c>
      <c r="J3016" s="24">
        <f t="shared" si="141"/>
        <v>6.4844524661584595E-5</v>
      </c>
      <c r="K3016" s="25">
        <f t="shared" si="143"/>
        <v>0.93503850239886921</v>
      </c>
      <c r="L3016" s="26" t="s">
        <v>7517</v>
      </c>
      <c r="M3016" s="28"/>
      <c r="N3016" s="28"/>
      <c r="O3016" s="20" t="s">
        <v>7530</v>
      </c>
      <c r="P3016" s="27" t="str">
        <f t="shared" si="142"/>
        <v>vermelho</v>
      </c>
    </row>
    <row r="3017" spans="1:16" ht="25.5">
      <c r="A3017" s="3" t="s">
        <v>4</v>
      </c>
      <c r="B3017" s="3" t="s">
        <v>2140</v>
      </c>
      <c r="C3017" s="4">
        <v>316</v>
      </c>
      <c r="D3017" s="3" t="s">
        <v>247</v>
      </c>
      <c r="E3017" s="3" t="s">
        <v>10</v>
      </c>
      <c r="F3017" s="5">
        <v>0</v>
      </c>
      <c r="G3017" s="5">
        <v>180</v>
      </c>
      <c r="H3017" s="6">
        <v>0</v>
      </c>
      <c r="I3017" s="22">
        <v>9354</v>
      </c>
      <c r="J3017" s="24">
        <f t="shared" si="141"/>
        <v>6.4815006602131407E-5</v>
      </c>
      <c r="K3017" s="25">
        <f t="shared" si="143"/>
        <v>0.93510331740547137</v>
      </c>
      <c r="L3017" s="26" t="s">
        <v>7517</v>
      </c>
      <c r="M3017" s="28"/>
      <c r="N3017" s="28"/>
      <c r="O3017" s="20">
        <v>3555</v>
      </c>
      <c r="P3017" s="27" t="str">
        <f t="shared" si="142"/>
        <v>amarelo</v>
      </c>
    </row>
    <row r="3018" spans="1:16" ht="25.5">
      <c r="A3018" s="3" t="s">
        <v>4</v>
      </c>
      <c r="B3018" s="3" t="s">
        <v>2141</v>
      </c>
      <c r="C3018" s="4">
        <v>267</v>
      </c>
      <c r="D3018" s="3" t="s">
        <v>125</v>
      </c>
      <c r="E3018" s="3" t="s">
        <v>16</v>
      </c>
      <c r="F3018" s="5">
        <v>570</v>
      </c>
      <c r="G3018" s="5">
        <v>168</v>
      </c>
      <c r="H3018" s="6">
        <v>29403.9</v>
      </c>
      <c r="I3018" s="22">
        <v>9347.94</v>
      </c>
      <c r="J3018" s="24">
        <f t="shared" si="141"/>
        <v>6.4773016123190969E-5</v>
      </c>
      <c r="K3018" s="25">
        <f t="shared" si="143"/>
        <v>0.93516809042159454</v>
      </c>
      <c r="L3018" s="26" t="s">
        <v>7517</v>
      </c>
      <c r="M3018" s="28"/>
      <c r="N3018" s="28"/>
      <c r="O3018" s="20" t="s">
        <v>7530</v>
      </c>
      <c r="P3018" s="27" t="str">
        <f t="shared" si="142"/>
        <v>vermelho</v>
      </c>
    </row>
    <row r="3019" spans="1:16" ht="25.5">
      <c r="A3019" s="3" t="s">
        <v>6744</v>
      </c>
      <c r="B3019" s="3" t="s">
        <v>6745</v>
      </c>
      <c r="C3019" s="4">
        <v>316</v>
      </c>
      <c r="D3019" s="3" t="s">
        <v>247</v>
      </c>
      <c r="E3019" s="3" t="s">
        <v>10</v>
      </c>
      <c r="F3019" s="5">
        <v>594</v>
      </c>
      <c r="G3019" s="5">
        <v>138</v>
      </c>
      <c r="H3019" s="6">
        <v>38136.06</v>
      </c>
      <c r="I3019" s="22">
        <v>9334.14</v>
      </c>
      <c r="J3019" s="24">
        <f t="shared" si="141"/>
        <v>6.4677394240455295E-5</v>
      </c>
      <c r="K3019" s="25">
        <f t="shared" si="143"/>
        <v>0.93523276781583498</v>
      </c>
      <c r="L3019" s="26" t="s">
        <v>7517</v>
      </c>
      <c r="M3019" s="28"/>
      <c r="N3019" s="28"/>
      <c r="O3019" s="20" t="s">
        <v>7530</v>
      </c>
      <c r="P3019" s="27" t="str">
        <f t="shared" si="142"/>
        <v>vermelho</v>
      </c>
    </row>
    <row r="3020" spans="1:16" ht="25.5">
      <c r="A3020" s="3" t="s">
        <v>4</v>
      </c>
      <c r="B3020" s="3" t="s">
        <v>2142</v>
      </c>
      <c r="C3020" s="4">
        <v>240</v>
      </c>
      <c r="D3020" s="3" t="s">
        <v>69</v>
      </c>
      <c r="E3020" s="3" t="s">
        <v>16</v>
      </c>
      <c r="F3020" s="5">
        <v>348</v>
      </c>
      <c r="G3020" s="5">
        <v>153</v>
      </c>
      <c r="H3020" s="6">
        <v>20740.32</v>
      </c>
      <c r="I3020" s="22">
        <v>9331.2900000000009</v>
      </c>
      <c r="J3020" s="24">
        <f t="shared" si="141"/>
        <v>6.4657646242933801E-5</v>
      </c>
      <c r="K3020" s="25">
        <f t="shared" si="143"/>
        <v>0.93529742546207795</v>
      </c>
      <c r="L3020" s="26" t="s">
        <v>7517</v>
      </c>
      <c r="M3020" s="28"/>
      <c r="N3020" s="28"/>
      <c r="O3020" s="20" t="s">
        <v>7530</v>
      </c>
      <c r="P3020" s="27" t="str">
        <f t="shared" si="142"/>
        <v>vermelho</v>
      </c>
    </row>
    <row r="3021" spans="1:16">
      <c r="A3021" s="3" t="s">
        <v>6746</v>
      </c>
      <c r="B3021" s="3" t="s">
        <v>6747</v>
      </c>
      <c r="C3021" s="4">
        <v>240</v>
      </c>
      <c r="D3021" s="3" t="s">
        <v>69</v>
      </c>
      <c r="E3021" s="3" t="s">
        <v>16</v>
      </c>
      <c r="F3021" s="5">
        <v>108</v>
      </c>
      <c r="G3021" s="5">
        <v>156</v>
      </c>
      <c r="H3021" s="6">
        <v>6258.78</v>
      </c>
      <c r="I3021" s="22">
        <v>9321.36</v>
      </c>
      <c r="J3021" s="24">
        <f t="shared" si="141"/>
        <v>6.4588840062095745E-5</v>
      </c>
      <c r="K3021" s="25">
        <f t="shared" si="143"/>
        <v>0.93536201430214005</v>
      </c>
      <c r="L3021" s="26" t="s">
        <v>7517</v>
      </c>
      <c r="M3021" s="28"/>
      <c r="N3021" s="28"/>
      <c r="O3021" s="20" t="s">
        <v>7530</v>
      </c>
      <c r="P3021" s="27" t="str">
        <f t="shared" si="142"/>
        <v>vermelho</v>
      </c>
    </row>
    <row r="3022" spans="1:16" ht="38.25">
      <c r="A3022" s="3" t="s">
        <v>4</v>
      </c>
      <c r="B3022" s="3" t="s">
        <v>2143</v>
      </c>
      <c r="C3022" s="4">
        <v>38</v>
      </c>
      <c r="D3022" s="3" t="s">
        <v>184</v>
      </c>
      <c r="E3022" s="3" t="s">
        <v>49</v>
      </c>
      <c r="F3022" s="5">
        <v>141</v>
      </c>
      <c r="G3022" s="5">
        <v>168</v>
      </c>
      <c r="H3022" s="6">
        <v>7474.59</v>
      </c>
      <c r="I3022" s="22">
        <v>9321.24</v>
      </c>
      <c r="J3022" s="24">
        <f t="shared" si="141"/>
        <v>6.4588008567463266E-5</v>
      </c>
      <c r="K3022" s="25">
        <f t="shared" si="143"/>
        <v>0.93542660231070751</v>
      </c>
      <c r="L3022" s="26" t="s">
        <v>7517</v>
      </c>
      <c r="M3022" s="28"/>
      <c r="N3022" s="28"/>
      <c r="O3022" s="20" t="s">
        <v>7530</v>
      </c>
      <c r="P3022" s="27" t="str">
        <f t="shared" si="142"/>
        <v>vermelho</v>
      </c>
    </row>
    <row r="3023" spans="1:16" ht="38.25">
      <c r="A3023" s="3" t="s">
        <v>4</v>
      </c>
      <c r="B3023" s="3" t="s">
        <v>2144</v>
      </c>
      <c r="C3023" s="4">
        <v>143</v>
      </c>
      <c r="D3023" s="3" t="s">
        <v>44</v>
      </c>
      <c r="E3023" s="3" t="s">
        <v>41</v>
      </c>
      <c r="F3023" s="5">
        <v>180</v>
      </c>
      <c r="G3023" s="5">
        <v>144</v>
      </c>
      <c r="H3023" s="6">
        <v>11891.76</v>
      </c>
      <c r="I3023" s="22">
        <v>9310.56</v>
      </c>
      <c r="J3023" s="24">
        <f t="shared" si="141"/>
        <v>6.4514005545172177E-5</v>
      </c>
      <c r="K3023" s="25">
        <f t="shared" si="143"/>
        <v>0.9354911163162527</v>
      </c>
      <c r="L3023" s="26" t="s">
        <v>7517</v>
      </c>
      <c r="M3023" s="28"/>
      <c r="N3023" s="28"/>
      <c r="O3023" s="20" t="s">
        <v>7530</v>
      </c>
      <c r="P3023" s="27" t="str">
        <f t="shared" si="142"/>
        <v>vermelho</v>
      </c>
    </row>
    <row r="3024" spans="1:16" ht="25.5">
      <c r="A3024" s="3" t="s">
        <v>4</v>
      </c>
      <c r="B3024" s="3" t="s">
        <v>2145</v>
      </c>
      <c r="C3024" s="4">
        <v>299</v>
      </c>
      <c r="D3024" s="3" t="s">
        <v>111</v>
      </c>
      <c r="E3024" s="3" t="s">
        <v>49</v>
      </c>
      <c r="F3024" s="5">
        <v>54</v>
      </c>
      <c r="G3024" s="5">
        <v>192</v>
      </c>
      <c r="H3024" s="6">
        <v>3003.66</v>
      </c>
      <c r="I3024" s="22">
        <v>9299.8799999999992</v>
      </c>
      <c r="J3024" s="24">
        <f t="shared" si="141"/>
        <v>6.4440002522881101E-5</v>
      </c>
      <c r="K3024" s="25">
        <f t="shared" si="143"/>
        <v>0.93555555631877563</v>
      </c>
      <c r="L3024" s="26" t="s">
        <v>7517</v>
      </c>
      <c r="M3024" s="28"/>
      <c r="N3024" s="28"/>
      <c r="O3024" s="20" t="s">
        <v>7530</v>
      </c>
      <c r="P3024" s="27" t="str">
        <f t="shared" si="142"/>
        <v>vermelho</v>
      </c>
    </row>
    <row r="3025" spans="1:16" ht="25.5">
      <c r="A3025" s="3" t="s">
        <v>4</v>
      </c>
      <c r="B3025" s="3" t="s">
        <v>2146</v>
      </c>
      <c r="C3025" s="4">
        <v>261</v>
      </c>
      <c r="D3025" s="3" t="s">
        <v>9</v>
      </c>
      <c r="E3025" s="3" t="s">
        <v>10</v>
      </c>
      <c r="F3025" s="5">
        <v>309</v>
      </c>
      <c r="G3025" s="5">
        <v>156</v>
      </c>
      <c r="H3025" s="6">
        <v>18328.02</v>
      </c>
      <c r="I3025" s="22">
        <v>9298.44</v>
      </c>
      <c r="J3025" s="24">
        <f t="shared" si="141"/>
        <v>6.4430024587291301E-5</v>
      </c>
      <c r="K3025" s="25">
        <f t="shared" si="143"/>
        <v>0.93561998634336296</v>
      </c>
      <c r="L3025" s="26" t="s">
        <v>7517</v>
      </c>
      <c r="M3025" s="28"/>
      <c r="N3025" s="28"/>
      <c r="O3025" s="20" t="s">
        <v>7530</v>
      </c>
      <c r="P3025" s="27" t="str">
        <f t="shared" si="142"/>
        <v>vermelho</v>
      </c>
    </row>
    <row r="3026" spans="1:16" ht="51">
      <c r="A3026" s="3" t="s">
        <v>4</v>
      </c>
      <c r="B3026" s="3" t="s">
        <v>2147</v>
      </c>
      <c r="C3026" s="4">
        <v>282</v>
      </c>
      <c r="D3026" s="3" t="s">
        <v>12</v>
      </c>
      <c r="E3026" s="3" t="s">
        <v>13</v>
      </c>
      <c r="F3026" s="5">
        <v>108</v>
      </c>
      <c r="G3026" s="5">
        <v>177</v>
      </c>
      <c r="H3026" s="6">
        <v>5818.2</v>
      </c>
      <c r="I3026" s="22">
        <v>9297.4140000000007</v>
      </c>
      <c r="J3026" s="24">
        <f t="shared" si="141"/>
        <v>6.4422915308183563E-5</v>
      </c>
      <c r="K3026" s="25">
        <f t="shared" si="143"/>
        <v>0.93568440925867113</v>
      </c>
      <c r="L3026" s="26" t="s">
        <v>7517</v>
      </c>
      <c r="M3026" s="28"/>
      <c r="N3026" s="28"/>
      <c r="O3026" s="20" t="s">
        <v>7530</v>
      </c>
      <c r="P3026" s="27" t="str">
        <f t="shared" si="142"/>
        <v>vermelho</v>
      </c>
    </row>
    <row r="3027" spans="1:16">
      <c r="A3027" s="3" t="s">
        <v>4</v>
      </c>
      <c r="B3027" s="3" t="s">
        <v>2148</v>
      </c>
      <c r="C3027" s="4">
        <v>232</v>
      </c>
      <c r="D3027" s="3" t="s">
        <v>174</v>
      </c>
      <c r="E3027" s="3" t="s">
        <v>16</v>
      </c>
      <c r="F3027" s="5">
        <v>261</v>
      </c>
      <c r="G3027" s="5">
        <v>180</v>
      </c>
      <c r="H3027" s="6">
        <v>16012.44</v>
      </c>
      <c r="I3027" s="22">
        <v>9290.4</v>
      </c>
      <c r="J3027" s="24">
        <f t="shared" si="141"/>
        <v>6.4374314446914854E-5</v>
      </c>
      <c r="K3027" s="25">
        <f t="shared" si="143"/>
        <v>0.93574878357311808</v>
      </c>
      <c r="L3027" s="26" t="s">
        <v>7517</v>
      </c>
      <c r="M3027" s="28"/>
      <c r="N3027" s="28"/>
      <c r="O3027" s="20" t="s">
        <v>7530</v>
      </c>
      <c r="P3027" s="27" t="str">
        <f t="shared" si="142"/>
        <v>vermelho</v>
      </c>
    </row>
    <row r="3028" spans="1:16" ht="25.5">
      <c r="A3028" s="3" t="s">
        <v>4</v>
      </c>
      <c r="B3028" s="3" t="s">
        <v>2149</v>
      </c>
      <c r="C3028" s="4">
        <v>267</v>
      </c>
      <c r="D3028" s="3" t="s">
        <v>125</v>
      </c>
      <c r="E3028" s="3" t="s">
        <v>16</v>
      </c>
      <c r="F3028" s="5">
        <v>0</v>
      </c>
      <c r="G3028" s="5">
        <v>168</v>
      </c>
      <c r="H3028" s="6">
        <v>0</v>
      </c>
      <c r="I3028" s="22">
        <v>9290.2800000000007</v>
      </c>
      <c r="J3028" s="24">
        <f t="shared" si="141"/>
        <v>6.4373482952282388E-5</v>
      </c>
      <c r="K3028" s="25">
        <f t="shared" si="143"/>
        <v>0.93581315705607038</v>
      </c>
      <c r="L3028" s="26" t="s">
        <v>7517</v>
      </c>
      <c r="M3028" s="28"/>
      <c r="N3028" s="28"/>
      <c r="O3028" s="20" t="s">
        <v>7530</v>
      </c>
      <c r="P3028" s="27" t="str">
        <f t="shared" si="142"/>
        <v>vermelho</v>
      </c>
    </row>
    <row r="3029" spans="1:16" ht="38.25">
      <c r="A3029" s="3" t="s">
        <v>5032</v>
      </c>
      <c r="B3029" s="3" t="s">
        <v>5033</v>
      </c>
      <c r="C3029" s="4">
        <v>301</v>
      </c>
      <c r="D3029" s="3" t="s">
        <v>519</v>
      </c>
      <c r="E3029" s="3" t="s">
        <v>16</v>
      </c>
      <c r="F3029" s="5">
        <v>192</v>
      </c>
      <c r="G3029" s="5">
        <v>162</v>
      </c>
      <c r="H3029" s="6">
        <v>10797.6</v>
      </c>
      <c r="I3029" s="22">
        <v>9289.74</v>
      </c>
      <c r="J3029" s="24">
        <f t="shared" si="141"/>
        <v>6.4369741226436193E-5</v>
      </c>
      <c r="K3029" s="25">
        <f t="shared" si="143"/>
        <v>0.93587752679729685</v>
      </c>
      <c r="L3029" s="26" t="s">
        <v>7517</v>
      </c>
      <c r="M3029" s="28"/>
      <c r="N3029" s="28"/>
      <c r="O3029" s="20">
        <v>12100.59</v>
      </c>
      <c r="P3029" s="27" t="str">
        <f t="shared" si="142"/>
        <v>verde</v>
      </c>
    </row>
    <row r="3030" spans="1:16" ht="38.25">
      <c r="A3030" s="3" t="s">
        <v>4</v>
      </c>
      <c r="B3030" s="3" t="s">
        <v>2150</v>
      </c>
      <c r="C3030" s="4">
        <v>143</v>
      </c>
      <c r="D3030" s="3" t="s">
        <v>44</v>
      </c>
      <c r="E3030" s="3" t="s">
        <v>41</v>
      </c>
      <c r="F3030" s="5">
        <v>0</v>
      </c>
      <c r="G3030" s="5">
        <v>144</v>
      </c>
      <c r="H3030" s="6">
        <v>0</v>
      </c>
      <c r="I3030" s="22">
        <v>9267.9599999999991</v>
      </c>
      <c r="J3030" s="24">
        <f t="shared" si="141"/>
        <v>6.4218824950640338E-5</v>
      </c>
      <c r="K3030" s="25">
        <f t="shared" si="143"/>
        <v>0.93594174562224752</v>
      </c>
      <c r="L3030" s="26" t="s">
        <v>7517</v>
      </c>
      <c r="M3030" s="28"/>
      <c r="N3030" s="28"/>
      <c r="O3030" s="20" t="s">
        <v>7530</v>
      </c>
      <c r="P3030" s="27" t="str">
        <f t="shared" si="142"/>
        <v>vermelho</v>
      </c>
    </row>
    <row r="3031" spans="1:16" ht="25.5">
      <c r="A3031" s="3" t="s">
        <v>4</v>
      </c>
      <c r="B3031" s="3" t="s">
        <v>2151</v>
      </c>
      <c r="C3031" s="4">
        <v>178</v>
      </c>
      <c r="D3031" s="3" t="s">
        <v>74</v>
      </c>
      <c r="E3031" s="3" t="s">
        <v>7</v>
      </c>
      <c r="F3031" s="5">
        <v>216</v>
      </c>
      <c r="G3031" s="5">
        <v>168</v>
      </c>
      <c r="H3031" s="6">
        <v>13221.84</v>
      </c>
      <c r="I3031" s="22">
        <v>9267.84</v>
      </c>
      <c r="J3031" s="24">
        <f t="shared" si="141"/>
        <v>6.421799345600786E-5</v>
      </c>
      <c r="K3031" s="25">
        <f t="shared" si="143"/>
        <v>0.93600596361570354</v>
      </c>
      <c r="L3031" s="26" t="s">
        <v>7517</v>
      </c>
      <c r="M3031" s="28"/>
      <c r="N3031" s="28"/>
      <c r="O3031" s="20" t="s">
        <v>7530</v>
      </c>
      <c r="P3031" s="27" t="str">
        <f t="shared" si="142"/>
        <v>vermelho</v>
      </c>
    </row>
    <row r="3032" spans="1:16" ht="38.25">
      <c r="A3032" s="3" t="s">
        <v>4</v>
      </c>
      <c r="B3032" s="3" t="s">
        <v>2152</v>
      </c>
      <c r="C3032" s="4">
        <v>331</v>
      </c>
      <c r="D3032" s="3" t="s">
        <v>603</v>
      </c>
      <c r="E3032" s="3" t="s">
        <v>13</v>
      </c>
      <c r="F3032" s="5">
        <v>0</v>
      </c>
      <c r="G3032" s="5">
        <v>168</v>
      </c>
      <c r="H3032" s="6">
        <v>0</v>
      </c>
      <c r="I3032" s="22">
        <v>9259.92</v>
      </c>
      <c r="J3032" s="24">
        <f t="shared" si="141"/>
        <v>6.4163114810263919E-5</v>
      </c>
      <c r="K3032" s="25">
        <f t="shared" si="143"/>
        <v>0.93607012673051382</v>
      </c>
      <c r="L3032" s="26" t="s">
        <v>7517</v>
      </c>
      <c r="M3032" s="28"/>
      <c r="N3032" s="28"/>
      <c r="O3032" s="20" t="s">
        <v>7530</v>
      </c>
      <c r="P3032" s="27" t="str">
        <f t="shared" si="142"/>
        <v>vermelho</v>
      </c>
    </row>
    <row r="3033" spans="1:16" ht="25.5">
      <c r="A3033" s="3" t="s">
        <v>4</v>
      </c>
      <c r="B3033" s="3" t="s">
        <v>2153</v>
      </c>
      <c r="C3033" s="4">
        <v>217</v>
      </c>
      <c r="D3033" s="3" t="s">
        <v>91</v>
      </c>
      <c r="E3033" s="3" t="s">
        <v>16</v>
      </c>
      <c r="F3033" s="5">
        <v>255</v>
      </c>
      <c r="G3033" s="5">
        <v>156</v>
      </c>
      <c r="H3033" s="6">
        <v>14107.11</v>
      </c>
      <c r="I3033" s="22">
        <v>9251.8799999999992</v>
      </c>
      <c r="J3033" s="24">
        <f t="shared" si="141"/>
        <v>6.4107404669887472E-5</v>
      </c>
      <c r="K3033" s="25">
        <f t="shared" si="143"/>
        <v>0.93613423413518371</v>
      </c>
      <c r="L3033" s="26" t="s">
        <v>7517</v>
      </c>
      <c r="M3033" s="28"/>
      <c r="N3033" s="28"/>
      <c r="O3033" s="20" t="s">
        <v>7530</v>
      </c>
      <c r="P3033" s="27" t="str">
        <f t="shared" si="142"/>
        <v>vermelho</v>
      </c>
    </row>
    <row r="3034" spans="1:16" ht="38.25">
      <c r="A3034" s="3" t="s">
        <v>4</v>
      </c>
      <c r="B3034" s="3" t="s">
        <v>2154</v>
      </c>
      <c r="C3034" s="4">
        <v>143</v>
      </c>
      <c r="D3034" s="3" t="s">
        <v>44</v>
      </c>
      <c r="E3034" s="3" t="s">
        <v>41</v>
      </c>
      <c r="F3034" s="5">
        <v>222</v>
      </c>
      <c r="G3034" s="5">
        <v>144</v>
      </c>
      <c r="H3034" s="6">
        <v>13091.075999999999</v>
      </c>
      <c r="I3034" s="22">
        <v>9249.57</v>
      </c>
      <c r="J3034" s="24">
        <f t="shared" si="141"/>
        <v>6.4091398398212159E-5</v>
      </c>
      <c r="K3034" s="25">
        <f t="shared" si="143"/>
        <v>0.93619832553358195</v>
      </c>
      <c r="L3034" s="26" t="s">
        <v>7517</v>
      </c>
      <c r="M3034" s="28"/>
      <c r="N3034" s="28"/>
      <c r="O3034" s="20" t="s">
        <v>7530</v>
      </c>
      <c r="P3034" s="27" t="str">
        <f t="shared" si="142"/>
        <v>vermelho</v>
      </c>
    </row>
    <row r="3035" spans="1:16">
      <c r="A3035" s="3" t="s">
        <v>6748</v>
      </c>
      <c r="B3035" s="3" t="s">
        <v>6749</v>
      </c>
      <c r="C3035" s="4">
        <v>240</v>
      </c>
      <c r="D3035" s="3" t="s">
        <v>69</v>
      </c>
      <c r="E3035" s="3" t="s">
        <v>16</v>
      </c>
      <c r="F3035" s="5">
        <v>0</v>
      </c>
      <c r="G3035" s="5">
        <v>165</v>
      </c>
      <c r="H3035" s="6">
        <v>0</v>
      </c>
      <c r="I3035" s="22">
        <v>9238.2000000000007</v>
      </c>
      <c r="J3035" s="24">
        <f t="shared" si="141"/>
        <v>6.4012614281784303E-5</v>
      </c>
      <c r="K3035" s="25">
        <f t="shared" si="143"/>
        <v>0.93626233814786375</v>
      </c>
      <c r="L3035" s="26" t="s">
        <v>7517</v>
      </c>
      <c r="M3035" s="28"/>
      <c r="N3035" s="28"/>
      <c r="O3035" s="20">
        <v>10179.24</v>
      </c>
      <c r="P3035" s="27" t="str">
        <f t="shared" si="142"/>
        <v>verde</v>
      </c>
    </row>
    <row r="3036" spans="1:16" ht="25.5">
      <c r="A3036" s="3" t="s">
        <v>4</v>
      </c>
      <c r="B3036" s="3" t="s">
        <v>2155</v>
      </c>
      <c r="C3036" s="4">
        <v>317</v>
      </c>
      <c r="D3036" s="3" t="s">
        <v>78</v>
      </c>
      <c r="E3036" s="3" t="s">
        <v>10</v>
      </c>
      <c r="F3036" s="5">
        <v>0</v>
      </c>
      <c r="G3036" s="5">
        <v>156</v>
      </c>
      <c r="H3036" s="6">
        <v>0</v>
      </c>
      <c r="I3036" s="22">
        <v>9235.7999999999993</v>
      </c>
      <c r="J3036" s="24">
        <f t="shared" si="141"/>
        <v>6.3995984389134618E-5</v>
      </c>
      <c r="K3036" s="25">
        <f t="shared" si="143"/>
        <v>0.93632633413225286</v>
      </c>
      <c r="L3036" s="26" t="s">
        <v>7517</v>
      </c>
      <c r="M3036" s="28"/>
      <c r="N3036" s="28"/>
      <c r="O3036" s="20" t="s">
        <v>7530</v>
      </c>
      <c r="P3036" s="27" t="str">
        <f t="shared" si="142"/>
        <v>vermelho</v>
      </c>
    </row>
    <row r="3037" spans="1:16" ht="25.5">
      <c r="A3037" s="3" t="s">
        <v>4</v>
      </c>
      <c r="B3037" s="3" t="s">
        <v>2156</v>
      </c>
      <c r="C3037" s="4">
        <v>194</v>
      </c>
      <c r="D3037" s="3" t="s">
        <v>145</v>
      </c>
      <c r="E3037" s="3" t="s">
        <v>16</v>
      </c>
      <c r="F3037" s="5">
        <v>0</v>
      </c>
      <c r="G3037" s="5">
        <v>132</v>
      </c>
      <c r="H3037" s="6">
        <v>0</v>
      </c>
      <c r="I3037" s="22">
        <v>9227.64</v>
      </c>
      <c r="J3037" s="24">
        <f t="shared" si="141"/>
        <v>6.3939442754125706E-5</v>
      </c>
      <c r="K3037" s="25">
        <f t="shared" si="143"/>
        <v>0.93639027357500704</v>
      </c>
      <c r="L3037" s="26" t="s">
        <v>7517</v>
      </c>
      <c r="M3037" s="28"/>
      <c r="N3037" s="28"/>
      <c r="O3037" s="20" t="s">
        <v>7530</v>
      </c>
      <c r="P3037" s="27" t="str">
        <f t="shared" si="142"/>
        <v>vermelho</v>
      </c>
    </row>
    <row r="3038" spans="1:16" ht="25.5">
      <c r="A3038" s="3" t="s">
        <v>4</v>
      </c>
      <c r="B3038" s="3" t="s">
        <v>2157</v>
      </c>
      <c r="C3038" s="4">
        <v>218</v>
      </c>
      <c r="D3038" s="3" t="s">
        <v>104</v>
      </c>
      <c r="E3038" s="3" t="s">
        <v>16</v>
      </c>
      <c r="F3038" s="5">
        <v>0</v>
      </c>
      <c r="G3038" s="5">
        <v>150</v>
      </c>
      <c r="H3038" s="6">
        <v>0</v>
      </c>
      <c r="I3038" s="22">
        <v>9220.5</v>
      </c>
      <c r="J3038" s="24">
        <f t="shared" si="141"/>
        <v>6.3889968823492905E-5</v>
      </c>
      <c r="K3038" s="25">
        <f t="shared" si="143"/>
        <v>0.93645416354383049</v>
      </c>
      <c r="L3038" s="26" t="s">
        <v>7517</v>
      </c>
      <c r="M3038" s="28"/>
      <c r="N3038" s="28"/>
      <c r="O3038" s="20">
        <v>3195.6</v>
      </c>
      <c r="P3038" s="27" t="str">
        <f t="shared" si="142"/>
        <v>amarelo</v>
      </c>
    </row>
    <row r="3039" spans="1:16" ht="38.25">
      <c r="A3039" s="3" t="s">
        <v>4</v>
      </c>
      <c r="B3039" s="3" t="s">
        <v>2158</v>
      </c>
      <c r="C3039" s="4">
        <v>11</v>
      </c>
      <c r="D3039" s="3" t="s">
        <v>61</v>
      </c>
      <c r="E3039" s="3" t="s">
        <v>10</v>
      </c>
      <c r="F3039" s="5">
        <v>417</v>
      </c>
      <c r="G3039" s="5">
        <v>135</v>
      </c>
      <c r="H3039" s="6">
        <v>22303.83</v>
      </c>
      <c r="I3039" s="22">
        <v>9217.65</v>
      </c>
      <c r="J3039" s="24">
        <f t="shared" si="141"/>
        <v>6.3870220825971411E-5</v>
      </c>
      <c r="K3039" s="25">
        <f t="shared" si="143"/>
        <v>0.93651803376465648</v>
      </c>
      <c r="L3039" s="26" t="s">
        <v>7517</v>
      </c>
      <c r="M3039" s="28"/>
      <c r="N3039" s="28"/>
      <c r="O3039" s="20">
        <v>29721.33</v>
      </c>
      <c r="P3039" s="27" t="str">
        <f t="shared" si="142"/>
        <v>verde</v>
      </c>
    </row>
    <row r="3040" spans="1:16" ht="25.5">
      <c r="A3040" s="3" t="s">
        <v>4</v>
      </c>
      <c r="B3040" s="3" t="s">
        <v>2159</v>
      </c>
      <c r="C3040" s="4">
        <v>320</v>
      </c>
      <c r="D3040" s="3" t="s">
        <v>218</v>
      </c>
      <c r="E3040" s="3" t="s">
        <v>49</v>
      </c>
      <c r="F3040" s="5">
        <v>108</v>
      </c>
      <c r="G3040" s="5">
        <v>144</v>
      </c>
      <c r="H3040" s="6">
        <v>7294.92</v>
      </c>
      <c r="I3040" s="22">
        <v>9214.7999999999993</v>
      </c>
      <c r="J3040" s="24">
        <f t="shared" si="141"/>
        <v>6.3850472828449903E-5</v>
      </c>
      <c r="K3040" s="25">
        <f t="shared" si="143"/>
        <v>0.9365818842374849</v>
      </c>
      <c r="L3040" s="26" t="s">
        <v>7517</v>
      </c>
      <c r="M3040" s="28"/>
      <c r="N3040" s="28"/>
      <c r="O3040" s="20" t="s">
        <v>7530</v>
      </c>
      <c r="P3040" s="27" t="str">
        <f t="shared" si="142"/>
        <v>vermelho</v>
      </c>
    </row>
    <row r="3041" spans="1:16" ht="25.5">
      <c r="A3041" s="3" t="s">
        <v>6750</v>
      </c>
      <c r="B3041" s="3" t="s">
        <v>6751</v>
      </c>
      <c r="C3041" s="4">
        <v>93</v>
      </c>
      <c r="D3041" s="3" t="s">
        <v>20</v>
      </c>
      <c r="E3041" s="3" t="s">
        <v>7</v>
      </c>
      <c r="F3041" s="5">
        <v>192</v>
      </c>
      <c r="G3041" s="5">
        <v>168</v>
      </c>
      <c r="H3041" s="6">
        <v>11443.08</v>
      </c>
      <c r="I3041" s="22">
        <v>9214.6200000000008</v>
      </c>
      <c r="J3041" s="24">
        <f t="shared" si="141"/>
        <v>6.3849225586501198E-5</v>
      </c>
      <c r="K3041" s="25">
        <f t="shared" si="143"/>
        <v>0.93664573346307145</v>
      </c>
      <c r="L3041" s="26" t="s">
        <v>7517</v>
      </c>
      <c r="M3041" s="28"/>
      <c r="N3041" s="28"/>
      <c r="O3041" s="20" t="s">
        <v>7530</v>
      </c>
      <c r="P3041" s="27" t="str">
        <f t="shared" si="142"/>
        <v>vermelho</v>
      </c>
    </row>
    <row r="3042" spans="1:16" ht="38.25">
      <c r="A3042" s="3" t="s">
        <v>4</v>
      </c>
      <c r="B3042" s="3" t="s">
        <v>2160</v>
      </c>
      <c r="C3042" s="4">
        <v>45</v>
      </c>
      <c r="D3042" s="3" t="s">
        <v>23</v>
      </c>
      <c r="E3042" s="3" t="s">
        <v>7</v>
      </c>
      <c r="F3042" s="5">
        <v>294</v>
      </c>
      <c r="G3042" s="5">
        <v>180</v>
      </c>
      <c r="H3042" s="6">
        <v>17961.060000000001</v>
      </c>
      <c r="I3042" s="22">
        <v>9214.56</v>
      </c>
      <c r="J3042" s="24">
        <f t="shared" si="141"/>
        <v>6.3848809839184945E-5</v>
      </c>
      <c r="K3042" s="25">
        <f t="shared" si="143"/>
        <v>0.93670958227291068</v>
      </c>
      <c r="L3042" s="26" t="s">
        <v>7517</v>
      </c>
      <c r="M3042" s="28"/>
      <c r="N3042" s="28"/>
      <c r="O3042" s="20">
        <v>8423.2800000000007</v>
      </c>
      <c r="P3042" s="27" t="str">
        <f t="shared" si="142"/>
        <v>laranja</v>
      </c>
    </row>
    <row r="3043" spans="1:16" ht="38.25">
      <c r="A3043" s="3" t="s">
        <v>4</v>
      </c>
      <c r="B3043" s="3" t="s">
        <v>2161</v>
      </c>
      <c r="C3043" s="4">
        <v>11</v>
      </c>
      <c r="D3043" s="3" t="s">
        <v>61</v>
      </c>
      <c r="E3043" s="3" t="s">
        <v>10</v>
      </c>
      <c r="F3043" s="5">
        <v>90</v>
      </c>
      <c r="G3043" s="5">
        <v>156</v>
      </c>
      <c r="H3043" s="6">
        <v>5129.1000000000004</v>
      </c>
      <c r="I3043" s="22">
        <v>9208.68</v>
      </c>
      <c r="J3043" s="24">
        <f t="shared" si="141"/>
        <v>6.3808066602193226E-5</v>
      </c>
      <c r="K3043" s="25">
        <f t="shared" si="143"/>
        <v>0.9367733903395129</v>
      </c>
      <c r="L3043" s="26" t="s">
        <v>7517</v>
      </c>
      <c r="M3043" s="28"/>
      <c r="N3043" s="28"/>
      <c r="O3043" s="20" t="s">
        <v>7530</v>
      </c>
      <c r="P3043" s="27" t="str">
        <f t="shared" si="142"/>
        <v>vermelho</v>
      </c>
    </row>
    <row r="3044" spans="1:16">
      <c r="A3044" s="3" t="s">
        <v>4</v>
      </c>
      <c r="B3044" s="3" t="s">
        <v>2162</v>
      </c>
      <c r="C3044" s="4">
        <v>232</v>
      </c>
      <c r="D3044" s="3" t="s">
        <v>174</v>
      </c>
      <c r="E3044" s="3" t="s">
        <v>16</v>
      </c>
      <c r="F3044" s="5">
        <v>0</v>
      </c>
      <c r="G3044" s="5">
        <v>192</v>
      </c>
      <c r="H3044" s="6">
        <v>0</v>
      </c>
      <c r="I3044" s="22">
        <v>9207.84</v>
      </c>
      <c r="J3044" s="24">
        <f t="shared" si="141"/>
        <v>6.3802246139765833E-5</v>
      </c>
      <c r="K3044" s="25">
        <f t="shared" si="143"/>
        <v>0.93683719258565268</v>
      </c>
      <c r="L3044" s="26" t="s">
        <v>7517</v>
      </c>
      <c r="M3044" s="28"/>
      <c r="N3044" s="28"/>
      <c r="O3044" s="20" t="s">
        <v>7530</v>
      </c>
      <c r="P3044" s="27" t="str">
        <f t="shared" si="142"/>
        <v>vermelho</v>
      </c>
    </row>
    <row r="3045" spans="1:16" ht="25.5">
      <c r="A3045" s="3" t="s">
        <v>4</v>
      </c>
      <c r="B3045" s="3" t="s">
        <v>2163</v>
      </c>
      <c r="C3045" s="4">
        <v>267</v>
      </c>
      <c r="D3045" s="3" t="s">
        <v>125</v>
      </c>
      <c r="E3045" s="3" t="s">
        <v>16</v>
      </c>
      <c r="F3045" s="5">
        <v>156</v>
      </c>
      <c r="G3045" s="5">
        <v>141</v>
      </c>
      <c r="H3045" s="6">
        <v>7921.92</v>
      </c>
      <c r="I3045" s="22">
        <v>9197.07</v>
      </c>
      <c r="J3045" s="24">
        <f t="shared" si="141"/>
        <v>6.3727619496500398E-5</v>
      </c>
      <c r="K3045" s="25">
        <f t="shared" si="143"/>
        <v>0.93690092020514915</v>
      </c>
      <c r="L3045" s="26" t="s">
        <v>7517</v>
      </c>
      <c r="M3045" s="28"/>
      <c r="N3045" s="28"/>
      <c r="O3045" s="20">
        <v>4959</v>
      </c>
      <c r="P3045" s="27" t="str">
        <f t="shared" si="142"/>
        <v>laranja</v>
      </c>
    </row>
    <row r="3046" spans="1:16">
      <c r="A3046" s="3" t="s">
        <v>4</v>
      </c>
      <c r="B3046" s="3" t="s">
        <v>2164</v>
      </c>
      <c r="C3046" s="4">
        <v>217</v>
      </c>
      <c r="D3046" s="3" t="s">
        <v>91</v>
      </c>
      <c r="E3046" s="3" t="s">
        <v>16</v>
      </c>
      <c r="F3046" s="5">
        <v>267</v>
      </c>
      <c r="G3046" s="5">
        <v>153</v>
      </c>
      <c r="H3046" s="6">
        <v>13760.67</v>
      </c>
      <c r="I3046" s="22">
        <v>9195.6299999999992</v>
      </c>
      <c r="J3046" s="24">
        <f t="shared" si="141"/>
        <v>6.3717641560910585E-5</v>
      </c>
      <c r="K3046" s="25">
        <f t="shared" si="143"/>
        <v>0.93696463784671002</v>
      </c>
      <c r="L3046" s="26" t="s">
        <v>7517</v>
      </c>
      <c r="M3046" s="28"/>
      <c r="N3046" s="28"/>
      <c r="O3046" s="20" t="s">
        <v>7530</v>
      </c>
      <c r="P3046" s="27" t="str">
        <f t="shared" si="142"/>
        <v>vermelho</v>
      </c>
    </row>
    <row r="3047" spans="1:16" ht="25.5">
      <c r="A3047" s="3" t="s">
        <v>4</v>
      </c>
      <c r="B3047" s="3" t="s">
        <v>2165</v>
      </c>
      <c r="C3047" s="4">
        <v>327</v>
      </c>
      <c r="D3047" s="3" t="s">
        <v>100</v>
      </c>
      <c r="E3047" s="3" t="s">
        <v>7</v>
      </c>
      <c r="F3047" s="5">
        <v>72</v>
      </c>
      <c r="G3047" s="5">
        <v>150</v>
      </c>
      <c r="H3047" s="6">
        <v>4415.28</v>
      </c>
      <c r="I3047" s="22">
        <v>9195.1720000000005</v>
      </c>
      <c r="J3047" s="24">
        <f t="shared" si="141"/>
        <v>6.3714468023063278E-5</v>
      </c>
      <c r="K3047" s="25">
        <f t="shared" si="143"/>
        <v>0.93702835231473314</v>
      </c>
      <c r="L3047" s="26" t="s">
        <v>7517</v>
      </c>
      <c r="M3047" s="28">
        <v>-5.2604224116582381E-2</v>
      </c>
      <c r="N3047" s="28"/>
      <c r="O3047" s="20">
        <v>4288.0119999999997</v>
      </c>
      <c r="P3047" s="27" t="str">
        <f t="shared" si="142"/>
        <v>amarelo</v>
      </c>
    </row>
    <row r="3048" spans="1:16" ht="25.5">
      <c r="A3048" s="3" t="s">
        <v>4</v>
      </c>
      <c r="B3048" s="3" t="s">
        <v>2166</v>
      </c>
      <c r="C3048" s="4">
        <v>23</v>
      </c>
      <c r="D3048" s="3" t="s">
        <v>87</v>
      </c>
      <c r="E3048" s="3" t="s">
        <v>7</v>
      </c>
      <c r="F3048" s="5">
        <v>0</v>
      </c>
      <c r="G3048" s="5">
        <v>180</v>
      </c>
      <c r="H3048" s="6">
        <v>0</v>
      </c>
      <c r="I3048" s="22">
        <v>9191.58</v>
      </c>
      <c r="J3048" s="24">
        <f t="shared" si="141"/>
        <v>6.3689578617064248E-5</v>
      </c>
      <c r="K3048" s="25">
        <f t="shared" si="143"/>
        <v>0.93709204189335016</v>
      </c>
      <c r="L3048" s="26" t="s">
        <v>7517</v>
      </c>
      <c r="M3048" s="28"/>
      <c r="N3048" s="28"/>
      <c r="O3048" s="20">
        <v>9722.16</v>
      </c>
      <c r="P3048" s="27" t="str">
        <f t="shared" si="142"/>
        <v>verde</v>
      </c>
    </row>
    <row r="3049" spans="1:16" ht="51">
      <c r="A3049" s="3" t="s">
        <v>4</v>
      </c>
      <c r="B3049" s="3" t="s">
        <v>2167</v>
      </c>
      <c r="C3049" s="4">
        <v>282</v>
      </c>
      <c r="D3049" s="3" t="s">
        <v>12</v>
      </c>
      <c r="E3049" s="3" t="s">
        <v>13</v>
      </c>
      <c r="F3049" s="5">
        <v>354</v>
      </c>
      <c r="G3049" s="5">
        <v>192</v>
      </c>
      <c r="H3049" s="6">
        <v>16809.774000000001</v>
      </c>
      <c r="I3049" s="22">
        <v>9186.9150000000009</v>
      </c>
      <c r="J3049" s="24">
        <f t="shared" si="141"/>
        <v>6.3657254263226444E-5</v>
      </c>
      <c r="K3049" s="25">
        <f t="shared" si="143"/>
        <v>0.93715569914761343</v>
      </c>
      <c r="L3049" s="26" t="s">
        <v>7517</v>
      </c>
      <c r="M3049" s="28"/>
      <c r="N3049" s="28"/>
      <c r="O3049" s="20" t="s">
        <v>7530</v>
      </c>
      <c r="P3049" s="27" t="str">
        <f t="shared" si="142"/>
        <v>vermelho</v>
      </c>
    </row>
    <row r="3050" spans="1:16">
      <c r="A3050" s="3" t="s">
        <v>6752</v>
      </c>
      <c r="B3050" s="3" t="s">
        <v>6753</v>
      </c>
      <c r="C3050" s="4">
        <v>240</v>
      </c>
      <c r="D3050" s="3" t="s">
        <v>69</v>
      </c>
      <c r="E3050" s="3" t="s">
        <v>16</v>
      </c>
      <c r="F3050" s="5">
        <v>240</v>
      </c>
      <c r="G3050" s="5">
        <v>180</v>
      </c>
      <c r="H3050" s="6">
        <v>10906.32</v>
      </c>
      <c r="I3050" s="22">
        <v>9182.52</v>
      </c>
      <c r="J3050" s="24">
        <f t="shared" si="141"/>
        <v>6.3626800772311704E-5</v>
      </c>
      <c r="K3050" s="25">
        <f t="shared" si="143"/>
        <v>0.93721932594838575</v>
      </c>
      <c r="L3050" s="26" t="s">
        <v>7517</v>
      </c>
      <c r="M3050" s="28"/>
      <c r="N3050" s="28"/>
      <c r="O3050" s="20" t="s">
        <v>7530</v>
      </c>
      <c r="P3050" s="27" t="str">
        <f t="shared" si="142"/>
        <v>vermelho</v>
      </c>
    </row>
    <row r="3051" spans="1:16">
      <c r="A3051" s="3" t="s">
        <v>4</v>
      </c>
      <c r="B3051" s="3" t="s">
        <v>2168</v>
      </c>
      <c r="C3051" s="4">
        <v>232</v>
      </c>
      <c r="D3051" s="3" t="s">
        <v>174</v>
      </c>
      <c r="E3051" s="3" t="s">
        <v>16</v>
      </c>
      <c r="F3051" s="5">
        <v>348</v>
      </c>
      <c r="G3051" s="5">
        <v>156</v>
      </c>
      <c r="H3051" s="6">
        <v>18774.84</v>
      </c>
      <c r="I3051" s="22">
        <v>9181.7999999999993</v>
      </c>
      <c r="J3051" s="24">
        <f t="shared" si="141"/>
        <v>6.3621811804516791E-5</v>
      </c>
      <c r="K3051" s="25">
        <f t="shared" si="143"/>
        <v>0.93728294776019028</v>
      </c>
      <c r="L3051" s="26" t="s">
        <v>7517</v>
      </c>
      <c r="M3051" s="28"/>
      <c r="N3051" s="28"/>
      <c r="O3051" s="20">
        <v>5710.2</v>
      </c>
      <c r="P3051" s="27" t="str">
        <f t="shared" si="142"/>
        <v>laranja</v>
      </c>
    </row>
    <row r="3052" spans="1:16" ht="25.5">
      <c r="A3052" s="3" t="s">
        <v>4</v>
      </c>
      <c r="B3052" s="3" t="s">
        <v>2169</v>
      </c>
      <c r="C3052" s="4">
        <v>167</v>
      </c>
      <c r="D3052" s="3" t="s">
        <v>251</v>
      </c>
      <c r="E3052" s="3" t="s">
        <v>49</v>
      </c>
      <c r="F3052" s="5">
        <v>0</v>
      </c>
      <c r="G3052" s="5">
        <v>156</v>
      </c>
      <c r="H3052" s="6">
        <v>0</v>
      </c>
      <c r="I3052" s="22">
        <v>9181.2900000000009</v>
      </c>
      <c r="J3052" s="24">
        <f t="shared" si="141"/>
        <v>6.3618277952328742E-5</v>
      </c>
      <c r="K3052" s="25">
        <f t="shared" si="143"/>
        <v>0.93734656603814259</v>
      </c>
      <c r="L3052" s="26" t="s">
        <v>7517</v>
      </c>
      <c r="M3052" s="28"/>
      <c r="N3052" s="28"/>
      <c r="O3052" s="20" t="s">
        <v>7530</v>
      </c>
      <c r="P3052" s="27" t="str">
        <f t="shared" si="142"/>
        <v>vermelho</v>
      </c>
    </row>
    <row r="3053" spans="1:16" ht="51">
      <c r="A3053" s="3" t="s">
        <v>6754</v>
      </c>
      <c r="B3053" s="3" t="s">
        <v>6755</v>
      </c>
      <c r="C3053" s="4">
        <v>282</v>
      </c>
      <c r="D3053" s="3" t="s">
        <v>12</v>
      </c>
      <c r="E3053" s="3" t="s">
        <v>13</v>
      </c>
      <c r="F3053" s="5">
        <v>120</v>
      </c>
      <c r="G3053" s="5">
        <v>168</v>
      </c>
      <c r="H3053" s="6">
        <v>5948.52</v>
      </c>
      <c r="I3053" s="22">
        <v>9179.14</v>
      </c>
      <c r="J3053" s="24">
        <f t="shared" si="141"/>
        <v>6.3603380340163397E-5</v>
      </c>
      <c r="K3053" s="25">
        <f t="shared" si="143"/>
        <v>0.93741016941848276</v>
      </c>
      <c r="L3053" s="26" t="s">
        <v>7517</v>
      </c>
      <c r="M3053" s="28"/>
      <c r="N3053" s="28"/>
      <c r="O3053" s="20" t="s">
        <v>7530</v>
      </c>
      <c r="P3053" s="27" t="str">
        <f t="shared" si="142"/>
        <v>vermelho</v>
      </c>
    </row>
    <row r="3054" spans="1:16" ht="25.5">
      <c r="A3054" s="3" t="s">
        <v>4</v>
      </c>
      <c r="B3054" s="3" t="s">
        <v>2170</v>
      </c>
      <c r="C3054" s="4">
        <v>316</v>
      </c>
      <c r="D3054" s="3" t="s">
        <v>247</v>
      </c>
      <c r="E3054" s="3" t="s">
        <v>10</v>
      </c>
      <c r="F3054" s="5">
        <v>96</v>
      </c>
      <c r="G3054" s="5">
        <v>168</v>
      </c>
      <c r="H3054" s="6">
        <v>5009.16</v>
      </c>
      <c r="I3054" s="22">
        <v>9168.84</v>
      </c>
      <c r="J3054" s="24">
        <f t="shared" si="141"/>
        <v>6.3532010384208522E-5</v>
      </c>
      <c r="K3054" s="25">
        <f t="shared" si="143"/>
        <v>0.93747370142886699</v>
      </c>
      <c r="L3054" s="26" t="s">
        <v>7517</v>
      </c>
      <c r="M3054" s="28"/>
      <c r="N3054" s="28"/>
      <c r="O3054" s="20">
        <v>7142.16</v>
      </c>
      <c r="P3054" s="27" t="str">
        <f t="shared" si="142"/>
        <v>laranja</v>
      </c>
    </row>
    <row r="3055" spans="1:16" ht="25.5">
      <c r="A3055" s="3" t="s">
        <v>6756</v>
      </c>
      <c r="B3055" s="3" t="s">
        <v>6757</v>
      </c>
      <c r="C3055" s="4">
        <v>321</v>
      </c>
      <c r="D3055" s="3" t="s">
        <v>136</v>
      </c>
      <c r="E3055" s="3" t="s">
        <v>41</v>
      </c>
      <c r="F3055" s="5">
        <v>396</v>
      </c>
      <c r="G3055" s="5">
        <v>153</v>
      </c>
      <c r="H3055" s="6">
        <v>21192.227999999999</v>
      </c>
      <c r="I3055" s="22">
        <v>9163.4699999999993</v>
      </c>
      <c r="J3055" s="24">
        <f t="shared" si="141"/>
        <v>6.3494800999404851E-5</v>
      </c>
      <c r="K3055" s="25">
        <f t="shared" si="143"/>
        <v>0.93753719622986642</v>
      </c>
      <c r="L3055" s="26" t="s">
        <v>7517</v>
      </c>
      <c r="M3055" s="28"/>
      <c r="N3055" s="28"/>
      <c r="O3055" s="20" t="s">
        <v>7530</v>
      </c>
      <c r="P3055" s="27" t="str">
        <f t="shared" si="142"/>
        <v>vermelho</v>
      </c>
    </row>
    <row r="3056" spans="1:16" ht="25.5">
      <c r="A3056" s="3" t="s">
        <v>4</v>
      </c>
      <c r="B3056" s="3" t="s">
        <v>2171</v>
      </c>
      <c r="C3056" s="4">
        <v>208</v>
      </c>
      <c r="D3056" s="3" t="s">
        <v>15</v>
      </c>
      <c r="E3056" s="3" t="s">
        <v>16</v>
      </c>
      <c r="F3056" s="5">
        <v>192</v>
      </c>
      <c r="G3056" s="5">
        <v>144</v>
      </c>
      <c r="H3056" s="6">
        <v>10667.04</v>
      </c>
      <c r="I3056" s="22">
        <v>9161.52</v>
      </c>
      <c r="J3056" s="24">
        <f t="shared" si="141"/>
        <v>6.3481289211627002E-5</v>
      </c>
      <c r="K3056" s="25">
        <f t="shared" si="143"/>
        <v>0.93760067751907805</v>
      </c>
      <c r="L3056" s="26" t="s">
        <v>7517</v>
      </c>
      <c r="M3056" s="28"/>
      <c r="N3056" s="28"/>
      <c r="O3056" s="20" t="s">
        <v>7530</v>
      </c>
      <c r="P3056" s="27" t="str">
        <f t="shared" si="142"/>
        <v>vermelho</v>
      </c>
    </row>
    <row r="3057" spans="1:16" ht="25.5">
      <c r="A3057" s="3" t="s">
        <v>5202</v>
      </c>
      <c r="B3057" s="3" t="s">
        <v>5203</v>
      </c>
      <c r="C3057" s="4">
        <v>328</v>
      </c>
      <c r="D3057" s="3" t="s">
        <v>215</v>
      </c>
      <c r="E3057" s="3" t="s">
        <v>7</v>
      </c>
      <c r="F3057" s="5">
        <v>0</v>
      </c>
      <c r="G3057" s="5">
        <v>144</v>
      </c>
      <c r="H3057" s="6">
        <v>0</v>
      </c>
      <c r="I3057" s="22">
        <v>9161.0069999999996</v>
      </c>
      <c r="J3057" s="24">
        <f t="shared" si="141"/>
        <v>6.347773457207312E-5</v>
      </c>
      <c r="K3057" s="25">
        <f t="shared" si="143"/>
        <v>0.9376641552536501</v>
      </c>
      <c r="L3057" s="26" t="s">
        <v>7517</v>
      </c>
      <c r="M3057" s="28"/>
      <c r="N3057" s="28"/>
      <c r="O3057" s="20">
        <v>17278.596000000001</v>
      </c>
      <c r="P3057" s="27" t="str">
        <f t="shared" si="142"/>
        <v>verde</v>
      </c>
    </row>
    <row r="3058" spans="1:16" ht="25.5">
      <c r="A3058" s="3" t="s">
        <v>4</v>
      </c>
      <c r="B3058" s="3" t="s">
        <v>2172</v>
      </c>
      <c r="C3058" s="4">
        <v>335</v>
      </c>
      <c r="D3058" s="3" t="s">
        <v>36</v>
      </c>
      <c r="E3058" s="3" t="s">
        <v>7</v>
      </c>
      <c r="F3058" s="5">
        <v>246</v>
      </c>
      <c r="G3058" s="5">
        <v>150</v>
      </c>
      <c r="H3058" s="6">
        <v>13690.17</v>
      </c>
      <c r="I3058" s="22">
        <v>9160.5</v>
      </c>
      <c r="J3058" s="24">
        <f t="shared" si="141"/>
        <v>6.3474221507250878E-5</v>
      </c>
      <c r="K3058" s="25">
        <f t="shared" si="143"/>
        <v>0.93772762947515731</v>
      </c>
      <c r="L3058" s="26" t="s">
        <v>7517</v>
      </c>
      <c r="M3058" s="28"/>
      <c r="N3058" s="28"/>
      <c r="O3058" s="20" t="s">
        <v>7530</v>
      </c>
      <c r="P3058" s="27" t="str">
        <f t="shared" si="142"/>
        <v>vermelho</v>
      </c>
    </row>
    <row r="3059" spans="1:16" ht="25.5">
      <c r="A3059" s="3" t="s">
        <v>4</v>
      </c>
      <c r="B3059" s="3" t="s">
        <v>2173</v>
      </c>
      <c r="C3059" s="4">
        <v>23</v>
      </c>
      <c r="D3059" s="3" t="s">
        <v>87</v>
      </c>
      <c r="E3059" s="3" t="s">
        <v>7</v>
      </c>
      <c r="F3059" s="5">
        <v>162</v>
      </c>
      <c r="G3059" s="5">
        <v>153</v>
      </c>
      <c r="H3059" s="6">
        <v>8825.1419999999998</v>
      </c>
      <c r="I3059" s="22">
        <v>9143.4</v>
      </c>
      <c r="J3059" s="24">
        <f t="shared" si="141"/>
        <v>6.3355733522121901E-5</v>
      </c>
      <c r="K3059" s="25">
        <f t="shared" si="143"/>
        <v>0.93779098520867943</v>
      </c>
      <c r="L3059" s="26" t="s">
        <v>7517</v>
      </c>
      <c r="M3059" s="28">
        <v>-9.1669148625068281E-3</v>
      </c>
      <c r="N3059" s="28">
        <v>4.9071602500257494E-2</v>
      </c>
      <c r="O3059" s="20">
        <v>6807.06</v>
      </c>
      <c r="P3059" s="27" t="str">
        <f t="shared" si="142"/>
        <v>laranja</v>
      </c>
    </row>
    <row r="3060" spans="1:16" ht="25.5">
      <c r="A3060" s="3" t="s">
        <v>6758</v>
      </c>
      <c r="B3060" s="3" t="s">
        <v>6759</v>
      </c>
      <c r="C3060" s="4">
        <v>197</v>
      </c>
      <c r="D3060" s="3" t="s">
        <v>66</v>
      </c>
      <c r="E3060" s="3" t="s">
        <v>41</v>
      </c>
      <c r="F3060" s="5">
        <v>354</v>
      </c>
      <c r="G3060" s="5">
        <v>144</v>
      </c>
      <c r="H3060" s="6">
        <v>18660.937000000002</v>
      </c>
      <c r="I3060" s="22">
        <v>9133.4500000000007</v>
      </c>
      <c r="J3060" s="24">
        <f t="shared" si="141"/>
        <v>6.3286788758845107E-5</v>
      </c>
      <c r="K3060" s="25">
        <f t="shared" si="143"/>
        <v>0.93785427199743832</v>
      </c>
      <c r="L3060" s="26" t="s">
        <v>7517</v>
      </c>
      <c r="M3060" s="28"/>
      <c r="N3060" s="28"/>
      <c r="O3060" s="20" t="s">
        <v>7530</v>
      </c>
      <c r="P3060" s="27" t="str">
        <f t="shared" si="142"/>
        <v>vermelho</v>
      </c>
    </row>
    <row r="3061" spans="1:16" ht="25.5">
      <c r="A3061" s="3" t="s">
        <v>6760</v>
      </c>
      <c r="B3061" s="3" t="s">
        <v>6761</v>
      </c>
      <c r="C3061" s="4">
        <v>317</v>
      </c>
      <c r="D3061" s="3" t="s">
        <v>78</v>
      </c>
      <c r="E3061" s="3" t="s">
        <v>10</v>
      </c>
      <c r="F3061" s="5">
        <v>0</v>
      </c>
      <c r="G3061" s="5">
        <v>120</v>
      </c>
      <c r="H3061" s="6">
        <v>0</v>
      </c>
      <c r="I3061" s="22">
        <v>9131.0400000000009</v>
      </c>
      <c r="J3061" s="24">
        <f t="shared" si="141"/>
        <v>6.3270089574976054E-5</v>
      </c>
      <c r="K3061" s="25">
        <f t="shared" si="143"/>
        <v>0.93791754208701328</v>
      </c>
      <c r="L3061" s="26" t="s">
        <v>7517</v>
      </c>
      <c r="M3061" s="28"/>
      <c r="N3061" s="28"/>
      <c r="O3061" s="20" t="s">
        <v>7530</v>
      </c>
      <c r="P3061" s="27" t="str">
        <f t="shared" si="142"/>
        <v>vermelho</v>
      </c>
    </row>
    <row r="3062" spans="1:16" ht="25.5">
      <c r="A3062" s="3" t="s">
        <v>6762</v>
      </c>
      <c r="B3062" s="3" t="s">
        <v>6763</v>
      </c>
      <c r="C3062" s="4">
        <v>315</v>
      </c>
      <c r="D3062" s="3" t="s">
        <v>63</v>
      </c>
      <c r="E3062" s="3" t="s">
        <v>7</v>
      </c>
      <c r="F3062" s="5">
        <v>228</v>
      </c>
      <c r="G3062" s="5">
        <v>162</v>
      </c>
      <c r="H3062" s="6">
        <v>13689.191999999999</v>
      </c>
      <c r="I3062" s="22">
        <v>9122.61</v>
      </c>
      <c r="J3062" s="24">
        <f t="shared" si="141"/>
        <v>6.321167707704405E-5</v>
      </c>
      <c r="K3062" s="25">
        <f t="shared" si="143"/>
        <v>0.93798075376409029</v>
      </c>
      <c r="L3062" s="26" t="s">
        <v>7517</v>
      </c>
      <c r="M3062" s="28"/>
      <c r="N3062" s="28"/>
      <c r="O3062" s="20">
        <v>4639.5770000000002</v>
      </c>
      <c r="P3062" s="27" t="str">
        <f t="shared" si="142"/>
        <v>amarelo</v>
      </c>
    </row>
    <row r="3063" spans="1:16">
      <c r="A3063" s="3" t="s">
        <v>6764</v>
      </c>
      <c r="B3063" s="3" t="s">
        <v>6765</v>
      </c>
      <c r="C3063" s="4">
        <v>240</v>
      </c>
      <c r="D3063" s="3" t="s">
        <v>69</v>
      </c>
      <c r="E3063" s="3" t="s">
        <v>16</v>
      </c>
      <c r="F3063" s="5">
        <v>0</v>
      </c>
      <c r="G3063" s="5">
        <v>216</v>
      </c>
      <c r="H3063" s="6">
        <v>0</v>
      </c>
      <c r="I3063" s="22">
        <v>9121.68</v>
      </c>
      <c r="J3063" s="24">
        <f t="shared" si="141"/>
        <v>6.3205232993642299E-5</v>
      </c>
      <c r="K3063" s="25">
        <f t="shared" si="143"/>
        <v>0.93804395899708393</v>
      </c>
      <c r="L3063" s="26" t="s">
        <v>7517</v>
      </c>
      <c r="M3063" s="28"/>
      <c r="N3063" s="28"/>
      <c r="O3063" s="20" t="s">
        <v>7530</v>
      </c>
      <c r="P3063" s="27" t="str">
        <f t="shared" si="142"/>
        <v>vermelho</v>
      </c>
    </row>
    <row r="3064" spans="1:16" ht="25.5">
      <c r="A3064" s="3" t="s">
        <v>4</v>
      </c>
      <c r="B3064" s="3" t="s">
        <v>2174</v>
      </c>
      <c r="C3064" s="4">
        <v>261</v>
      </c>
      <c r="D3064" s="3" t="s">
        <v>9</v>
      </c>
      <c r="E3064" s="3" t="s">
        <v>10</v>
      </c>
      <c r="F3064" s="5">
        <v>0</v>
      </c>
      <c r="G3064" s="5">
        <v>162</v>
      </c>
      <c r="H3064" s="6">
        <v>0</v>
      </c>
      <c r="I3064" s="22">
        <v>9108.09</v>
      </c>
      <c r="J3064" s="24">
        <f t="shared" si="141"/>
        <v>6.3111066226513476E-5</v>
      </c>
      <c r="K3064" s="25">
        <f t="shared" si="143"/>
        <v>0.9381070700633104</v>
      </c>
      <c r="L3064" s="26" t="s">
        <v>7517</v>
      </c>
      <c r="M3064" s="28"/>
      <c r="N3064" s="28"/>
      <c r="O3064" s="20" t="s">
        <v>7530</v>
      </c>
      <c r="P3064" s="27" t="str">
        <f t="shared" si="142"/>
        <v>vermelho</v>
      </c>
    </row>
    <row r="3065" spans="1:16" ht="25.5">
      <c r="A3065" s="3" t="s">
        <v>4</v>
      </c>
      <c r="B3065" s="3" t="s">
        <v>2175</v>
      </c>
      <c r="C3065" s="4">
        <v>93</v>
      </c>
      <c r="D3065" s="3" t="s">
        <v>20</v>
      </c>
      <c r="E3065" s="3" t="s">
        <v>7</v>
      </c>
      <c r="F3065" s="5">
        <v>0</v>
      </c>
      <c r="G3065" s="5">
        <v>150</v>
      </c>
      <c r="H3065" s="6">
        <v>0</v>
      </c>
      <c r="I3065" s="22">
        <v>9081.48</v>
      </c>
      <c r="J3065" s="24">
        <f t="shared" si="141"/>
        <v>6.2926682291760132E-5</v>
      </c>
      <c r="K3065" s="25">
        <f t="shared" si="143"/>
        <v>0.9381699967456022</v>
      </c>
      <c r="L3065" s="26" t="s">
        <v>7517</v>
      </c>
      <c r="M3065" s="28"/>
      <c r="N3065" s="28"/>
      <c r="O3065" s="20">
        <v>2308.7399999999998</v>
      </c>
      <c r="P3065" s="27" t="str">
        <f t="shared" si="142"/>
        <v>amarelo</v>
      </c>
    </row>
    <row r="3066" spans="1:16">
      <c r="A3066" s="3" t="s">
        <v>6766</v>
      </c>
      <c r="B3066" s="3" t="s">
        <v>6767</v>
      </c>
      <c r="C3066" s="4">
        <v>231</v>
      </c>
      <c r="D3066" s="3" t="s">
        <v>52</v>
      </c>
      <c r="E3066" s="3" t="s">
        <v>7</v>
      </c>
      <c r="F3066" s="5">
        <v>72</v>
      </c>
      <c r="G3066" s="5">
        <v>123</v>
      </c>
      <c r="H3066" s="6">
        <v>3123.36</v>
      </c>
      <c r="I3066" s="22">
        <v>9066.48</v>
      </c>
      <c r="J3066" s="24">
        <f t="shared" si="141"/>
        <v>6.2822745462699629E-5</v>
      </c>
      <c r="K3066" s="25">
        <f t="shared" si="143"/>
        <v>0.93823281949106485</v>
      </c>
      <c r="L3066" s="26" t="s">
        <v>7517</v>
      </c>
      <c r="M3066" s="28"/>
      <c r="N3066" s="28"/>
      <c r="O3066" s="20" t="s">
        <v>7530</v>
      </c>
      <c r="P3066" s="27" t="str">
        <f t="shared" si="142"/>
        <v>vermelho</v>
      </c>
    </row>
    <row r="3067" spans="1:16" ht="25.5">
      <c r="A3067" s="3" t="s">
        <v>4</v>
      </c>
      <c r="B3067" s="3" t="s">
        <v>2176</v>
      </c>
      <c r="C3067" s="4">
        <v>266</v>
      </c>
      <c r="D3067" s="3" t="s">
        <v>80</v>
      </c>
      <c r="E3067" s="3" t="s">
        <v>10</v>
      </c>
      <c r="F3067" s="5">
        <v>0</v>
      </c>
      <c r="G3067" s="5">
        <v>138</v>
      </c>
      <c r="H3067" s="6">
        <v>0</v>
      </c>
      <c r="I3067" s="22">
        <v>9059.2800000000007</v>
      </c>
      <c r="J3067" s="24">
        <f t="shared" si="141"/>
        <v>6.2772855784750588E-5</v>
      </c>
      <c r="K3067" s="25">
        <f t="shared" si="143"/>
        <v>0.93829559234684956</v>
      </c>
      <c r="L3067" s="26" t="s">
        <v>7517</v>
      </c>
      <c r="M3067" s="28"/>
      <c r="N3067" s="28"/>
      <c r="O3067" s="20" t="s">
        <v>7530</v>
      </c>
      <c r="P3067" s="27" t="str">
        <f t="shared" si="142"/>
        <v>vermelho</v>
      </c>
    </row>
    <row r="3068" spans="1:16" ht="25.5">
      <c r="A3068" s="3" t="s">
        <v>4</v>
      </c>
      <c r="B3068" s="3" t="s">
        <v>2178</v>
      </c>
      <c r="C3068" s="4">
        <v>217</v>
      </c>
      <c r="D3068" s="3" t="s">
        <v>91</v>
      </c>
      <c r="E3068" s="3" t="s">
        <v>16</v>
      </c>
      <c r="F3068" s="5">
        <v>0</v>
      </c>
      <c r="G3068" s="5">
        <v>150</v>
      </c>
      <c r="H3068" s="6">
        <v>0</v>
      </c>
      <c r="I3068" s="22">
        <v>9046.02</v>
      </c>
      <c r="J3068" s="24">
        <f t="shared" si="141"/>
        <v>6.2680975627861109E-5</v>
      </c>
      <c r="K3068" s="25">
        <f t="shared" si="143"/>
        <v>0.93835827332247745</v>
      </c>
      <c r="L3068" s="26" t="s">
        <v>7517</v>
      </c>
      <c r="M3068" s="28"/>
      <c r="N3068" s="28"/>
      <c r="O3068" s="20" t="s">
        <v>7530</v>
      </c>
      <c r="P3068" s="27" t="str">
        <f t="shared" si="142"/>
        <v>vermelho</v>
      </c>
    </row>
    <row r="3069" spans="1:16" ht="25.5">
      <c r="A3069" s="3" t="s">
        <v>6768</v>
      </c>
      <c r="B3069" s="3" t="s">
        <v>6769</v>
      </c>
      <c r="C3069" s="4">
        <v>321</v>
      </c>
      <c r="D3069" s="3" t="s">
        <v>136</v>
      </c>
      <c r="E3069" s="3" t="s">
        <v>41</v>
      </c>
      <c r="F3069" s="5">
        <v>147</v>
      </c>
      <c r="G3069" s="5">
        <v>147</v>
      </c>
      <c r="H3069" s="6">
        <v>8955.15</v>
      </c>
      <c r="I3069" s="22">
        <v>9041.67</v>
      </c>
      <c r="J3069" s="24">
        <f t="shared" si="141"/>
        <v>6.2650833947433562E-5</v>
      </c>
      <c r="K3069" s="25">
        <f t="shared" si="143"/>
        <v>0.93842092415642486</v>
      </c>
      <c r="L3069" s="26" t="s">
        <v>7517</v>
      </c>
      <c r="M3069" s="28"/>
      <c r="N3069" s="28"/>
      <c r="O3069" s="20" t="s">
        <v>7530</v>
      </c>
      <c r="P3069" s="27" t="str">
        <f t="shared" si="142"/>
        <v>vermelho</v>
      </c>
    </row>
    <row r="3070" spans="1:16" ht="25.5">
      <c r="A3070" s="3" t="s">
        <v>6770</v>
      </c>
      <c r="B3070" s="3" t="s">
        <v>6771</v>
      </c>
      <c r="C3070" s="4">
        <v>218</v>
      </c>
      <c r="D3070" s="3" t="s">
        <v>104</v>
      </c>
      <c r="E3070" s="3" t="s">
        <v>16</v>
      </c>
      <c r="F3070" s="5">
        <v>135</v>
      </c>
      <c r="G3070" s="5">
        <v>174</v>
      </c>
      <c r="H3070" s="6">
        <v>7151.76</v>
      </c>
      <c r="I3070" s="22">
        <v>9031.98</v>
      </c>
      <c r="J3070" s="24">
        <f t="shared" si="141"/>
        <v>6.2583690755860463E-5</v>
      </c>
      <c r="K3070" s="25">
        <f t="shared" si="143"/>
        <v>0.93848350784718071</v>
      </c>
      <c r="L3070" s="26" t="s">
        <v>7517</v>
      </c>
      <c r="M3070" s="28"/>
      <c r="N3070" s="28"/>
      <c r="O3070" s="20">
        <v>3834.72</v>
      </c>
      <c r="P3070" s="27" t="str">
        <f t="shared" si="142"/>
        <v>amarelo</v>
      </c>
    </row>
    <row r="3071" spans="1:16" ht="25.5">
      <c r="A3071" s="3" t="s">
        <v>4</v>
      </c>
      <c r="B3071" s="3" t="s">
        <v>2179</v>
      </c>
      <c r="C3071" s="4">
        <v>337</v>
      </c>
      <c r="D3071" s="3" t="s">
        <v>202</v>
      </c>
      <c r="E3071" s="3" t="s">
        <v>16</v>
      </c>
      <c r="F3071" s="5">
        <v>168</v>
      </c>
      <c r="G3071" s="5">
        <v>168</v>
      </c>
      <c r="H3071" s="6">
        <v>7981.86</v>
      </c>
      <c r="I3071" s="22">
        <v>9019.08</v>
      </c>
      <c r="J3071" s="24">
        <f t="shared" si="141"/>
        <v>6.2494305082868434E-5</v>
      </c>
      <c r="K3071" s="25">
        <f t="shared" si="143"/>
        <v>0.93854600215226358</v>
      </c>
      <c r="L3071" s="26" t="s">
        <v>7517</v>
      </c>
      <c r="M3071" s="28"/>
      <c r="N3071" s="28"/>
      <c r="O3071" s="20" t="s">
        <v>7530</v>
      </c>
      <c r="P3071" s="27" t="str">
        <f t="shared" si="142"/>
        <v>vermelho</v>
      </c>
    </row>
    <row r="3072" spans="1:16">
      <c r="A3072" s="3" t="s">
        <v>4</v>
      </c>
      <c r="B3072" s="3" t="s">
        <v>2180</v>
      </c>
      <c r="C3072" s="4">
        <v>15</v>
      </c>
      <c r="D3072" s="3" t="s">
        <v>18</v>
      </c>
      <c r="E3072" s="3" t="s">
        <v>16</v>
      </c>
      <c r="F3072" s="5">
        <v>132</v>
      </c>
      <c r="G3072" s="5">
        <v>168</v>
      </c>
      <c r="H3072" s="6">
        <v>6932.88</v>
      </c>
      <c r="I3072" s="22">
        <v>9018.9599999999991</v>
      </c>
      <c r="J3072" s="24">
        <f t="shared" si="141"/>
        <v>6.2493473588235942E-5</v>
      </c>
      <c r="K3072" s="25">
        <f t="shared" si="143"/>
        <v>0.9386084956258518</v>
      </c>
      <c r="L3072" s="26" t="s">
        <v>7517</v>
      </c>
      <c r="M3072" s="28"/>
      <c r="N3072" s="28"/>
      <c r="O3072" s="20" t="s">
        <v>7530</v>
      </c>
      <c r="P3072" s="27" t="str">
        <f t="shared" si="142"/>
        <v>vermelho</v>
      </c>
    </row>
    <row r="3073" spans="1:16" ht="25.5">
      <c r="A3073" s="3" t="s">
        <v>4</v>
      </c>
      <c r="B3073" s="3" t="s">
        <v>2181</v>
      </c>
      <c r="C3073" s="4">
        <v>217</v>
      </c>
      <c r="D3073" s="3" t="s">
        <v>91</v>
      </c>
      <c r="E3073" s="3" t="s">
        <v>16</v>
      </c>
      <c r="F3073" s="5">
        <v>276</v>
      </c>
      <c r="G3073" s="5">
        <v>148</v>
      </c>
      <c r="H3073" s="6">
        <v>15785.64</v>
      </c>
      <c r="I3073" s="22">
        <v>9015.76</v>
      </c>
      <c r="J3073" s="24">
        <f t="shared" si="141"/>
        <v>6.247130039803638E-5</v>
      </c>
      <c r="K3073" s="25">
        <f t="shared" si="143"/>
        <v>0.93867096692624985</v>
      </c>
      <c r="L3073" s="26" t="s">
        <v>7517</v>
      </c>
      <c r="M3073" s="28"/>
      <c r="N3073" s="28"/>
      <c r="O3073" s="20" t="s">
        <v>7530</v>
      </c>
      <c r="P3073" s="27" t="str">
        <f t="shared" si="142"/>
        <v>vermelho</v>
      </c>
    </row>
    <row r="3074" spans="1:16" ht="25.5">
      <c r="A3074" s="3" t="s">
        <v>4</v>
      </c>
      <c r="B3074" s="3" t="s">
        <v>2182</v>
      </c>
      <c r="C3074" s="4">
        <v>327</v>
      </c>
      <c r="D3074" s="3" t="s">
        <v>100</v>
      </c>
      <c r="E3074" s="3" t="s">
        <v>7</v>
      </c>
      <c r="F3074" s="5">
        <v>0</v>
      </c>
      <c r="G3074" s="5">
        <v>168</v>
      </c>
      <c r="H3074" s="6">
        <v>0</v>
      </c>
      <c r="I3074" s="22">
        <v>9014.76</v>
      </c>
      <c r="J3074" s="24">
        <f t="shared" si="141"/>
        <v>6.2464371276099007E-5</v>
      </c>
      <c r="K3074" s="25">
        <f t="shared" si="143"/>
        <v>0.93873343129752596</v>
      </c>
      <c r="L3074" s="26" t="s">
        <v>7517</v>
      </c>
      <c r="M3074" s="28"/>
      <c r="N3074" s="28"/>
      <c r="O3074" s="20">
        <v>9858.6</v>
      </c>
      <c r="P3074" s="27" t="str">
        <f t="shared" si="142"/>
        <v>verde</v>
      </c>
    </row>
    <row r="3075" spans="1:16" ht="25.5">
      <c r="A3075" s="3" t="s">
        <v>4</v>
      </c>
      <c r="B3075" s="3" t="s">
        <v>2183</v>
      </c>
      <c r="C3075" s="4">
        <v>320</v>
      </c>
      <c r="D3075" s="3" t="s">
        <v>218</v>
      </c>
      <c r="E3075" s="3" t="s">
        <v>49</v>
      </c>
      <c r="F3075" s="5">
        <v>60</v>
      </c>
      <c r="G3075" s="5">
        <v>162</v>
      </c>
      <c r="H3075" s="6">
        <v>4465.5600000000004</v>
      </c>
      <c r="I3075" s="22">
        <v>9013.3799999999992</v>
      </c>
      <c r="J3075" s="24">
        <f t="shared" ref="J3075:J3138" si="144">I3075/$I$6364</f>
        <v>6.2454809087825433E-5</v>
      </c>
      <c r="K3075" s="25">
        <f t="shared" si="143"/>
        <v>0.9387958861066138</v>
      </c>
      <c r="L3075" s="26" t="s">
        <v>7517</v>
      </c>
      <c r="M3075" s="28"/>
      <c r="N3075" s="28"/>
      <c r="O3075" s="20" t="s">
        <v>7530</v>
      </c>
      <c r="P3075" s="27" t="str">
        <f t="shared" ref="P3075:P3138" si="145">IF(O3075&lt;=0,"vermelho",IFERROR(IF(O3075/I3075&lt;=0.5098,"amarelo",IF(O3075/I3075&lt;1,"laranja","verde")),"vermelho"))</f>
        <v>vermelho</v>
      </c>
    </row>
    <row r="3076" spans="1:16" ht="25.5">
      <c r="A3076" s="3" t="s">
        <v>4</v>
      </c>
      <c r="B3076" s="3" t="s">
        <v>2184</v>
      </c>
      <c r="C3076" s="4">
        <v>197</v>
      </c>
      <c r="D3076" s="3" t="s">
        <v>66</v>
      </c>
      <c r="E3076" s="3" t="s">
        <v>41</v>
      </c>
      <c r="F3076" s="5">
        <v>96</v>
      </c>
      <c r="G3076" s="5">
        <v>144</v>
      </c>
      <c r="H3076" s="6">
        <v>5487.24</v>
      </c>
      <c r="I3076" s="22">
        <v>9011.0400000000009</v>
      </c>
      <c r="J3076" s="24">
        <f t="shared" si="144"/>
        <v>6.2438594942492014E-5</v>
      </c>
      <c r="K3076" s="25">
        <f t="shared" ref="K3076:K3139" si="146">J3076+K3075</f>
        <v>0.93885832470155628</v>
      </c>
      <c r="L3076" s="26" t="s">
        <v>7517</v>
      </c>
      <c r="M3076" s="28"/>
      <c r="N3076" s="28"/>
      <c r="O3076" s="20" t="s">
        <v>7530</v>
      </c>
      <c r="P3076" s="27" t="str">
        <f t="shared" si="145"/>
        <v>vermelho</v>
      </c>
    </row>
    <row r="3077" spans="1:16" ht="25.5">
      <c r="A3077" s="3" t="s">
        <v>4</v>
      </c>
      <c r="B3077" s="3" t="s">
        <v>2186</v>
      </c>
      <c r="C3077" s="4">
        <v>218</v>
      </c>
      <c r="D3077" s="3" t="s">
        <v>104</v>
      </c>
      <c r="E3077" s="3" t="s">
        <v>16</v>
      </c>
      <c r="F3077" s="5">
        <v>0</v>
      </c>
      <c r="G3077" s="5">
        <v>174</v>
      </c>
      <c r="H3077" s="6">
        <v>0</v>
      </c>
      <c r="I3077" s="22">
        <v>9001.77</v>
      </c>
      <c r="J3077" s="24">
        <f t="shared" si="144"/>
        <v>6.2374361982132619E-5</v>
      </c>
      <c r="K3077" s="25">
        <f t="shared" si="146"/>
        <v>0.93892069906353837</v>
      </c>
      <c r="L3077" s="26" t="s">
        <v>7517</v>
      </c>
      <c r="M3077" s="28"/>
      <c r="N3077" s="28"/>
      <c r="O3077" s="20" t="s">
        <v>7530</v>
      </c>
      <c r="P3077" s="27" t="str">
        <f t="shared" si="145"/>
        <v>vermelho</v>
      </c>
    </row>
    <row r="3078" spans="1:16" ht="25.5">
      <c r="A3078" s="3" t="s">
        <v>4</v>
      </c>
      <c r="B3078" s="3" t="s">
        <v>2187</v>
      </c>
      <c r="C3078" s="4">
        <v>93</v>
      </c>
      <c r="D3078" s="3" t="s">
        <v>20</v>
      </c>
      <c r="E3078" s="3" t="s">
        <v>7</v>
      </c>
      <c r="F3078" s="5">
        <v>60</v>
      </c>
      <c r="G3078" s="5">
        <v>144</v>
      </c>
      <c r="H3078" s="6">
        <v>3059.4</v>
      </c>
      <c r="I3078" s="22">
        <v>9001.56</v>
      </c>
      <c r="J3078" s="24">
        <f t="shared" si="144"/>
        <v>6.2372906866525754E-5</v>
      </c>
      <c r="K3078" s="25">
        <f t="shared" si="146"/>
        <v>0.93898307197040487</v>
      </c>
      <c r="L3078" s="26" t="s">
        <v>7517</v>
      </c>
      <c r="M3078" s="28"/>
      <c r="N3078" s="28"/>
      <c r="O3078" s="20" t="s">
        <v>7530</v>
      </c>
      <c r="P3078" s="27" t="str">
        <f t="shared" si="145"/>
        <v>vermelho</v>
      </c>
    </row>
    <row r="3079" spans="1:16" ht="38.25">
      <c r="A3079" s="3" t="s">
        <v>4</v>
      </c>
      <c r="B3079" s="3" t="s">
        <v>2188</v>
      </c>
      <c r="C3079" s="4">
        <v>38</v>
      </c>
      <c r="D3079" s="3" t="s">
        <v>184</v>
      </c>
      <c r="E3079" s="3" t="s">
        <v>49</v>
      </c>
      <c r="F3079" s="5">
        <v>144</v>
      </c>
      <c r="G3079" s="5">
        <v>147</v>
      </c>
      <c r="H3079" s="6">
        <v>7841.8869999999997</v>
      </c>
      <c r="I3079" s="22">
        <v>8997.48</v>
      </c>
      <c r="J3079" s="24">
        <f t="shared" si="144"/>
        <v>6.2344636049021298E-5</v>
      </c>
      <c r="K3079" s="25">
        <f t="shared" si="146"/>
        <v>0.93904541660645391</v>
      </c>
      <c r="L3079" s="26" t="s">
        <v>7517</v>
      </c>
      <c r="M3079" s="28"/>
      <c r="N3079" s="28"/>
      <c r="O3079" s="20">
        <v>1894.92</v>
      </c>
      <c r="P3079" s="27" t="str">
        <f t="shared" si="145"/>
        <v>amarelo</v>
      </c>
    </row>
    <row r="3080" spans="1:16" ht="25.5">
      <c r="A3080" s="3" t="s">
        <v>6772</v>
      </c>
      <c r="B3080" s="3" t="s">
        <v>6773</v>
      </c>
      <c r="C3080" s="4">
        <v>178</v>
      </c>
      <c r="D3080" s="3" t="s">
        <v>74</v>
      </c>
      <c r="E3080" s="3" t="s">
        <v>7</v>
      </c>
      <c r="F3080" s="5">
        <v>144</v>
      </c>
      <c r="G3080" s="5">
        <v>144</v>
      </c>
      <c r="H3080" s="6">
        <v>7229.3040000000001</v>
      </c>
      <c r="I3080" s="22">
        <v>8983.2000000000007</v>
      </c>
      <c r="J3080" s="24">
        <f t="shared" si="144"/>
        <v>6.2245688187755708E-5</v>
      </c>
      <c r="K3080" s="25">
        <f t="shared" si="146"/>
        <v>0.93910766229464171</v>
      </c>
      <c r="L3080" s="26" t="s">
        <v>7517</v>
      </c>
      <c r="M3080" s="28"/>
      <c r="N3080" s="28"/>
      <c r="O3080" s="20">
        <v>2876.16</v>
      </c>
      <c r="P3080" s="27" t="str">
        <f t="shared" si="145"/>
        <v>amarelo</v>
      </c>
    </row>
    <row r="3081" spans="1:16" ht="25.5">
      <c r="A3081" s="3" t="s">
        <v>4</v>
      </c>
      <c r="B3081" s="3" t="s">
        <v>2189</v>
      </c>
      <c r="C3081" s="4">
        <v>335</v>
      </c>
      <c r="D3081" s="3" t="s">
        <v>36</v>
      </c>
      <c r="E3081" s="3" t="s">
        <v>7</v>
      </c>
      <c r="F3081" s="5">
        <v>0</v>
      </c>
      <c r="G3081" s="5">
        <v>126</v>
      </c>
      <c r="H3081" s="6">
        <v>0</v>
      </c>
      <c r="I3081" s="22">
        <v>8975.31</v>
      </c>
      <c r="J3081" s="24">
        <f t="shared" si="144"/>
        <v>6.2191017415669873E-5</v>
      </c>
      <c r="K3081" s="25">
        <f t="shared" si="146"/>
        <v>0.93916985331205738</v>
      </c>
      <c r="L3081" s="26" t="s">
        <v>7517</v>
      </c>
      <c r="M3081" s="28">
        <v>1.672793942690233E-2</v>
      </c>
      <c r="N3081" s="28"/>
      <c r="O3081" s="20">
        <v>8975.31</v>
      </c>
      <c r="P3081" s="27" t="str">
        <f t="shared" si="145"/>
        <v>verde</v>
      </c>
    </row>
    <row r="3082" spans="1:16" ht="25.5">
      <c r="A3082" s="3" t="s">
        <v>4</v>
      </c>
      <c r="B3082" s="3" t="s">
        <v>2190</v>
      </c>
      <c r="C3082" s="4">
        <v>328</v>
      </c>
      <c r="D3082" s="3" t="s">
        <v>215</v>
      </c>
      <c r="E3082" s="3" t="s">
        <v>41</v>
      </c>
      <c r="F3082" s="5">
        <v>0</v>
      </c>
      <c r="G3082" s="5">
        <v>168</v>
      </c>
      <c r="H3082" s="6">
        <v>0</v>
      </c>
      <c r="I3082" s="22">
        <v>8968.89</v>
      </c>
      <c r="J3082" s="24">
        <f t="shared" si="144"/>
        <v>6.2146532452831972E-5</v>
      </c>
      <c r="K3082" s="25">
        <f t="shared" si="146"/>
        <v>0.93923199984451022</v>
      </c>
      <c r="L3082" s="26" t="s">
        <v>7517</v>
      </c>
      <c r="M3082" s="28"/>
      <c r="N3082" s="28"/>
      <c r="O3082" s="20" t="s">
        <v>7530</v>
      </c>
      <c r="P3082" s="27" t="str">
        <f t="shared" si="145"/>
        <v>vermelho</v>
      </c>
    </row>
    <row r="3083" spans="1:16" ht="25.5">
      <c r="A3083" s="3" t="s">
        <v>4</v>
      </c>
      <c r="B3083" s="3" t="s">
        <v>2191</v>
      </c>
      <c r="C3083" s="4">
        <v>23</v>
      </c>
      <c r="D3083" s="3" t="s">
        <v>87</v>
      </c>
      <c r="E3083" s="3" t="s">
        <v>7</v>
      </c>
      <c r="F3083" s="5">
        <v>270</v>
      </c>
      <c r="G3083" s="5">
        <v>150</v>
      </c>
      <c r="H3083" s="6">
        <v>14539.56</v>
      </c>
      <c r="I3083" s="22">
        <v>8967.84</v>
      </c>
      <c r="J3083" s="24">
        <f t="shared" si="144"/>
        <v>6.2139256874797741E-5</v>
      </c>
      <c r="K3083" s="25">
        <f t="shared" si="146"/>
        <v>0.93929413910138504</v>
      </c>
      <c r="L3083" s="26" t="s">
        <v>7517</v>
      </c>
      <c r="M3083" s="28"/>
      <c r="N3083" s="28">
        <v>5.5010230700610861E-2</v>
      </c>
      <c r="O3083" s="20">
        <v>6476.97</v>
      </c>
      <c r="P3083" s="27" t="str">
        <f t="shared" si="145"/>
        <v>laranja</v>
      </c>
    </row>
    <row r="3084" spans="1:16" ht="25.5">
      <c r="A3084" s="3" t="s">
        <v>4</v>
      </c>
      <c r="B3084" s="3" t="s">
        <v>1481</v>
      </c>
      <c r="C3084" s="4">
        <v>264</v>
      </c>
      <c r="D3084" s="3" t="s">
        <v>40</v>
      </c>
      <c r="E3084" s="3" t="s">
        <v>41</v>
      </c>
      <c r="F3084" s="5">
        <v>0</v>
      </c>
      <c r="G3084" s="5">
        <v>144</v>
      </c>
      <c r="H3084" s="6">
        <v>0</v>
      </c>
      <c r="I3084" s="22">
        <v>8948.7180000000008</v>
      </c>
      <c r="J3084" s="24">
        <f t="shared" si="144"/>
        <v>6.2006758205111423E-5</v>
      </c>
      <c r="K3084" s="25">
        <f t="shared" si="146"/>
        <v>0.93935614585959015</v>
      </c>
      <c r="L3084" s="26" t="s">
        <v>7517</v>
      </c>
      <c r="M3084" s="28"/>
      <c r="N3084" s="28"/>
      <c r="O3084" s="20" t="s">
        <v>7530</v>
      </c>
      <c r="P3084" s="27" t="str">
        <f t="shared" si="145"/>
        <v>vermelho</v>
      </c>
    </row>
    <row r="3085" spans="1:16" ht="25.5">
      <c r="A3085" s="3" t="s">
        <v>4</v>
      </c>
      <c r="B3085" s="3" t="s">
        <v>2192</v>
      </c>
      <c r="C3085" s="4">
        <v>15</v>
      </c>
      <c r="D3085" s="3" t="s">
        <v>18</v>
      </c>
      <c r="E3085" s="3" t="s">
        <v>16</v>
      </c>
      <c r="F3085" s="5">
        <v>216</v>
      </c>
      <c r="G3085" s="5">
        <v>156</v>
      </c>
      <c r="H3085" s="6">
        <v>11535.72</v>
      </c>
      <c r="I3085" s="22">
        <v>8947.56</v>
      </c>
      <c r="J3085" s="24">
        <f t="shared" si="144"/>
        <v>6.199873428190794E-5</v>
      </c>
      <c r="K3085" s="25">
        <f t="shared" si="146"/>
        <v>0.93941814459387207</v>
      </c>
      <c r="L3085" s="26" t="s">
        <v>7517</v>
      </c>
      <c r="M3085" s="28"/>
      <c r="N3085" s="28"/>
      <c r="O3085" s="20" t="s">
        <v>7530</v>
      </c>
      <c r="P3085" s="27" t="str">
        <f t="shared" si="145"/>
        <v>vermelho</v>
      </c>
    </row>
    <row r="3086" spans="1:16" ht="25.5">
      <c r="A3086" s="3" t="s">
        <v>4</v>
      </c>
      <c r="B3086" s="3" t="s">
        <v>2193</v>
      </c>
      <c r="C3086" s="4">
        <v>328</v>
      </c>
      <c r="D3086" s="3" t="s">
        <v>215</v>
      </c>
      <c r="E3086" s="3" t="s">
        <v>41</v>
      </c>
      <c r="F3086" s="5">
        <v>72</v>
      </c>
      <c r="G3086" s="5">
        <v>144</v>
      </c>
      <c r="H3086" s="6">
        <v>3304.152</v>
      </c>
      <c r="I3086" s="22">
        <v>8928.9</v>
      </c>
      <c r="J3086" s="24">
        <f t="shared" si="144"/>
        <v>6.186943686655667E-5</v>
      </c>
      <c r="K3086" s="25">
        <f t="shared" si="146"/>
        <v>0.93948001403073866</v>
      </c>
      <c r="L3086" s="26" t="s">
        <v>7517</v>
      </c>
      <c r="M3086" s="28"/>
      <c r="N3086" s="28"/>
      <c r="O3086" s="20">
        <v>12011.52</v>
      </c>
      <c r="P3086" s="27" t="str">
        <f t="shared" si="145"/>
        <v>verde</v>
      </c>
    </row>
    <row r="3087" spans="1:16">
      <c r="A3087" s="3" t="s">
        <v>4</v>
      </c>
      <c r="B3087" s="3" t="s">
        <v>2194</v>
      </c>
      <c r="C3087" s="4">
        <v>232</v>
      </c>
      <c r="D3087" s="3" t="s">
        <v>174</v>
      </c>
      <c r="E3087" s="3" t="s">
        <v>16</v>
      </c>
      <c r="F3087" s="5">
        <v>132</v>
      </c>
      <c r="G3087" s="5">
        <v>132</v>
      </c>
      <c r="H3087" s="6">
        <v>6889.8</v>
      </c>
      <c r="I3087" s="22">
        <v>8919.84</v>
      </c>
      <c r="J3087" s="24">
        <f t="shared" si="144"/>
        <v>6.1806659021804126E-5</v>
      </c>
      <c r="K3087" s="25">
        <f t="shared" si="146"/>
        <v>0.93954182068976044</v>
      </c>
      <c r="L3087" s="26" t="s">
        <v>7517</v>
      </c>
      <c r="M3087" s="28"/>
      <c r="N3087" s="28"/>
      <c r="O3087" s="20" t="s">
        <v>7530</v>
      </c>
      <c r="P3087" s="27" t="str">
        <f t="shared" si="145"/>
        <v>vermelho</v>
      </c>
    </row>
    <row r="3088" spans="1:16" ht="38.25">
      <c r="A3088" s="3" t="s">
        <v>4</v>
      </c>
      <c r="B3088" s="3" t="s">
        <v>2195</v>
      </c>
      <c r="C3088" s="4">
        <v>217</v>
      </c>
      <c r="D3088" s="3" t="s">
        <v>91</v>
      </c>
      <c r="E3088" s="3" t="s">
        <v>16</v>
      </c>
      <c r="F3088" s="5">
        <v>588</v>
      </c>
      <c r="G3088" s="5">
        <v>144</v>
      </c>
      <c r="H3088" s="6">
        <v>34572.120000000003</v>
      </c>
      <c r="I3088" s="22">
        <v>8909.52</v>
      </c>
      <c r="J3088" s="24">
        <f t="shared" si="144"/>
        <v>6.17351504834105E-5</v>
      </c>
      <c r="K3088" s="25">
        <f t="shared" si="146"/>
        <v>0.9396035558402438</v>
      </c>
      <c r="L3088" s="26" t="s">
        <v>7517</v>
      </c>
      <c r="M3088" s="28"/>
      <c r="N3088" s="28"/>
      <c r="O3088" s="20" t="s">
        <v>7530</v>
      </c>
      <c r="P3088" s="27" t="str">
        <f t="shared" si="145"/>
        <v>vermelho</v>
      </c>
    </row>
    <row r="3089" spans="1:16">
      <c r="A3089" s="3" t="s">
        <v>6774</v>
      </c>
      <c r="B3089" s="3" t="s">
        <v>6775</v>
      </c>
      <c r="C3089" s="4">
        <v>240</v>
      </c>
      <c r="D3089" s="3" t="s">
        <v>69</v>
      </c>
      <c r="E3089" s="3" t="s">
        <v>16</v>
      </c>
      <c r="F3089" s="5">
        <v>0</v>
      </c>
      <c r="G3089" s="5">
        <v>156</v>
      </c>
      <c r="H3089" s="6">
        <v>0</v>
      </c>
      <c r="I3089" s="22">
        <v>8895.84</v>
      </c>
      <c r="J3089" s="24">
        <f t="shared" si="144"/>
        <v>6.1640360095307318E-5</v>
      </c>
      <c r="K3089" s="25">
        <f t="shared" si="146"/>
        <v>0.93966519620033906</v>
      </c>
      <c r="L3089" s="26" t="s">
        <v>7517</v>
      </c>
      <c r="M3089" s="28"/>
      <c r="N3089" s="28"/>
      <c r="O3089" s="20" t="s">
        <v>7530</v>
      </c>
      <c r="P3089" s="27" t="str">
        <f t="shared" si="145"/>
        <v>vermelho</v>
      </c>
    </row>
    <row r="3090" spans="1:16">
      <c r="A3090" s="3" t="s">
        <v>4</v>
      </c>
      <c r="B3090" s="3" t="s">
        <v>2196</v>
      </c>
      <c r="C3090" s="4">
        <v>315</v>
      </c>
      <c r="D3090" s="3" t="s">
        <v>63</v>
      </c>
      <c r="E3090" s="3" t="s">
        <v>7</v>
      </c>
      <c r="F3090" s="5">
        <v>596</v>
      </c>
      <c r="G3090" s="5">
        <v>168</v>
      </c>
      <c r="H3090" s="6">
        <v>23744.54</v>
      </c>
      <c r="I3090" s="22">
        <v>8895.4310000000005</v>
      </c>
      <c r="J3090" s="24">
        <f t="shared" si="144"/>
        <v>6.1637526084434933E-5</v>
      </c>
      <c r="K3090" s="25">
        <f t="shared" si="146"/>
        <v>0.93972683372642352</v>
      </c>
      <c r="L3090" s="26" t="s">
        <v>7517</v>
      </c>
      <c r="M3090" s="28"/>
      <c r="N3090" s="28"/>
      <c r="O3090" s="20" t="s">
        <v>7530</v>
      </c>
      <c r="P3090" s="27" t="str">
        <f t="shared" si="145"/>
        <v>vermelho</v>
      </c>
    </row>
    <row r="3091" spans="1:16" ht="38.25">
      <c r="A3091" s="3" t="s">
        <v>4</v>
      </c>
      <c r="B3091" s="3" t="s">
        <v>2197</v>
      </c>
      <c r="C3091" s="4">
        <v>11</v>
      </c>
      <c r="D3091" s="3" t="s">
        <v>61</v>
      </c>
      <c r="E3091" s="3" t="s">
        <v>10</v>
      </c>
      <c r="F3091" s="5">
        <v>588</v>
      </c>
      <c r="G3091" s="5">
        <v>120</v>
      </c>
      <c r="H3091" s="6">
        <v>37067.129999999997</v>
      </c>
      <c r="I3091" s="22">
        <v>8895.24</v>
      </c>
      <c r="J3091" s="24">
        <f t="shared" si="144"/>
        <v>6.1636202622144897E-5</v>
      </c>
      <c r="K3091" s="25">
        <f t="shared" si="146"/>
        <v>0.93978846992904563</v>
      </c>
      <c r="L3091" s="26" t="s">
        <v>7517</v>
      </c>
      <c r="M3091" s="28"/>
      <c r="N3091" s="28"/>
      <c r="O3091" s="20">
        <v>8895.24</v>
      </c>
      <c r="P3091" s="27" t="str">
        <f t="shared" si="145"/>
        <v>verde</v>
      </c>
    </row>
    <row r="3092" spans="1:16" ht="25.5">
      <c r="A3092" s="3" t="s">
        <v>4</v>
      </c>
      <c r="B3092" s="3" t="s">
        <v>2198</v>
      </c>
      <c r="C3092" s="4">
        <v>93</v>
      </c>
      <c r="D3092" s="3" t="s">
        <v>20</v>
      </c>
      <c r="E3092" s="3" t="s">
        <v>7</v>
      </c>
      <c r="F3092" s="5">
        <v>0</v>
      </c>
      <c r="G3092" s="5">
        <v>162</v>
      </c>
      <c r="H3092" s="6">
        <v>0</v>
      </c>
      <c r="I3092" s="22">
        <v>8888.2800000000007</v>
      </c>
      <c r="J3092" s="24">
        <f t="shared" si="144"/>
        <v>6.1587975933460827E-5</v>
      </c>
      <c r="K3092" s="25">
        <f t="shared" si="146"/>
        <v>0.93985005790497911</v>
      </c>
      <c r="L3092" s="26" t="s">
        <v>7517</v>
      </c>
      <c r="M3092" s="28"/>
      <c r="N3092" s="28"/>
      <c r="O3092" s="20" t="s">
        <v>7530</v>
      </c>
      <c r="P3092" s="27" t="str">
        <f t="shared" si="145"/>
        <v>vermelho</v>
      </c>
    </row>
    <row r="3093" spans="1:16">
      <c r="A3093" s="3" t="s">
        <v>4</v>
      </c>
      <c r="B3093" s="3" t="s">
        <v>2199</v>
      </c>
      <c r="C3093" s="4">
        <v>231</v>
      </c>
      <c r="D3093" s="3" t="s">
        <v>52</v>
      </c>
      <c r="E3093" s="3" t="s">
        <v>7</v>
      </c>
      <c r="F3093" s="5">
        <v>171</v>
      </c>
      <c r="G3093" s="5">
        <v>150</v>
      </c>
      <c r="H3093" s="6">
        <v>9109.5</v>
      </c>
      <c r="I3093" s="22">
        <v>8883.84</v>
      </c>
      <c r="J3093" s="24">
        <f t="shared" si="144"/>
        <v>6.1557210632058907E-5</v>
      </c>
      <c r="K3093" s="25">
        <f t="shared" si="146"/>
        <v>0.93991161511561117</v>
      </c>
      <c r="L3093" s="26" t="s">
        <v>7517</v>
      </c>
      <c r="M3093" s="28"/>
      <c r="N3093" s="28"/>
      <c r="O3093" s="20" t="s">
        <v>7530</v>
      </c>
      <c r="P3093" s="27" t="str">
        <f t="shared" si="145"/>
        <v>vermelho</v>
      </c>
    </row>
    <row r="3094" spans="1:16" ht="25.5">
      <c r="A3094" s="3" t="s">
        <v>6776</v>
      </c>
      <c r="B3094" s="3" t="s">
        <v>6777</v>
      </c>
      <c r="C3094" s="4">
        <v>327</v>
      </c>
      <c r="D3094" s="3" t="s">
        <v>100</v>
      </c>
      <c r="E3094" s="3" t="s">
        <v>7</v>
      </c>
      <c r="F3094" s="5">
        <v>150</v>
      </c>
      <c r="G3094" s="5">
        <v>159</v>
      </c>
      <c r="H3094" s="6">
        <v>8476.5</v>
      </c>
      <c r="I3094" s="22">
        <v>8881.65</v>
      </c>
      <c r="J3094" s="24">
        <f t="shared" si="144"/>
        <v>6.1542035855016074E-5</v>
      </c>
      <c r="K3094" s="25">
        <f t="shared" si="146"/>
        <v>0.93997315715146623</v>
      </c>
      <c r="L3094" s="26" t="s">
        <v>7517</v>
      </c>
      <c r="M3094" s="28"/>
      <c r="N3094" s="28"/>
      <c r="O3094" s="20">
        <v>8286.84</v>
      </c>
      <c r="P3094" s="27" t="str">
        <f t="shared" si="145"/>
        <v>laranja</v>
      </c>
    </row>
    <row r="3095" spans="1:16" ht="25.5">
      <c r="A3095" s="3" t="s">
        <v>4</v>
      </c>
      <c r="B3095" s="3" t="s">
        <v>2200</v>
      </c>
      <c r="C3095" s="4">
        <v>208</v>
      </c>
      <c r="D3095" s="3" t="s">
        <v>15</v>
      </c>
      <c r="E3095" s="3" t="s">
        <v>16</v>
      </c>
      <c r="F3095" s="5">
        <v>348</v>
      </c>
      <c r="G3095" s="5">
        <v>144</v>
      </c>
      <c r="H3095" s="6">
        <v>17874.240000000002</v>
      </c>
      <c r="I3095" s="22">
        <v>8873.76</v>
      </c>
      <c r="J3095" s="24">
        <f t="shared" si="144"/>
        <v>6.1487365082930253E-5</v>
      </c>
      <c r="K3095" s="25">
        <f t="shared" si="146"/>
        <v>0.94003464451654917</v>
      </c>
      <c r="L3095" s="26" t="s">
        <v>7517</v>
      </c>
      <c r="M3095" s="28"/>
      <c r="N3095" s="28"/>
      <c r="O3095" s="20" t="s">
        <v>7530</v>
      </c>
      <c r="P3095" s="27" t="str">
        <f t="shared" si="145"/>
        <v>vermelho</v>
      </c>
    </row>
    <row r="3096" spans="1:16" ht="25.5">
      <c r="A3096" s="3" t="s">
        <v>4</v>
      </c>
      <c r="B3096" s="3" t="s">
        <v>2201</v>
      </c>
      <c r="C3096" s="4">
        <v>266</v>
      </c>
      <c r="D3096" s="3" t="s">
        <v>80</v>
      </c>
      <c r="E3096" s="3" t="s">
        <v>10</v>
      </c>
      <c r="F3096" s="5">
        <v>63</v>
      </c>
      <c r="G3096" s="5">
        <v>144</v>
      </c>
      <c r="H3096" s="6">
        <v>3148.11</v>
      </c>
      <c r="I3096" s="22">
        <v>8873.73</v>
      </c>
      <c r="J3096" s="24">
        <f t="shared" si="144"/>
        <v>6.1487157209272133E-5</v>
      </c>
      <c r="K3096" s="25">
        <f t="shared" si="146"/>
        <v>0.94009613167375838</v>
      </c>
      <c r="L3096" s="26" t="s">
        <v>7517</v>
      </c>
      <c r="M3096" s="28"/>
      <c r="N3096" s="28"/>
      <c r="O3096" s="20" t="s">
        <v>7530</v>
      </c>
      <c r="P3096" s="27" t="str">
        <f t="shared" si="145"/>
        <v>vermelho</v>
      </c>
    </row>
    <row r="3097" spans="1:16" ht="25.5">
      <c r="A3097" s="3" t="s">
        <v>4</v>
      </c>
      <c r="B3097" s="3" t="s">
        <v>2202</v>
      </c>
      <c r="C3097" s="4">
        <v>232</v>
      </c>
      <c r="D3097" s="3" t="s">
        <v>174</v>
      </c>
      <c r="E3097" s="3" t="s">
        <v>16</v>
      </c>
      <c r="F3097" s="5">
        <v>324</v>
      </c>
      <c r="G3097" s="5">
        <v>144</v>
      </c>
      <c r="H3097" s="6">
        <v>17658</v>
      </c>
      <c r="I3097" s="22">
        <v>8855.4</v>
      </c>
      <c r="J3097" s="24">
        <f t="shared" si="144"/>
        <v>6.1360146404160193E-5</v>
      </c>
      <c r="K3097" s="25">
        <f t="shared" si="146"/>
        <v>0.94015749182016251</v>
      </c>
      <c r="L3097" s="26" t="s">
        <v>7517</v>
      </c>
      <c r="M3097" s="28"/>
      <c r="N3097" s="28"/>
      <c r="O3097" s="20" t="s">
        <v>7530</v>
      </c>
      <c r="P3097" s="27" t="str">
        <f t="shared" si="145"/>
        <v>vermelho</v>
      </c>
    </row>
    <row r="3098" spans="1:16" ht="25.5">
      <c r="A3098" s="3" t="s">
        <v>4</v>
      </c>
      <c r="B3098" s="3" t="s">
        <v>2203</v>
      </c>
      <c r="C3098" s="4">
        <v>194</v>
      </c>
      <c r="D3098" s="3" t="s">
        <v>145</v>
      </c>
      <c r="E3098" s="3" t="s">
        <v>16</v>
      </c>
      <c r="F3098" s="5">
        <v>0</v>
      </c>
      <c r="G3098" s="5">
        <v>186</v>
      </c>
      <c r="H3098" s="6">
        <v>0</v>
      </c>
      <c r="I3098" s="22">
        <v>8849.49</v>
      </c>
      <c r="J3098" s="24">
        <f t="shared" si="144"/>
        <v>6.1319195293510354E-5</v>
      </c>
      <c r="K3098" s="25">
        <f t="shared" si="146"/>
        <v>0.94021881101545601</v>
      </c>
      <c r="L3098" s="26" t="s">
        <v>7517</v>
      </c>
      <c r="M3098" s="28"/>
      <c r="N3098" s="28"/>
      <c r="O3098" s="20" t="s">
        <v>7530</v>
      </c>
      <c r="P3098" s="27" t="str">
        <f t="shared" si="145"/>
        <v>vermelho</v>
      </c>
    </row>
    <row r="3099" spans="1:16" ht="25.5">
      <c r="A3099" s="3" t="s">
        <v>4</v>
      </c>
      <c r="B3099" s="3" t="s">
        <v>2204</v>
      </c>
      <c r="C3099" s="4">
        <v>267</v>
      </c>
      <c r="D3099" s="3" t="s">
        <v>125</v>
      </c>
      <c r="E3099" s="3" t="s">
        <v>16</v>
      </c>
      <c r="F3099" s="5">
        <v>120</v>
      </c>
      <c r="G3099" s="5">
        <v>162</v>
      </c>
      <c r="H3099" s="6">
        <v>6814.32</v>
      </c>
      <c r="I3099" s="22">
        <v>8846.0400000000009</v>
      </c>
      <c r="J3099" s="24">
        <f t="shared" si="144"/>
        <v>6.1295289822826439E-5</v>
      </c>
      <c r="K3099" s="25">
        <f t="shared" si="146"/>
        <v>0.94028010630527881</v>
      </c>
      <c r="L3099" s="26" t="s">
        <v>7517</v>
      </c>
      <c r="M3099" s="28"/>
      <c r="N3099" s="28"/>
      <c r="O3099" s="20" t="s">
        <v>7530</v>
      </c>
      <c r="P3099" s="27" t="str">
        <f t="shared" si="145"/>
        <v>vermelho</v>
      </c>
    </row>
    <row r="3100" spans="1:16" ht="25.5">
      <c r="A3100" s="3" t="s">
        <v>4</v>
      </c>
      <c r="B3100" s="3" t="s">
        <v>2205</v>
      </c>
      <c r="C3100" s="4">
        <v>208</v>
      </c>
      <c r="D3100" s="3" t="s">
        <v>15</v>
      </c>
      <c r="E3100" s="3" t="s">
        <v>16</v>
      </c>
      <c r="F3100" s="5">
        <v>156</v>
      </c>
      <c r="G3100" s="5">
        <v>144</v>
      </c>
      <c r="H3100" s="6">
        <v>8941.68</v>
      </c>
      <c r="I3100" s="22">
        <v>8842.98</v>
      </c>
      <c r="J3100" s="24">
        <f t="shared" si="144"/>
        <v>6.1274086709698093E-5</v>
      </c>
      <c r="K3100" s="25">
        <f t="shared" si="146"/>
        <v>0.94034138039198856</v>
      </c>
      <c r="L3100" s="26" t="s">
        <v>7517</v>
      </c>
      <c r="M3100" s="28"/>
      <c r="N3100" s="28"/>
      <c r="O3100" s="20" t="s">
        <v>7530</v>
      </c>
      <c r="P3100" s="27" t="str">
        <f t="shared" si="145"/>
        <v>vermelho</v>
      </c>
    </row>
    <row r="3101" spans="1:16" ht="25.5">
      <c r="A3101" s="3" t="s">
        <v>4</v>
      </c>
      <c r="B3101" s="3" t="s">
        <v>2206</v>
      </c>
      <c r="C3101" s="4">
        <v>317</v>
      </c>
      <c r="D3101" s="3" t="s">
        <v>78</v>
      </c>
      <c r="E3101" s="3" t="s">
        <v>10</v>
      </c>
      <c r="F3101" s="5">
        <v>0</v>
      </c>
      <c r="G3101" s="5">
        <v>129</v>
      </c>
      <c r="H3101" s="6">
        <v>0</v>
      </c>
      <c r="I3101" s="22">
        <v>8842.7099999999991</v>
      </c>
      <c r="J3101" s="24">
        <f t="shared" si="144"/>
        <v>6.1272215846775002E-5</v>
      </c>
      <c r="K3101" s="25">
        <f t="shared" si="146"/>
        <v>0.94040265260783529</v>
      </c>
      <c r="L3101" s="26" t="s">
        <v>7517</v>
      </c>
      <c r="M3101" s="28"/>
      <c r="N3101" s="28"/>
      <c r="O3101" s="20">
        <v>10009.41</v>
      </c>
      <c r="P3101" s="27" t="str">
        <f t="shared" si="145"/>
        <v>verde</v>
      </c>
    </row>
    <row r="3102" spans="1:16" ht="38.25">
      <c r="A3102" s="3" t="s">
        <v>4</v>
      </c>
      <c r="B3102" s="3" t="s">
        <v>2207</v>
      </c>
      <c r="C3102" s="4">
        <v>38</v>
      </c>
      <c r="D3102" s="3" t="s">
        <v>184</v>
      </c>
      <c r="E3102" s="3" t="s">
        <v>49</v>
      </c>
      <c r="F3102" s="5">
        <v>192</v>
      </c>
      <c r="G3102" s="5">
        <v>126</v>
      </c>
      <c r="H3102" s="6">
        <v>11266.08</v>
      </c>
      <c r="I3102" s="22">
        <v>8830.74</v>
      </c>
      <c r="J3102" s="24">
        <f t="shared" si="144"/>
        <v>6.1189274257184725E-5</v>
      </c>
      <c r="K3102" s="25">
        <f t="shared" si="146"/>
        <v>0.94046384188209242</v>
      </c>
      <c r="L3102" s="26" t="s">
        <v>7517</v>
      </c>
      <c r="M3102" s="28"/>
      <c r="N3102" s="28"/>
      <c r="O3102" s="20" t="s">
        <v>7530</v>
      </c>
      <c r="P3102" s="27" t="str">
        <f t="shared" si="145"/>
        <v>vermelho</v>
      </c>
    </row>
    <row r="3103" spans="1:16" ht="38.25">
      <c r="A3103" s="3" t="s">
        <v>4</v>
      </c>
      <c r="B3103" s="3" t="s">
        <v>2208</v>
      </c>
      <c r="C3103" s="4">
        <v>371</v>
      </c>
      <c r="D3103" s="3" t="s">
        <v>82</v>
      </c>
      <c r="E3103" s="3" t="s">
        <v>49</v>
      </c>
      <c r="F3103" s="5">
        <v>309</v>
      </c>
      <c r="G3103" s="5">
        <v>222</v>
      </c>
      <c r="H3103" s="6">
        <v>16232.859</v>
      </c>
      <c r="I3103" s="22">
        <v>8829.4140000000007</v>
      </c>
      <c r="J3103" s="24">
        <f t="shared" si="144"/>
        <v>6.1180086241495777E-5</v>
      </c>
      <c r="K3103" s="25">
        <f t="shared" si="146"/>
        <v>0.94052502196833387</v>
      </c>
      <c r="L3103" s="26" t="s">
        <v>7517</v>
      </c>
      <c r="M3103" s="28">
        <v>-2.1461652951180153E-2</v>
      </c>
      <c r="N3103" s="28"/>
      <c r="O3103" s="20" t="s">
        <v>7530</v>
      </c>
      <c r="P3103" s="27" t="str">
        <f t="shared" si="145"/>
        <v>vermelho</v>
      </c>
    </row>
    <row r="3104" spans="1:16" ht="51">
      <c r="A3104" s="3" t="s">
        <v>4</v>
      </c>
      <c r="B3104" s="3" t="s">
        <v>2209</v>
      </c>
      <c r="C3104" s="4">
        <v>282</v>
      </c>
      <c r="D3104" s="3" t="s">
        <v>12</v>
      </c>
      <c r="E3104" s="3" t="s">
        <v>13</v>
      </c>
      <c r="F3104" s="5">
        <v>0</v>
      </c>
      <c r="G3104" s="5">
        <v>156</v>
      </c>
      <c r="H3104" s="6">
        <v>0</v>
      </c>
      <c r="I3104" s="22">
        <v>8820.7199999999993</v>
      </c>
      <c r="J3104" s="24">
        <f t="shared" si="144"/>
        <v>6.1119844455372296E-5</v>
      </c>
      <c r="K3104" s="25">
        <f t="shared" si="146"/>
        <v>0.94058614181278921</v>
      </c>
      <c r="L3104" s="26" t="s">
        <v>7517</v>
      </c>
      <c r="M3104" s="28"/>
      <c r="N3104" s="28"/>
      <c r="O3104" s="20" t="s">
        <v>7530</v>
      </c>
      <c r="P3104" s="27" t="str">
        <f t="shared" si="145"/>
        <v>vermelho</v>
      </c>
    </row>
    <row r="3105" spans="1:16" ht="25.5">
      <c r="A3105" s="3" t="s">
        <v>6778</v>
      </c>
      <c r="B3105" s="3" t="s">
        <v>6779</v>
      </c>
      <c r="C3105" s="4">
        <v>273</v>
      </c>
      <c r="D3105" s="3" t="s">
        <v>149</v>
      </c>
      <c r="E3105" s="3" t="s">
        <v>16</v>
      </c>
      <c r="F3105" s="5">
        <v>84</v>
      </c>
      <c r="G3105" s="5">
        <v>153</v>
      </c>
      <c r="H3105" s="6">
        <v>4942.2</v>
      </c>
      <c r="I3105" s="22">
        <v>8813.527</v>
      </c>
      <c r="J3105" s="24">
        <f t="shared" si="144"/>
        <v>6.1070003281276817E-5</v>
      </c>
      <c r="K3105" s="25">
        <f t="shared" si="146"/>
        <v>0.94064721181607047</v>
      </c>
      <c r="L3105" s="26" t="s">
        <v>7517</v>
      </c>
      <c r="M3105" s="28"/>
      <c r="N3105" s="28"/>
      <c r="O3105" s="20">
        <v>5058.2470000000003</v>
      </c>
      <c r="P3105" s="27" t="str">
        <f t="shared" si="145"/>
        <v>laranja</v>
      </c>
    </row>
    <row r="3106" spans="1:16" ht="25.5">
      <c r="A3106" s="3" t="s">
        <v>4</v>
      </c>
      <c r="B3106" s="3" t="s">
        <v>2210</v>
      </c>
      <c r="C3106" s="4">
        <v>321</v>
      </c>
      <c r="D3106" s="3" t="s">
        <v>136</v>
      </c>
      <c r="E3106" s="3" t="s">
        <v>41</v>
      </c>
      <c r="F3106" s="5">
        <v>36</v>
      </c>
      <c r="G3106" s="5">
        <v>147</v>
      </c>
      <c r="H3106" s="6">
        <v>1829.88</v>
      </c>
      <c r="I3106" s="22">
        <v>8809.83</v>
      </c>
      <c r="J3106" s="24">
        <f t="shared" si="144"/>
        <v>6.1044386317474382E-5</v>
      </c>
      <c r="K3106" s="25">
        <f t="shared" si="146"/>
        <v>0.94070825620238796</v>
      </c>
      <c r="L3106" s="26" t="s">
        <v>7517</v>
      </c>
      <c r="M3106" s="28"/>
      <c r="N3106" s="28"/>
      <c r="O3106" s="20" t="s">
        <v>7530</v>
      </c>
      <c r="P3106" s="27" t="str">
        <f t="shared" si="145"/>
        <v>vermelho</v>
      </c>
    </row>
    <row r="3107" spans="1:16">
      <c r="A3107" s="3" t="s">
        <v>4</v>
      </c>
      <c r="B3107" s="3" t="s">
        <v>2211</v>
      </c>
      <c r="C3107" s="4">
        <v>315</v>
      </c>
      <c r="D3107" s="3" t="s">
        <v>63</v>
      </c>
      <c r="E3107" s="3" t="s">
        <v>7</v>
      </c>
      <c r="F3107" s="5">
        <v>0</v>
      </c>
      <c r="G3107" s="5">
        <v>168</v>
      </c>
      <c r="H3107" s="6">
        <v>0</v>
      </c>
      <c r="I3107" s="22">
        <v>8796.7199999999993</v>
      </c>
      <c r="J3107" s="24">
        <f t="shared" si="144"/>
        <v>6.0953545528875488E-5</v>
      </c>
      <c r="K3107" s="25">
        <f t="shared" si="146"/>
        <v>0.94076920974791689</v>
      </c>
      <c r="L3107" s="26" t="s">
        <v>7517</v>
      </c>
      <c r="M3107" s="28"/>
      <c r="N3107" s="28"/>
      <c r="O3107" s="20">
        <v>10199.4</v>
      </c>
      <c r="P3107" s="27" t="str">
        <f t="shared" si="145"/>
        <v>verde</v>
      </c>
    </row>
    <row r="3108" spans="1:16" ht="25.5">
      <c r="A3108" s="3" t="s">
        <v>4</v>
      </c>
      <c r="B3108" s="3" t="s">
        <v>2212</v>
      </c>
      <c r="C3108" s="4">
        <v>31</v>
      </c>
      <c r="D3108" s="3" t="s">
        <v>194</v>
      </c>
      <c r="E3108" s="3" t="s">
        <v>16</v>
      </c>
      <c r="F3108" s="5">
        <v>156</v>
      </c>
      <c r="G3108" s="5">
        <v>180</v>
      </c>
      <c r="H3108" s="6">
        <v>6825</v>
      </c>
      <c r="I3108" s="22">
        <v>8789.4</v>
      </c>
      <c r="J3108" s="24">
        <f t="shared" si="144"/>
        <v>6.0902824356293968E-5</v>
      </c>
      <c r="K3108" s="25">
        <f t="shared" si="146"/>
        <v>0.94083011257227322</v>
      </c>
      <c r="L3108" s="26" t="s">
        <v>7517</v>
      </c>
      <c r="M3108" s="28"/>
      <c r="N3108" s="28"/>
      <c r="O3108" s="20" t="s">
        <v>7530</v>
      </c>
      <c r="P3108" s="27" t="str">
        <f t="shared" si="145"/>
        <v>vermelho</v>
      </c>
    </row>
    <row r="3109" spans="1:16" ht="25.5">
      <c r="A3109" s="3" t="s">
        <v>4</v>
      </c>
      <c r="B3109" s="3" t="s">
        <v>2213</v>
      </c>
      <c r="C3109" s="4">
        <v>267</v>
      </c>
      <c r="D3109" s="3" t="s">
        <v>125</v>
      </c>
      <c r="E3109" s="3" t="s">
        <v>16</v>
      </c>
      <c r="F3109" s="5">
        <v>210</v>
      </c>
      <c r="G3109" s="5">
        <v>180</v>
      </c>
      <c r="H3109" s="6">
        <v>11523.9</v>
      </c>
      <c r="I3109" s="22">
        <v>8788.92</v>
      </c>
      <c r="J3109" s="24">
        <f t="shared" si="144"/>
        <v>6.0899498377764033E-5</v>
      </c>
      <c r="K3109" s="25">
        <f t="shared" si="146"/>
        <v>0.94089101207065096</v>
      </c>
      <c r="L3109" s="26" t="s">
        <v>7517</v>
      </c>
      <c r="M3109" s="28"/>
      <c r="N3109" s="28"/>
      <c r="O3109" s="20">
        <v>2929.8</v>
      </c>
      <c r="P3109" s="27" t="str">
        <f t="shared" si="145"/>
        <v>amarelo</v>
      </c>
    </row>
    <row r="3110" spans="1:16" ht="25.5">
      <c r="A3110" s="3" t="s">
        <v>4</v>
      </c>
      <c r="B3110" s="3" t="s">
        <v>2214</v>
      </c>
      <c r="C3110" s="4">
        <v>267</v>
      </c>
      <c r="D3110" s="3" t="s">
        <v>125</v>
      </c>
      <c r="E3110" s="3" t="s">
        <v>16</v>
      </c>
      <c r="F3110" s="5">
        <v>72</v>
      </c>
      <c r="G3110" s="5">
        <v>144</v>
      </c>
      <c r="H3110" s="6">
        <v>2958.48</v>
      </c>
      <c r="I3110" s="22">
        <v>8788.44</v>
      </c>
      <c r="J3110" s="24">
        <f t="shared" si="144"/>
        <v>6.0896172399234097E-5</v>
      </c>
      <c r="K3110" s="25">
        <f t="shared" si="146"/>
        <v>0.94095190824305019</v>
      </c>
      <c r="L3110" s="26" t="s">
        <v>7517</v>
      </c>
      <c r="M3110" s="28"/>
      <c r="N3110" s="28"/>
      <c r="O3110" s="20" t="s">
        <v>7530</v>
      </c>
      <c r="P3110" s="27" t="str">
        <f t="shared" si="145"/>
        <v>vermelho</v>
      </c>
    </row>
    <row r="3111" spans="1:16" ht="25.5">
      <c r="A3111" s="3" t="s">
        <v>4</v>
      </c>
      <c r="B3111" s="3" t="s">
        <v>2215</v>
      </c>
      <c r="C3111" s="4">
        <v>74</v>
      </c>
      <c r="D3111" s="3" t="s">
        <v>6</v>
      </c>
      <c r="E3111" s="3" t="s">
        <v>7</v>
      </c>
      <c r="F3111" s="5">
        <v>48</v>
      </c>
      <c r="G3111" s="5">
        <v>156</v>
      </c>
      <c r="H3111" s="6">
        <v>2161.8000000000002</v>
      </c>
      <c r="I3111" s="22">
        <v>8788.44</v>
      </c>
      <c r="J3111" s="24">
        <f t="shared" si="144"/>
        <v>6.0896172399234097E-5</v>
      </c>
      <c r="K3111" s="25">
        <f t="shared" si="146"/>
        <v>0.94101280441544943</v>
      </c>
      <c r="L3111" s="26" t="s">
        <v>7517</v>
      </c>
      <c r="M3111" s="28"/>
      <c r="N3111" s="28"/>
      <c r="O3111" s="20">
        <v>8889.93</v>
      </c>
      <c r="P3111" s="27" t="str">
        <f t="shared" si="145"/>
        <v>verde</v>
      </c>
    </row>
    <row r="3112" spans="1:16" ht="25.5">
      <c r="A3112" s="3" t="s">
        <v>4</v>
      </c>
      <c r="B3112" s="3" t="s">
        <v>2216</v>
      </c>
      <c r="C3112" s="4">
        <v>315</v>
      </c>
      <c r="D3112" s="3" t="s">
        <v>63</v>
      </c>
      <c r="E3112" s="3" t="s">
        <v>7</v>
      </c>
      <c r="F3112" s="5">
        <v>0</v>
      </c>
      <c r="G3112" s="5">
        <v>150</v>
      </c>
      <c r="H3112" s="6">
        <v>0</v>
      </c>
      <c r="I3112" s="22">
        <v>8779.2000000000007</v>
      </c>
      <c r="J3112" s="24">
        <f t="shared" si="144"/>
        <v>6.0832147312532828E-5</v>
      </c>
      <c r="K3112" s="25">
        <f t="shared" si="146"/>
        <v>0.94107363656276199</v>
      </c>
      <c r="L3112" s="26" t="s">
        <v>7517</v>
      </c>
      <c r="M3112" s="28"/>
      <c r="N3112" s="28"/>
      <c r="O3112" s="20" t="s">
        <v>7530</v>
      </c>
      <c r="P3112" s="27" t="str">
        <f t="shared" si="145"/>
        <v>vermelho</v>
      </c>
    </row>
    <row r="3113" spans="1:16" ht="25.5">
      <c r="A3113" s="3" t="s">
        <v>4</v>
      </c>
      <c r="B3113" s="3" t="s">
        <v>2217</v>
      </c>
      <c r="C3113" s="4">
        <v>270</v>
      </c>
      <c r="D3113" s="3" t="s">
        <v>266</v>
      </c>
      <c r="E3113" s="3" t="s">
        <v>49</v>
      </c>
      <c r="F3113" s="5">
        <v>0</v>
      </c>
      <c r="G3113" s="5">
        <v>144</v>
      </c>
      <c r="H3113" s="6">
        <v>0</v>
      </c>
      <c r="I3113" s="22">
        <v>8770.74</v>
      </c>
      <c r="J3113" s="24">
        <f t="shared" si="144"/>
        <v>6.0773526940942699E-5</v>
      </c>
      <c r="K3113" s="25">
        <f t="shared" si="146"/>
        <v>0.94113441008970289</v>
      </c>
      <c r="L3113" s="26" t="s">
        <v>7517</v>
      </c>
      <c r="M3113" s="28"/>
      <c r="N3113" s="28"/>
      <c r="O3113" s="20" t="s">
        <v>7530</v>
      </c>
      <c r="P3113" s="27" t="str">
        <f t="shared" si="145"/>
        <v>vermelho</v>
      </c>
    </row>
    <row r="3114" spans="1:16" ht="25.5">
      <c r="A3114" s="3" t="s">
        <v>4</v>
      </c>
      <c r="B3114" s="3" t="s">
        <v>2218</v>
      </c>
      <c r="C3114" s="4">
        <v>240</v>
      </c>
      <c r="D3114" s="3" t="s">
        <v>69</v>
      </c>
      <c r="E3114" s="3" t="s">
        <v>16</v>
      </c>
      <c r="F3114" s="5">
        <v>441</v>
      </c>
      <c r="G3114" s="5">
        <v>132</v>
      </c>
      <c r="H3114" s="6">
        <v>21168.48</v>
      </c>
      <c r="I3114" s="22">
        <v>8750.2800000000007</v>
      </c>
      <c r="J3114" s="24">
        <f t="shared" si="144"/>
        <v>6.0631757106104172E-5</v>
      </c>
      <c r="K3114" s="25">
        <f t="shared" si="146"/>
        <v>0.94119504184680902</v>
      </c>
      <c r="L3114" s="26" t="s">
        <v>7517</v>
      </c>
      <c r="M3114" s="28"/>
      <c r="N3114" s="28"/>
      <c r="O3114" s="20" t="s">
        <v>7530</v>
      </c>
      <c r="P3114" s="27" t="str">
        <f t="shared" si="145"/>
        <v>vermelho</v>
      </c>
    </row>
    <row r="3115" spans="1:16" ht="38.25">
      <c r="A3115" s="3" t="s">
        <v>4</v>
      </c>
      <c r="B3115" s="3" t="s">
        <v>2219</v>
      </c>
      <c r="C3115" s="4">
        <v>45</v>
      </c>
      <c r="D3115" s="3" t="s">
        <v>23</v>
      </c>
      <c r="E3115" s="3" t="s">
        <v>7</v>
      </c>
      <c r="F3115" s="5">
        <v>114</v>
      </c>
      <c r="G3115" s="5">
        <v>141</v>
      </c>
      <c r="H3115" s="6">
        <v>5640.96</v>
      </c>
      <c r="I3115" s="22">
        <v>8742.18</v>
      </c>
      <c r="J3115" s="24">
        <f t="shared" si="144"/>
        <v>6.0575631218411499E-5</v>
      </c>
      <c r="K3115" s="25">
        <f t="shared" si="146"/>
        <v>0.94125561747802744</v>
      </c>
      <c r="L3115" s="26" t="s">
        <v>7517</v>
      </c>
      <c r="M3115" s="28"/>
      <c r="N3115" s="28"/>
      <c r="O3115" s="20" t="s">
        <v>7530</v>
      </c>
      <c r="P3115" s="27" t="str">
        <f t="shared" si="145"/>
        <v>vermelho</v>
      </c>
    </row>
    <row r="3116" spans="1:16" ht="25.5">
      <c r="A3116" s="3" t="s">
        <v>4</v>
      </c>
      <c r="B3116" s="3" t="s">
        <v>2220</v>
      </c>
      <c r="C3116" s="4">
        <v>328</v>
      </c>
      <c r="D3116" s="3" t="s">
        <v>215</v>
      </c>
      <c r="E3116" s="3" t="s">
        <v>41</v>
      </c>
      <c r="F3116" s="5">
        <v>372</v>
      </c>
      <c r="G3116" s="5">
        <v>153</v>
      </c>
      <c r="H3116" s="6">
        <v>23029.02</v>
      </c>
      <c r="I3116" s="22">
        <v>8738.1</v>
      </c>
      <c r="J3116" s="24">
        <f t="shared" si="144"/>
        <v>6.0547360400907043E-5</v>
      </c>
      <c r="K3116" s="25">
        <f t="shared" si="146"/>
        <v>0.94131616483842839</v>
      </c>
      <c r="L3116" s="26" t="s">
        <v>7517</v>
      </c>
      <c r="M3116" s="28"/>
      <c r="N3116" s="28"/>
      <c r="O3116" s="20" t="s">
        <v>7530</v>
      </c>
      <c r="P3116" s="27" t="str">
        <f t="shared" si="145"/>
        <v>vermelho</v>
      </c>
    </row>
    <row r="3117" spans="1:16" ht="25.5">
      <c r="A3117" s="3" t="s">
        <v>4</v>
      </c>
      <c r="B3117" s="3" t="s">
        <v>2221</v>
      </c>
      <c r="C3117" s="4">
        <v>208</v>
      </c>
      <c r="D3117" s="3" t="s">
        <v>15</v>
      </c>
      <c r="E3117" s="3" t="s">
        <v>16</v>
      </c>
      <c r="F3117" s="5">
        <v>396</v>
      </c>
      <c r="G3117" s="5">
        <v>144</v>
      </c>
      <c r="H3117" s="6">
        <v>21146.880000000001</v>
      </c>
      <c r="I3117" s="22">
        <v>8735.4</v>
      </c>
      <c r="J3117" s="24">
        <f t="shared" si="144"/>
        <v>6.0528651771676147E-5</v>
      </c>
      <c r="K3117" s="25">
        <f t="shared" si="146"/>
        <v>0.94137669349020003</v>
      </c>
      <c r="L3117" s="26" t="s">
        <v>7517</v>
      </c>
      <c r="M3117" s="28"/>
      <c r="N3117" s="28"/>
      <c r="O3117" s="20">
        <v>14914.68</v>
      </c>
      <c r="P3117" s="27" t="str">
        <f t="shared" si="145"/>
        <v>verde</v>
      </c>
    </row>
    <row r="3118" spans="1:16" ht="25.5">
      <c r="A3118" s="3" t="s">
        <v>6780</v>
      </c>
      <c r="B3118" s="3" t="s">
        <v>6781</v>
      </c>
      <c r="C3118" s="4">
        <v>93</v>
      </c>
      <c r="D3118" s="3" t="s">
        <v>20</v>
      </c>
      <c r="E3118" s="3" t="s">
        <v>7</v>
      </c>
      <c r="F3118" s="5">
        <v>0</v>
      </c>
      <c r="G3118" s="5">
        <v>132</v>
      </c>
      <c r="H3118" s="6">
        <v>0</v>
      </c>
      <c r="I3118" s="22">
        <v>8735.2800000000007</v>
      </c>
      <c r="J3118" s="24">
        <f t="shared" si="144"/>
        <v>6.0527820277043669E-5</v>
      </c>
      <c r="K3118" s="25">
        <f t="shared" si="146"/>
        <v>0.94143722131047702</v>
      </c>
      <c r="L3118" s="26" t="s">
        <v>7517</v>
      </c>
      <c r="M3118" s="28"/>
      <c r="N3118" s="28"/>
      <c r="O3118" s="20" t="s">
        <v>7530</v>
      </c>
      <c r="P3118" s="27" t="str">
        <f t="shared" si="145"/>
        <v>vermelho</v>
      </c>
    </row>
    <row r="3119" spans="1:16" ht="25.5">
      <c r="A3119" s="3" t="s">
        <v>4</v>
      </c>
      <c r="B3119" s="3" t="s">
        <v>2222</v>
      </c>
      <c r="C3119" s="4">
        <v>194</v>
      </c>
      <c r="D3119" s="3" t="s">
        <v>145</v>
      </c>
      <c r="E3119" s="3" t="s">
        <v>16</v>
      </c>
      <c r="F3119" s="5">
        <v>60</v>
      </c>
      <c r="G3119" s="5">
        <v>156</v>
      </c>
      <c r="H3119" s="6">
        <v>3562.8</v>
      </c>
      <c r="I3119" s="22">
        <v>8733.7199999999993</v>
      </c>
      <c r="J3119" s="24">
        <f t="shared" si="144"/>
        <v>6.0517010846821369E-5</v>
      </c>
      <c r="K3119" s="25">
        <f t="shared" si="146"/>
        <v>0.94149773832132388</v>
      </c>
      <c r="L3119" s="26" t="s">
        <v>7517</v>
      </c>
      <c r="M3119" s="28"/>
      <c r="N3119" s="28"/>
      <c r="O3119" s="20" t="s">
        <v>7530</v>
      </c>
      <c r="P3119" s="27" t="str">
        <f t="shared" si="145"/>
        <v>vermelho</v>
      </c>
    </row>
    <row r="3120" spans="1:16" ht="38.25">
      <c r="A3120" s="3" t="s">
        <v>4</v>
      </c>
      <c r="B3120" s="3" t="s">
        <v>2223</v>
      </c>
      <c r="C3120" s="4">
        <v>296</v>
      </c>
      <c r="D3120" s="3" t="s">
        <v>282</v>
      </c>
      <c r="E3120" s="3" t="s">
        <v>10</v>
      </c>
      <c r="F3120" s="5">
        <v>0</v>
      </c>
      <c r="G3120" s="5">
        <v>177</v>
      </c>
      <c r="H3120" s="6">
        <v>0</v>
      </c>
      <c r="I3120" s="22">
        <v>8724.9680000000008</v>
      </c>
      <c r="J3120" s="24">
        <f t="shared" si="144"/>
        <v>6.045636717162554E-5</v>
      </c>
      <c r="K3120" s="25">
        <f t="shared" si="146"/>
        <v>0.94155819468849555</v>
      </c>
      <c r="L3120" s="26" t="s">
        <v>7517</v>
      </c>
      <c r="M3120" s="28"/>
      <c r="N3120" s="28"/>
      <c r="O3120" s="20" t="s">
        <v>7530</v>
      </c>
      <c r="P3120" s="27" t="str">
        <f t="shared" si="145"/>
        <v>vermelho</v>
      </c>
    </row>
    <row r="3121" spans="1:16" ht="38.25">
      <c r="A3121" s="3" t="s">
        <v>4</v>
      </c>
      <c r="B3121" s="3" t="s">
        <v>2224</v>
      </c>
      <c r="C3121" s="4">
        <v>38</v>
      </c>
      <c r="D3121" s="3" t="s">
        <v>184</v>
      </c>
      <c r="E3121" s="3" t="s">
        <v>49</v>
      </c>
      <c r="F3121" s="5">
        <v>0</v>
      </c>
      <c r="G3121" s="5">
        <v>198</v>
      </c>
      <c r="H3121" s="6">
        <v>0</v>
      </c>
      <c r="I3121" s="22">
        <v>8708.1</v>
      </c>
      <c r="J3121" s="24">
        <f t="shared" si="144"/>
        <v>6.033948674278603E-5</v>
      </c>
      <c r="K3121" s="25">
        <f t="shared" si="146"/>
        <v>0.94161853417523833</v>
      </c>
      <c r="L3121" s="26" t="s">
        <v>7517</v>
      </c>
      <c r="M3121" s="28"/>
      <c r="N3121" s="28"/>
      <c r="O3121" s="20" t="s">
        <v>7530</v>
      </c>
      <c r="P3121" s="27" t="str">
        <f t="shared" si="145"/>
        <v>vermelho</v>
      </c>
    </row>
    <row r="3122" spans="1:16" ht="25.5">
      <c r="A3122" s="3" t="s">
        <v>4</v>
      </c>
      <c r="B3122" s="3" t="s">
        <v>2225</v>
      </c>
      <c r="C3122" s="4">
        <v>302</v>
      </c>
      <c r="D3122" s="3" t="s">
        <v>293</v>
      </c>
      <c r="E3122" s="3" t="s">
        <v>49</v>
      </c>
      <c r="F3122" s="5">
        <v>0</v>
      </c>
      <c r="G3122" s="5">
        <v>138</v>
      </c>
      <c r="H3122" s="6">
        <v>0</v>
      </c>
      <c r="I3122" s="22">
        <v>8707.6200000000008</v>
      </c>
      <c r="J3122" s="24">
        <f t="shared" si="144"/>
        <v>6.0336160764256094E-5</v>
      </c>
      <c r="K3122" s="25">
        <f t="shared" si="146"/>
        <v>0.94167887033600262</v>
      </c>
      <c r="L3122" s="26" t="s">
        <v>7517</v>
      </c>
      <c r="M3122" s="28"/>
      <c r="N3122" s="28"/>
      <c r="O3122" s="20">
        <v>7996.8</v>
      </c>
      <c r="P3122" s="27" t="str">
        <f t="shared" si="145"/>
        <v>laranja</v>
      </c>
    </row>
    <row r="3123" spans="1:16" ht="25.5">
      <c r="A3123" s="3" t="s">
        <v>4</v>
      </c>
      <c r="B3123" s="3" t="s">
        <v>2226</v>
      </c>
      <c r="C3123" s="4">
        <v>217</v>
      </c>
      <c r="D3123" s="3" t="s">
        <v>91</v>
      </c>
      <c r="E3123" s="3" t="s">
        <v>16</v>
      </c>
      <c r="F3123" s="5">
        <v>192</v>
      </c>
      <c r="G3123" s="5">
        <v>165</v>
      </c>
      <c r="H3123" s="6">
        <v>8635.08</v>
      </c>
      <c r="I3123" s="22">
        <v>8703.3819999999996</v>
      </c>
      <c r="J3123" s="24">
        <f t="shared" si="144"/>
        <v>6.0306795145485528E-5</v>
      </c>
      <c r="K3123" s="25">
        <f t="shared" si="146"/>
        <v>0.94173917713114808</v>
      </c>
      <c r="L3123" s="26" t="s">
        <v>7517</v>
      </c>
      <c r="M3123" s="28"/>
      <c r="N3123" s="28"/>
      <c r="O3123" s="20" t="s">
        <v>7530</v>
      </c>
      <c r="P3123" s="27" t="str">
        <f t="shared" si="145"/>
        <v>vermelho</v>
      </c>
    </row>
    <row r="3124" spans="1:16" ht="25.5">
      <c r="A3124" s="3" t="s">
        <v>6782</v>
      </c>
      <c r="B3124" s="3" t="s">
        <v>6783</v>
      </c>
      <c r="C3124" s="4">
        <v>53</v>
      </c>
      <c r="D3124" s="3" t="s">
        <v>34</v>
      </c>
      <c r="E3124" s="3" t="s">
        <v>16</v>
      </c>
      <c r="F3124" s="5">
        <v>216</v>
      </c>
      <c r="G3124" s="5">
        <v>168</v>
      </c>
      <c r="H3124" s="6">
        <v>11091.72</v>
      </c>
      <c r="I3124" s="22">
        <v>8696.52</v>
      </c>
      <c r="J3124" s="24">
        <f t="shared" si="144"/>
        <v>6.0259247510751322E-5</v>
      </c>
      <c r="K3124" s="25">
        <f t="shared" si="146"/>
        <v>0.94179943637865882</v>
      </c>
      <c r="L3124" s="26" t="s">
        <v>7517</v>
      </c>
      <c r="M3124" s="28"/>
      <c r="N3124" s="28"/>
      <c r="O3124" s="20" t="s">
        <v>7530</v>
      </c>
      <c r="P3124" s="27" t="str">
        <f t="shared" si="145"/>
        <v>vermelho</v>
      </c>
    </row>
    <row r="3125" spans="1:16" ht="25.5">
      <c r="A3125" s="3" t="s">
        <v>4</v>
      </c>
      <c r="B3125" s="3" t="s">
        <v>2227</v>
      </c>
      <c r="C3125" s="4">
        <v>23</v>
      </c>
      <c r="D3125" s="3" t="s">
        <v>87</v>
      </c>
      <c r="E3125" s="3" t="s">
        <v>7</v>
      </c>
      <c r="F3125" s="5">
        <v>114</v>
      </c>
      <c r="G3125" s="5">
        <v>126</v>
      </c>
      <c r="H3125" s="6">
        <v>7117.38</v>
      </c>
      <c r="I3125" s="22">
        <v>8691.7199999999993</v>
      </c>
      <c r="J3125" s="24">
        <f t="shared" si="144"/>
        <v>6.0225987725451952E-5</v>
      </c>
      <c r="K3125" s="25">
        <f t="shared" si="146"/>
        <v>0.9418596623663843</v>
      </c>
      <c r="L3125" s="26" t="s">
        <v>7517</v>
      </c>
      <c r="M3125" s="28"/>
      <c r="N3125" s="28"/>
      <c r="O3125" s="20" t="s">
        <v>7530</v>
      </c>
      <c r="P3125" s="27" t="str">
        <f t="shared" si="145"/>
        <v>vermelho</v>
      </c>
    </row>
    <row r="3126" spans="1:16" ht="25.5">
      <c r="A3126" s="3" t="s">
        <v>4</v>
      </c>
      <c r="B3126" s="3" t="s">
        <v>2228</v>
      </c>
      <c r="C3126" s="4">
        <v>266</v>
      </c>
      <c r="D3126" s="3" t="s">
        <v>80</v>
      </c>
      <c r="E3126" s="3" t="s">
        <v>10</v>
      </c>
      <c r="F3126" s="5">
        <v>0</v>
      </c>
      <c r="G3126" s="5">
        <v>120</v>
      </c>
      <c r="H3126" s="6">
        <v>0</v>
      </c>
      <c r="I3126" s="22">
        <v>8691.2999999999993</v>
      </c>
      <c r="J3126" s="24">
        <f t="shared" si="144"/>
        <v>6.0223077494238256E-5</v>
      </c>
      <c r="K3126" s="25">
        <f t="shared" si="146"/>
        <v>0.9419198854438785</v>
      </c>
      <c r="L3126" s="26" t="s">
        <v>7517</v>
      </c>
      <c r="M3126" s="28"/>
      <c r="N3126" s="28"/>
      <c r="O3126" s="20" t="s">
        <v>7530</v>
      </c>
      <c r="P3126" s="27" t="str">
        <f t="shared" si="145"/>
        <v>vermelho</v>
      </c>
    </row>
    <row r="3127" spans="1:16" ht="38.25">
      <c r="A3127" s="3" t="s">
        <v>4</v>
      </c>
      <c r="B3127" s="3" t="s">
        <v>2229</v>
      </c>
      <c r="C3127" s="4">
        <v>45</v>
      </c>
      <c r="D3127" s="3" t="s">
        <v>23</v>
      </c>
      <c r="E3127" s="3" t="s">
        <v>7</v>
      </c>
      <c r="F3127" s="5">
        <v>219</v>
      </c>
      <c r="G3127" s="5">
        <v>138</v>
      </c>
      <c r="H3127" s="6">
        <v>12981.3</v>
      </c>
      <c r="I3127" s="22">
        <v>8680.6200000000008</v>
      </c>
      <c r="J3127" s="24">
        <f t="shared" si="144"/>
        <v>6.0149074471947187E-5</v>
      </c>
      <c r="K3127" s="25">
        <f t="shared" si="146"/>
        <v>0.94198003451835044</v>
      </c>
      <c r="L3127" s="26" t="s">
        <v>7517</v>
      </c>
      <c r="M3127" s="28"/>
      <c r="N3127" s="28"/>
      <c r="O3127" s="20" t="s">
        <v>7530</v>
      </c>
      <c r="P3127" s="27" t="str">
        <f t="shared" si="145"/>
        <v>vermelho</v>
      </c>
    </row>
    <row r="3128" spans="1:16" ht="25.5">
      <c r="A3128" s="3" t="s">
        <v>4</v>
      </c>
      <c r="B3128" s="3" t="s">
        <v>2230</v>
      </c>
      <c r="C3128" s="4">
        <v>266</v>
      </c>
      <c r="D3128" s="3" t="s">
        <v>80</v>
      </c>
      <c r="E3128" s="3" t="s">
        <v>10</v>
      </c>
      <c r="F3128" s="5">
        <v>96</v>
      </c>
      <c r="G3128" s="5">
        <v>150</v>
      </c>
      <c r="H3128" s="6">
        <v>6195.54</v>
      </c>
      <c r="I3128" s="22">
        <v>8676.6</v>
      </c>
      <c r="J3128" s="24">
        <f t="shared" si="144"/>
        <v>6.012121940175897E-5</v>
      </c>
      <c r="K3128" s="25">
        <f t="shared" si="146"/>
        <v>0.94204015573775224</v>
      </c>
      <c r="L3128" s="26" t="s">
        <v>7517</v>
      </c>
      <c r="M3128" s="28"/>
      <c r="N3128" s="28"/>
      <c r="O3128" s="20" t="s">
        <v>7530</v>
      </c>
      <c r="P3128" s="27" t="str">
        <f t="shared" si="145"/>
        <v>vermelho</v>
      </c>
    </row>
    <row r="3129" spans="1:16" ht="25.5">
      <c r="A3129" s="3" t="s">
        <v>4</v>
      </c>
      <c r="B3129" s="3" t="s">
        <v>2231</v>
      </c>
      <c r="C3129" s="4">
        <v>335</v>
      </c>
      <c r="D3129" s="3" t="s">
        <v>36</v>
      </c>
      <c r="E3129" s="3" t="s">
        <v>7</v>
      </c>
      <c r="F3129" s="5">
        <v>174</v>
      </c>
      <c r="G3129" s="5">
        <v>132</v>
      </c>
      <c r="H3129" s="6">
        <v>9603.6</v>
      </c>
      <c r="I3129" s="22">
        <v>8674.2000000000007</v>
      </c>
      <c r="J3129" s="24">
        <f t="shared" si="144"/>
        <v>6.0104589509109292E-5</v>
      </c>
      <c r="K3129" s="25">
        <f t="shared" si="146"/>
        <v>0.94210026032726135</v>
      </c>
      <c r="L3129" s="26" t="s">
        <v>7517</v>
      </c>
      <c r="M3129" s="28"/>
      <c r="N3129" s="28"/>
      <c r="O3129" s="20">
        <v>5299.92</v>
      </c>
      <c r="P3129" s="27" t="str">
        <f t="shared" si="145"/>
        <v>laranja</v>
      </c>
    </row>
    <row r="3130" spans="1:16" ht="25.5">
      <c r="A3130" s="3" t="s">
        <v>4</v>
      </c>
      <c r="B3130" s="3" t="s">
        <v>2232</v>
      </c>
      <c r="C3130" s="4">
        <v>218</v>
      </c>
      <c r="D3130" s="3" t="s">
        <v>104</v>
      </c>
      <c r="E3130" s="3" t="s">
        <v>16</v>
      </c>
      <c r="F3130" s="5">
        <v>0</v>
      </c>
      <c r="G3130" s="5">
        <v>150</v>
      </c>
      <c r="H3130" s="6">
        <v>0</v>
      </c>
      <c r="I3130" s="22">
        <v>8669.2800000000007</v>
      </c>
      <c r="J3130" s="24">
        <f t="shared" si="144"/>
        <v>6.0070498229177444E-5</v>
      </c>
      <c r="K3130" s="25">
        <f t="shared" si="146"/>
        <v>0.94216033082549056</v>
      </c>
      <c r="L3130" s="26" t="s">
        <v>7517</v>
      </c>
      <c r="M3130" s="28"/>
      <c r="N3130" s="28">
        <v>5.386682760895134E-2</v>
      </c>
      <c r="O3130" s="20">
        <v>5032.08</v>
      </c>
      <c r="P3130" s="27" t="str">
        <f t="shared" si="145"/>
        <v>laranja</v>
      </c>
    </row>
    <row r="3131" spans="1:16" ht="25.5">
      <c r="A3131" s="3" t="s">
        <v>4</v>
      </c>
      <c r="B3131" s="3" t="s">
        <v>2233</v>
      </c>
      <c r="C3131" s="4">
        <v>266</v>
      </c>
      <c r="D3131" s="3" t="s">
        <v>80</v>
      </c>
      <c r="E3131" s="3" t="s">
        <v>10</v>
      </c>
      <c r="F3131" s="5">
        <v>0</v>
      </c>
      <c r="G3131" s="5">
        <v>168</v>
      </c>
      <c r="H3131" s="6">
        <v>0</v>
      </c>
      <c r="I3131" s="22">
        <v>8665.74</v>
      </c>
      <c r="J3131" s="24">
        <f t="shared" si="144"/>
        <v>6.0045969137519156E-5</v>
      </c>
      <c r="K3131" s="25">
        <f t="shared" si="146"/>
        <v>0.94222037679462811</v>
      </c>
      <c r="L3131" s="26" t="s">
        <v>7517</v>
      </c>
      <c r="M3131" s="28"/>
      <c r="N3131" s="28"/>
      <c r="O3131" s="20" t="s">
        <v>7530</v>
      </c>
      <c r="P3131" s="27" t="str">
        <f t="shared" si="145"/>
        <v>vermelho</v>
      </c>
    </row>
    <row r="3132" spans="1:16" ht="25.5">
      <c r="A3132" s="3" t="s">
        <v>4</v>
      </c>
      <c r="B3132" s="3" t="s">
        <v>2234</v>
      </c>
      <c r="C3132" s="4">
        <v>299</v>
      </c>
      <c r="D3132" s="3" t="s">
        <v>111</v>
      </c>
      <c r="E3132" s="3" t="s">
        <v>49</v>
      </c>
      <c r="F3132" s="5">
        <v>0</v>
      </c>
      <c r="G3132" s="5">
        <v>177</v>
      </c>
      <c r="H3132" s="6">
        <v>0</v>
      </c>
      <c r="I3132" s="22">
        <v>8664.75</v>
      </c>
      <c r="J3132" s="24">
        <f t="shared" si="144"/>
        <v>6.0039109306801165E-5</v>
      </c>
      <c r="K3132" s="25">
        <f t="shared" si="146"/>
        <v>0.94228041590393496</v>
      </c>
      <c r="L3132" s="26" t="s">
        <v>7517</v>
      </c>
      <c r="M3132" s="28"/>
      <c r="N3132" s="28"/>
      <c r="O3132" s="20" t="s">
        <v>7530</v>
      </c>
      <c r="P3132" s="27" t="str">
        <f t="shared" si="145"/>
        <v>vermelho</v>
      </c>
    </row>
    <row r="3133" spans="1:16" ht="38.25">
      <c r="A3133" s="3" t="s">
        <v>4</v>
      </c>
      <c r="B3133" s="3" t="s">
        <v>2235</v>
      </c>
      <c r="C3133" s="4">
        <v>34</v>
      </c>
      <c r="D3133" s="3" t="s">
        <v>54</v>
      </c>
      <c r="E3133" s="3" t="s">
        <v>49</v>
      </c>
      <c r="F3133" s="5">
        <v>216</v>
      </c>
      <c r="G3133" s="5">
        <v>120</v>
      </c>
      <c r="H3133" s="6">
        <v>13414.44</v>
      </c>
      <c r="I3133" s="22">
        <v>8662.7999999999993</v>
      </c>
      <c r="J3133" s="24">
        <f t="shared" si="144"/>
        <v>6.0025597519023296E-5</v>
      </c>
      <c r="K3133" s="25">
        <f t="shared" si="146"/>
        <v>0.94234044150145402</v>
      </c>
      <c r="L3133" s="26" t="s">
        <v>7517</v>
      </c>
      <c r="M3133" s="28"/>
      <c r="N3133" s="28"/>
      <c r="O3133" s="20" t="s">
        <v>7530</v>
      </c>
      <c r="P3133" s="27" t="str">
        <f t="shared" si="145"/>
        <v>vermelho</v>
      </c>
    </row>
    <row r="3134" spans="1:16" ht="38.25">
      <c r="A3134" s="3" t="s">
        <v>4</v>
      </c>
      <c r="B3134" s="3" t="s">
        <v>2236</v>
      </c>
      <c r="C3134" s="4">
        <v>371</v>
      </c>
      <c r="D3134" s="3" t="s">
        <v>82</v>
      </c>
      <c r="E3134" s="3" t="s">
        <v>49</v>
      </c>
      <c r="F3134" s="5">
        <v>0</v>
      </c>
      <c r="G3134" s="5">
        <v>120</v>
      </c>
      <c r="H3134" s="6">
        <v>0</v>
      </c>
      <c r="I3134" s="22">
        <v>8655.6</v>
      </c>
      <c r="J3134" s="24">
        <f t="shared" si="144"/>
        <v>5.9975707841074262E-5</v>
      </c>
      <c r="K3134" s="25">
        <f t="shared" si="146"/>
        <v>0.94240041720929513</v>
      </c>
      <c r="L3134" s="26" t="s">
        <v>7517</v>
      </c>
      <c r="M3134" s="28"/>
      <c r="N3134" s="28"/>
      <c r="O3134" s="20" t="s">
        <v>7530</v>
      </c>
      <c r="P3134" s="27" t="str">
        <f t="shared" si="145"/>
        <v>vermelho</v>
      </c>
    </row>
    <row r="3135" spans="1:16" ht="25.5">
      <c r="A3135" s="3" t="s">
        <v>4</v>
      </c>
      <c r="B3135" s="3" t="s">
        <v>2237</v>
      </c>
      <c r="C3135" s="4">
        <v>273</v>
      </c>
      <c r="D3135" s="3" t="s">
        <v>149</v>
      </c>
      <c r="E3135" s="3" t="s">
        <v>16</v>
      </c>
      <c r="F3135" s="5">
        <v>0</v>
      </c>
      <c r="G3135" s="5">
        <v>123</v>
      </c>
      <c r="H3135" s="6">
        <v>0</v>
      </c>
      <c r="I3135" s="22">
        <v>8652.1640000000007</v>
      </c>
      <c r="J3135" s="24">
        <f t="shared" si="144"/>
        <v>5.9951899378097471E-5</v>
      </c>
      <c r="K3135" s="25">
        <f t="shared" si="146"/>
        <v>0.94246036910867326</v>
      </c>
      <c r="L3135" s="26" t="s">
        <v>7517</v>
      </c>
      <c r="M3135" s="28"/>
      <c r="N3135" s="28"/>
      <c r="O3135" s="20" t="s">
        <v>7530</v>
      </c>
      <c r="P3135" s="27" t="str">
        <f t="shared" si="145"/>
        <v>vermelho</v>
      </c>
    </row>
    <row r="3136" spans="1:16" ht="25.5">
      <c r="A3136" s="3" t="s">
        <v>4</v>
      </c>
      <c r="B3136" s="3" t="s">
        <v>2238</v>
      </c>
      <c r="C3136" s="4">
        <v>23</v>
      </c>
      <c r="D3136" s="3" t="s">
        <v>87</v>
      </c>
      <c r="E3136" s="3" t="s">
        <v>7</v>
      </c>
      <c r="F3136" s="5">
        <v>48</v>
      </c>
      <c r="G3136" s="5">
        <v>144</v>
      </c>
      <c r="H3136" s="6">
        <v>3023.5680000000002</v>
      </c>
      <c r="I3136" s="22">
        <v>8615.4169999999995</v>
      </c>
      <c r="J3136" s="24">
        <f t="shared" si="144"/>
        <v>5.9697274934265032E-5</v>
      </c>
      <c r="K3136" s="25">
        <f t="shared" si="146"/>
        <v>0.94252006638360752</v>
      </c>
      <c r="L3136" s="26" t="s">
        <v>7517</v>
      </c>
      <c r="M3136" s="28">
        <v>-2.7003462908975238E-2</v>
      </c>
      <c r="N3136" s="28"/>
      <c r="O3136" s="20">
        <v>11451.691999999999</v>
      </c>
      <c r="P3136" s="27" t="str">
        <f t="shared" si="145"/>
        <v>verde</v>
      </c>
    </row>
    <row r="3137" spans="1:16" ht="25.5">
      <c r="A3137" s="3" t="s">
        <v>4</v>
      </c>
      <c r="B3137" s="3" t="s">
        <v>2239</v>
      </c>
      <c r="C3137" s="4">
        <v>267</v>
      </c>
      <c r="D3137" s="3" t="s">
        <v>125</v>
      </c>
      <c r="E3137" s="3" t="s">
        <v>16</v>
      </c>
      <c r="F3137" s="5">
        <v>132</v>
      </c>
      <c r="G3137" s="5">
        <v>180</v>
      </c>
      <c r="H3137" s="6">
        <v>5806.68</v>
      </c>
      <c r="I3137" s="22">
        <v>8613</v>
      </c>
      <c r="J3137" s="24">
        <f t="shared" si="144"/>
        <v>5.9680527246542424E-5</v>
      </c>
      <c r="K3137" s="25">
        <f t="shared" si="146"/>
        <v>0.94257974691085411</v>
      </c>
      <c r="L3137" s="26" t="s">
        <v>7517</v>
      </c>
      <c r="M3137" s="28"/>
      <c r="N3137" s="28"/>
      <c r="O3137" s="20" t="s">
        <v>7530</v>
      </c>
      <c r="P3137" s="27" t="str">
        <f t="shared" si="145"/>
        <v>vermelho</v>
      </c>
    </row>
    <row r="3138" spans="1:16" ht="25.5">
      <c r="A3138" s="3" t="s">
        <v>4</v>
      </c>
      <c r="B3138" s="3" t="s">
        <v>930</v>
      </c>
      <c r="C3138" s="4">
        <v>264</v>
      </c>
      <c r="D3138" s="3" t="s">
        <v>40</v>
      </c>
      <c r="E3138" s="3" t="s">
        <v>7</v>
      </c>
      <c r="F3138" s="5">
        <v>0</v>
      </c>
      <c r="G3138" s="5">
        <v>144</v>
      </c>
      <c r="H3138" s="6">
        <v>0</v>
      </c>
      <c r="I3138" s="22">
        <v>8599.68</v>
      </c>
      <c r="J3138" s="24">
        <f t="shared" si="144"/>
        <v>5.9588231342336692E-5</v>
      </c>
      <c r="K3138" s="25">
        <f t="shared" si="146"/>
        <v>0.94263933514219644</v>
      </c>
      <c r="L3138" s="26" t="s">
        <v>7517</v>
      </c>
      <c r="M3138" s="28">
        <v>1.5158587124264628E-2</v>
      </c>
      <c r="N3138" s="28">
        <v>-2.3274167936952181E-2</v>
      </c>
      <c r="O3138" s="20">
        <v>0</v>
      </c>
      <c r="P3138" s="27" t="str">
        <f t="shared" si="145"/>
        <v>vermelho</v>
      </c>
    </row>
    <row r="3139" spans="1:16" ht="25.5">
      <c r="A3139" s="3" t="s">
        <v>4</v>
      </c>
      <c r="B3139" s="3" t="s">
        <v>2240</v>
      </c>
      <c r="C3139" s="4">
        <v>93</v>
      </c>
      <c r="D3139" s="3" t="s">
        <v>20</v>
      </c>
      <c r="E3139" s="3" t="s">
        <v>7</v>
      </c>
      <c r="F3139" s="5">
        <v>108</v>
      </c>
      <c r="G3139" s="5">
        <v>132</v>
      </c>
      <c r="H3139" s="6">
        <v>5062.92</v>
      </c>
      <c r="I3139" s="22">
        <v>8591.8799999999992</v>
      </c>
      <c r="J3139" s="24">
        <f t="shared" ref="J3139:J3202" si="147">I3139/$I$6364</f>
        <v>5.9534184191225223E-5</v>
      </c>
      <c r="K3139" s="25">
        <f t="shared" si="146"/>
        <v>0.94269886932638769</v>
      </c>
      <c r="L3139" s="26" t="s">
        <v>7517</v>
      </c>
      <c r="M3139" s="28"/>
      <c r="N3139" s="28"/>
      <c r="O3139" s="20">
        <v>12977.82</v>
      </c>
      <c r="P3139" s="27" t="str">
        <f t="shared" ref="P3139:P3202" si="148">IF(O3139&lt;=0,"vermelho",IFERROR(IF(O3139/I3139&lt;=0.5098,"amarelo",IF(O3139/I3139&lt;1,"laranja","verde")),"vermelho"))</f>
        <v>verde</v>
      </c>
    </row>
    <row r="3140" spans="1:16" ht="38.25">
      <c r="A3140" s="3" t="s">
        <v>4</v>
      </c>
      <c r="B3140" s="3" t="s">
        <v>2241</v>
      </c>
      <c r="C3140" s="4">
        <v>38</v>
      </c>
      <c r="D3140" s="3" t="s">
        <v>184</v>
      </c>
      <c r="E3140" s="3" t="s">
        <v>49</v>
      </c>
      <c r="F3140" s="5">
        <v>180</v>
      </c>
      <c r="G3140" s="5">
        <v>189</v>
      </c>
      <c r="H3140" s="6">
        <v>6585.72</v>
      </c>
      <c r="I3140" s="22">
        <v>8587.77</v>
      </c>
      <c r="J3140" s="24">
        <f t="shared" si="147"/>
        <v>5.9505705500062654E-5</v>
      </c>
      <c r="K3140" s="25">
        <f t="shared" ref="K3140:K3203" si="149">J3140+K3139</f>
        <v>0.94275837503188775</v>
      </c>
      <c r="L3140" s="26" t="s">
        <v>7517</v>
      </c>
      <c r="M3140" s="28"/>
      <c r="N3140" s="28"/>
      <c r="O3140" s="20" t="s">
        <v>7530</v>
      </c>
      <c r="P3140" s="27" t="str">
        <f t="shared" si="148"/>
        <v>vermelho</v>
      </c>
    </row>
    <row r="3141" spans="1:16" ht="25.5">
      <c r="A3141" s="3" t="s">
        <v>4</v>
      </c>
      <c r="B3141" s="3" t="s">
        <v>2242</v>
      </c>
      <c r="C3141" s="4">
        <v>15</v>
      </c>
      <c r="D3141" s="3" t="s">
        <v>18</v>
      </c>
      <c r="E3141" s="3" t="s">
        <v>16</v>
      </c>
      <c r="F3141" s="5">
        <v>108</v>
      </c>
      <c r="G3141" s="5">
        <v>159</v>
      </c>
      <c r="H3141" s="6">
        <v>4543.5600000000004</v>
      </c>
      <c r="I3141" s="22">
        <v>8587.0499999999993</v>
      </c>
      <c r="J3141" s="24">
        <f t="shared" si="147"/>
        <v>5.950071653226774E-5</v>
      </c>
      <c r="K3141" s="25">
        <f t="shared" si="149"/>
        <v>0.94281787574842002</v>
      </c>
      <c r="L3141" s="26" t="s">
        <v>7517</v>
      </c>
      <c r="M3141" s="28"/>
      <c r="N3141" s="28"/>
      <c r="O3141" s="20" t="s">
        <v>7530</v>
      </c>
      <c r="P3141" s="27" t="str">
        <f t="shared" si="148"/>
        <v>vermelho</v>
      </c>
    </row>
    <row r="3142" spans="1:16" ht="38.25">
      <c r="A3142" s="3" t="s">
        <v>4</v>
      </c>
      <c r="B3142" s="3" t="s">
        <v>2243</v>
      </c>
      <c r="C3142" s="4">
        <v>34</v>
      </c>
      <c r="D3142" s="3" t="s">
        <v>54</v>
      </c>
      <c r="E3142" s="3" t="s">
        <v>49</v>
      </c>
      <c r="F3142" s="5">
        <v>276</v>
      </c>
      <c r="G3142" s="5">
        <v>192</v>
      </c>
      <c r="H3142" s="6">
        <v>15942.24</v>
      </c>
      <c r="I3142" s="22">
        <v>8584.08</v>
      </c>
      <c r="J3142" s="24">
        <f t="shared" si="147"/>
        <v>5.9480137040113767E-5</v>
      </c>
      <c r="K3142" s="25">
        <f t="shared" si="149"/>
        <v>0.94287735588546018</v>
      </c>
      <c r="L3142" s="26" t="s">
        <v>7517</v>
      </c>
      <c r="M3142" s="28"/>
      <c r="N3142" s="28"/>
      <c r="O3142" s="20" t="s">
        <v>7530</v>
      </c>
      <c r="P3142" s="27" t="str">
        <f t="shared" si="148"/>
        <v>vermelho</v>
      </c>
    </row>
    <row r="3143" spans="1:16" ht="38.25">
      <c r="A3143" s="3" t="s">
        <v>4</v>
      </c>
      <c r="B3143" s="3" t="s">
        <v>2244</v>
      </c>
      <c r="C3143" s="4">
        <v>331</v>
      </c>
      <c r="D3143" s="3" t="s">
        <v>603</v>
      </c>
      <c r="E3143" s="3" t="s">
        <v>13</v>
      </c>
      <c r="F3143" s="5">
        <v>0</v>
      </c>
      <c r="G3143" s="5">
        <v>168</v>
      </c>
      <c r="H3143" s="6">
        <v>0</v>
      </c>
      <c r="I3143" s="22">
        <v>8583.6</v>
      </c>
      <c r="J3143" s="24">
        <f t="shared" si="147"/>
        <v>5.9476811061583832E-5</v>
      </c>
      <c r="K3143" s="25">
        <f t="shared" si="149"/>
        <v>0.94293683269652173</v>
      </c>
      <c r="L3143" s="26" t="s">
        <v>7517</v>
      </c>
      <c r="M3143" s="28"/>
      <c r="N3143" s="28"/>
      <c r="O3143" s="20" t="s">
        <v>7530</v>
      </c>
      <c r="P3143" s="27" t="str">
        <f t="shared" si="148"/>
        <v>vermelho</v>
      </c>
    </row>
    <row r="3144" spans="1:16" ht="38.25">
      <c r="A3144" s="3" t="s">
        <v>4</v>
      </c>
      <c r="B3144" s="3" t="s">
        <v>2245</v>
      </c>
      <c r="C3144" s="4">
        <v>45</v>
      </c>
      <c r="D3144" s="3" t="s">
        <v>23</v>
      </c>
      <c r="E3144" s="3" t="s">
        <v>7</v>
      </c>
      <c r="F3144" s="5">
        <v>456</v>
      </c>
      <c r="G3144" s="5">
        <v>180</v>
      </c>
      <c r="H3144" s="6">
        <v>28855.68</v>
      </c>
      <c r="I3144" s="22">
        <v>8581.08</v>
      </c>
      <c r="J3144" s="24">
        <f t="shared" si="147"/>
        <v>5.9459349674301661E-5</v>
      </c>
      <c r="K3144" s="25">
        <f t="shared" si="149"/>
        <v>0.94299629204619606</v>
      </c>
      <c r="L3144" s="26" t="s">
        <v>7517</v>
      </c>
      <c r="M3144" s="28"/>
      <c r="N3144" s="28"/>
      <c r="O3144" s="20">
        <v>48072.18</v>
      </c>
      <c r="P3144" s="27" t="str">
        <f t="shared" si="148"/>
        <v>verde</v>
      </c>
    </row>
    <row r="3145" spans="1:16" ht="25.5">
      <c r="A3145" s="3" t="s">
        <v>4</v>
      </c>
      <c r="B3145" s="3" t="s">
        <v>2246</v>
      </c>
      <c r="C3145" s="4">
        <v>178</v>
      </c>
      <c r="D3145" s="3" t="s">
        <v>74</v>
      </c>
      <c r="E3145" s="3" t="s">
        <v>7</v>
      </c>
      <c r="F3145" s="5">
        <v>0</v>
      </c>
      <c r="G3145" s="5">
        <v>120</v>
      </c>
      <c r="H3145" s="6">
        <v>0</v>
      </c>
      <c r="I3145" s="22">
        <v>8575.68</v>
      </c>
      <c r="J3145" s="24">
        <f t="shared" si="147"/>
        <v>5.9421932415839884E-5</v>
      </c>
      <c r="K3145" s="25">
        <f t="shared" si="149"/>
        <v>0.94305571397861188</v>
      </c>
      <c r="L3145" s="26" t="s">
        <v>7517</v>
      </c>
      <c r="M3145" s="28"/>
      <c r="N3145" s="28"/>
      <c r="O3145" s="20" t="s">
        <v>7530</v>
      </c>
      <c r="P3145" s="27" t="str">
        <f t="shared" si="148"/>
        <v>vermelho</v>
      </c>
    </row>
    <row r="3146" spans="1:16" ht="25.5">
      <c r="A3146" s="3" t="s">
        <v>4</v>
      </c>
      <c r="B3146" s="3" t="s">
        <v>2247</v>
      </c>
      <c r="C3146" s="4">
        <v>31</v>
      </c>
      <c r="D3146" s="3" t="s">
        <v>194</v>
      </c>
      <c r="E3146" s="3" t="s">
        <v>16</v>
      </c>
      <c r="F3146" s="5">
        <v>0</v>
      </c>
      <c r="G3146" s="5">
        <v>156</v>
      </c>
      <c r="H3146" s="6">
        <v>0</v>
      </c>
      <c r="I3146" s="22">
        <v>8575.5</v>
      </c>
      <c r="J3146" s="24">
        <f t="shared" si="147"/>
        <v>5.9420685173891159E-5</v>
      </c>
      <c r="K3146" s="25">
        <f t="shared" si="149"/>
        <v>0.94311513466378571</v>
      </c>
      <c r="L3146" s="26" t="s">
        <v>7517</v>
      </c>
      <c r="M3146" s="28"/>
      <c r="N3146" s="28">
        <v>1.5432523562471986E-2</v>
      </c>
      <c r="O3146" s="20">
        <v>8132.92</v>
      </c>
      <c r="P3146" s="27" t="str">
        <f t="shared" si="148"/>
        <v>laranja</v>
      </c>
    </row>
    <row r="3147" spans="1:16" ht="25.5">
      <c r="A3147" s="3" t="s">
        <v>4</v>
      </c>
      <c r="B3147" s="3" t="s">
        <v>2248</v>
      </c>
      <c r="C3147" s="4">
        <v>270</v>
      </c>
      <c r="D3147" s="3" t="s">
        <v>266</v>
      </c>
      <c r="E3147" s="3" t="s">
        <v>49</v>
      </c>
      <c r="F3147" s="5">
        <v>60</v>
      </c>
      <c r="G3147" s="5">
        <v>147</v>
      </c>
      <c r="H3147" s="6">
        <v>3507.72</v>
      </c>
      <c r="I3147" s="22">
        <v>8574.06</v>
      </c>
      <c r="J3147" s="24">
        <f t="shared" si="147"/>
        <v>5.9410707238301345E-5</v>
      </c>
      <c r="K3147" s="25">
        <f t="shared" si="149"/>
        <v>0.94317454537102396</v>
      </c>
      <c r="L3147" s="26" t="s">
        <v>7517</v>
      </c>
      <c r="M3147" s="28"/>
      <c r="N3147" s="28"/>
      <c r="O3147" s="20">
        <v>5617.89</v>
      </c>
      <c r="P3147" s="27" t="str">
        <f t="shared" si="148"/>
        <v>laranja</v>
      </c>
    </row>
    <row r="3148" spans="1:16" ht="25.5">
      <c r="A3148" s="3" t="s">
        <v>4</v>
      </c>
      <c r="B3148" s="3" t="s">
        <v>2249</v>
      </c>
      <c r="C3148" s="4">
        <v>270</v>
      </c>
      <c r="D3148" s="3" t="s">
        <v>266</v>
      </c>
      <c r="E3148" s="3" t="s">
        <v>49</v>
      </c>
      <c r="F3148" s="5">
        <v>264</v>
      </c>
      <c r="G3148" s="5">
        <v>132</v>
      </c>
      <c r="H3148" s="6">
        <v>14352.84</v>
      </c>
      <c r="I3148" s="22">
        <v>8566.68</v>
      </c>
      <c r="J3148" s="24">
        <f t="shared" si="147"/>
        <v>5.9359570318403579E-5</v>
      </c>
      <c r="K3148" s="25">
        <f t="shared" si="149"/>
        <v>0.9432339049413424</v>
      </c>
      <c r="L3148" s="26" t="s">
        <v>7517</v>
      </c>
      <c r="M3148" s="28"/>
      <c r="N3148" s="28"/>
      <c r="O3148" s="20">
        <v>3599.76</v>
      </c>
      <c r="P3148" s="27" t="str">
        <f t="shared" si="148"/>
        <v>amarelo</v>
      </c>
    </row>
    <row r="3149" spans="1:16" ht="25.5">
      <c r="A3149" s="3" t="s">
        <v>4</v>
      </c>
      <c r="B3149" s="3" t="s">
        <v>2250</v>
      </c>
      <c r="C3149" s="4">
        <v>74</v>
      </c>
      <c r="D3149" s="3" t="s">
        <v>6</v>
      </c>
      <c r="E3149" s="3" t="s">
        <v>7</v>
      </c>
      <c r="F3149" s="5">
        <v>0</v>
      </c>
      <c r="G3149" s="5">
        <v>132</v>
      </c>
      <c r="H3149" s="6">
        <v>0</v>
      </c>
      <c r="I3149" s="22">
        <v>8562.51</v>
      </c>
      <c r="J3149" s="24">
        <f t="shared" si="147"/>
        <v>5.9330675879924757E-5</v>
      </c>
      <c r="K3149" s="25">
        <f t="shared" si="149"/>
        <v>0.94329323561722234</v>
      </c>
      <c r="L3149" s="26" t="s">
        <v>7517</v>
      </c>
      <c r="M3149" s="28"/>
      <c r="N3149" s="28"/>
      <c r="O3149" s="20" t="s">
        <v>7530</v>
      </c>
      <c r="P3149" s="27" t="str">
        <f t="shared" si="148"/>
        <v>vermelho</v>
      </c>
    </row>
    <row r="3150" spans="1:16" ht="25.5">
      <c r="A3150" s="3" t="s">
        <v>4</v>
      </c>
      <c r="B3150" s="3" t="s">
        <v>2251</v>
      </c>
      <c r="C3150" s="4">
        <v>266</v>
      </c>
      <c r="D3150" s="3" t="s">
        <v>80</v>
      </c>
      <c r="E3150" s="3" t="s">
        <v>10</v>
      </c>
      <c r="F3150" s="5">
        <v>90</v>
      </c>
      <c r="G3150" s="5">
        <v>153</v>
      </c>
      <c r="H3150" s="6">
        <v>5344.92</v>
      </c>
      <c r="I3150" s="22">
        <v>8560.59</v>
      </c>
      <c r="J3150" s="24">
        <f t="shared" si="147"/>
        <v>5.9317371965805015E-5</v>
      </c>
      <c r="K3150" s="25">
        <f t="shared" si="149"/>
        <v>0.94335255298918819</v>
      </c>
      <c r="L3150" s="26" t="s">
        <v>7517</v>
      </c>
      <c r="M3150" s="28"/>
      <c r="N3150" s="28"/>
      <c r="O3150" s="20" t="s">
        <v>7530</v>
      </c>
      <c r="P3150" s="27" t="str">
        <f t="shared" si="148"/>
        <v>vermelho</v>
      </c>
    </row>
    <row r="3151" spans="1:16" ht="25.5">
      <c r="A3151" s="3" t="s">
        <v>4</v>
      </c>
      <c r="B3151" s="3" t="s">
        <v>2252</v>
      </c>
      <c r="C3151" s="4">
        <v>261</v>
      </c>
      <c r="D3151" s="3" t="s">
        <v>9</v>
      </c>
      <c r="E3151" s="3" t="s">
        <v>10</v>
      </c>
      <c r="F3151" s="5">
        <v>210</v>
      </c>
      <c r="G3151" s="5">
        <v>141</v>
      </c>
      <c r="H3151" s="6">
        <v>11823.9</v>
      </c>
      <c r="I3151" s="22">
        <v>8536.59</v>
      </c>
      <c r="J3151" s="24">
        <f t="shared" si="147"/>
        <v>5.9151073039308207E-5</v>
      </c>
      <c r="K3151" s="25">
        <f t="shared" si="149"/>
        <v>0.94341170406222752</v>
      </c>
      <c r="L3151" s="26" t="s">
        <v>7517</v>
      </c>
      <c r="M3151" s="28"/>
      <c r="N3151" s="28"/>
      <c r="O3151" s="20">
        <v>5427</v>
      </c>
      <c r="P3151" s="27" t="str">
        <f t="shared" si="148"/>
        <v>laranja</v>
      </c>
    </row>
    <row r="3152" spans="1:16">
      <c r="A3152" s="3" t="s">
        <v>4</v>
      </c>
      <c r="B3152" s="3" t="s">
        <v>2253</v>
      </c>
      <c r="C3152" s="4">
        <v>232</v>
      </c>
      <c r="D3152" s="3" t="s">
        <v>174</v>
      </c>
      <c r="E3152" s="3" t="s">
        <v>16</v>
      </c>
      <c r="F3152" s="5">
        <v>96</v>
      </c>
      <c r="G3152" s="5">
        <v>168</v>
      </c>
      <c r="H3152" s="6">
        <v>4853.5200000000004</v>
      </c>
      <c r="I3152" s="22">
        <v>8535.7199999999993</v>
      </c>
      <c r="J3152" s="24">
        <f t="shared" si="147"/>
        <v>5.9145044703222688E-5</v>
      </c>
      <c r="K3152" s="25">
        <f t="shared" si="149"/>
        <v>0.94347084910693069</v>
      </c>
      <c r="L3152" s="26" t="s">
        <v>7517</v>
      </c>
      <c r="M3152" s="28"/>
      <c r="N3152" s="28"/>
      <c r="O3152" s="20" t="s">
        <v>7530</v>
      </c>
      <c r="P3152" s="27" t="str">
        <f t="shared" si="148"/>
        <v>vermelho</v>
      </c>
    </row>
    <row r="3153" spans="1:16" ht="38.25">
      <c r="A3153" s="3" t="s">
        <v>4</v>
      </c>
      <c r="B3153" s="3" t="s">
        <v>2254</v>
      </c>
      <c r="C3153" s="4">
        <v>11</v>
      </c>
      <c r="D3153" s="3" t="s">
        <v>61</v>
      </c>
      <c r="E3153" s="3" t="s">
        <v>10</v>
      </c>
      <c r="F3153" s="5">
        <v>192</v>
      </c>
      <c r="G3153" s="5">
        <v>138</v>
      </c>
      <c r="H3153" s="6">
        <v>11122.08</v>
      </c>
      <c r="I3153" s="22">
        <v>8530.6200000000008</v>
      </c>
      <c r="J3153" s="24">
        <f t="shared" si="147"/>
        <v>5.9109706181342128E-5</v>
      </c>
      <c r="K3153" s="25">
        <f t="shared" si="149"/>
        <v>0.94352995881311208</v>
      </c>
      <c r="L3153" s="26" t="s">
        <v>7517</v>
      </c>
      <c r="M3153" s="28"/>
      <c r="N3153" s="28"/>
      <c r="O3153" s="20">
        <v>26033.88</v>
      </c>
      <c r="P3153" s="27" t="str">
        <f t="shared" si="148"/>
        <v>verde</v>
      </c>
    </row>
    <row r="3154" spans="1:16" ht="25.5">
      <c r="A3154" s="3" t="s">
        <v>4</v>
      </c>
      <c r="B3154" s="3" t="s">
        <v>2255</v>
      </c>
      <c r="C3154" s="4">
        <v>296</v>
      </c>
      <c r="D3154" s="3" t="s">
        <v>282</v>
      </c>
      <c r="E3154" s="3" t="s">
        <v>10</v>
      </c>
      <c r="F3154" s="5">
        <v>0</v>
      </c>
      <c r="G3154" s="5">
        <v>174</v>
      </c>
      <c r="H3154" s="6">
        <v>0</v>
      </c>
      <c r="I3154" s="22">
        <v>8530.3860000000004</v>
      </c>
      <c r="J3154" s="24">
        <f t="shared" si="147"/>
        <v>5.9108084766808783E-5</v>
      </c>
      <c r="K3154" s="25">
        <f t="shared" si="149"/>
        <v>0.94358906689787891</v>
      </c>
      <c r="L3154" s="26" t="s">
        <v>7517</v>
      </c>
      <c r="M3154" s="28"/>
      <c r="N3154" s="28"/>
      <c r="O3154" s="20" t="s">
        <v>7530</v>
      </c>
      <c r="P3154" s="27" t="str">
        <f t="shared" si="148"/>
        <v>vermelho</v>
      </c>
    </row>
    <row r="3155" spans="1:16" ht="25.5">
      <c r="A3155" s="3" t="s">
        <v>4</v>
      </c>
      <c r="B3155" s="3" t="s">
        <v>2256</v>
      </c>
      <c r="C3155" s="4">
        <v>337</v>
      </c>
      <c r="D3155" s="3" t="s">
        <v>202</v>
      </c>
      <c r="E3155" s="3" t="s">
        <v>16</v>
      </c>
      <c r="F3155" s="5">
        <v>0</v>
      </c>
      <c r="G3155" s="5">
        <v>138</v>
      </c>
      <c r="H3155" s="6">
        <v>0</v>
      </c>
      <c r="I3155" s="22">
        <v>8530.08</v>
      </c>
      <c r="J3155" s="24">
        <f t="shared" si="147"/>
        <v>5.9105964455495946E-5</v>
      </c>
      <c r="K3155" s="25">
        <f t="shared" si="149"/>
        <v>0.94364817286233438</v>
      </c>
      <c r="L3155" s="26" t="s">
        <v>7517</v>
      </c>
      <c r="M3155" s="28"/>
      <c r="N3155" s="28"/>
      <c r="O3155" s="20" t="s">
        <v>7530</v>
      </c>
      <c r="P3155" s="27" t="str">
        <f t="shared" si="148"/>
        <v>vermelho</v>
      </c>
    </row>
    <row r="3156" spans="1:16" ht="25.5">
      <c r="A3156" s="3" t="s">
        <v>4</v>
      </c>
      <c r="B3156" s="3" t="s">
        <v>2257</v>
      </c>
      <c r="C3156" s="4">
        <v>261</v>
      </c>
      <c r="D3156" s="3" t="s">
        <v>9</v>
      </c>
      <c r="E3156" s="3" t="s">
        <v>10</v>
      </c>
      <c r="F3156" s="5">
        <v>108</v>
      </c>
      <c r="G3156" s="5">
        <v>135</v>
      </c>
      <c r="H3156" s="6">
        <v>6045.99</v>
      </c>
      <c r="I3156" s="22">
        <v>8525.76</v>
      </c>
      <c r="J3156" s="24">
        <f t="shared" si="147"/>
        <v>5.9076030648726519E-5</v>
      </c>
      <c r="K3156" s="25">
        <f t="shared" si="149"/>
        <v>0.94370724889298307</v>
      </c>
      <c r="L3156" s="26" t="s">
        <v>7517</v>
      </c>
      <c r="M3156" s="28"/>
      <c r="N3156" s="28"/>
      <c r="O3156" s="20">
        <v>7663.17</v>
      </c>
      <c r="P3156" s="27" t="str">
        <f t="shared" si="148"/>
        <v>laranja</v>
      </c>
    </row>
    <row r="3157" spans="1:16">
      <c r="A3157" s="3" t="s">
        <v>6784</v>
      </c>
      <c r="B3157" s="3" t="s">
        <v>6785</v>
      </c>
      <c r="C3157" s="4">
        <v>240</v>
      </c>
      <c r="D3157" s="3" t="s">
        <v>69</v>
      </c>
      <c r="E3157" s="3" t="s">
        <v>16</v>
      </c>
      <c r="F3157" s="5">
        <v>354</v>
      </c>
      <c r="G3157" s="5">
        <v>168</v>
      </c>
      <c r="H3157" s="6">
        <v>17987.939999999999</v>
      </c>
      <c r="I3157" s="22">
        <v>8522.2800000000007</v>
      </c>
      <c r="J3157" s="24">
        <f t="shared" si="147"/>
        <v>5.9051917304384484E-5</v>
      </c>
      <c r="K3157" s="25">
        <f t="shared" si="149"/>
        <v>0.94376630081028745</v>
      </c>
      <c r="L3157" s="26" t="s">
        <v>7517</v>
      </c>
      <c r="M3157" s="28"/>
      <c r="N3157" s="28"/>
      <c r="O3157" s="20">
        <v>11824.02</v>
      </c>
      <c r="P3157" s="27" t="str">
        <f t="shared" si="148"/>
        <v>verde</v>
      </c>
    </row>
    <row r="3158" spans="1:16" ht="25.5">
      <c r="A3158" s="3" t="s">
        <v>4</v>
      </c>
      <c r="B3158" s="3" t="s">
        <v>2258</v>
      </c>
      <c r="C3158" s="4">
        <v>299</v>
      </c>
      <c r="D3158" s="3" t="s">
        <v>111</v>
      </c>
      <c r="E3158" s="3" t="s">
        <v>49</v>
      </c>
      <c r="F3158" s="5">
        <v>120</v>
      </c>
      <c r="G3158" s="5">
        <v>138</v>
      </c>
      <c r="H3158" s="6">
        <v>6706.8</v>
      </c>
      <c r="I3158" s="22">
        <v>8519.76</v>
      </c>
      <c r="J3158" s="24">
        <f t="shared" si="147"/>
        <v>5.903445591710232E-5</v>
      </c>
      <c r="K3158" s="25">
        <f t="shared" si="149"/>
        <v>0.9438253352662046</v>
      </c>
      <c r="L3158" s="26" t="s">
        <v>7517</v>
      </c>
      <c r="M3158" s="28"/>
      <c r="N3158" s="28"/>
      <c r="O3158" s="20">
        <v>3586.17</v>
      </c>
      <c r="P3158" s="27" t="str">
        <f t="shared" si="148"/>
        <v>amarelo</v>
      </c>
    </row>
    <row r="3159" spans="1:16" ht="25.5">
      <c r="A3159" s="3" t="s">
        <v>4</v>
      </c>
      <c r="B3159" s="3" t="s">
        <v>2259</v>
      </c>
      <c r="C3159" s="4">
        <v>218</v>
      </c>
      <c r="D3159" s="3" t="s">
        <v>104</v>
      </c>
      <c r="E3159" s="3" t="s">
        <v>16</v>
      </c>
      <c r="F3159" s="5">
        <v>0</v>
      </c>
      <c r="G3159" s="5">
        <v>153</v>
      </c>
      <c r="H3159" s="6">
        <v>0</v>
      </c>
      <c r="I3159" s="22">
        <v>8519.1</v>
      </c>
      <c r="J3159" s="24">
        <f t="shared" si="147"/>
        <v>5.902988269662366E-5</v>
      </c>
      <c r="K3159" s="25">
        <f t="shared" si="149"/>
        <v>0.94388436514890117</v>
      </c>
      <c r="L3159" s="26" t="s">
        <v>7517</v>
      </c>
      <c r="M3159" s="28"/>
      <c r="N3159" s="28"/>
      <c r="O3159" s="20" t="s">
        <v>7530</v>
      </c>
      <c r="P3159" s="27" t="str">
        <f t="shared" si="148"/>
        <v>vermelho</v>
      </c>
    </row>
    <row r="3160" spans="1:16" ht="25.5">
      <c r="A3160" s="3" t="s">
        <v>4</v>
      </c>
      <c r="B3160" s="3" t="s">
        <v>2260</v>
      </c>
      <c r="C3160" s="4">
        <v>218</v>
      </c>
      <c r="D3160" s="3" t="s">
        <v>104</v>
      </c>
      <c r="E3160" s="3" t="s">
        <v>16</v>
      </c>
      <c r="F3160" s="5">
        <v>0</v>
      </c>
      <c r="G3160" s="5">
        <v>147</v>
      </c>
      <c r="H3160" s="6">
        <v>0</v>
      </c>
      <c r="I3160" s="22">
        <v>8495.85</v>
      </c>
      <c r="J3160" s="24">
        <f t="shared" si="147"/>
        <v>5.8868780611579872E-5</v>
      </c>
      <c r="K3160" s="25">
        <f t="shared" si="149"/>
        <v>0.94394323392951274</v>
      </c>
      <c r="L3160" s="26" t="s">
        <v>7517</v>
      </c>
      <c r="M3160" s="28"/>
      <c r="N3160" s="28"/>
      <c r="O3160" s="20" t="s">
        <v>7530</v>
      </c>
      <c r="P3160" s="27" t="str">
        <f t="shared" si="148"/>
        <v>vermelho</v>
      </c>
    </row>
    <row r="3161" spans="1:16" ht="38.25">
      <c r="A3161" s="3" t="s">
        <v>4</v>
      </c>
      <c r="B3161" s="3" t="s">
        <v>2261</v>
      </c>
      <c r="C3161" s="4">
        <v>331</v>
      </c>
      <c r="D3161" s="3" t="s">
        <v>603</v>
      </c>
      <c r="E3161" s="3" t="s">
        <v>13</v>
      </c>
      <c r="F3161" s="5">
        <v>0</v>
      </c>
      <c r="G3161" s="5">
        <v>180</v>
      </c>
      <c r="H3161" s="6">
        <v>0</v>
      </c>
      <c r="I3161" s="22">
        <v>8485.2360000000008</v>
      </c>
      <c r="J3161" s="24">
        <f t="shared" si="147"/>
        <v>5.8795234911336662E-5</v>
      </c>
      <c r="K3161" s="25">
        <f t="shared" si="149"/>
        <v>0.94400202916442411</v>
      </c>
      <c r="L3161" s="26" t="s">
        <v>7517</v>
      </c>
      <c r="M3161" s="28"/>
      <c r="N3161" s="28"/>
      <c r="O3161" s="20" t="s">
        <v>7530</v>
      </c>
      <c r="P3161" s="27" t="str">
        <f t="shared" si="148"/>
        <v>vermelho</v>
      </c>
    </row>
    <row r="3162" spans="1:16" ht="25.5">
      <c r="A3162" s="3" t="s">
        <v>4</v>
      </c>
      <c r="B3162" s="3" t="s">
        <v>2262</v>
      </c>
      <c r="C3162" s="4">
        <v>327</v>
      </c>
      <c r="D3162" s="3" t="s">
        <v>100</v>
      </c>
      <c r="E3162" s="3" t="s">
        <v>7</v>
      </c>
      <c r="F3162" s="5">
        <v>0</v>
      </c>
      <c r="G3162" s="5">
        <v>159</v>
      </c>
      <c r="H3162" s="6">
        <v>0</v>
      </c>
      <c r="I3162" s="22">
        <v>8482.3799999999992</v>
      </c>
      <c r="J3162" s="24">
        <f t="shared" si="147"/>
        <v>5.8775445339083528E-5</v>
      </c>
      <c r="K3162" s="25">
        <f t="shared" si="149"/>
        <v>0.94406080460976316</v>
      </c>
      <c r="L3162" s="26" t="s">
        <v>7517</v>
      </c>
      <c r="M3162" s="28"/>
      <c r="N3162" s="28"/>
      <c r="O3162" s="20" t="s">
        <v>7530</v>
      </c>
      <c r="P3162" s="27" t="str">
        <f t="shared" si="148"/>
        <v>vermelho</v>
      </c>
    </row>
    <row r="3163" spans="1:16" ht="25.5">
      <c r="A3163" s="3" t="s">
        <v>6786</v>
      </c>
      <c r="B3163" s="3" t="s">
        <v>6787</v>
      </c>
      <c r="C3163" s="4">
        <v>41</v>
      </c>
      <c r="D3163" s="3" t="s">
        <v>178</v>
      </c>
      <c r="E3163" s="3" t="s">
        <v>41</v>
      </c>
      <c r="F3163" s="5">
        <v>189</v>
      </c>
      <c r="G3163" s="5">
        <v>153</v>
      </c>
      <c r="H3163" s="6">
        <v>10161.51</v>
      </c>
      <c r="I3163" s="22">
        <v>8482.35</v>
      </c>
      <c r="J3163" s="24">
        <f t="shared" si="147"/>
        <v>5.8775237465425415E-5</v>
      </c>
      <c r="K3163" s="25">
        <f t="shared" si="149"/>
        <v>0.94411957984722861</v>
      </c>
      <c r="L3163" s="26" t="s">
        <v>7517</v>
      </c>
      <c r="M3163" s="28"/>
      <c r="N3163" s="28"/>
      <c r="O3163" s="20" t="s">
        <v>7530</v>
      </c>
      <c r="P3163" s="27" t="str">
        <f t="shared" si="148"/>
        <v>vermelho</v>
      </c>
    </row>
    <row r="3164" spans="1:16" ht="25.5">
      <c r="A3164" s="3" t="s">
        <v>4</v>
      </c>
      <c r="B3164" s="3" t="s">
        <v>2263</v>
      </c>
      <c r="C3164" s="4">
        <v>296</v>
      </c>
      <c r="D3164" s="3" t="s">
        <v>282</v>
      </c>
      <c r="E3164" s="3" t="s">
        <v>10</v>
      </c>
      <c r="F3164" s="5">
        <v>0</v>
      </c>
      <c r="G3164" s="5">
        <v>132</v>
      </c>
      <c r="H3164" s="6">
        <v>0</v>
      </c>
      <c r="I3164" s="22">
        <v>8480.5830000000005</v>
      </c>
      <c r="J3164" s="24">
        <f t="shared" si="147"/>
        <v>5.8762993706962091E-5</v>
      </c>
      <c r="K3164" s="25">
        <f t="shared" si="149"/>
        <v>0.9441783428409356</v>
      </c>
      <c r="L3164" s="26" t="s">
        <v>7517</v>
      </c>
      <c r="M3164" s="28"/>
      <c r="N3164" s="28"/>
      <c r="O3164" s="20" t="s">
        <v>7530</v>
      </c>
      <c r="P3164" s="27" t="str">
        <f t="shared" si="148"/>
        <v>vermelho</v>
      </c>
    </row>
    <row r="3165" spans="1:16" ht="25.5">
      <c r="A3165" s="3" t="s">
        <v>4</v>
      </c>
      <c r="B3165" s="3" t="s">
        <v>2264</v>
      </c>
      <c r="C3165" s="4">
        <v>316</v>
      </c>
      <c r="D3165" s="3" t="s">
        <v>247</v>
      </c>
      <c r="E3165" s="3" t="s">
        <v>10</v>
      </c>
      <c r="F3165" s="5">
        <v>0</v>
      </c>
      <c r="G3165" s="5">
        <v>132</v>
      </c>
      <c r="H3165" s="6">
        <v>0</v>
      </c>
      <c r="I3165" s="22">
        <v>8474.52</v>
      </c>
      <c r="J3165" s="24">
        <f t="shared" si="147"/>
        <v>5.8720982440655833E-5</v>
      </c>
      <c r="K3165" s="25">
        <f t="shared" si="149"/>
        <v>0.94423706382337624</v>
      </c>
      <c r="L3165" s="26" t="s">
        <v>7517</v>
      </c>
      <c r="M3165" s="28"/>
      <c r="N3165" s="28"/>
      <c r="O3165" s="20">
        <v>7509.72</v>
      </c>
      <c r="P3165" s="27" t="str">
        <f t="shared" si="148"/>
        <v>laranja</v>
      </c>
    </row>
    <row r="3166" spans="1:16" ht="38.25">
      <c r="A3166" s="3" t="s">
        <v>4</v>
      </c>
      <c r="B3166" s="3" t="s">
        <v>2265</v>
      </c>
      <c r="C3166" s="4">
        <v>218</v>
      </c>
      <c r="D3166" s="3" t="s">
        <v>104</v>
      </c>
      <c r="E3166" s="3" t="s">
        <v>16</v>
      </c>
      <c r="F3166" s="5">
        <v>0</v>
      </c>
      <c r="G3166" s="5">
        <v>138</v>
      </c>
      <c r="H3166" s="6">
        <v>0</v>
      </c>
      <c r="I3166" s="22">
        <v>8466.06</v>
      </c>
      <c r="J3166" s="24">
        <f t="shared" si="147"/>
        <v>5.8662362069065703E-5</v>
      </c>
      <c r="K3166" s="25">
        <f t="shared" si="149"/>
        <v>0.94429572618544533</v>
      </c>
      <c r="L3166" s="26" t="s">
        <v>7517</v>
      </c>
      <c r="M3166" s="28"/>
      <c r="N3166" s="28"/>
      <c r="O3166" s="20" t="s">
        <v>7530</v>
      </c>
      <c r="P3166" s="27" t="str">
        <f t="shared" si="148"/>
        <v>vermelho</v>
      </c>
    </row>
    <row r="3167" spans="1:16" ht="25.5">
      <c r="A3167" s="3" t="s">
        <v>4</v>
      </c>
      <c r="B3167" s="3" t="s">
        <v>2266</v>
      </c>
      <c r="C3167" s="4">
        <v>267</v>
      </c>
      <c r="D3167" s="3" t="s">
        <v>125</v>
      </c>
      <c r="E3167" s="3" t="s">
        <v>16</v>
      </c>
      <c r="F3167" s="5">
        <v>306</v>
      </c>
      <c r="G3167" s="5">
        <v>162</v>
      </c>
      <c r="H3167" s="6">
        <v>15714.27</v>
      </c>
      <c r="I3167" s="22">
        <v>8461.5</v>
      </c>
      <c r="J3167" s="24">
        <f t="shared" si="147"/>
        <v>5.8630765273031311E-5</v>
      </c>
      <c r="K3167" s="25">
        <f t="shared" si="149"/>
        <v>0.94435435695071834</v>
      </c>
      <c r="L3167" s="26" t="s">
        <v>7517</v>
      </c>
      <c r="M3167" s="28"/>
      <c r="N3167" s="28"/>
      <c r="O3167" s="20" t="s">
        <v>7530</v>
      </c>
      <c r="P3167" s="27" t="str">
        <f t="shared" si="148"/>
        <v>vermelho</v>
      </c>
    </row>
    <row r="3168" spans="1:16">
      <c r="A3168" s="3" t="s">
        <v>6788</v>
      </c>
      <c r="B3168" s="3" t="s">
        <v>6789</v>
      </c>
      <c r="C3168" s="4">
        <v>334</v>
      </c>
      <c r="D3168" s="3" t="s">
        <v>531</v>
      </c>
      <c r="E3168" s="3" t="s">
        <v>7</v>
      </c>
      <c r="F3168" s="5">
        <v>882</v>
      </c>
      <c r="G3168" s="5">
        <v>282</v>
      </c>
      <c r="H3168" s="6">
        <v>24195.96</v>
      </c>
      <c r="I3168" s="22">
        <v>8460</v>
      </c>
      <c r="J3168" s="24">
        <f t="shared" si="147"/>
        <v>5.8620371590125258E-5</v>
      </c>
      <c r="K3168" s="25">
        <f t="shared" si="149"/>
        <v>0.94441297732230844</v>
      </c>
      <c r="L3168" s="26" t="s">
        <v>7517</v>
      </c>
      <c r="M3168" s="28"/>
      <c r="N3168" s="28"/>
      <c r="O3168" s="20" t="s">
        <v>7530</v>
      </c>
      <c r="P3168" s="27" t="str">
        <f t="shared" si="148"/>
        <v>vermelho</v>
      </c>
    </row>
    <row r="3169" spans="1:16" ht="25.5">
      <c r="A3169" s="3" t="s">
        <v>4</v>
      </c>
      <c r="B3169" s="3" t="s">
        <v>2267</v>
      </c>
      <c r="C3169" s="4">
        <v>53</v>
      </c>
      <c r="D3169" s="3" t="s">
        <v>34</v>
      </c>
      <c r="E3169" s="3" t="s">
        <v>16</v>
      </c>
      <c r="F3169" s="5">
        <v>456</v>
      </c>
      <c r="G3169" s="5">
        <v>180</v>
      </c>
      <c r="H3169" s="6">
        <v>24913.200000000001</v>
      </c>
      <c r="I3169" s="22">
        <v>8456.4</v>
      </c>
      <c r="J3169" s="24">
        <f t="shared" si="147"/>
        <v>5.8595426751150738E-5</v>
      </c>
      <c r="K3169" s="25">
        <f t="shared" si="149"/>
        <v>0.94447157274905957</v>
      </c>
      <c r="L3169" s="26" t="s">
        <v>7517</v>
      </c>
      <c r="M3169" s="28"/>
      <c r="N3169" s="28"/>
      <c r="O3169" s="20" t="s">
        <v>7530</v>
      </c>
      <c r="P3169" s="27" t="str">
        <f t="shared" si="148"/>
        <v>vermelho</v>
      </c>
    </row>
    <row r="3170" spans="1:16" ht="25.5">
      <c r="A3170" s="3" t="s">
        <v>6790</v>
      </c>
      <c r="B3170" s="3" t="s">
        <v>6791</v>
      </c>
      <c r="C3170" s="4">
        <v>197</v>
      </c>
      <c r="D3170" s="3" t="s">
        <v>66</v>
      </c>
      <c r="E3170" s="3" t="s">
        <v>41</v>
      </c>
      <c r="F3170" s="5">
        <v>840</v>
      </c>
      <c r="G3170" s="5">
        <v>132</v>
      </c>
      <c r="H3170" s="6">
        <v>45983.495999999999</v>
      </c>
      <c r="I3170" s="22">
        <v>8455.49</v>
      </c>
      <c r="J3170" s="24">
        <f t="shared" si="147"/>
        <v>5.8589121250187737E-5</v>
      </c>
      <c r="K3170" s="25">
        <f t="shared" si="149"/>
        <v>0.9445301618703098</v>
      </c>
      <c r="L3170" s="26" t="s">
        <v>7517</v>
      </c>
      <c r="M3170" s="28"/>
      <c r="N3170" s="28"/>
      <c r="O3170" s="20" t="s">
        <v>7530</v>
      </c>
      <c r="P3170" s="27" t="str">
        <f t="shared" si="148"/>
        <v>vermelho</v>
      </c>
    </row>
    <row r="3171" spans="1:16" ht="25.5">
      <c r="A3171" s="3" t="s">
        <v>4</v>
      </c>
      <c r="B3171" s="3" t="s">
        <v>2268</v>
      </c>
      <c r="C3171" s="4">
        <v>31</v>
      </c>
      <c r="D3171" s="3" t="s">
        <v>194</v>
      </c>
      <c r="E3171" s="3" t="s">
        <v>16</v>
      </c>
      <c r="F3171" s="5">
        <v>171</v>
      </c>
      <c r="G3171" s="5">
        <v>138</v>
      </c>
      <c r="H3171" s="6">
        <v>9600.84</v>
      </c>
      <c r="I3171" s="22">
        <v>8442.3799999999992</v>
      </c>
      <c r="J3171" s="24">
        <f t="shared" si="147"/>
        <v>5.849828046158885E-5</v>
      </c>
      <c r="K3171" s="25">
        <f t="shared" si="149"/>
        <v>0.94458866015077136</v>
      </c>
      <c r="L3171" s="26" t="s">
        <v>7517</v>
      </c>
      <c r="M3171" s="28"/>
      <c r="N3171" s="28"/>
      <c r="O3171" s="20" t="s">
        <v>7530</v>
      </c>
      <c r="P3171" s="27" t="str">
        <f t="shared" si="148"/>
        <v>vermelho</v>
      </c>
    </row>
    <row r="3172" spans="1:16" ht="25.5">
      <c r="A3172" s="3" t="s">
        <v>4</v>
      </c>
      <c r="B3172" s="3" t="s">
        <v>2269</v>
      </c>
      <c r="C3172" s="4">
        <v>337</v>
      </c>
      <c r="D3172" s="3" t="s">
        <v>202</v>
      </c>
      <c r="E3172" s="3" t="s">
        <v>16</v>
      </c>
      <c r="F3172" s="5">
        <v>84</v>
      </c>
      <c r="G3172" s="5">
        <v>192</v>
      </c>
      <c r="H3172" s="6">
        <v>3294.36</v>
      </c>
      <c r="I3172" s="22">
        <v>8441.2800000000007</v>
      </c>
      <c r="J3172" s="24">
        <f t="shared" si="147"/>
        <v>5.8490658427457756E-5</v>
      </c>
      <c r="K3172" s="25">
        <f t="shared" si="149"/>
        <v>0.94464715080919881</v>
      </c>
      <c r="L3172" s="26" t="s">
        <v>7517</v>
      </c>
      <c r="M3172" s="28"/>
      <c r="N3172" s="28"/>
      <c r="O3172" s="20" t="s">
        <v>7530</v>
      </c>
      <c r="P3172" s="27" t="str">
        <f t="shared" si="148"/>
        <v>vermelho</v>
      </c>
    </row>
    <row r="3173" spans="1:16" ht="38.25">
      <c r="A3173" s="3" t="s">
        <v>4</v>
      </c>
      <c r="B3173" s="3" t="s">
        <v>2270</v>
      </c>
      <c r="C3173" s="4">
        <v>331</v>
      </c>
      <c r="D3173" s="3" t="s">
        <v>603</v>
      </c>
      <c r="E3173" s="3" t="s">
        <v>13</v>
      </c>
      <c r="F3173" s="5">
        <v>0</v>
      </c>
      <c r="G3173" s="5">
        <v>159</v>
      </c>
      <c r="H3173" s="6">
        <v>0</v>
      </c>
      <c r="I3173" s="22">
        <v>8427.48</v>
      </c>
      <c r="J3173" s="24">
        <f t="shared" si="147"/>
        <v>5.8395036544722082E-5</v>
      </c>
      <c r="K3173" s="25">
        <f t="shared" si="149"/>
        <v>0.94470554584574351</v>
      </c>
      <c r="L3173" s="26" t="s">
        <v>7517</v>
      </c>
      <c r="M3173" s="28"/>
      <c r="N3173" s="28">
        <v>-8.7907553222408771E-2</v>
      </c>
      <c r="O3173" s="20">
        <v>2406.6</v>
      </c>
      <c r="P3173" s="27" t="str">
        <f t="shared" si="148"/>
        <v>amarelo</v>
      </c>
    </row>
    <row r="3174" spans="1:16" ht="25.5">
      <c r="A3174" s="3" t="s">
        <v>4</v>
      </c>
      <c r="B3174" s="3" t="s">
        <v>2271</v>
      </c>
      <c r="C3174" s="4">
        <v>218</v>
      </c>
      <c r="D3174" s="3" t="s">
        <v>104</v>
      </c>
      <c r="E3174" s="3" t="s">
        <v>16</v>
      </c>
      <c r="F3174" s="5">
        <v>111</v>
      </c>
      <c r="G3174" s="5">
        <v>144</v>
      </c>
      <c r="H3174" s="6">
        <v>5767.53</v>
      </c>
      <c r="I3174" s="22">
        <v>8425.2000000000007</v>
      </c>
      <c r="J3174" s="24">
        <f t="shared" si="147"/>
        <v>5.8379238146704896E-5</v>
      </c>
      <c r="K3174" s="25">
        <f t="shared" si="149"/>
        <v>0.94476392508389018</v>
      </c>
      <c r="L3174" s="26" t="s">
        <v>7517</v>
      </c>
      <c r="M3174" s="28"/>
      <c r="N3174" s="28"/>
      <c r="O3174" s="20">
        <v>5219.5200000000004</v>
      </c>
      <c r="P3174" s="27" t="str">
        <f t="shared" si="148"/>
        <v>laranja</v>
      </c>
    </row>
    <row r="3175" spans="1:16" ht="38.25">
      <c r="A3175" s="3" t="s">
        <v>4</v>
      </c>
      <c r="B3175" s="3" t="s">
        <v>2272</v>
      </c>
      <c r="C3175" s="4">
        <v>45</v>
      </c>
      <c r="D3175" s="3" t="s">
        <v>23</v>
      </c>
      <c r="E3175" s="3" t="s">
        <v>7</v>
      </c>
      <c r="F3175" s="5">
        <v>0</v>
      </c>
      <c r="G3175" s="5">
        <v>138</v>
      </c>
      <c r="H3175" s="6">
        <v>0</v>
      </c>
      <c r="I3175" s="22">
        <v>8423.64</v>
      </c>
      <c r="J3175" s="24">
        <f t="shared" si="147"/>
        <v>5.836842871648259E-5</v>
      </c>
      <c r="K3175" s="25">
        <f t="shared" si="149"/>
        <v>0.94482229351260671</v>
      </c>
      <c r="L3175" s="26" t="s">
        <v>7517</v>
      </c>
      <c r="M3175" s="28"/>
      <c r="N3175" s="28"/>
      <c r="O3175" s="20" t="s">
        <v>7530</v>
      </c>
      <c r="P3175" s="27" t="str">
        <f t="shared" si="148"/>
        <v>vermelho</v>
      </c>
    </row>
    <row r="3176" spans="1:16" ht="38.25">
      <c r="A3176" s="3" t="s">
        <v>4</v>
      </c>
      <c r="B3176" s="3" t="s">
        <v>2273</v>
      </c>
      <c r="C3176" s="4">
        <v>11</v>
      </c>
      <c r="D3176" s="3" t="s">
        <v>61</v>
      </c>
      <c r="E3176" s="3" t="s">
        <v>10</v>
      </c>
      <c r="F3176" s="5">
        <v>0</v>
      </c>
      <c r="G3176" s="5">
        <v>120</v>
      </c>
      <c r="H3176" s="6">
        <v>0</v>
      </c>
      <c r="I3176" s="22">
        <v>8421.2870000000003</v>
      </c>
      <c r="J3176" s="24">
        <f t="shared" si="147"/>
        <v>5.8352124492563969E-5</v>
      </c>
      <c r="K3176" s="25">
        <f t="shared" si="149"/>
        <v>0.94488064563709928</v>
      </c>
      <c r="L3176" s="26" t="s">
        <v>7517</v>
      </c>
      <c r="M3176" s="28"/>
      <c r="N3176" s="28"/>
      <c r="O3176" s="20" t="s">
        <v>7530</v>
      </c>
      <c r="P3176" s="27" t="str">
        <f t="shared" si="148"/>
        <v>vermelho</v>
      </c>
    </row>
    <row r="3177" spans="1:16" ht="25.5">
      <c r="A3177" s="3" t="s">
        <v>4</v>
      </c>
      <c r="B3177" s="3" t="s">
        <v>2274</v>
      </c>
      <c r="C3177" s="4">
        <v>231</v>
      </c>
      <c r="D3177" s="3" t="s">
        <v>52</v>
      </c>
      <c r="E3177" s="3" t="s">
        <v>7</v>
      </c>
      <c r="F3177" s="5">
        <v>318</v>
      </c>
      <c r="G3177" s="5">
        <v>159</v>
      </c>
      <c r="H3177" s="6">
        <v>18638.61</v>
      </c>
      <c r="I3177" s="22">
        <v>8418.51</v>
      </c>
      <c r="J3177" s="24">
        <f t="shared" si="147"/>
        <v>5.8332882320943903E-5</v>
      </c>
      <c r="K3177" s="25">
        <f t="shared" si="149"/>
        <v>0.94493897851942021</v>
      </c>
      <c r="L3177" s="26" t="s">
        <v>7517</v>
      </c>
      <c r="M3177" s="28"/>
      <c r="N3177" s="28"/>
      <c r="O3177" s="20" t="s">
        <v>7530</v>
      </c>
      <c r="P3177" s="27" t="str">
        <f t="shared" si="148"/>
        <v>vermelho</v>
      </c>
    </row>
    <row r="3178" spans="1:16" ht="25.5">
      <c r="A3178" s="3" t="s">
        <v>4</v>
      </c>
      <c r="B3178" s="3" t="s">
        <v>2275</v>
      </c>
      <c r="C3178" s="4">
        <v>299</v>
      </c>
      <c r="D3178" s="3" t="s">
        <v>111</v>
      </c>
      <c r="E3178" s="3" t="s">
        <v>49</v>
      </c>
      <c r="F3178" s="5">
        <v>72</v>
      </c>
      <c r="G3178" s="5">
        <v>189</v>
      </c>
      <c r="H3178" s="6">
        <v>2237.52</v>
      </c>
      <c r="I3178" s="22">
        <v>8418.15</v>
      </c>
      <c r="J3178" s="24">
        <f t="shared" si="147"/>
        <v>5.8330387837046447E-5</v>
      </c>
      <c r="K3178" s="25">
        <f t="shared" si="149"/>
        <v>0.94499730890725731</v>
      </c>
      <c r="L3178" s="26" t="s">
        <v>7517</v>
      </c>
      <c r="M3178" s="28"/>
      <c r="N3178" s="28"/>
      <c r="O3178" s="20">
        <v>1845.9</v>
      </c>
      <c r="P3178" s="27" t="str">
        <f t="shared" si="148"/>
        <v>amarelo</v>
      </c>
    </row>
    <row r="3179" spans="1:16" ht="25.5">
      <c r="A3179" s="3" t="s">
        <v>6792</v>
      </c>
      <c r="B3179" s="3" t="s">
        <v>6793</v>
      </c>
      <c r="C3179" s="4">
        <v>41</v>
      </c>
      <c r="D3179" s="3" t="s">
        <v>178</v>
      </c>
      <c r="E3179" s="3" t="s">
        <v>41</v>
      </c>
      <c r="F3179" s="5">
        <v>0</v>
      </c>
      <c r="G3179" s="5">
        <v>144</v>
      </c>
      <c r="H3179" s="6">
        <v>0</v>
      </c>
      <c r="I3179" s="22">
        <v>8415.7199999999993</v>
      </c>
      <c r="J3179" s="24">
        <f t="shared" si="147"/>
        <v>5.8313550070738642E-5</v>
      </c>
      <c r="K3179" s="25">
        <f t="shared" si="149"/>
        <v>0.94505562245732799</v>
      </c>
      <c r="L3179" s="26" t="s">
        <v>7517</v>
      </c>
      <c r="M3179" s="28"/>
      <c r="N3179" s="28"/>
      <c r="O3179" s="20" t="s">
        <v>7530</v>
      </c>
      <c r="P3179" s="27" t="str">
        <f t="shared" si="148"/>
        <v>vermelho</v>
      </c>
    </row>
    <row r="3180" spans="1:16" ht="25.5">
      <c r="A3180" s="3" t="s">
        <v>4</v>
      </c>
      <c r="B3180" s="3" t="s">
        <v>2276</v>
      </c>
      <c r="C3180" s="4">
        <v>23</v>
      </c>
      <c r="D3180" s="3" t="s">
        <v>87</v>
      </c>
      <c r="E3180" s="3" t="s">
        <v>7</v>
      </c>
      <c r="F3180" s="5">
        <v>105</v>
      </c>
      <c r="G3180" s="5">
        <v>138</v>
      </c>
      <c r="H3180" s="6">
        <v>6401.13</v>
      </c>
      <c r="I3180" s="22">
        <v>8415</v>
      </c>
      <c r="J3180" s="24">
        <f t="shared" si="147"/>
        <v>5.8308561102943742E-5</v>
      </c>
      <c r="K3180" s="25">
        <f t="shared" si="149"/>
        <v>0.94511393101843089</v>
      </c>
      <c r="L3180" s="26" t="s">
        <v>7517</v>
      </c>
      <c r="M3180" s="28"/>
      <c r="N3180" s="28"/>
      <c r="O3180" s="20">
        <v>5808.78</v>
      </c>
      <c r="P3180" s="27" t="str">
        <f t="shared" si="148"/>
        <v>laranja</v>
      </c>
    </row>
    <row r="3181" spans="1:16" ht="25.5">
      <c r="A3181" s="3" t="s">
        <v>4</v>
      </c>
      <c r="B3181" s="3" t="s">
        <v>2277</v>
      </c>
      <c r="C3181" s="4">
        <v>61</v>
      </c>
      <c r="D3181" s="3" t="s">
        <v>48</v>
      </c>
      <c r="E3181" s="3" t="s">
        <v>49</v>
      </c>
      <c r="F3181" s="5">
        <v>0</v>
      </c>
      <c r="G3181" s="5">
        <v>138</v>
      </c>
      <c r="H3181" s="6">
        <v>0</v>
      </c>
      <c r="I3181" s="22">
        <v>8411.43</v>
      </c>
      <c r="J3181" s="24">
        <f t="shared" si="147"/>
        <v>5.8283824137627348E-5</v>
      </c>
      <c r="K3181" s="25">
        <f t="shared" si="149"/>
        <v>0.94517221484256853</v>
      </c>
      <c r="L3181" s="26" t="s">
        <v>7517</v>
      </c>
      <c r="M3181" s="28"/>
      <c r="N3181" s="28"/>
      <c r="O3181" s="20" t="s">
        <v>7530</v>
      </c>
      <c r="P3181" s="27" t="str">
        <f t="shared" si="148"/>
        <v>vermelho</v>
      </c>
    </row>
    <row r="3182" spans="1:16" ht="38.25">
      <c r="A3182" s="3" t="s">
        <v>6794</v>
      </c>
      <c r="B3182" s="3" t="s">
        <v>6795</v>
      </c>
      <c r="C3182" s="4">
        <v>45</v>
      </c>
      <c r="D3182" s="3" t="s">
        <v>23</v>
      </c>
      <c r="E3182" s="3" t="s">
        <v>7</v>
      </c>
      <c r="F3182" s="5">
        <v>132</v>
      </c>
      <c r="G3182" s="5">
        <v>129</v>
      </c>
      <c r="H3182" s="6">
        <v>8294.82</v>
      </c>
      <c r="I3182" s="22">
        <v>8409.9</v>
      </c>
      <c r="J3182" s="24">
        <f t="shared" si="147"/>
        <v>5.8273222581063169E-5</v>
      </c>
      <c r="K3182" s="25">
        <f t="shared" si="149"/>
        <v>0.94523048806514964</v>
      </c>
      <c r="L3182" s="26" t="s">
        <v>7517</v>
      </c>
      <c r="M3182" s="28"/>
      <c r="N3182" s="28"/>
      <c r="O3182" s="20">
        <v>22904.400000000001</v>
      </c>
      <c r="P3182" s="27" t="str">
        <f t="shared" si="148"/>
        <v>verde</v>
      </c>
    </row>
    <row r="3183" spans="1:16" ht="25.5">
      <c r="A3183" s="3" t="s">
        <v>4</v>
      </c>
      <c r="B3183" s="3" t="s">
        <v>2278</v>
      </c>
      <c r="C3183" s="4">
        <v>208</v>
      </c>
      <c r="D3183" s="3" t="s">
        <v>15</v>
      </c>
      <c r="E3183" s="3" t="s">
        <v>16</v>
      </c>
      <c r="F3183" s="5">
        <v>252</v>
      </c>
      <c r="G3183" s="5">
        <v>144</v>
      </c>
      <c r="H3183" s="6">
        <v>15027.12</v>
      </c>
      <c r="I3183" s="22">
        <v>8409.36</v>
      </c>
      <c r="J3183" s="24">
        <f t="shared" si="147"/>
        <v>5.8269480855217E-5</v>
      </c>
      <c r="K3183" s="25">
        <f t="shared" si="149"/>
        <v>0.94528875754600483</v>
      </c>
      <c r="L3183" s="26" t="s">
        <v>7517</v>
      </c>
      <c r="M3183" s="28"/>
      <c r="N3183" s="28"/>
      <c r="O3183" s="20">
        <v>9609.06</v>
      </c>
      <c r="P3183" s="27" t="str">
        <f t="shared" si="148"/>
        <v>verde</v>
      </c>
    </row>
    <row r="3184" spans="1:16" ht="25.5">
      <c r="A3184" s="3" t="s">
        <v>4</v>
      </c>
      <c r="B3184" s="3" t="s">
        <v>2279</v>
      </c>
      <c r="C3184" s="4">
        <v>266</v>
      </c>
      <c r="D3184" s="3" t="s">
        <v>80</v>
      </c>
      <c r="E3184" s="3" t="s">
        <v>10</v>
      </c>
      <c r="F3184" s="5">
        <v>150</v>
      </c>
      <c r="G3184" s="5">
        <v>174</v>
      </c>
      <c r="H3184" s="6">
        <v>7501.62</v>
      </c>
      <c r="I3184" s="22">
        <v>8409</v>
      </c>
      <c r="J3184" s="24">
        <f t="shared" si="147"/>
        <v>5.8266986371319543E-5</v>
      </c>
      <c r="K3184" s="25">
        <f t="shared" si="149"/>
        <v>0.94534702453237618</v>
      </c>
      <c r="L3184" s="26" t="s">
        <v>7517</v>
      </c>
      <c r="M3184" s="28"/>
      <c r="N3184" s="28"/>
      <c r="O3184" s="20" t="s">
        <v>7530</v>
      </c>
      <c r="P3184" s="27" t="str">
        <f t="shared" si="148"/>
        <v>vermelho</v>
      </c>
    </row>
    <row r="3185" spans="1:16">
      <c r="A3185" s="3" t="s">
        <v>4</v>
      </c>
      <c r="B3185" s="3" t="s">
        <v>2280</v>
      </c>
      <c r="C3185" s="4">
        <v>232</v>
      </c>
      <c r="D3185" s="3" t="s">
        <v>174</v>
      </c>
      <c r="E3185" s="3" t="s">
        <v>16</v>
      </c>
      <c r="F3185" s="5">
        <v>60</v>
      </c>
      <c r="G3185" s="5">
        <v>135</v>
      </c>
      <c r="H3185" s="6">
        <v>3329.64</v>
      </c>
      <c r="I3185" s="22">
        <v>8399.8799999999992</v>
      </c>
      <c r="J3185" s="24">
        <f t="shared" si="147"/>
        <v>5.8203792779250746E-5</v>
      </c>
      <c r="K3185" s="25">
        <f t="shared" si="149"/>
        <v>0.94540522832515539</v>
      </c>
      <c r="L3185" s="26" t="s">
        <v>7517</v>
      </c>
      <c r="M3185" s="28">
        <v>-5.2604224116582381E-2</v>
      </c>
      <c r="N3185" s="28"/>
      <c r="O3185" s="20">
        <v>2553.06</v>
      </c>
      <c r="P3185" s="27" t="str">
        <f t="shared" si="148"/>
        <v>amarelo</v>
      </c>
    </row>
    <row r="3186" spans="1:16" ht="51">
      <c r="A3186" s="3" t="s">
        <v>4</v>
      </c>
      <c r="B3186" s="3" t="s">
        <v>2281</v>
      </c>
      <c r="C3186" s="4">
        <v>282</v>
      </c>
      <c r="D3186" s="3" t="s">
        <v>12</v>
      </c>
      <c r="E3186" s="3" t="s">
        <v>13</v>
      </c>
      <c r="F3186" s="5">
        <v>144</v>
      </c>
      <c r="G3186" s="5">
        <v>126</v>
      </c>
      <c r="H3186" s="6">
        <v>7272</v>
      </c>
      <c r="I3186" s="22">
        <v>8389.2000000000007</v>
      </c>
      <c r="J3186" s="24">
        <f t="shared" si="147"/>
        <v>5.8129789756959677E-5</v>
      </c>
      <c r="K3186" s="25">
        <f t="shared" si="149"/>
        <v>0.94546335811491233</v>
      </c>
      <c r="L3186" s="26" t="s">
        <v>7517</v>
      </c>
      <c r="M3186" s="28"/>
      <c r="N3186" s="28"/>
      <c r="O3186" s="20" t="s">
        <v>7530</v>
      </c>
      <c r="P3186" s="27" t="str">
        <f t="shared" si="148"/>
        <v>vermelho</v>
      </c>
    </row>
    <row r="3187" spans="1:16" ht="25.5">
      <c r="A3187" s="3" t="s">
        <v>4</v>
      </c>
      <c r="B3187" s="3" t="s">
        <v>2282</v>
      </c>
      <c r="C3187" s="4">
        <v>53</v>
      </c>
      <c r="D3187" s="3" t="s">
        <v>34</v>
      </c>
      <c r="E3187" s="3" t="s">
        <v>16</v>
      </c>
      <c r="F3187" s="5">
        <v>276</v>
      </c>
      <c r="G3187" s="5">
        <v>156</v>
      </c>
      <c r="H3187" s="6">
        <v>14493.39</v>
      </c>
      <c r="I3187" s="22">
        <v>8389.14</v>
      </c>
      <c r="J3187" s="24">
        <f t="shared" si="147"/>
        <v>5.8129374009643431E-5</v>
      </c>
      <c r="K3187" s="25">
        <f t="shared" si="149"/>
        <v>0.94552148748892195</v>
      </c>
      <c r="L3187" s="26" t="s">
        <v>7517</v>
      </c>
      <c r="M3187" s="28"/>
      <c r="N3187" s="28"/>
      <c r="O3187" s="20">
        <v>12470.85</v>
      </c>
      <c r="P3187" s="27" t="str">
        <f t="shared" si="148"/>
        <v>verde</v>
      </c>
    </row>
    <row r="3188" spans="1:16" ht="25.5">
      <c r="A3188" s="3" t="s">
        <v>6796</v>
      </c>
      <c r="B3188" s="3" t="s">
        <v>6797</v>
      </c>
      <c r="C3188" s="4">
        <v>296</v>
      </c>
      <c r="D3188" s="3" t="s">
        <v>282</v>
      </c>
      <c r="E3188" s="3" t="s">
        <v>10</v>
      </c>
      <c r="F3188" s="5">
        <v>0</v>
      </c>
      <c r="G3188" s="5">
        <v>144</v>
      </c>
      <c r="H3188" s="6">
        <v>0</v>
      </c>
      <c r="I3188" s="22">
        <v>8386.5069999999996</v>
      </c>
      <c r="J3188" s="24">
        <f t="shared" si="147"/>
        <v>5.8111129631582344E-5</v>
      </c>
      <c r="K3188" s="25">
        <f t="shared" si="149"/>
        <v>0.94557959861855356</v>
      </c>
      <c r="L3188" s="26" t="s">
        <v>7517</v>
      </c>
      <c r="M3188" s="28"/>
      <c r="N3188" s="28"/>
      <c r="O3188" s="20" t="s">
        <v>7530</v>
      </c>
      <c r="P3188" s="27" t="str">
        <f t="shared" si="148"/>
        <v>vermelho</v>
      </c>
    </row>
    <row r="3189" spans="1:16" ht="25.5">
      <c r="A3189" s="3" t="s">
        <v>4</v>
      </c>
      <c r="B3189" s="3" t="s">
        <v>2283</v>
      </c>
      <c r="C3189" s="4">
        <v>299</v>
      </c>
      <c r="D3189" s="3" t="s">
        <v>111</v>
      </c>
      <c r="E3189" s="3" t="s">
        <v>49</v>
      </c>
      <c r="F3189" s="5">
        <v>0</v>
      </c>
      <c r="G3189" s="5">
        <v>138</v>
      </c>
      <c r="H3189" s="6">
        <v>0</v>
      </c>
      <c r="I3189" s="22">
        <v>8382.6200000000008</v>
      </c>
      <c r="J3189" s="24">
        <f t="shared" si="147"/>
        <v>5.8084196134611802E-5</v>
      </c>
      <c r="K3189" s="25">
        <f t="shared" si="149"/>
        <v>0.94563768281468819</v>
      </c>
      <c r="L3189" s="26" t="s">
        <v>7517</v>
      </c>
      <c r="M3189" s="28"/>
      <c r="N3189" s="28"/>
      <c r="O3189" s="20" t="s">
        <v>7530</v>
      </c>
      <c r="P3189" s="27" t="str">
        <f t="shared" si="148"/>
        <v>vermelho</v>
      </c>
    </row>
    <row r="3190" spans="1:16" ht="25.5">
      <c r="A3190" s="3" t="s">
        <v>6798</v>
      </c>
      <c r="B3190" s="3" t="s">
        <v>6799</v>
      </c>
      <c r="C3190" s="4">
        <v>41</v>
      </c>
      <c r="D3190" s="3" t="s">
        <v>178</v>
      </c>
      <c r="E3190" s="3" t="s">
        <v>41</v>
      </c>
      <c r="F3190" s="5">
        <v>768</v>
      </c>
      <c r="G3190" s="5">
        <v>132</v>
      </c>
      <c r="H3190" s="6">
        <v>47767.44</v>
      </c>
      <c r="I3190" s="22">
        <v>8378.64</v>
      </c>
      <c r="J3190" s="24">
        <f t="shared" si="147"/>
        <v>5.8056618229301074E-5</v>
      </c>
      <c r="K3190" s="25">
        <f t="shared" si="149"/>
        <v>0.94569573943291751</v>
      </c>
      <c r="L3190" s="26" t="s">
        <v>7517</v>
      </c>
      <c r="M3190" s="28"/>
      <c r="N3190" s="28"/>
      <c r="O3190" s="20" t="s">
        <v>7530</v>
      </c>
      <c r="P3190" s="27" t="str">
        <f t="shared" si="148"/>
        <v>vermelho</v>
      </c>
    </row>
    <row r="3191" spans="1:16" ht="25.5">
      <c r="A3191" s="3" t="s">
        <v>4</v>
      </c>
      <c r="B3191" s="3" t="s">
        <v>2284</v>
      </c>
      <c r="C3191" s="4">
        <v>327</v>
      </c>
      <c r="D3191" s="3" t="s">
        <v>100</v>
      </c>
      <c r="E3191" s="3" t="s">
        <v>7</v>
      </c>
      <c r="F3191" s="5">
        <v>0</v>
      </c>
      <c r="G3191" s="5">
        <v>162</v>
      </c>
      <c r="H3191" s="6">
        <v>0</v>
      </c>
      <c r="I3191" s="22">
        <v>8378.4599999999991</v>
      </c>
      <c r="J3191" s="24">
        <f t="shared" si="147"/>
        <v>5.8055370987352349E-5</v>
      </c>
      <c r="K3191" s="25">
        <f t="shared" si="149"/>
        <v>0.94575379480390487</v>
      </c>
      <c r="L3191" s="26" t="s">
        <v>7517</v>
      </c>
      <c r="M3191" s="28"/>
      <c r="N3191" s="28"/>
      <c r="O3191" s="20">
        <v>9113.73</v>
      </c>
      <c r="P3191" s="27" t="str">
        <f t="shared" si="148"/>
        <v>verde</v>
      </c>
    </row>
    <row r="3192" spans="1:16" ht="38.25">
      <c r="A3192" s="3" t="s">
        <v>4</v>
      </c>
      <c r="B3192" s="3" t="s">
        <v>2285</v>
      </c>
      <c r="C3192" s="4">
        <v>34</v>
      </c>
      <c r="D3192" s="3" t="s">
        <v>54</v>
      </c>
      <c r="E3192" s="3" t="s">
        <v>49</v>
      </c>
      <c r="F3192" s="5">
        <v>120</v>
      </c>
      <c r="G3192" s="5">
        <v>144</v>
      </c>
      <c r="H3192" s="6">
        <v>6529.92</v>
      </c>
      <c r="I3192" s="22">
        <v>8370.7199999999993</v>
      </c>
      <c r="J3192" s="24">
        <f t="shared" si="147"/>
        <v>5.8001739583557126E-5</v>
      </c>
      <c r="K3192" s="25">
        <f t="shared" si="149"/>
        <v>0.94581179654348846</v>
      </c>
      <c r="L3192" s="26" t="s">
        <v>7517</v>
      </c>
      <c r="M3192" s="28"/>
      <c r="N3192" s="28"/>
      <c r="O3192" s="20" t="s">
        <v>7530</v>
      </c>
      <c r="P3192" s="27" t="str">
        <f t="shared" si="148"/>
        <v>vermelho</v>
      </c>
    </row>
    <row r="3193" spans="1:16" ht="25.5">
      <c r="A3193" s="3" t="s">
        <v>4</v>
      </c>
      <c r="B3193" s="3" t="s">
        <v>2286</v>
      </c>
      <c r="C3193" s="4">
        <v>327</v>
      </c>
      <c r="D3193" s="3" t="s">
        <v>100</v>
      </c>
      <c r="E3193" s="3" t="s">
        <v>7</v>
      </c>
      <c r="F3193" s="5">
        <v>0</v>
      </c>
      <c r="G3193" s="5">
        <v>99</v>
      </c>
      <c r="H3193" s="6">
        <v>0</v>
      </c>
      <c r="I3193" s="22">
        <v>8368.83</v>
      </c>
      <c r="J3193" s="24">
        <f t="shared" si="147"/>
        <v>5.798864354309551E-5</v>
      </c>
      <c r="K3193" s="25">
        <f t="shared" si="149"/>
        <v>0.94586978518703158</v>
      </c>
      <c r="L3193" s="26" t="s">
        <v>7517</v>
      </c>
      <c r="M3193" s="28"/>
      <c r="N3193" s="28"/>
      <c r="O3193" s="20">
        <v>8368.83</v>
      </c>
      <c r="P3193" s="27" t="str">
        <f t="shared" si="148"/>
        <v>verde</v>
      </c>
    </row>
    <row r="3194" spans="1:16" ht="25.5">
      <c r="A3194" s="3" t="s">
        <v>4</v>
      </c>
      <c r="B3194" s="3" t="s">
        <v>2287</v>
      </c>
      <c r="C3194" s="4">
        <v>53</v>
      </c>
      <c r="D3194" s="3" t="s">
        <v>34</v>
      </c>
      <c r="E3194" s="3" t="s">
        <v>16</v>
      </c>
      <c r="F3194" s="5">
        <v>516</v>
      </c>
      <c r="G3194" s="5">
        <v>156</v>
      </c>
      <c r="H3194" s="6">
        <v>32429.88</v>
      </c>
      <c r="I3194" s="22">
        <v>8366.76</v>
      </c>
      <c r="J3194" s="24">
        <f t="shared" si="147"/>
        <v>5.7974300260685162E-5</v>
      </c>
      <c r="K3194" s="25">
        <f t="shared" si="149"/>
        <v>0.94592775948729224</v>
      </c>
      <c r="L3194" s="26" t="s">
        <v>7517</v>
      </c>
      <c r="M3194" s="28"/>
      <c r="N3194" s="28"/>
      <c r="O3194" s="20" t="s">
        <v>7530</v>
      </c>
      <c r="P3194" s="27" t="str">
        <f t="shared" si="148"/>
        <v>vermelho</v>
      </c>
    </row>
    <row r="3195" spans="1:16" ht="38.25">
      <c r="A3195" s="3" t="s">
        <v>4</v>
      </c>
      <c r="B3195" s="3" t="s">
        <v>2288</v>
      </c>
      <c r="C3195" s="4">
        <v>143</v>
      </c>
      <c r="D3195" s="3" t="s">
        <v>44</v>
      </c>
      <c r="E3195" s="3" t="s">
        <v>41</v>
      </c>
      <c r="F3195" s="5">
        <v>222</v>
      </c>
      <c r="G3195" s="5">
        <v>120</v>
      </c>
      <c r="H3195" s="6">
        <v>13159.32</v>
      </c>
      <c r="I3195" s="22">
        <v>8362.68</v>
      </c>
      <c r="J3195" s="24">
        <f t="shared" si="147"/>
        <v>5.7946029443180699E-5</v>
      </c>
      <c r="K3195" s="25">
        <f t="shared" si="149"/>
        <v>0.94598570551673544</v>
      </c>
      <c r="L3195" s="26" t="s">
        <v>7517</v>
      </c>
      <c r="M3195" s="28"/>
      <c r="N3195" s="28"/>
      <c r="O3195" s="20" t="s">
        <v>7530</v>
      </c>
      <c r="P3195" s="27" t="str">
        <f t="shared" si="148"/>
        <v>vermelho</v>
      </c>
    </row>
    <row r="3196" spans="1:16" ht="25.5">
      <c r="A3196" s="3" t="s">
        <v>4</v>
      </c>
      <c r="B3196" s="3" t="s">
        <v>2289</v>
      </c>
      <c r="C3196" s="4">
        <v>39</v>
      </c>
      <c r="D3196" s="3" t="s">
        <v>26</v>
      </c>
      <c r="E3196" s="3" t="s">
        <v>13</v>
      </c>
      <c r="F3196" s="5">
        <v>108</v>
      </c>
      <c r="G3196" s="5">
        <v>132</v>
      </c>
      <c r="H3196" s="6">
        <v>5806.92</v>
      </c>
      <c r="I3196" s="22">
        <v>8362.32</v>
      </c>
      <c r="J3196" s="24">
        <f t="shared" si="147"/>
        <v>5.7943534959283249E-5</v>
      </c>
      <c r="K3196" s="25">
        <f t="shared" si="149"/>
        <v>0.94604364905169469</v>
      </c>
      <c r="L3196" s="26" t="s">
        <v>7517</v>
      </c>
      <c r="M3196" s="28">
        <v>-3.8042018856511817E-2</v>
      </c>
      <c r="N3196" s="28"/>
      <c r="O3196" s="20">
        <v>5113.32</v>
      </c>
      <c r="P3196" s="27" t="str">
        <f t="shared" si="148"/>
        <v>laranja</v>
      </c>
    </row>
    <row r="3197" spans="1:16" ht="25.5">
      <c r="A3197" s="3" t="s">
        <v>4</v>
      </c>
      <c r="B3197" s="3" t="s">
        <v>2290</v>
      </c>
      <c r="C3197" s="4">
        <v>337</v>
      </c>
      <c r="D3197" s="3" t="s">
        <v>202</v>
      </c>
      <c r="E3197" s="3" t="s">
        <v>16</v>
      </c>
      <c r="F3197" s="5">
        <v>240</v>
      </c>
      <c r="G3197" s="5">
        <v>150</v>
      </c>
      <c r="H3197" s="6">
        <v>11654.16</v>
      </c>
      <c r="I3197" s="22">
        <v>8354.0400000000009</v>
      </c>
      <c r="J3197" s="24">
        <f t="shared" si="147"/>
        <v>5.7886161829641851E-5</v>
      </c>
      <c r="K3197" s="25">
        <f t="shared" si="149"/>
        <v>0.94610153521352436</v>
      </c>
      <c r="L3197" s="26" t="s">
        <v>7517</v>
      </c>
      <c r="M3197" s="28"/>
      <c r="N3197" s="28"/>
      <c r="O3197" s="20" t="s">
        <v>7530</v>
      </c>
      <c r="P3197" s="27" t="str">
        <f t="shared" si="148"/>
        <v>vermelho</v>
      </c>
    </row>
    <row r="3198" spans="1:16" ht="25.5">
      <c r="A3198" s="3" t="s">
        <v>4</v>
      </c>
      <c r="B3198" s="3" t="s">
        <v>2291</v>
      </c>
      <c r="C3198" s="4">
        <v>328</v>
      </c>
      <c r="D3198" s="3" t="s">
        <v>215</v>
      </c>
      <c r="E3198" s="3" t="s">
        <v>41</v>
      </c>
      <c r="F3198" s="5">
        <v>0</v>
      </c>
      <c r="G3198" s="5">
        <v>135</v>
      </c>
      <c r="H3198" s="6">
        <v>0</v>
      </c>
      <c r="I3198" s="22">
        <v>8348.94</v>
      </c>
      <c r="J3198" s="24">
        <f t="shared" si="147"/>
        <v>5.7850823307761278E-5</v>
      </c>
      <c r="K3198" s="25">
        <f t="shared" si="149"/>
        <v>0.94615938603683214</v>
      </c>
      <c r="L3198" s="26" t="s">
        <v>7517</v>
      </c>
      <c r="M3198" s="28"/>
      <c r="N3198" s="28"/>
      <c r="O3198" s="20" t="s">
        <v>7530</v>
      </c>
      <c r="P3198" s="27" t="str">
        <f t="shared" si="148"/>
        <v>vermelho</v>
      </c>
    </row>
    <row r="3199" spans="1:16" ht="38.25">
      <c r="A3199" s="3" t="s">
        <v>4</v>
      </c>
      <c r="B3199" s="3" t="s">
        <v>2292</v>
      </c>
      <c r="C3199" s="4">
        <v>371</v>
      </c>
      <c r="D3199" s="3" t="s">
        <v>82</v>
      </c>
      <c r="E3199" s="3" t="s">
        <v>49</v>
      </c>
      <c r="F3199" s="5">
        <v>0</v>
      </c>
      <c r="G3199" s="5">
        <v>144</v>
      </c>
      <c r="H3199" s="6">
        <v>0</v>
      </c>
      <c r="I3199" s="22">
        <v>8343.2099999999991</v>
      </c>
      <c r="J3199" s="24">
        <f t="shared" si="147"/>
        <v>5.7811119439060157E-5</v>
      </c>
      <c r="K3199" s="25">
        <f t="shared" si="149"/>
        <v>0.94621719715627117</v>
      </c>
      <c r="L3199" s="26" t="s">
        <v>7517</v>
      </c>
      <c r="M3199" s="28"/>
      <c r="N3199" s="28">
        <v>0.1032961023787571</v>
      </c>
      <c r="O3199" s="20">
        <v>1884.96</v>
      </c>
      <c r="P3199" s="27" t="str">
        <f t="shared" si="148"/>
        <v>amarelo</v>
      </c>
    </row>
    <row r="3200" spans="1:16" ht="25.5">
      <c r="A3200" s="3" t="s">
        <v>4</v>
      </c>
      <c r="B3200" s="3" t="s">
        <v>2293</v>
      </c>
      <c r="C3200" s="4">
        <v>218</v>
      </c>
      <c r="D3200" s="3" t="s">
        <v>104</v>
      </c>
      <c r="E3200" s="3" t="s">
        <v>16</v>
      </c>
      <c r="F3200" s="5">
        <v>132</v>
      </c>
      <c r="G3200" s="5">
        <v>147</v>
      </c>
      <c r="H3200" s="6">
        <v>6898.68</v>
      </c>
      <c r="I3200" s="22">
        <v>8335.98</v>
      </c>
      <c r="J3200" s="24">
        <f t="shared" si="147"/>
        <v>5.7761021887452996E-5</v>
      </c>
      <c r="K3200" s="25">
        <f t="shared" si="149"/>
        <v>0.94627495817815865</v>
      </c>
      <c r="L3200" s="26" t="s">
        <v>7517</v>
      </c>
      <c r="M3200" s="28"/>
      <c r="N3200" s="28"/>
      <c r="O3200" s="20" t="s">
        <v>7530</v>
      </c>
      <c r="P3200" s="27" t="str">
        <f t="shared" si="148"/>
        <v>vermelho</v>
      </c>
    </row>
    <row r="3201" spans="1:16" ht="25.5">
      <c r="A3201" s="3" t="s">
        <v>4</v>
      </c>
      <c r="B3201" s="3" t="s">
        <v>2294</v>
      </c>
      <c r="C3201" s="4">
        <v>299</v>
      </c>
      <c r="D3201" s="3" t="s">
        <v>111</v>
      </c>
      <c r="E3201" s="3" t="s">
        <v>49</v>
      </c>
      <c r="F3201" s="5">
        <v>48</v>
      </c>
      <c r="G3201" s="5">
        <v>180</v>
      </c>
      <c r="H3201" s="6">
        <v>2629.8</v>
      </c>
      <c r="I3201" s="22">
        <v>8333.0400000000009</v>
      </c>
      <c r="J3201" s="24">
        <f t="shared" si="147"/>
        <v>5.7740650268957149E-5</v>
      </c>
      <c r="K3201" s="25">
        <f t="shared" si="149"/>
        <v>0.94633269882842763</v>
      </c>
      <c r="L3201" s="26" t="s">
        <v>7517</v>
      </c>
      <c r="M3201" s="28"/>
      <c r="N3201" s="28"/>
      <c r="O3201" s="20" t="s">
        <v>7530</v>
      </c>
      <c r="P3201" s="27" t="str">
        <f t="shared" si="148"/>
        <v>vermelho</v>
      </c>
    </row>
    <row r="3202" spans="1:16" ht="25.5">
      <c r="A3202" s="3" t="s">
        <v>4</v>
      </c>
      <c r="B3202" s="3" t="s">
        <v>2295</v>
      </c>
      <c r="C3202" s="4">
        <v>187</v>
      </c>
      <c r="D3202" s="3" t="s">
        <v>96</v>
      </c>
      <c r="E3202" s="3" t="s">
        <v>7</v>
      </c>
      <c r="F3202" s="5">
        <v>90</v>
      </c>
      <c r="G3202" s="5">
        <v>120</v>
      </c>
      <c r="H3202" s="6">
        <v>6181.11</v>
      </c>
      <c r="I3202" s="22">
        <v>8322.6</v>
      </c>
      <c r="J3202" s="24">
        <f t="shared" si="147"/>
        <v>5.7668310235931031E-5</v>
      </c>
      <c r="K3202" s="25">
        <f t="shared" si="149"/>
        <v>0.94639036713866354</v>
      </c>
      <c r="L3202" s="26" t="s">
        <v>7517</v>
      </c>
      <c r="M3202" s="28">
        <v>-4.1809809872472535E-3</v>
      </c>
      <c r="N3202" s="28"/>
      <c r="O3202" s="20">
        <v>8322.6</v>
      </c>
      <c r="P3202" s="27" t="str">
        <f t="shared" si="148"/>
        <v>verde</v>
      </c>
    </row>
    <row r="3203" spans="1:16" ht="38.25">
      <c r="A3203" s="3" t="s">
        <v>4</v>
      </c>
      <c r="B3203" s="3" t="s">
        <v>2296</v>
      </c>
      <c r="C3203" s="4">
        <v>34</v>
      </c>
      <c r="D3203" s="3" t="s">
        <v>54</v>
      </c>
      <c r="E3203" s="3" t="s">
        <v>49</v>
      </c>
      <c r="F3203" s="5">
        <v>240</v>
      </c>
      <c r="G3203" s="5">
        <v>144</v>
      </c>
      <c r="H3203" s="6">
        <v>12223.35</v>
      </c>
      <c r="I3203" s="22">
        <v>8322.57</v>
      </c>
      <c r="J3203" s="24">
        <f t="shared" ref="J3203:J3266" si="150">I3203/$I$6364</f>
        <v>5.7668102362272905E-5</v>
      </c>
      <c r="K3203" s="25">
        <f t="shared" si="149"/>
        <v>0.94644803524102583</v>
      </c>
      <c r="L3203" s="26" t="s">
        <v>7517</v>
      </c>
      <c r="M3203" s="28"/>
      <c r="N3203" s="28"/>
      <c r="O3203" s="20" t="s">
        <v>7530</v>
      </c>
      <c r="P3203" s="27" t="str">
        <f t="shared" ref="P3203:P3266" si="151">IF(O3203&lt;=0,"vermelho",IFERROR(IF(O3203/I3203&lt;=0.5098,"amarelo",IF(O3203/I3203&lt;1,"laranja","verde")),"vermelho"))</f>
        <v>vermelho</v>
      </c>
    </row>
    <row r="3204" spans="1:16" ht="25.5">
      <c r="A3204" s="3" t="s">
        <v>6800</v>
      </c>
      <c r="B3204" s="3" t="s">
        <v>6801</v>
      </c>
      <c r="C3204" s="4">
        <v>266</v>
      </c>
      <c r="D3204" s="3" t="s">
        <v>80</v>
      </c>
      <c r="E3204" s="3" t="s">
        <v>10</v>
      </c>
      <c r="F3204" s="5">
        <v>0</v>
      </c>
      <c r="G3204" s="5">
        <v>138</v>
      </c>
      <c r="H3204" s="6">
        <v>0</v>
      </c>
      <c r="I3204" s="22">
        <v>8309.73</v>
      </c>
      <c r="J3204" s="24">
        <f t="shared" si="150"/>
        <v>5.7579132436597108E-5</v>
      </c>
      <c r="K3204" s="25">
        <f t="shared" ref="K3204:K3267" si="152">J3204+K3203</f>
        <v>0.94650561437346248</v>
      </c>
      <c r="L3204" s="26" t="s">
        <v>7517</v>
      </c>
      <c r="M3204" s="28"/>
      <c r="N3204" s="28"/>
      <c r="O3204" s="20" t="s">
        <v>7530</v>
      </c>
      <c r="P3204" s="27" t="str">
        <f t="shared" si="151"/>
        <v>vermelho</v>
      </c>
    </row>
    <row r="3205" spans="1:16" ht="25.5">
      <c r="A3205" s="3" t="s">
        <v>4</v>
      </c>
      <c r="B3205" s="3" t="s">
        <v>2297</v>
      </c>
      <c r="C3205" s="4">
        <v>93</v>
      </c>
      <c r="D3205" s="3" t="s">
        <v>20</v>
      </c>
      <c r="E3205" s="3" t="s">
        <v>7</v>
      </c>
      <c r="F3205" s="5">
        <v>96</v>
      </c>
      <c r="G3205" s="5">
        <v>144</v>
      </c>
      <c r="H3205" s="6">
        <v>5498.8580000000002</v>
      </c>
      <c r="I3205" s="22">
        <v>8308.92</v>
      </c>
      <c r="J3205" s="24">
        <f t="shared" si="150"/>
        <v>5.7573519847827849E-5</v>
      </c>
      <c r="K3205" s="25">
        <f t="shared" si="152"/>
        <v>0.94656318789331029</v>
      </c>
      <c r="L3205" s="26" t="s">
        <v>7517</v>
      </c>
      <c r="M3205" s="28"/>
      <c r="N3205" s="28"/>
      <c r="O3205" s="20" t="s">
        <v>7530</v>
      </c>
      <c r="P3205" s="27" t="str">
        <f t="shared" si="151"/>
        <v>vermelho</v>
      </c>
    </row>
    <row r="3206" spans="1:16" ht="25.5">
      <c r="A3206" s="3" t="s">
        <v>4</v>
      </c>
      <c r="B3206" s="3" t="s">
        <v>2298</v>
      </c>
      <c r="C3206" s="4">
        <v>315</v>
      </c>
      <c r="D3206" s="3" t="s">
        <v>63</v>
      </c>
      <c r="E3206" s="3" t="s">
        <v>7</v>
      </c>
      <c r="F3206" s="5">
        <v>0</v>
      </c>
      <c r="G3206" s="5">
        <v>135</v>
      </c>
      <c r="H3206" s="6">
        <v>0</v>
      </c>
      <c r="I3206" s="22">
        <v>8302.65</v>
      </c>
      <c r="J3206" s="24">
        <f t="shared" si="150"/>
        <v>5.7530074253280553E-5</v>
      </c>
      <c r="K3206" s="25">
        <f t="shared" si="152"/>
        <v>0.94662071796756353</v>
      </c>
      <c r="L3206" s="26" t="s">
        <v>7517</v>
      </c>
      <c r="M3206" s="28"/>
      <c r="N3206" s="28"/>
      <c r="O3206" s="20" t="s">
        <v>7530</v>
      </c>
      <c r="P3206" s="27" t="str">
        <f t="shared" si="151"/>
        <v>vermelho</v>
      </c>
    </row>
    <row r="3207" spans="1:16" ht="25.5">
      <c r="A3207" s="3" t="s">
        <v>4</v>
      </c>
      <c r="B3207" s="3" t="s">
        <v>2299</v>
      </c>
      <c r="C3207" s="4">
        <v>299</v>
      </c>
      <c r="D3207" s="3" t="s">
        <v>111</v>
      </c>
      <c r="E3207" s="3" t="s">
        <v>49</v>
      </c>
      <c r="F3207" s="5">
        <v>225</v>
      </c>
      <c r="G3207" s="5">
        <v>132</v>
      </c>
      <c r="H3207" s="6">
        <v>11159.982</v>
      </c>
      <c r="I3207" s="22">
        <v>8295.48</v>
      </c>
      <c r="J3207" s="24">
        <f t="shared" si="150"/>
        <v>5.7480392448989632E-5</v>
      </c>
      <c r="K3207" s="25">
        <f t="shared" si="152"/>
        <v>0.94667819836001255</v>
      </c>
      <c r="L3207" s="26" t="s">
        <v>7517</v>
      </c>
      <c r="M3207" s="28"/>
      <c r="N3207" s="28"/>
      <c r="O3207" s="20">
        <v>10035.540000000001</v>
      </c>
      <c r="P3207" s="27" t="str">
        <f t="shared" si="151"/>
        <v>verde</v>
      </c>
    </row>
    <row r="3208" spans="1:16" ht="25.5">
      <c r="A3208" s="3" t="s">
        <v>4</v>
      </c>
      <c r="B3208" s="3" t="s">
        <v>2300</v>
      </c>
      <c r="C3208" s="4">
        <v>231</v>
      </c>
      <c r="D3208" s="3" t="s">
        <v>52</v>
      </c>
      <c r="E3208" s="3" t="s">
        <v>7</v>
      </c>
      <c r="F3208" s="5">
        <v>156</v>
      </c>
      <c r="G3208" s="5">
        <v>138</v>
      </c>
      <c r="H3208" s="6">
        <v>9371.1</v>
      </c>
      <c r="I3208" s="22">
        <v>8273.1</v>
      </c>
      <c r="J3208" s="24">
        <f t="shared" si="150"/>
        <v>5.7325318700031363E-5</v>
      </c>
      <c r="K3208" s="25">
        <f t="shared" si="152"/>
        <v>0.94673552367871261</v>
      </c>
      <c r="L3208" s="26" t="s">
        <v>7517</v>
      </c>
      <c r="M3208" s="28"/>
      <c r="N3208" s="28"/>
      <c r="O3208" s="20" t="s">
        <v>7530</v>
      </c>
      <c r="P3208" s="27" t="str">
        <f t="shared" si="151"/>
        <v>vermelho</v>
      </c>
    </row>
    <row r="3209" spans="1:16">
      <c r="A3209" s="3" t="s">
        <v>6802</v>
      </c>
      <c r="B3209" s="3" t="s">
        <v>6803</v>
      </c>
      <c r="C3209" s="4">
        <v>240</v>
      </c>
      <c r="D3209" s="3" t="s">
        <v>69</v>
      </c>
      <c r="E3209" s="3" t="s">
        <v>16</v>
      </c>
      <c r="F3209" s="5">
        <v>120</v>
      </c>
      <c r="G3209" s="5">
        <v>144</v>
      </c>
      <c r="H3209" s="6">
        <v>6979.38</v>
      </c>
      <c r="I3209" s="22">
        <v>8271.6299999999992</v>
      </c>
      <c r="J3209" s="24">
        <f t="shared" si="150"/>
        <v>5.7315132890783422E-5</v>
      </c>
      <c r="K3209" s="25">
        <f t="shared" si="152"/>
        <v>0.94679283881160337</v>
      </c>
      <c r="L3209" s="26" t="s">
        <v>7517</v>
      </c>
      <c r="M3209" s="28"/>
      <c r="N3209" s="28"/>
      <c r="O3209" s="20" t="s">
        <v>7530</v>
      </c>
      <c r="P3209" s="27" t="str">
        <f t="shared" si="151"/>
        <v>vermelho</v>
      </c>
    </row>
    <row r="3210" spans="1:16" ht="25.5">
      <c r="A3210" s="3" t="s">
        <v>4</v>
      </c>
      <c r="B3210" s="3" t="s">
        <v>2301</v>
      </c>
      <c r="C3210" s="4">
        <v>270</v>
      </c>
      <c r="D3210" s="3" t="s">
        <v>266</v>
      </c>
      <c r="E3210" s="3" t="s">
        <v>49</v>
      </c>
      <c r="F3210" s="5">
        <v>0</v>
      </c>
      <c r="G3210" s="5">
        <v>144</v>
      </c>
      <c r="H3210" s="6">
        <v>0</v>
      </c>
      <c r="I3210" s="22">
        <v>8266.56</v>
      </c>
      <c r="J3210" s="24">
        <f t="shared" si="150"/>
        <v>5.7280002242560975E-5</v>
      </c>
      <c r="K3210" s="25">
        <f t="shared" si="152"/>
        <v>0.94685011881384595</v>
      </c>
      <c r="L3210" s="26" t="s">
        <v>7517</v>
      </c>
      <c r="M3210" s="28"/>
      <c r="N3210" s="28"/>
      <c r="O3210" s="20" t="s">
        <v>7530</v>
      </c>
      <c r="P3210" s="27" t="str">
        <f t="shared" si="151"/>
        <v>vermelho</v>
      </c>
    </row>
    <row r="3211" spans="1:16" ht="25.5">
      <c r="A3211" s="3" t="s">
        <v>4</v>
      </c>
      <c r="B3211" s="3" t="s">
        <v>2302</v>
      </c>
      <c r="C3211" s="4">
        <v>337</v>
      </c>
      <c r="D3211" s="3" t="s">
        <v>202</v>
      </c>
      <c r="E3211" s="3" t="s">
        <v>16</v>
      </c>
      <c r="F3211" s="5">
        <v>96</v>
      </c>
      <c r="G3211" s="5">
        <v>132</v>
      </c>
      <c r="H3211" s="6">
        <v>5213.28</v>
      </c>
      <c r="I3211" s="22">
        <v>8264.0400000000009</v>
      </c>
      <c r="J3211" s="24">
        <f t="shared" si="150"/>
        <v>5.7262540855278819E-5</v>
      </c>
      <c r="K3211" s="25">
        <f t="shared" si="152"/>
        <v>0.94690738135470121</v>
      </c>
      <c r="L3211" s="26" t="s">
        <v>7517</v>
      </c>
      <c r="M3211" s="28"/>
      <c r="N3211" s="28"/>
      <c r="O3211" s="20" t="s">
        <v>7530</v>
      </c>
      <c r="P3211" s="27" t="str">
        <f t="shared" si="151"/>
        <v>vermelho</v>
      </c>
    </row>
    <row r="3212" spans="1:16">
      <c r="A3212" s="3" t="s">
        <v>4</v>
      </c>
      <c r="B3212" s="3" t="s">
        <v>2303</v>
      </c>
      <c r="C3212" s="4">
        <v>217</v>
      </c>
      <c r="D3212" s="3" t="s">
        <v>91</v>
      </c>
      <c r="E3212" s="3" t="s">
        <v>16</v>
      </c>
      <c r="F3212" s="5">
        <v>0</v>
      </c>
      <c r="G3212" s="5">
        <v>144</v>
      </c>
      <c r="H3212" s="6">
        <v>0</v>
      </c>
      <c r="I3212" s="22">
        <v>8258.76</v>
      </c>
      <c r="J3212" s="24">
        <f t="shared" si="150"/>
        <v>5.722595509144952E-5</v>
      </c>
      <c r="K3212" s="25">
        <f t="shared" si="152"/>
        <v>0.94696460730979271</v>
      </c>
      <c r="L3212" s="26" t="s">
        <v>7517</v>
      </c>
      <c r="M3212" s="28"/>
      <c r="N3212" s="28"/>
      <c r="O3212" s="20">
        <v>8541</v>
      </c>
      <c r="P3212" s="27" t="str">
        <f t="shared" si="151"/>
        <v>verde</v>
      </c>
    </row>
    <row r="3213" spans="1:16" ht="38.25">
      <c r="A3213" s="3" t="s">
        <v>4</v>
      </c>
      <c r="B3213" s="3" t="s">
        <v>2304</v>
      </c>
      <c r="C3213" s="4">
        <v>301</v>
      </c>
      <c r="D3213" s="3" t="s">
        <v>519</v>
      </c>
      <c r="E3213" s="3" t="s">
        <v>16</v>
      </c>
      <c r="F3213" s="5">
        <v>0</v>
      </c>
      <c r="G3213" s="5">
        <v>132</v>
      </c>
      <c r="H3213" s="6">
        <v>0</v>
      </c>
      <c r="I3213" s="22">
        <v>8258.16</v>
      </c>
      <c r="J3213" s="24">
        <f t="shared" si="150"/>
        <v>5.7221797618287092E-5</v>
      </c>
      <c r="K3213" s="25">
        <f t="shared" si="152"/>
        <v>0.94702182910741095</v>
      </c>
      <c r="L3213" s="26" t="s">
        <v>7517</v>
      </c>
      <c r="M3213" s="28"/>
      <c r="N3213" s="28"/>
      <c r="O3213" s="20">
        <v>11354.73</v>
      </c>
      <c r="P3213" s="27" t="str">
        <f t="shared" si="151"/>
        <v>verde</v>
      </c>
    </row>
    <row r="3214" spans="1:16" ht="25.5">
      <c r="A3214" s="3" t="s">
        <v>4</v>
      </c>
      <c r="B3214" s="3" t="s">
        <v>2305</v>
      </c>
      <c r="C3214" s="4">
        <v>335</v>
      </c>
      <c r="D3214" s="3" t="s">
        <v>36</v>
      </c>
      <c r="E3214" s="3" t="s">
        <v>7</v>
      </c>
      <c r="F3214" s="5">
        <v>0</v>
      </c>
      <c r="G3214" s="5">
        <v>144</v>
      </c>
      <c r="H3214" s="6">
        <v>0</v>
      </c>
      <c r="I3214" s="22">
        <v>8256</v>
      </c>
      <c r="J3214" s="24">
        <f t="shared" si="150"/>
        <v>5.7206830714902385E-5</v>
      </c>
      <c r="K3214" s="25">
        <f t="shared" si="152"/>
        <v>0.94707903593812581</v>
      </c>
      <c r="L3214" s="26" t="s">
        <v>7517</v>
      </c>
      <c r="M3214" s="28"/>
      <c r="N3214" s="28"/>
      <c r="O3214" s="20">
        <v>5727</v>
      </c>
      <c r="P3214" s="27" t="str">
        <f t="shared" si="151"/>
        <v>laranja</v>
      </c>
    </row>
    <row r="3215" spans="1:16" ht="38.25">
      <c r="A3215" s="3" t="s">
        <v>4</v>
      </c>
      <c r="B3215" s="3" t="s">
        <v>2306</v>
      </c>
      <c r="C3215" s="4">
        <v>143</v>
      </c>
      <c r="D3215" s="3" t="s">
        <v>44</v>
      </c>
      <c r="E3215" s="3" t="s">
        <v>41</v>
      </c>
      <c r="F3215" s="5">
        <v>324</v>
      </c>
      <c r="G3215" s="5">
        <v>120</v>
      </c>
      <c r="H3215" s="6">
        <v>16914.84</v>
      </c>
      <c r="I3215" s="22">
        <v>8256</v>
      </c>
      <c r="J3215" s="24">
        <f t="shared" si="150"/>
        <v>5.7206830714902385E-5</v>
      </c>
      <c r="K3215" s="25">
        <f t="shared" si="152"/>
        <v>0.94713624276884067</v>
      </c>
      <c r="L3215" s="26" t="s">
        <v>7517</v>
      </c>
      <c r="M3215" s="28"/>
      <c r="N3215" s="28"/>
      <c r="O3215" s="20" t="s">
        <v>7530</v>
      </c>
      <c r="P3215" s="27" t="str">
        <f t="shared" si="151"/>
        <v>vermelho</v>
      </c>
    </row>
    <row r="3216" spans="1:16" ht="25.5">
      <c r="A3216" s="3" t="s">
        <v>4</v>
      </c>
      <c r="B3216" s="3" t="s">
        <v>2307</v>
      </c>
      <c r="C3216" s="4">
        <v>261</v>
      </c>
      <c r="D3216" s="3" t="s">
        <v>9</v>
      </c>
      <c r="E3216" s="3" t="s">
        <v>10</v>
      </c>
      <c r="F3216" s="5">
        <v>204</v>
      </c>
      <c r="G3216" s="5">
        <v>150</v>
      </c>
      <c r="H3216" s="6">
        <v>9790.08</v>
      </c>
      <c r="I3216" s="22">
        <v>8248.3799999999992</v>
      </c>
      <c r="J3216" s="24">
        <f t="shared" si="150"/>
        <v>5.7154030805739641E-5</v>
      </c>
      <c r="K3216" s="25">
        <f t="shared" si="152"/>
        <v>0.94719339679964643</v>
      </c>
      <c r="L3216" s="26" t="s">
        <v>7517</v>
      </c>
      <c r="M3216" s="28"/>
      <c r="N3216" s="28"/>
      <c r="O3216" s="20" t="s">
        <v>7530</v>
      </c>
      <c r="P3216" s="27" t="str">
        <f t="shared" si="151"/>
        <v>vermelho</v>
      </c>
    </row>
    <row r="3217" spans="1:16" ht="25.5">
      <c r="A3217" s="3" t="s">
        <v>4</v>
      </c>
      <c r="B3217" s="3" t="s">
        <v>2308</v>
      </c>
      <c r="C3217" s="4">
        <v>197</v>
      </c>
      <c r="D3217" s="3" t="s">
        <v>66</v>
      </c>
      <c r="E3217" s="3" t="s">
        <v>41</v>
      </c>
      <c r="F3217" s="5">
        <v>438</v>
      </c>
      <c r="G3217" s="5">
        <v>120</v>
      </c>
      <c r="H3217" s="6">
        <v>26949.72</v>
      </c>
      <c r="I3217" s="22">
        <v>8242.68</v>
      </c>
      <c r="J3217" s="24">
        <f t="shared" si="150"/>
        <v>5.7114534810696653E-5</v>
      </c>
      <c r="K3217" s="25">
        <f t="shared" si="152"/>
        <v>0.94725051133445715</v>
      </c>
      <c r="L3217" s="26" t="s">
        <v>7517</v>
      </c>
      <c r="M3217" s="28"/>
      <c r="N3217" s="28">
        <v>-6.3103499181199913E-3</v>
      </c>
      <c r="O3217" s="20">
        <v>3654.24</v>
      </c>
      <c r="P3217" s="27" t="str">
        <f t="shared" si="151"/>
        <v>amarelo</v>
      </c>
    </row>
    <row r="3218" spans="1:16" ht="25.5">
      <c r="A3218" s="3" t="s">
        <v>4</v>
      </c>
      <c r="B3218" s="3" t="s">
        <v>2309</v>
      </c>
      <c r="C3218" s="4">
        <v>240</v>
      </c>
      <c r="D3218" s="3" t="s">
        <v>69</v>
      </c>
      <c r="E3218" s="3" t="s">
        <v>16</v>
      </c>
      <c r="F3218" s="5">
        <v>0</v>
      </c>
      <c r="G3218" s="5">
        <v>144</v>
      </c>
      <c r="H3218" s="6">
        <v>0</v>
      </c>
      <c r="I3218" s="22">
        <v>8236.08</v>
      </c>
      <c r="J3218" s="24">
        <f t="shared" si="150"/>
        <v>5.7068802605910033E-5</v>
      </c>
      <c r="K3218" s="25">
        <f t="shared" si="152"/>
        <v>0.94730758013706307</v>
      </c>
      <c r="L3218" s="26" t="s">
        <v>7517</v>
      </c>
      <c r="M3218" s="28"/>
      <c r="N3218" s="28"/>
      <c r="O3218" s="20" t="s">
        <v>7530</v>
      </c>
      <c r="P3218" s="27" t="str">
        <f t="shared" si="151"/>
        <v>vermelho</v>
      </c>
    </row>
    <row r="3219" spans="1:16" ht="25.5">
      <c r="A3219" s="3" t="s">
        <v>4</v>
      </c>
      <c r="B3219" s="3" t="s">
        <v>2310</v>
      </c>
      <c r="C3219" s="4">
        <v>187</v>
      </c>
      <c r="D3219" s="3" t="s">
        <v>96</v>
      </c>
      <c r="E3219" s="3" t="s">
        <v>7</v>
      </c>
      <c r="F3219" s="5">
        <v>162</v>
      </c>
      <c r="G3219" s="5">
        <v>132</v>
      </c>
      <c r="H3219" s="6">
        <v>9465.09</v>
      </c>
      <c r="I3219" s="22">
        <v>8235.9599999999991</v>
      </c>
      <c r="J3219" s="24">
        <f t="shared" si="150"/>
        <v>5.7067971111277541E-5</v>
      </c>
      <c r="K3219" s="25">
        <f t="shared" si="152"/>
        <v>0.94736464810817433</v>
      </c>
      <c r="L3219" s="26" t="s">
        <v>7517</v>
      </c>
      <c r="M3219" s="28"/>
      <c r="N3219" s="28"/>
      <c r="O3219" s="20" t="s">
        <v>7530</v>
      </c>
      <c r="P3219" s="27" t="str">
        <f t="shared" si="151"/>
        <v>vermelho</v>
      </c>
    </row>
    <row r="3220" spans="1:16" ht="25.5">
      <c r="A3220" s="3" t="s">
        <v>4</v>
      </c>
      <c r="B3220" s="3" t="s">
        <v>2311</v>
      </c>
      <c r="C3220" s="4">
        <v>270</v>
      </c>
      <c r="D3220" s="3" t="s">
        <v>266</v>
      </c>
      <c r="E3220" s="3" t="s">
        <v>49</v>
      </c>
      <c r="F3220" s="5">
        <v>234</v>
      </c>
      <c r="G3220" s="5">
        <v>132</v>
      </c>
      <c r="H3220" s="6">
        <v>12965.1</v>
      </c>
      <c r="I3220" s="22">
        <v>8235.1200000000008</v>
      </c>
      <c r="J3220" s="24">
        <f t="shared" si="150"/>
        <v>5.7062150648850162E-5</v>
      </c>
      <c r="K3220" s="25">
        <f t="shared" si="152"/>
        <v>0.94742171025882316</v>
      </c>
      <c r="L3220" s="26" t="s">
        <v>7517</v>
      </c>
      <c r="M3220" s="28"/>
      <c r="N3220" s="28"/>
      <c r="O3220" s="20">
        <v>10253.879999999999</v>
      </c>
      <c r="P3220" s="27" t="str">
        <f t="shared" si="151"/>
        <v>verde</v>
      </c>
    </row>
    <row r="3221" spans="1:16" ht="25.5">
      <c r="A3221" s="3" t="s">
        <v>4</v>
      </c>
      <c r="B3221" s="3" t="s">
        <v>2312</v>
      </c>
      <c r="C3221" s="4">
        <v>302</v>
      </c>
      <c r="D3221" s="3" t="s">
        <v>293</v>
      </c>
      <c r="E3221" s="3" t="s">
        <v>49</v>
      </c>
      <c r="F3221" s="5">
        <v>0</v>
      </c>
      <c r="G3221" s="5">
        <v>171</v>
      </c>
      <c r="H3221" s="6">
        <v>0</v>
      </c>
      <c r="I3221" s="22">
        <v>8231.7489999999998</v>
      </c>
      <c r="J3221" s="24">
        <f t="shared" si="150"/>
        <v>5.7038792578799295E-5</v>
      </c>
      <c r="K3221" s="25">
        <f t="shared" si="152"/>
        <v>0.94747874905140195</v>
      </c>
      <c r="L3221" s="26" t="s">
        <v>7517</v>
      </c>
      <c r="M3221" s="28"/>
      <c r="N3221" s="28"/>
      <c r="O3221" s="20" t="s">
        <v>7530</v>
      </c>
      <c r="P3221" s="27" t="str">
        <f t="shared" si="151"/>
        <v>vermelho</v>
      </c>
    </row>
    <row r="3222" spans="1:16" ht="38.25">
      <c r="A3222" s="3" t="s">
        <v>4</v>
      </c>
      <c r="B3222" s="3" t="s">
        <v>2313</v>
      </c>
      <c r="C3222" s="4">
        <v>38</v>
      </c>
      <c r="D3222" s="3" t="s">
        <v>184</v>
      </c>
      <c r="E3222" s="3" t="s">
        <v>49</v>
      </c>
      <c r="F3222" s="5">
        <v>66</v>
      </c>
      <c r="G3222" s="5">
        <v>168</v>
      </c>
      <c r="H3222" s="6">
        <v>3127.44</v>
      </c>
      <c r="I3222" s="22">
        <v>8231.2099999999991</v>
      </c>
      <c r="J3222" s="24">
        <f t="shared" si="150"/>
        <v>5.7035057782075049E-5</v>
      </c>
      <c r="K3222" s="25">
        <f t="shared" si="152"/>
        <v>0.94753578410918404</v>
      </c>
      <c r="L3222" s="26" t="s">
        <v>7517</v>
      </c>
      <c r="M3222" s="28"/>
      <c r="N3222" s="28"/>
      <c r="O3222" s="20" t="s">
        <v>7530</v>
      </c>
      <c r="P3222" s="27" t="str">
        <f t="shared" si="151"/>
        <v>vermelho</v>
      </c>
    </row>
    <row r="3223" spans="1:16" ht="38.25">
      <c r="A3223" s="3" t="s">
        <v>4</v>
      </c>
      <c r="B3223" s="3" t="s">
        <v>2314</v>
      </c>
      <c r="C3223" s="4">
        <v>38</v>
      </c>
      <c r="D3223" s="3" t="s">
        <v>184</v>
      </c>
      <c r="E3223" s="3" t="s">
        <v>49</v>
      </c>
      <c r="F3223" s="5">
        <v>186</v>
      </c>
      <c r="G3223" s="5">
        <v>153</v>
      </c>
      <c r="H3223" s="6">
        <v>10096.56</v>
      </c>
      <c r="I3223" s="22">
        <v>8228.9500000000007</v>
      </c>
      <c r="J3223" s="24">
        <f t="shared" si="150"/>
        <v>5.7019397966496607E-5</v>
      </c>
      <c r="K3223" s="25">
        <f t="shared" si="152"/>
        <v>0.94759280350715058</v>
      </c>
      <c r="L3223" s="26" t="s">
        <v>7517</v>
      </c>
      <c r="M3223" s="28"/>
      <c r="N3223" s="28"/>
      <c r="O3223" s="20">
        <v>7826.67</v>
      </c>
      <c r="P3223" s="27" t="str">
        <f t="shared" si="151"/>
        <v>laranja</v>
      </c>
    </row>
    <row r="3224" spans="1:16" ht="38.25">
      <c r="A3224" s="3" t="s">
        <v>4</v>
      </c>
      <c r="B3224" s="3" t="s">
        <v>2315</v>
      </c>
      <c r="C3224" s="4">
        <v>11</v>
      </c>
      <c r="D3224" s="3" t="s">
        <v>61</v>
      </c>
      <c r="E3224" s="3" t="s">
        <v>10</v>
      </c>
      <c r="F3224" s="5">
        <v>108</v>
      </c>
      <c r="G3224" s="5">
        <v>156</v>
      </c>
      <c r="H3224" s="6">
        <v>7090.92</v>
      </c>
      <c r="I3224" s="22">
        <v>8226.1200000000008</v>
      </c>
      <c r="J3224" s="24">
        <f t="shared" si="150"/>
        <v>5.6999788551413858E-5</v>
      </c>
      <c r="K3224" s="25">
        <f t="shared" si="152"/>
        <v>0.94764980329570203</v>
      </c>
      <c r="L3224" s="26" t="s">
        <v>7517</v>
      </c>
      <c r="M3224" s="28"/>
      <c r="N3224" s="28"/>
      <c r="O3224" s="20" t="s">
        <v>7530</v>
      </c>
      <c r="P3224" s="27" t="str">
        <f t="shared" si="151"/>
        <v>vermelho</v>
      </c>
    </row>
    <row r="3225" spans="1:16" ht="38.25">
      <c r="A3225" s="3" t="s">
        <v>4</v>
      </c>
      <c r="B3225" s="3" t="s">
        <v>2316</v>
      </c>
      <c r="C3225" s="4">
        <v>292</v>
      </c>
      <c r="D3225" s="3" t="s">
        <v>57</v>
      </c>
      <c r="E3225" s="3" t="s">
        <v>49</v>
      </c>
      <c r="F3225" s="5">
        <v>60</v>
      </c>
      <c r="G3225" s="5">
        <v>174</v>
      </c>
      <c r="H3225" s="6">
        <v>2375.46</v>
      </c>
      <c r="I3225" s="22">
        <v>8224.26</v>
      </c>
      <c r="J3225" s="24">
        <f t="shared" si="150"/>
        <v>5.6986900384610355E-5</v>
      </c>
      <c r="K3225" s="25">
        <f t="shared" si="152"/>
        <v>0.94770679019608661</v>
      </c>
      <c r="L3225" s="26" t="s">
        <v>7517</v>
      </c>
      <c r="M3225" s="28"/>
      <c r="N3225" s="28"/>
      <c r="O3225" s="20" t="s">
        <v>7530</v>
      </c>
      <c r="P3225" s="27" t="str">
        <f t="shared" si="151"/>
        <v>vermelho</v>
      </c>
    </row>
    <row r="3226" spans="1:16">
      <c r="A3226" s="3" t="s">
        <v>4</v>
      </c>
      <c r="B3226" s="3" t="s">
        <v>2317</v>
      </c>
      <c r="C3226" s="4">
        <v>232</v>
      </c>
      <c r="D3226" s="3" t="s">
        <v>174</v>
      </c>
      <c r="E3226" s="3" t="s">
        <v>16</v>
      </c>
      <c r="F3226" s="5">
        <v>618</v>
      </c>
      <c r="G3226" s="5">
        <v>168</v>
      </c>
      <c r="H3226" s="6">
        <v>37651.5</v>
      </c>
      <c r="I3226" s="22">
        <v>8223.6</v>
      </c>
      <c r="J3226" s="24">
        <f t="shared" si="150"/>
        <v>5.6982327164131694E-5</v>
      </c>
      <c r="K3226" s="25">
        <f t="shared" si="152"/>
        <v>0.94776377252325072</v>
      </c>
      <c r="L3226" s="26" t="s">
        <v>7517</v>
      </c>
      <c r="M3226" s="28"/>
      <c r="N3226" s="28">
        <v>6.8022432593215401E-2</v>
      </c>
      <c r="O3226" s="20">
        <v>8474.4</v>
      </c>
      <c r="P3226" s="27" t="str">
        <f t="shared" si="151"/>
        <v>verde</v>
      </c>
    </row>
    <row r="3227" spans="1:16" ht="38.25">
      <c r="A3227" s="3" t="s">
        <v>4</v>
      </c>
      <c r="B3227" s="3" t="s">
        <v>2318</v>
      </c>
      <c r="C3227" s="4">
        <v>371</v>
      </c>
      <c r="D3227" s="3" t="s">
        <v>82</v>
      </c>
      <c r="E3227" s="3" t="s">
        <v>49</v>
      </c>
      <c r="F3227" s="5">
        <v>168</v>
      </c>
      <c r="G3227" s="5">
        <v>138</v>
      </c>
      <c r="H3227" s="6">
        <v>7954.32</v>
      </c>
      <c r="I3227" s="22">
        <v>8215.08</v>
      </c>
      <c r="J3227" s="24">
        <f t="shared" si="150"/>
        <v>5.6923291045225325E-5</v>
      </c>
      <c r="K3227" s="25">
        <f t="shared" si="152"/>
        <v>0.94782069581429595</v>
      </c>
      <c r="L3227" s="26" t="s">
        <v>7517</v>
      </c>
      <c r="M3227" s="28"/>
      <c r="N3227" s="28">
        <v>2.4695360060939628E-2</v>
      </c>
      <c r="O3227" s="20">
        <v>2771.76</v>
      </c>
      <c r="P3227" s="27" t="str">
        <f t="shared" si="151"/>
        <v>amarelo</v>
      </c>
    </row>
    <row r="3228" spans="1:16" ht="25.5">
      <c r="A3228" s="3" t="s">
        <v>6804</v>
      </c>
      <c r="B3228" s="3" t="s">
        <v>6805</v>
      </c>
      <c r="C3228" s="4">
        <v>328</v>
      </c>
      <c r="D3228" s="3" t="s">
        <v>215</v>
      </c>
      <c r="E3228" s="3" t="s">
        <v>41</v>
      </c>
      <c r="F3228" s="5">
        <v>96</v>
      </c>
      <c r="G3228" s="5">
        <v>144</v>
      </c>
      <c r="H3228" s="6">
        <v>5171.6099999999997</v>
      </c>
      <c r="I3228" s="22">
        <v>8209.86</v>
      </c>
      <c r="J3228" s="24">
        <f t="shared" si="150"/>
        <v>5.6887121028712273E-5</v>
      </c>
      <c r="K3228" s="25">
        <f t="shared" si="152"/>
        <v>0.94787758293532465</v>
      </c>
      <c r="L3228" s="26" t="s">
        <v>7517</v>
      </c>
      <c r="M3228" s="28"/>
      <c r="N3228" s="28"/>
      <c r="O3228" s="20">
        <v>8209.86</v>
      </c>
      <c r="P3228" s="27" t="str">
        <f t="shared" si="151"/>
        <v>verde</v>
      </c>
    </row>
    <row r="3229" spans="1:16" ht="51">
      <c r="A3229" s="3" t="s">
        <v>6806</v>
      </c>
      <c r="B3229" s="3" t="s">
        <v>6807</v>
      </c>
      <c r="C3229" s="4">
        <v>282</v>
      </c>
      <c r="D3229" s="3" t="s">
        <v>12</v>
      </c>
      <c r="E3229" s="3" t="s">
        <v>13</v>
      </c>
      <c r="F3229" s="5">
        <v>324</v>
      </c>
      <c r="G3229" s="5">
        <v>120</v>
      </c>
      <c r="H3229" s="6">
        <v>18022.031999999999</v>
      </c>
      <c r="I3229" s="22">
        <v>8202.7199999999993</v>
      </c>
      <c r="J3229" s="24">
        <f t="shared" si="150"/>
        <v>5.6837647098079464E-5</v>
      </c>
      <c r="K3229" s="25">
        <f t="shared" si="152"/>
        <v>0.94793442058242272</v>
      </c>
      <c r="L3229" s="26" t="s">
        <v>7517</v>
      </c>
      <c r="M3229" s="28"/>
      <c r="N3229" s="28"/>
      <c r="O3229" s="20" t="s">
        <v>7530</v>
      </c>
      <c r="P3229" s="27" t="str">
        <f t="shared" si="151"/>
        <v>vermelho</v>
      </c>
    </row>
    <row r="3230" spans="1:16" ht="25.5">
      <c r="A3230" s="3" t="s">
        <v>4</v>
      </c>
      <c r="B3230" s="3" t="s">
        <v>2319</v>
      </c>
      <c r="C3230" s="4">
        <v>273</v>
      </c>
      <c r="D3230" s="3" t="s">
        <v>149</v>
      </c>
      <c r="E3230" s="3" t="s">
        <v>16</v>
      </c>
      <c r="F3230" s="5">
        <v>0</v>
      </c>
      <c r="G3230" s="5">
        <v>120</v>
      </c>
      <c r="H3230" s="6">
        <v>0</v>
      </c>
      <c r="I3230" s="22">
        <v>8193.1659999999993</v>
      </c>
      <c r="J3230" s="24">
        <f t="shared" si="150"/>
        <v>5.6771446267089853E-5</v>
      </c>
      <c r="K3230" s="25">
        <f t="shared" si="152"/>
        <v>0.94799119202868987</v>
      </c>
      <c r="L3230" s="26" t="s">
        <v>7517</v>
      </c>
      <c r="M3230" s="28"/>
      <c r="N3230" s="28"/>
      <c r="O3230" s="20" t="s">
        <v>7530</v>
      </c>
      <c r="P3230" s="27" t="str">
        <f t="shared" si="151"/>
        <v>vermelho</v>
      </c>
    </row>
    <row r="3231" spans="1:16" ht="25.5">
      <c r="A3231" s="3" t="s">
        <v>4</v>
      </c>
      <c r="B3231" s="3" t="s">
        <v>2320</v>
      </c>
      <c r="C3231" s="4">
        <v>194</v>
      </c>
      <c r="D3231" s="3" t="s">
        <v>145</v>
      </c>
      <c r="E3231" s="3" t="s">
        <v>16</v>
      </c>
      <c r="F3231" s="5">
        <v>372</v>
      </c>
      <c r="G3231" s="5">
        <v>144</v>
      </c>
      <c r="H3231" s="6">
        <v>19013.88</v>
      </c>
      <c r="I3231" s="22">
        <v>8182.32</v>
      </c>
      <c r="J3231" s="24">
        <f t="shared" si="150"/>
        <v>5.6696293010557177E-5</v>
      </c>
      <c r="K3231" s="25">
        <f t="shared" si="152"/>
        <v>0.94804788832170039</v>
      </c>
      <c r="L3231" s="26" t="s">
        <v>7517</v>
      </c>
      <c r="M3231" s="28"/>
      <c r="N3231" s="28"/>
      <c r="O3231" s="20">
        <v>4182</v>
      </c>
      <c r="P3231" s="27" t="str">
        <f t="shared" si="151"/>
        <v>laranja</v>
      </c>
    </row>
    <row r="3232" spans="1:16" ht="25.5">
      <c r="A3232" s="3" t="s">
        <v>4</v>
      </c>
      <c r="B3232" s="3" t="s">
        <v>2321</v>
      </c>
      <c r="C3232" s="4">
        <v>39</v>
      </c>
      <c r="D3232" s="3" t="s">
        <v>26</v>
      </c>
      <c r="E3232" s="3" t="s">
        <v>13</v>
      </c>
      <c r="F3232" s="5">
        <v>54</v>
      </c>
      <c r="G3232" s="5">
        <v>144</v>
      </c>
      <c r="H3232" s="6">
        <v>3355.47</v>
      </c>
      <c r="I3232" s="22">
        <v>8176.14</v>
      </c>
      <c r="J3232" s="24">
        <f t="shared" si="150"/>
        <v>5.6653471036984253E-5</v>
      </c>
      <c r="K3232" s="25">
        <f t="shared" si="152"/>
        <v>0.9481045417927374</v>
      </c>
      <c r="L3232" s="26" t="s">
        <v>7517</v>
      </c>
      <c r="M3232" s="28"/>
      <c r="N3232" s="28"/>
      <c r="O3232" s="20" t="s">
        <v>7530</v>
      </c>
      <c r="P3232" s="27" t="str">
        <f t="shared" si="151"/>
        <v>vermelho</v>
      </c>
    </row>
    <row r="3233" spans="1:16">
      <c r="A3233" s="3" t="s">
        <v>6808</v>
      </c>
      <c r="B3233" s="3" t="s">
        <v>6809</v>
      </c>
      <c r="C3233" s="4">
        <v>232</v>
      </c>
      <c r="D3233" s="3" t="s">
        <v>174</v>
      </c>
      <c r="E3233" s="3" t="s">
        <v>16</v>
      </c>
      <c r="F3233" s="5">
        <v>222</v>
      </c>
      <c r="G3233" s="5">
        <v>168</v>
      </c>
      <c r="H3233" s="6">
        <v>11480.04</v>
      </c>
      <c r="I3233" s="22">
        <v>8168.28</v>
      </c>
      <c r="J3233" s="24">
        <f t="shared" si="150"/>
        <v>5.6599008138556545E-5</v>
      </c>
      <c r="K3233" s="25">
        <f t="shared" si="152"/>
        <v>0.94816114080087599</v>
      </c>
      <c r="L3233" s="26" t="s">
        <v>7517</v>
      </c>
      <c r="M3233" s="28"/>
      <c r="N3233" s="28"/>
      <c r="O3233" s="20">
        <v>3314.04</v>
      </c>
      <c r="P3233" s="27" t="str">
        <f t="shared" si="151"/>
        <v>amarelo</v>
      </c>
    </row>
    <row r="3234" spans="1:16" ht="38.25">
      <c r="A3234" s="3" t="s">
        <v>4</v>
      </c>
      <c r="B3234" s="3" t="s">
        <v>2322</v>
      </c>
      <c r="C3234" s="4">
        <v>34</v>
      </c>
      <c r="D3234" s="3" t="s">
        <v>54</v>
      </c>
      <c r="E3234" s="3" t="s">
        <v>49</v>
      </c>
      <c r="F3234" s="5">
        <v>288</v>
      </c>
      <c r="G3234" s="5">
        <v>132</v>
      </c>
      <c r="H3234" s="6">
        <v>17300.759999999998</v>
      </c>
      <c r="I3234" s="22">
        <v>8165.16</v>
      </c>
      <c r="J3234" s="24">
        <f t="shared" si="150"/>
        <v>5.657738927811196E-5</v>
      </c>
      <c r="K3234" s="25">
        <f t="shared" si="152"/>
        <v>0.9482177181901541</v>
      </c>
      <c r="L3234" s="26" t="s">
        <v>7517</v>
      </c>
      <c r="M3234" s="28"/>
      <c r="N3234" s="28"/>
      <c r="O3234" s="20" t="s">
        <v>7530</v>
      </c>
      <c r="P3234" s="27" t="str">
        <f t="shared" si="151"/>
        <v>vermelho</v>
      </c>
    </row>
    <row r="3235" spans="1:16" ht="25.5">
      <c r="A3235" s="3" t="s">
        <v>4</v>
      </c>
      <c r="B3235" s="3" t="s">
        <v>2323</v>
      </c>
      <c r="C3235" s="4">
        <v>23</v>
      </c>
      <c r="D3235" s="3" t="s">
        <v>87</v>
      </c>
      <c r="E3235" s="3" t="s">
        <v>7</v>
      </c>
      <c r="F3235" s="5">
        <v>48</v>
      </c>
      <c r="G3235" s="5">
        <v>132</v>
      </c>
      <c r="H3235" s="6">
        <v>2219.52</v>
      </c>
      <c r="I3235" s="22">
        <v>8156.64</v>
      </c>
      <c r="J3235" s="24">
        <f t="shared" si="150"/>
        <v>5.6518353159205598E-5</v>
      </c>
      <c r="K3235" s="25">
        <f t="shared" si="152"/>
        <v>0.94827423654331333</v>
      </c>
      <c r="L3235" s="26" t="s">
        <v>7517</v>
      </c>
      <c r="M3235" s="28"/>
      <c r="N3235" s="28"/>
      <c r="O3235" s="20" t="s">
        <v>7530</v>
      </c>
      <c r="P3235" s="27" t="str">
        <f t="shared" si="151"/>
        <v>vermelho</v>
      </c>
    </row>
    <row r="3236" spans="1:16" ht="38.25">
      <c r="A3236" s="3" t="s">
        <v>4</v>
      </c>
      <c r="B3236" s="3" t="s">
        <v>2324</v>
      </c>
      <c r="C3236" s="4">
        <v>34</v>
      </c>
      <c r="D3236" s="3" t="s">
        <v>54</v>
      </c>
      <c r="E3236" s="3" t="s">
        <v>49</v>
      </c>
      <c r="F3236" s="5">
        <v>84</v>
      </c>
      <c r="G3236" s="5">
        <v>138</v>
      </c>
      <c r="H3236" s="6">
        <v>5561.16</v>
      </c>
      <c r="I3236" s="22">
        <v>8155.62</v>
      </c>
      <c r="J3236" s="24">
        <f t="shared" si="150"/>
        <v>5.651128545482948E-5</v>
      </c>
      <c r="K3236" s="25">
        <f t="shared" si="152"/>
        <v>0.94833074782876814</v>
      </c>
      <c r="L3236" s="26" t="s">
        <v>7517</v>
      </c>
      <c r="M3236" s="28"/>
      <c r="N3236" s="28"/>
      <c r="O3236" s="20">
        <v>4224.96</v>
      </c>
      <c r="P3236" s="27" t="str">
        <f t="shared" si="151"/>
        <v>laranja</v>
      </c>
    </row>
    <row r="3237" spans="1:16">
      <c r="A3237" s="3" t="s">
        <v>6810</v>
      </c>
      <c r="B3237" s="3" t="s">
        <v>6811</v>
      </c>
      <c r="C3237" s="4">
        <v>217</v>
      </c>
      <c r="D3237" s="3" t="s">
        <v>91</v>
      </c>
      <c r="E3237" s="3" t="s">
        <v>16</v>
      </c>
      <c r="F3237" s="5">
        <v>336</v>
      </c>
      <c r="G3237" s="5">
        <v>120</v>
      </c>
      <c r="H3237" s="6">
        <v>20878.080000000002</v>
      </c>
      <c r="I3237" s="22">
        <v>8149.2</v>
      </c>
      <c r="J3237" s="24">
        <f t="shared" si="150"/>
        <v>5.6466800491991579E-5</v>
      </c>
      <c r="K3237" s="25">
        <f t="shared" si="152"/>
        <v>0.94838721462926012</v>
      </c>
      <c r="L3237" s="26" t="s">
        <v>7517</v>
      </c>
      <c r="M3237" s="28"/>
      <c r="N3237" s="28"/>
      <c r="O3237" s="20" t="s">
        <v>7530</v>
      </c>
      <c r="P3237" s="27" t="str">
        <f t="shared" si="151"/>
        <v>vermelho</v>
      </c>
    </row>
    <row r="3238" spans="1:16">
      <c r="A3238" s="3" t="s">
        <v>4</v>
      </c>
      <c r="B3238" s="3" t="s">
        <v>2325</v>
      </c>
      <c r="C3238" s="4">
        <v>217</v>
      </c>
      <c r="D3238" s="3" t="s">
        <v>91</v>
      </c>
      <c r="E3238" s="3" t="s">
        <v>16</v>
      </c>
      <c r="F3238" s="5">
        <v>0</v>
      </c>
      <c r="G3238" s="5">
        <v>132</v>
      </c>
      <c r="H3238" s="6">
        <v>0</v>
      </c>
      <c r="I3238" s="22">
        <v>8124.84</v>
      </c>
      <c r="J3238" s="24">
        <f t="shared" si="150"/>
        <v>5.6298007081597321E-5</v>
      </c>
      <c r="K3238" s="25">
        <f t="shared" si="152"/>
        <v>0.94844351263634175</v>
      </c>
      <c r="L3238" s="26" t="s">
        <v>7517</v>
      </c>
      <c r="M3238" s="28"/>
      <c r="N3238" s="28"/>
      <c r="O3238" s="20" t="s">
        <v>7530</v>
      </c>
      <c r="P3238" s="27" t="str">
        <f t="shared" si="151"/>
        <v>vermelho</v>
      </c>
    </row>
    <row r="3239" spans="1:16" ht="38.25">
      <c r="A3239" s="3" t="s">
        <v>4</v>
      </c>
      <c r="B3239" s="3" t="s">
        <v>2326</v>
      </c>
      <c r="C3239" s="4">
        <v>11</v>
      </c>
      <c r="D3239" s="3" t="s">
        <v>61</v>
      </c>
      <c r="E3239" s="3" t="s">
        <v>10</v>
      </c>
      <c r="F3239" s="5">
        <v>456</v>
      </c>
      <c r="G3239" s="5">
        <v>144</v>
      </c>
      <c r="H3239" s="6">
        <v>26099.52</v>
      </c>
      <c r="I3239" s="22">
        <v>8124.1530000000002</v>
      </c>
      <c r="J3239" s="24">
        <f t="shared" si="150"/>
        <v>5.6293246774826354E-5</v>
      </c>
      <c r="K3239" s="25">
        <f t="shared" si="152"/>
        <v>0.94849980588311655</v>
      </c>
      <c r="L3239" s="26" t="s">
        <v>7517</v>
      </c>
      <c r="M3239" s="28"/>
      <c r="N3239" s="28"/>
      <c r="O3239" s="20">
        <v>21838.251</v>
      </c>
      <c r="P3239" s="27" t="str">
        <f t="shared" si="151"/>
        <v>verde</v>
      </c>
    </row>
    <row r="3240" spans="1:16" ht="25.5">
      <c r="A3240" s="3" t="s">
        <v>4</v>
      </c>
      <c r="B3240" s="3" t="s">
        <v>2327</v>
      </c>
      <c r="C3240" s="4">
        <v>231</v>
      </c>
      <c r="D3240" s="3" t="s">
        <v>52</v>
      </c>
      <c r="E3240" s="3" t="s">
        <v>7</v>
      </c>
      <c r="F3240" s="5">
        <v>0</v>
      </c>
      <c r="G3240" s="5">
        <v>120</v>
      </c>
      <c r="H3240" s="6">
        <v>0</v>
      </c>
      <c r="I3240" s="22">
        <v>8122.92</v>
      </c>
      <c r="J3240" s="24">
        <f t="shared" si="150"/>
        <v>5.6284703167477579E-5</v>
      </c>
      <c r="K3240" s="25">
        <f t="shared" si="152"/>
        <v>0.94855609058628398</v>
      </c>
      <c r="L3240" s="26" t="s">
        <v>7517</v>
      </c>
      <c r="M3240" s="28"/>
      <c r="N3240" s="28"/>
      <c r="O3240" s="20">
        <v>9120.6</v>
      </c>
      <c r="P3240" s="27" t="str">
        <f t="shared" si="151"/>
        <v>verde</v>
      </c>
    </row>
    <row r="3241" spans="1:16" ht="25.5">
      <c r="A3241" s="3" t="s">
        <v>4</v>
      </c>
      <c r="B3241" s="3" t="s">
        <v>2328</v>
      </c>
      <c r="C3241" s="4">
        <v>61</v>
      </c>
      <c r="D3241" s="3" t="s">
        <v>48</v>
      </c>
      <c r="E3241" s="3" t="s">
        <v>49</v>
      </c>
      <c r="F3241" s="5">
        <v>132</v>
      </c>
      <c r="G3241" s="5">
        <v>132</v>
      </c>
      <c r="H3241" s="6">
        <v>7582.68</v>
      </c>
      <c r="I3241" s="22">
        <v>8121.72</v>
      </c>
      <c r="J3241" s="24">
        <f t="shared" si="150"/>
        <v>5.6276388221152736E-5</v>
      </c>
      <c r="K3241" s="25">
        <f t="shared" si="152"/>
        <v>0.94861236697450513</v>
      </c>
      <c r="L3241" s="26" t="s">
        <v>7517</v>
      </c>
      <c r="M3241" s="28"/>
      <c r="N3241" s="28"/>
      <c r="O3241" s="20">
        <v>2781.72</v>
      </c>
      <c r="P3241" s="27" t="str">
        <f t="shared" si="151"/>
        <v>amarelo</v>
      </c>
    </row>
    <row r="3242" spans="1:16" ht="25.5">
      <c r="A3242" s="3" t="s">
        <v>4</v>
      </c>
      <c r="B3242" s="3" t="s">
        <v>2329</v>
      </c>
      <c r="C3242" s="4">
        <v>93</v>
      </c>
      <c r="D3242" s="3" t="s">
        <v>20</v>
      </c>
      <c r="E3242" s="3" t="s">
        <v>7</v>
      </c>
      <c r="F3242" s="5">
        <v>120</v>
      </c>
      <c r="G3242" s="5">
        <v>120</v>
      </c>
      <c r="H3242" s="6">
        <v>6466.8</v>
      </c>
      <c r="I3242" s="22">
        <v>8098.8</v>
      </c>
      <c r="J3242" s="24">
        <f t="shared" si="150"/>
        <v>5.6117572746348285E-5</v>
      </c>
      <c r="K3242" s="25">
        <f t="shared" si="152"/>
        <v>0.9486684845472515</v>
      </c>
      <c r="L3242" s="26" t="s">
        <v>7517</v>
      </c>
      <c r="M3242" s="28"/>
      <c r="N3242" s="28"/>
      <c r="O3242" s="20">
        <v>8036.76</v>
      </c>
      <c r="P3242" s="27" t="str">
        <f t="shared" si="151"/>
        <v>laranja</v>
      </c>
    </row>
    <row r="3243" spans="1:16" ht="25.5">
      <c r="A3243" s="3" t="s">
        <v>4</v>
      </c>
      <c r="B3243" s="3" t="s">
        <v>2330</v>
      </c>
      <c r="C3243" s="4">
        <v>93</v>
      </c>
      <c r="D3243" s="3" t="s">
        <v>20</v>
      </c>
      <c r="E3243" s="3" t="s">
        <v>7</v>
      </c>
      <c r="F3243" s="5">
        <v>0</v>
      </c>
      <c r="G3243" s="5">
        <v>120</v>
      </c>
      <c r="H3243" s="6">
        <v>0</v>
      </c>
      <c r="I3243" s="22">
        <v>8086.8</v>
      </c>
      <c r="J3243" s="24">
        <f t="shared" si="150"/>
        <v>5.6034423283099881E-5</v>
      </c>
      <c r="K3243" s="25">
        <f t="shared" si="152"/>
        <v>0.94872451897053456</v>
      </c>
      <c r="L3243" s="26" t="s">
        <v>7517</v>
      </c>
      <c r="M3243" s="28"/>
      <c r="N3243" s="28"/>
      <c r="O3243" s="20" t="s">
        <v>7530</v>
      </c>
      <c r="P3243" s="27" t="str">
        <f t="shared" si="151"/>
        <v>vermelho</v>
      </c>
    </row>
    <row r="3244" spans="1:16" ht="25.5">
      <c r="A3244" s="3" t="s">
        <v>6812</v>
      </c>
      <c r="B3244" s="3" t="s">
        <v>6813</v>
      </c>
      <c r="C3244" s="4">
        <v>197</v>
      </c>
      <c r="D3244" s="3" t="s">
        <v>66</v>
      </c>
      <c r="E3244" s="3" t="s">
        <v>41</v>
      </c>
      <c r="F3244" s="5">
        <v>156</v>
      </c>
      <c r="G3244" s="5">
        <v>147</v>
      </c>
      <c r="H3244" s="6">
        <v>8758.44</v>
      </c>
      <c r="I3244" s="22">
        <v>8082.66</v>
      </c>
      <c r="J3244" s="24">
        <f t="shared" si="150"/>
        <v>5.6005736718279179E-5</v>
      </c>
      <c r="K3244" s="25">
        <f t="shared" si="152"/>
        <v>0.94878052470725283</v>
      </c>
      <c r="L3244" s="26" t="s">
        <v>7517</v>
      </c>
      <c r="M3244" s="28"/>
      <c r="N3244" s="28"/>
      <c r="O3244" s="20" t="s">
        <v>7530</v>
      </c>
      <c r="P3244" s="27" t="str">
        <f t="shared" si="151"/>
        <v>vermelho</v>
      </c>
    </row>
    <row r="3245" spans="1:16" ht="38.25">
      <c r="A3245" s="3" t="s">
        <v>4</v>
      </c>
      <c r="B3245" s="3" t="s">
        <v>2331</v>
      </c>
      <c r="C3245" s="4">
        <v>301</v>
      </c>
      <c r="D3245" s="3" t="s">
        <v>519</v>
      </c>
      <c r="E3245" s="3" t="s">
        <v>16</v>
      </c>
      <c r="F3245" s="5">
        <v>0</v>
      </c>
      <c r="G3245" s="5">
        <v>147</v>
      </c>
      <c r="H3245" s="6">
        <v>0</v>
      </c>
      <c r="I3245" s="22">
        <v>8081.88</v>
      </c>
      <c r="J3245" s="24">
        <f t="shared" si="150"/>
        <v>5.6000332003168033E-5</v>
      </c>
      <c r="K3245" s="25">
        <f t="shared" si="152"/>
        <v>0.94883652503925597</v>
      </c>
      <c r="L3245" s="26" t="s">
        <v>7517</v>
      </c>
      <c r="M3245" s="28"/>
      <c r="N3245" s="28"/>
      <c r="O3245" s="20" t="s">
        <v>7530</v>
      </c>
      <c r="P3245" s="27" t="str">
        <f t="shared" si="151"/>
        <v>vermelho</v>
      </c>
    </row>
    <row r="3246" spans="1:16" ht="25.5">
      <c r="A3246" s="3" t="s">
        <v>4</v>
      </c>
      <c r="B3246" s="3" t="s">
        <v>2332</v>
      </c>
      <c r="C3246" s="4">
        <v>74</v>
      </c>
      <c r="D3246" s="3" t="s">
        <v>6</v>
      </c>
      <c r="E3246" s="3" t="s">
        <v>7</v>
      </c>
      <c r="F3246" s="5">
        <v>90</v>
      </c>
      <c r="G3246" s="5">
        <v>114</v>
      </c>
      <c r="H3246" s="6">
        <v>5993.1</v>
      </c>
      <c r="I3246" s="22">
        <v>8077.86</v>
      </c>
      <c r="J3246" s="24">
        <f t="shared" si="150"/>
        <v>5.5972476932979816E-5</v>
      </c>
      <c r="K3246" s="25">
        <f t="shared" si="152"/>
        <v>0.94889249751618898</v>
      </c>
      <c r="L3246" s="26" t="s">
        <v>7517</v>
      </c>
      <c r="M3246" s="28"/>
      <c r="N3246" s="28"/>
      <c r="O3246" s="20" t="s">
        <v>7530</v>
      </c>
      <c r="P3246" s="27" t="str">
        <f t="shared" si="151"/>
        <v>vermelho</v>
      </c>
    </row>
    <row r="3247" spans="1:16" ht="25.5">
      <c r="A3247" s="3" t="s">
        <v>4</v>
      </c>
      <c r="B3247" s="3" t="s">
        <v>2333</v>
      </c>
      <c r="C3247" s="4">
        <v>31</v>
      </c>
      <c r="D3247" s="3" t="s">
        <v>194</v>
      </c>
      <c r="E3247" s="3" t="s">
        <v>16</v>
      </c>
      <c r="F3247" s="5">
        <v>0</v>
      </c>
      <c r="G3247" s="5">
        <v>126</v>
      </c>
      <c r="H3247" s="6">
        <v>0</v>
      </c>
      <c r="I3247" s="22">
        <v>8069.58</v>
      </c>
      <c r="J3247" s="24">
        <f t="shared" si="150"/>
        <v>5.5915103803338418E-5</v>
      </c>
      <c r="K3247" s="25">
        <f t="shared" si="152"/>
        <v>0.9489484126199923</v>
      </c>
      <c r="L3247" s="26" t="s">
        <v>7517</v>
      </c>
      <c r="M3247" s="28"/>
      <c r="N3247" s="28"/>
      <c r="O3247" s="20" t="s">
        <v>7530</v>
      </c>
      <c r="P3247" s="27" t="str">
        <f t="shared" si="151"/>
        <v>vermelho</v>
      </c>
    </row>
    <row r="3248" spans="1:16" ht="25.5">
      <c r="A3248" s="3" t="s">
        <v>4</v>
      </c>
      <c r="B3248" s="3" t="s">
        <v>2334</v>
      </c>
      <c r="C3248" s="4">
        <v>194</v>
      </c>
      <c r="D3248" s="3" t="s">
        <v>145</v>
      </c>
      <c r="E3248" s="3" t="s">
        <v>16</v>
      </c>
      <c r="F3248" s="5">
        <v>156</v>
      </c>
      <c r="G3248" s="5">
        <v>144</v>
      </c>
      <c r="H3248" s="6">
        <v>8789.76</v>
      </c>
      <c r="I3248" s="22">
        <v>8064.72</v>
      </c>
      <c r="J3248" s="24">
        <f t="shared" si="150"/>
        <v>5.5881428270722816E-5</v>
      </c>
      <c r="K3248" s="25">
        <f t="shared" si="152"/>
        <v>0.94900429404826303</v>
      </c>
      <c r="L3248" s="26" t="s">
        <v>7517</v>
      </c>
      <c r="M3248" s="28"/>
      <c r="N3248" s="28"/>
      <c r="O3248" s="20" t="s">
        <v>7530</v>
      </c>
      <c r="P3248" s="27" t="str">
        <f t="shared" si="151"/>
        <v>vermelho</v>
      </c>
    </row>
    <row r="3249" spans="1:16" ht="25.5">
      <c r="A3249" s="3" t="s">
        <v>4</v>
      </c>
      <c r="B3249" s="3" t="s">
        <v>2335</v>
      </c>
      <c r="C3249" s="4">
        <v>74</v>
      </c>
      <c r="D3249" s="3" t="s">
        <v>6</v>
      </c>
      <c r="E3249" s="3" t="s">
        <v>7</v>
      </c>
      <c r="F3249" s="5">
        <v>186</v>
      </c>
      <c r="G3249" s="5">
        <v>156</v>
      </c>
      <c r="H3249" s="6">
        <v>12547.98</v>
      </c>
      <c r="I3249" s="22">
        <v>8063.4</v>
      </c>
      <c r="J3249" s="24">
        <f t="shared" si="150"/>
        <v>5.5872281829765488E-5</v>
      </c>
      <c r="K3249" s="25">
        <f t="shared" si="152"/>
        <v>0.94906016633009282</v>
      </c>
      <c r="L3249" s="26" t="s">
        <v>7517</v>
      </c>
      <c r="M3249" s="28"/>
      <c r="N3249" s="28"/>
      <c r="O3249" s="20" t="s">
        <v>7530</v>
      </c>
      <c r="P3249" s="27" t="str">
        <f t="shared" si="151"/>
        <v>vermelho</v>
      </c>
    </row>
    <row r="3250" spans="1:16" ht="38.25">
      <c r="A3250" s="3" t="s">
        <v>4</v>
      </c>
      <c r="B3250" s="3" t="s">
        <v>2336</v>
      </c>
      <c r="C3250" s="4">
        <v>292</v>
      </c>
      <c r="D3250" s="3" t="s">
        <v>57</v>
      </c>
      <c r="E3250" s="3" t="s">
        <v>49</v>
      </c>
      <c r="F3250" s="5">
        <v>234</v>
      </c>
      <c r="G3250" s="5">
        <v>144</v>
      </c>
      <c r="H3250" s="6">
        <v>12523.056</v>
      </c>
      <c r="I3250" s="22">
        <v>8045.64</v>
      </c>
      <c r="J3250" s="24">
        <f t="shared" si="150"/>
        <v>5.574922062415785E-5</v>
      </c>
      <c r="K3250" s="25">
        <f t="shared" si="152"/>
        <v>0.94911591555071695</v>
      </c>
      <c r="L3250" s="26" t="s">
        <v>7517</v>
      </c>
      <c r="M3250" s="28"/>
      <c r="N3250" s="28"/>
      <c r="O3250" s="20">
        <v>10734.72</v>
      </c>
      <c r="P3250" s="27" t="str">
        <f t="shared" si="151"/>
        <v>verde</v>
      </c>
    </row>
    <row r="3251" spans="1:16" ht="25.5">
      <c r="A3251" s="3" t="s">
        <v>4</v>
      </c>
      <c r="B3251" s="3" t="s">
        <v>2337</v>
      </c>
      <c r="C3251" s="4">
        <v>335</v>
      </c>
      <c r="D3251" s="3" t="s">
        <v>36</v>
      </c>
      <c r="E3251" s="3" t="s">
        <v>7</v>
      </c>
      <c r="F3251" s="5">
        <v>126</v>
      </c>
      <c r="G3251" s="5">
        <v>132</v>
      </c>
      <c r="H3251" s="6">
        <v>8475.42</v>
      </c>
      <c r="I3251" s="22">
        <v>8042.88</v>
      </c>
      <c r="J3251" s="24">
        <f t="shared" si="150"/>
        <v>5.5730096247610715E-5</v>
      </c>
      <c r="K3251" s="25">
        <f t="shared" si="152"/>
        <v>0.94917164564696455</v>
      </c>
      <c r="L3251" s="26" t="s">
        <v>7517</v>
      </c>
      <c r="M3251" s="28">
        <v>2.1691181561060272E-3</v>
      </c>
      <c r="N3251" s="28"/>
      <c r="O3251" s="20">
        <v>8042.88</v>
      </c>
      <c r="P3251" s="27" t="str">
        <f t="shared" si="151"/>
        <v>verde</v>
      </c>
    </row>
    <row r="3252" spans="1:16">
      <c r="A3252" s="3" t="s">
        <v>4</v>
      </c>
      <c r="B3252" s="3" t="s">
        <v>2338</v>
      </c>
      <c r="C3252" s="4">
        <v>240</v>
      </c>
      <c r="D3252" s="3" t="s">
        <v>69</v>
      </c>
      <c r="E3252" s="3" t="s">
        <v>16</v>
      </c>
      <c r="F3252" s="5">
        <v>0</v>
      </c>
      <c r="G3252" s="5">
        <v>120</v>
      </c>
      <c r="H3252" s="6">
        <v>0</v>
      </c>
      <c r="I3252" s="22">
        <v>8040.48</v>
      </c>
      <c r="J3252" s="24">
        <f t="shared" si="150"/>
        <v>5.571346635496103E-5</v>
      </c>
      <c r="K3252" s="25">
        <f t="shared" si="152"/>
        <v>0.94922735911331946</v>
      </c>
      <c r="L3252" s="26" t="s">
        <v>7517</v>
      </c>
      <c r="M3252" s="28"/>
      <c r="N3252" s="28"/>
      <c r="O3252" s="20" t="s">
        <v>7530</v>
      </c>
      <c r="P3252" s="27" t="str">
        <f t="shared" si="151"/>
        <v>vermelho</v>
      </c>
    </row>
    <row r="3253" spans="1:16" ht="38.25">
      <c r="A3253" s="3" t="s">
        <v>6814</v>
      </c>
      <c r="B3253" s="3" t="s">
        <v>6815</v>
      </c>
      <c r="C3253" s="4">
        <v>301</v>
      </c>
      <c r="D3253" s="3" t="s">
        <v>519</v>
      </c>
      <c r="E3253" s="3" t="s">
        <v>16</v>
      </c>
      <c r="F3253" s="5">
        <v>396</v>
      </c>
      <c r="G3253" s="5">
        <v>168</v>
      </c>
      <c r="H3253" s="6">
        <v>20999.64</v>
      </c>
      <c r="I3253" s="22">
        <v>8038.8</v>
      </c>
      <c r="J3253" s="24">
        <f t="shared" si="150"/>
        <v>5.5701825430106259E-5</v>
      </c>
      <c r="K3253" s="25">
        <f t="shared" si="152"/>
        <v>0.94928306093874959</v>
      </c>
      <c r="L3253" s="26" t="s">
        <v>7517</v>
      </c>
      <c r="M3253" s="28"/>
      <c r="N3253" s="28"/>
      <c r="O3253" s="20" t="s">
        <v>7530</v>
      </c>
      <c r="P3253" s="27" t="str">
        <f t="shared" si="151"/>
        <v>vermelho</v>
      </c>
    </row>
    <row r="3254" spans="1:16" ht="51">
      <c r="A3254" s="3" t="s">
        <v>4</v>
      </c>
      <c r="B3254" s="3" t="s">
        <v>2339</v>
      </c>
      <c r="C3254" s="4">
        <v>282</v>
      </c>
      <c r="D3254" s="3" t="s">
        <v>12</v>
      </c>
      <c r="E3254" s="3" t="s">
        <v>13</v>
      </c>
      <c r="F3254" s="5">
        <v>135</v>
      </c>
      <c r="G3254" s="5">
        <v>165</v>
      </c>
      <c r="H3254" s="6">
        <v>8142.6</v>
      </c>
      <c r="I3254" s="22">
        <v>8017.2839999999997</v>
      </c>
      <c r="J3254" s="24">
        <f t="shared" si="150"/>
        <v>5.5552738442501868E-5</v>
      </c>
      <c r="K3254" s="25">
        <f t="shared" si="152"/>
        <v>0.94933861367719208</v>
      </c>
      <c r="L3254" s="26" t="s">
        <v>7517</v>
      </c>
      <c r="M3254" s="28"/>
      <c r="N3254" s="28"/>
      <c r="O3254" s="20" t="s">
        <v>7530</v>
      </c>
      <c r="P3254" s="27" t="str">
        <f t="shared" si="151"/>
        <v>vermelho</v>
      </c>
    </row>
    <row r="3255" spans="1:16" ht="38.25">
      <c r="A3255" s="3" t="s">
        <v>6816</v>
      </c>
      <c r="B3255" s="3" t="s">
        <v>6817</v>
      </c>
      <c r="C3255" s="4">
        <v>331</v>
      </c>
      <c r="D3255" s="3" t="s">
        <v>603</v>
      </c>
      <c r="E3255" s="3" t="s">
        <v>13</v>
      </c>
      <c r="F3255" s="5">
        <v>144</v>
      </c>
      <c r="G3255" s="5">
        <v>147</v>
      </c>
      <c r="H3255" s="6">
        <v>7608.1679999999997</v>
      </c>
      <c r="I3255" s="22">
        <v>8015.85</v>
      </c>
      <c r="J3255" s="24">
        <f t="shared" si="150"/>
        <v>5.5542802081643688E-5</v>
      </c>
      <c r="K3255" s="25">
        <f t="shared" si="152"/>
        <v>0.94939415647927372</v>
      </c>
      <c r="L3255" s="26" t="s">
        <v>7517</v>
      </c>
      <c r="M3255" s="28"/>
      <c r="N3255" s="28"/>
      <c r="O3255" s="20" t="s">
        <v>7530</v>
      </c>
      <c r="P3255" s="27" t="str">
        <f t="shared" si="151"/>
        <v>vermelho</v>
      </c>
    </row>
    <row r="3256" spans="1:16" ht="25.5">
      <c r="A3256" s="3" t="s">
        <v>4</v>
      </c>
      <c r="B3256" s="3" t="s">
        <v>2340</v>
      </c>
      <c r="C3256" s="4">
        <v>266</v>
      </c>
      <c r="D3256" s="3" t="s">
        <v>80</v>
      </c>
      <c r="E3256" s="3" t="s">
        <v>10</v>
      </c>
      <c r="F3256" s="5">
        <v>384</v>
      </c>
      <c r="G3256" s="5">
        <v>132</v>
      </c>
      <c r="H3256" s="6">
        <v>20669.82</v>
      </c>
      <c r="I3256" s="22">
        <v>8013.48</v>
      </c>
      <c r="J3256" s="24">
        <f t="shared" si="150"/>
        <v>5.5526380062652123E-5</v>
      </c>
      <c r="K3256" s="25">
        <f t="shared" si="152"/>
        <v>0.9494496828593364</v>
      </c>
      <c r="L3256" s="26" t="s">
        <v>7517</v>
      </c>
      <c r="M3256" s="28"/>
      <c r="N3256" s="28"/>
      <c r="O3256" s="20">
        <v>13769.13</v>
      </c>
      <c r="P3256" s="27" t="str">
        <f t="shared" si="151"/>
        <v>verde</v>
      </c>
    </row>
    <row r="3257" spans="1:16" ht="38.25">
      <c r="A3257" s="3" t="s">
        <v>4</v>
      </c>
      <c r="B3257" s="3" t="s">
        <v>2341</v>
      </c>
      <c r="C3257" s="4">
        <v>371</v>
      </c>
      <c r="D3257" s="3" t="s">
        <v>82</v>
      </c>
      <c r="E3257" s="3" t="s">
        <v>49</v>
      </c>
      <c r="F3257" s="5">
        <v>0</v>
      </c>
      <c r="G3257" s="5">
        <v>180</v>
      </c>
      <c r="H3257" s="6">
        <v>0</v>
      </c>
      <c r="I3257" s="22">
        <v>8009.4</v>
      </c>
      <c r="J3257" s="24">
        <f t="shared" si="150"/>
        <v>5.5498109245147667E-5</v>
      </c>
      <c r="K3257" s="25">
        <f t="shared" si="152"/>
        <v>0.9495051809685815</v>
      </c>
      <c r="L3257" s="26" t="s">
        <v>7518</v>
      </c>
      <c r="M3257" s="28"/>
      <c r="N3257" s="28"/>
      <c r="O3257" s="20" t="s">
        <v>7530</v>
      </c>
      <c r="P3257" s="27" t="str">
        <f t="shared" si="151"/>
        <v>vermelho</v>
      </c>
    </row>
    <row r="3258" spans="1:16" ht="25.5">
      <c r="A3258" s="3" t="s">
        <v>4</v>
      </c>
      <c r="B3258" s="3" t="s">
        <v>2342</v>
      </c>
      <c r="C3258" s="4">
        <v>31</v>
      </c>
      <c r="D3258" s="3" t="s">
        <v>194</v>
      </c>
      <c r="E3258" s="3" t="s">
        <v>16</v>
      </c>
      <c r="F3258" s="5">
        <v>0</v>
      </c>
      <c r="G3258" s="5">
        <v>132</v>
      </c>
      <c r="H3258" s="6">
        <v>0</v>
      </c>
      <c r="I3258" s="22">
        <v>7989.84</v>
      </c>
      <c r="J3258" s="24">
        <f t="shared" si="150"/>
        <v>5.5362575620052772E-5</v>
      </c>
      <c r="K3258" s="25">
        <f t="shared" si="152"/>
        <v>0.9495605435442015</v>
      </c>
      <c r="L3258" s="26" t="s">
        <v>7518</v>
      </c>
      <c r="M3258" s="28"/>
      <c r="N3258" s="28"/>
      <c r="O3258" s="20" t="s">
        <v>7530</v>
      </c>
      <c r="P3258" s="27" t="str">
        <f t="shared" si="151"/>
        <v>vermelho</v>
      </c>
    </row>
    <row r="3259" spans="1:16" ht="25.5">
      <c r="A3259" s="3" t="s">
        <v>4</v>
      </c>
      <c r="B3259" s="3" t="s">
        <v>2343</v>
      </c>
      <c r="C3259" s="4">
        <v>41</v>
      </c>
      <c r="D3259" s="3" t="s">
        <v>178</v>
      </c>
      <c r="E3259" s="3" t="s">
        <v>41</v>
      </c>
      <c r="F3259" s="5">
        <v>132</v>
      </c>
      <c r="G3259" s="5">
        <v>114</v>
      </c>
      <c r="H3259" s="6">
        <v>6574.68</v>
      </c>
      <c r="I3259" s="22">
        <v>7989.72</v>
      </c>
      <c r="J3259" s="24">
        <f t="shared" si="150"/>
        <v>5.5361744125420286E-5</v>
      </c>
      <c r="K3259" s="25">
        <f t="shared" si="152"/>
        <v>0.94961590528832696</v>
      </c>
      <c r="L3259" s="26" t="s">
        <v>7518</v>
      </c>
      <c r="M3259" s="28"/>
      <c r="N3259" s="28"/>
      <c r="O3259" s="20" t="s">
        <v>7530</v>
      </c>
      <c r="P3259" s="27" t="str">
        <f t="shared" si="151"/>
        <v>vermelho</v>
      </c>
    </row>
    <row r="3260" spans="1:16" ht="25.5">
      <c r="A3260" s="3" t="s">
        <v>4</v>
      </c>
      <c r="B3260" s="3" t="s">
        <v>2344</v>
      </c>
      <c r="C3260" s="4">
        <v>74</v>
      </c>
      <c r="D3260" s="3" t="s">
        <v>6</v>
      </c>
      <c r="E3260" s="3" t="s">
        <v>7</v>
      </c>
      <c r="F3260" s="5">
        <v>174</v>
      </c>
      <c r="G3260" s="5">
        <v>144</v>
      </c>
      <c r="H3260" s="6">
        <v>8343.06</v>
      </c>
      <c r="I3260" s="22">
        <v>7989.6</v>
      </c>
      <c r="J3260" s="24">
        <f t="shared" si="150"/>
        <v>5.5360912630787801E-5</v>
      </c>
      <c r="K3260" s="25">
        <f t="shared" si="152"/>
        <v>0.94967126620095776</v>
      </c>
      <c r="L3260" s="26" t="s">
        <v>7518</v>
      </c>
      <c r="M3260" s="28"/>
      <c r="N3260" s="28"/>
      <c r="O3260" s="20">
        <v>4674.4799999999996</v>
      </c>
      <c r="P3260" s="27" t="str">
        <f t="shared" si="151"/>
        <v>laranja</v>
      </c>
    </row>
    <row r="3261" spans="1:16" ht="25.5">
      <c r="A3261" s="3" t="s">
        <v>4</v>
      </c>
      <c r="B3261" s="3" t="s">
        <v>2345</v>
      </c>
      <c r="C3261" s="4">
        <v>299</v>
      </c>
      <c r="D3261" s="3" t="s">
        <v>111</v>
      </c>
      <c r="E3261" s="3" t="s">
        <v>49</v>
      </c>
      <c r="F3261" s="5">
        <v>0</v>
      </c>
      <c r="G3261" s="5">
        <v>150</v>
      </c>
      <c r="H3261" s="6">
        <v>0</v>
      </c>
      <c r="I3261" s="22">
        <v>7986.15</v>
      </c>
      <c r="J3261" s="24">
        <f t="shared" si="150"/>
        <v>5.5337007160103879E-5</v>
      </c>
      <c r="K3261" s="25">
        <f t="shared" si="152"/>
        <v>0.94972660320811786</v>
      </c>
      <c r="L3261" s="26" t="s">
        <v>7518</v>
      </c>
      <c r="M3261" s="28"/>
      <c r="N3261" s="28"/>
      <c r="O3261" s="20">
        <v>6786.24</v>
      </c>
      <c r="P3261" s="27" t="str">
        <f t="shared" si="151"/>
        <v>laranja</v>
      </c>
    </row>
    <row r="3262" spans="1:16" ht="25.5">
      <c r="A3262" s="3" t="s">
        <v>4</v>
      </c>
      <c r="B3262" s="3" t="s">
        <v>2346</v>
      </c>
      <c r="C3262" s="4">
        <v>218</v>
      </c>
      <c r="D3262" s="3" t="s">
        <v>104</v>
      </c>
      <c r="E3262" s="3" t="s">
        <v>16</v>
      </c>
      <c r="F3262" s="5">
        <v>72</v>
      </c>
      <c r="G3262" s="5">
        <v>162</v>
      </c>
      <c r="H3262" s="6">
        <v>3167.28</v>
      </c>
      <c r="I3262" s="22">
        <v>7978.86</v>
      </c>
      <c r="J3262" s="24">
        <f t="shared" si="150"/>
        <v>5.5286493861180479E-5</v>
      </c>
      <c r="K3262" s="25">
        <f t="shared" si="152"/>
        <v>0.94978188970197908</v>
      </c>
      <c r="L3262" s="26" t="s">
        <v>7518</v>
      </c>
      <c r="M3262" s="28"/>
      <c r="N3262" s="28"/>
      <c r="O3262" s="20" t="s">
        <v>7530</v>
      </c>
      <c r="P3262" s="27" t="str">
        <f t="shared" si="151"/>
        <v>vermelho</v>
      </c>
    </row>
    <row r="3263" spans="1:16">
      <c r="A3263" s="3" t="s">
        <v>6818</v>
      </c>
      <c r="B3263" s="3" t="s">
        <v>6819</v>
      </c>
      <c r="C3263" s="4">
        <v>231</v>
      </c>
      <c r="D3263" s="3" t="s">
        <v>52</v>
      </c>
      <c r="E3263" s="3" t="s">
        <v>7</v>
      </c>
      <c r="F3263" s="5">
        <v>84</v>
      </c>
      <c r="G3263" s="5">
        <v>156</v>
      </c>
      <c r="H3263" s="6">
        <v>3359.16</v>
      </c>
      <c r="I3263" s="22">
        <v>7976.88</v>
      </c>
      <c r="J3263" s="24">
        <f t="shared" si="150"/>
        <v>5.527277419974449E-5</v>
      </c>
      <c r="K3263" s="25">
        <f t="shared" si="152"/>
        <v>0.94983716247617878</v>
      </c>
      <c r="L3263" s="26" t="s">
        <v>7518</v>
      </c>
      <c r="M3263" s="28"/>
      <c r="N3263" s="28"/>
      <c r="O3263" s="20" t="s">
        <v>7530</v>
      </c>
      <c r="P3263" s="27" t="str">
        <f t="shared" si="151"/>
        <v>vermelho</v>
      </c>
    </row>
    <row r="3264" spans="1:16" ht="25.5">
      <c r="A3264" s="3" t="s">
        <v>5127</v>
      </c>
      <c r="B3264" s="3" t="s">
        <v>5128</v>
      </c>
      <c r="C3264" s="4">
        <v>327</v>
      </c>
      <c r="D3264" s="3" t="s">
        <v>100</v>
      </c>
      <c r="E3264" s="3" t="s">
        <v>7</v>
      </c>
      <c r="F3264" s="5">
        <v>90</v>
      </c>
      <c r="G3264" s="5">
        <v>114</v>
      </c>
      <c r="H3264" s="6">
        <v>5835.42</v>
      </c>
      <c r="I3264" s="22">
        <v>7975.86</v>
      </c>
      <c r="J3264" s="24">
        <f t="shared" si="150"/>
        <v>5.5265706495368373E-5</v>
      </c>
      <c r="K3264" s="25">
        <f t="shared" si="152"/>
        <v>0.94989242818267416</v>
      </c>
      <c r="L3264" s="26" t="s">
        <v>7518</v>
      </c>
      <c r="M3264" s="28"/>
      <c r="N3264" s="28"/>
      <c r="O3264" s="20">
        <v>37252.83</v>
      </c>
      <c r="P3264" s="27" t="str">
        <f t="shared" si="151"/>
        <v>verde</v>
      </c>
    </row>
    <row r="3265" spans="1:16" ht="38.25">
      <c r="A3265" s="3" t="s">
        <v>4</v>
      </c>
      <c r="B3265" s="3" t="s">
        <v>2347</v>
      </c>
      <c r="C3265" s="4">
        <v>331</v>
      </c>
      <c r="D3265" s="3" t="s">
        <v>603</v>
      </c>
      <c r="E3265" s="3" t="s">
        <v>13</v>
      </c>
      <c r="F3265" s="5">
        <v>0</v>
      </c>
      <c r="G3265" s="5">
        <v>132</v>
      </c>
      <c r="H3265" s="6">
        <v>0</v>
      </c>
      <c r="I3265" s="22">
        <v>7975.2</v>
      </c>
      <c r="J3265" s="24">
        <f t="shared" si="150"/>
        <v>5.5261133274889712E-5</v>
      </c>
      <c r="K3265" s="25">
        <f t="shared" si="152"/>
        <v>0.94994768931594908</v>
      </c>
      <c r="L3265" s="26" t="s">
        <v>7518</v>
      </c>
      <c r="M3265" s="28"/>
      <c r="N3265" s="28"/>
      <c r="O3265" s="20">
        <v>3534.4079999999999</v>
      </c>
      <c r="P3265" s="27" t="str">
        <f t="shared" si="151"/>
        <v>amarelo</v>
      </c>
    </row>
    <row r="3266" spans="1:16" ht="25.5">
      <c r="A3266" s="3" t="s">
        <v>4</v>
      </c>
      <c r="B3266" s="3" t="s">
        <v>2348</v>
      </c>
      <c r="C3266" s="4">
        <v>23</v>
      </c>
      <c r="D3266" s="3" t="s">
        <v>87</v>
      </c>
      <c r="E3266" s="3" t="s">
        <v>7</v>
      </c>
      <c r="F3266" s="5">
        <v>336</v>
      </c>
      <c r="G3266" s="5">
        <v>132</v>
      </c>
      <c r="H3266" s="6">
        <v>19103.400000000001</v>
      </c>
      <c r="I3266" s="22">
        <v>7971.8360000000002</v>
      </c>
      <c r="J3266" s="24">
        <f t="shared" si="150"/>
        <v>5.5237823708692414E-5</v>
      </c>
      <c r="K3266" s="25">
        <f t="shared" si="152"/>
        <v>0.95000292713965773</v>
      </c>
      <c r="L3266" s="26" t="s">
        <v>7518</v>
      </c>
      <c r="M3266" s="28"/>
      <c r="N3266" s="28"/>
      <c r="O3266" s="20">
        <v>6394.08</v>
      </c>
      <c r="P3266" s="27" t="str">
        <f t="shared" si="151"/>
        <v>laranja</v>
      </c>
    </row>
    <row r="3267" spans="1:16" ht="25.5">
      <c r="A3267" s="3" t="s">
        <v>4</v>
      </c>
      <c r="B3267" s="3" t="s">
        <v>2349</v>
      </c>
      <c r="C3267" s="4">
        <v>297</v>
      </c>
      <c r="D3267" s="3" t="s">
        <v>115</v>
      </c>
      <c r="E3267" s="3" t="s">
        <v>41</v>
      </c>
      <c r="F3267" s="5">
        <v>201</v>
      </c>
      <c r="G3267" s="5">
        <v>129</v>
      </c>
      <c r="H3267" s="6">
        <v>10547.94</v>
      </c>
      <c r="I3267" s="22">
        <v>7969.6980000000003</v>
      </c>
      <c r="J3267" s="24">
        <f t="shared" ref="J3267:J3330" si="153">I3267/$I$6364</f>
        <v>5.5223009245990322E-5</v>
      </c>
      <c r="K3267" s="25">
        <f t="shared" si="152"/>
        <v>0.95005815014890371</v>
      </c>
      <c r="L3267" s="26" t="s">
        <v>7518</v>
      </c>
      <c r="M3267" s="28"/>
      <c r="N3267" s="28"/>
      <c r="O3267" s="20">
        <v>4554.24</v>
      </c>
      <c r="P3267" s="27" t="str">
        <f t="shared" ref="P3267:P3330" si="154">IF(O3267&lt;=0,"vermelho",IFERROR(IF(O3267/I3267&lt;=0.5098,"amarelo",IF(O3267/I3267&lt;1,"laranja","verde")),"vermelho"))</f>
        <v>laranja</v>
      </c>
    </row>
    <row r="3268" spans="1:16" ht="25.5">
      <c r="A3268" s="3" t="s">
        <v>4</v>
      </c>
      <c r="B3268" s="3" t="s">
        <v>2350</v>
      </c>
      <c r="C3268" s="4">
        <v>266</v>
      </c>
      <c r="D3268" s="3" t="s">
        <v>80</v>
      </c>
      <c r="E3268" s="3" t="s">
        <v>10</v>
      </c>
      <c r="F3268" s="5">
        <v>255</v>
      </c>
      <c r="G3268" s="5">
        <v>126</v>
      </c>
      <c r="H3268" s="6">
        <v>15281.25</v>
      </c>
      <c r="I3268" s="22">
        <v>7966.98</v>
      </c>
      <c r="J3268" s="24">
        <f t="shared" si="153"/>
        <v>5.5204175892564554E-5</v>
      </c>
      <c r="K3268" s="25">
        <f t="shared" ref="K3268:K3331" si="155">J3268+K3267</f>
        <v>0.95011335432479627</v>
      </c>
      <c r="L3268" s="26" t="s">
        <v>7518</v>
      </c>
      <c r="M3268" s="28"/>
      <c r="N3268" s="28"/>
      <c r="O3268" s="20" t="s">
        <v>7530</v>
      </c>
      <c r="P3268" s="27" t="str">
        <f t="shared" si="154"/>
        <v>vermelho</v>
      </c>
    </row>
    <row r="3269" spans="1:16" ht="25.5">
      <c r="A3269" s="3" t="s">
        <v>4</v>
      </c>
      <c r="B3269" s="3" t="s">
        <v>2351</v>
      </c>
      <c r="C3269" s="4">
        <v>317</v>
      </c>
      <c r="D3269" s="3" t="s">
        <v>78</v>
      </c>
      <c r="E3269" s="3" t="s">
        <v>10</v>
      </c>
      <c r="F3269" s="5">
        <v>0</v>
      </c>
      <c r="G3269" s="5">
        <v>120</v>
      </c>
      <c r="H3269" s="6">
        <v>0</v>
      </c>
      <c r="I3269" s="22">
        <v>7955.76</v>
      </c>
      <c r="J3269" s="24">
        <f t="shared" si="153"/>
        <v>5.5126431144427303E-5</v>
      </c>
      <c r="K3269" s="25">
        <f t="shared" si="155"/>
        <v>0.95016848075594074</v>
      </c>
      <c r="L3269" s="26" t="s">
        <v>7518</v>
      </c>
      <c r="M3269" s="28"/>
      <c r="N3269" s="28"/>
      <c r="O3269" s="20" t="s">
        <v>7530</v>
      </c>
      <c r="P3269" s="27" t="str">
        <f t="shared" si="154"/>
        <v>vermelho</v>
      </c>
    </row>
    <row r="3270" spans="1:16">
      <c r="A3270" s="3" t="s">
        <v>4</v>
      </c>
      <c r="B3270" s="3" t="s">
        <v>2352</v>
      </c>
      <c r="C3270" s="4">
        <v>167</v>
      </c>
      <c r="D3270" s="3" t="s">
        <v>251</v>
      </c>
      <c r="E3270" s="3" t="s">
        <v>49</v>
      </c>
      <c r="F3270" s="5">
        <v>441</v>
      </c>
      <c r="G3270" s="5">
        <v>132</v>
      </c>
      <c r="H3270" s="6">
        <v>24722.37</v>
      </c>
      <c r="I3270" s="22">
        <v>7954.98</v>
      </c>
      <c r="J3270" s="24">
        <f t="shared" si="153"/>
        <v>5.512102642931615E-5</v>
      </c>
      <c r="K3270" s="25">
        <f t="shared" si="155"/>
        <v>0.95022360178237009</v>
      </c>
      <c r="L3270" s="26" t="s">
        <v>7518</v>
      </c>
      <c r="M3270" s="28"/>
      <c r="N3270" s="28"/>
      <c r="O3270" s="20" t="s">
        <v>7530</v>
      </c>
      <c r="P3270" s="27" t="str">
        <f t="shared" si="154"/>
        <v>vermelho</v>
      </c>
    </row>
    <row r="3271" spans="1:16" ht="25.5">
      <c r="A3271" s="3" t="s">
        <v>4</v>
      </c>
      <c r="B3271" s="3" t="s">
        <v>2353</v>
      </c>
      <c r="C3271" s="4">
        <v>240</v>
      </c>
      <c r="D3271" s="3" t="s">
        <v>69</v>
      </c>
      <c r="E3271" s="3" t="s">
        <v>16</v>
      </c>
      <c r="F3271" s="5">
        <v>0</v>
      </c>
      <c r="G3271" s="5">
        <v>132</v>
      </c>
      <c r="H3271" s="6">
        <v>0</v>
      </c>
      <c r="I3271" s="22">
        <v>7931.64</v>
      </c>
      <c r="J3271" s="24">
        <f t="shared" si="153"/>
        <v>5.4959300723298009E-5</v>
      </c>
      <c r="K3271" s="25">
        <f t="shared" si="155"/>
        <v>0.95027856108309339</v>
      </c>
      <c r="L3271" s="26" t="s">
        <v>7518</v>
      </c>
      <c r="M3271" s="28"/>
      <c r="N3271" s="28"/>
      <c r="O3271" s="20" t="s">
        <v>7530</v>
      </c>
      <c r="P3271" s="27" t="str">
        <f t="shared" si="154"/>
        <v>vermelho</v>
      </c>
    </row>
    <row r="3272" spans="1:16" ht="25.5">
      <c r="A3272" s="3" t="s">
        <v>4</v>
      </c>
      <c r="B3272" s="3" t="s">
        <v>2354</v>
      </c>
      <c r="C3272" s="4">
        <v>23</v>
      </c>
      <c r="D3272" s="3" t="s">
        <v>87</v>
      </c>
      <c r="E3272" s="3" t="s">
        <v>7</v>
      </c>
      <c r="F3272" s="5">
        <v>303</v>
      </c>
      <c r="G3272" s="5">
        <v>120</v>
      </c>
      <c r="H3272" s="6">
        <v>18280.98</v>
      </c>
      <c r="I3272" s="22">
        <v>7930.8</v>
      </c>
      <c r="J3272" s="24">
        <f t="shared" si="153"/>
        <v>5.4953480260870617E-5</v>
      </c>
      <c r="K3272" s="25">
        <f t="shared" si="155"/>
        <v>0.95033351456335424</v>
      </c>
      <c r="L3272" s="26" t="s">
        <v>7518</v>
      </c>
      <c r="M3272" s="28"/>
      <c r="N3272" s="28"/>
      <c r="O3272" s="20" t="s">
        <v>7530</v>
      </c>
      <c r="P3272" s="27" t="str">
        <f t="shared" si="154"/>
        <v>vermelho</v>
      </c>
    </row>
    <row r="3273" spans="1:16" ht="38.25">
      <c r="A3273" s="3" t="s">
        <v>4</v>
      </c>
      <c r="B3273" s="3" t="s">
        <v>2355</v>
      </c>
      <c r="C3273" s="4">
        <v>11</v>
      </c>
      <c r="D3273" s="3" t="s">
        <v>61</v>
      </c>
      <c r="E3273" s="3" t="s">
        <v>10</v>
      </c>
      <c r="F3273" s="5">
        <v>0</v>
      </c>
      <c r="G3273" s="5">
        <v>126</v>
      </c>
      <c r="H3273" s="6">
        <v>0</v>
      </c>
      <c r="I3273" s="22">
        <v>7926.3</v>
      </c>
      <c r="J3273" s="24">
        <f t="shared" si="153"/>
        <v>5.4922299212152464E-5</v>
      </c>
      <c r="K3273" s="25">
        <f t="shared" si="155"/>
        <v>0.95038843686256635</v>
      </c>
      <c r="L3273" s="26" t="s">
        <v>7518</v>
      </c>
      <c r="M3273" s="28"/>
      <c r="N3273" s="28"/>
      <c r="O3273" s="20" t="s">
        <v>7530</v>
      </c>
      <c r="P3273" s="27" t="str">
        <f t="shared" si="154"/>
        <v>vermelho</v>
      </c>
    </row>
    <row r="3274" spans="1:16">
      <c r="A3274" s="3" t="s">
        <v>4</v>
      </c>
      <c r="B3274" s="3" t="s">
        <v>2356</v>
      </c>
      <c r="C3274" s="4">
        <v>315</v>
      </c>
      <c r="D3274" s="3" t="s">
        <v>63</v>
      </c>
      <c r="E3274" s="3" t="s">
        <v>7</v>
      </c>
      <c r="F3274" s="5">
        <v>108</v>
      </c>
      <c r="G3274" s="5">
        <v>123</v>
      </c>
      <c r="H3274" s="6">
        <v>6166.92</v>
      </c>
      <c r="I3274" s="22">
        <v>7923.2790000000005</v>
      </c>
      <c r="J3274" s="24">
        <f t="shared" si="153"/>
        <v>5.4901366334779685E-5</v>
      </c>
      <c r="K3274" s="25">
        <f t="shared" si="155"/>
        <v>0.95044333822890115</v>
      </c>
      <c r="L3274" s="26" t="s">
        <v>7518</v>
      </c>
      <c r="M3274" s="28"/>
      <c r="N3274" s="28"/>
      <c r="O3274" s="20" t="s">
        <v>7530</v>
      </c>
      <c r="P3274" s="27" t="str">
        <f t="shared" si="154"/>
        <v>vermelho</v>
      </c>
    </row>
    <row r="3275" spans="1:16" ht="25.5">
      <c r="A3275" s="3" t="s">
        <v>4</v>
      </c>
      <c r="B3275" s="3" t="s">
        <v>2357</v>
      </c>
      <c r="C3275" s="4">
        <v>266</v>
      </c>
      <c r="D3275" s="3" t="s">
        <v>80</v>
      </c>
      <c r="E3275" s="3" t="s">
        <v>10</v>
      </c>
      <c r="F3275" s="5">
        <v>216</v>
      </c>
      <c r="G3275" s="5">
        <v>153</v>
      </c>
      <c r="H3275" s="6">
        <v>10946.61</v>
      </c>
      <c r="I3275" s="22">
        <v>7921.44</v>
      </c>
      <c r="J3275" s="24">
        <f t="shared" si="153"/>
        <v>5.4888623679536862E-5</v>
      </c>
      <c r="K3275" s="25">
        <f t="shared" si="155"/>
        <v>0.95049822685258067</v>
      </c>
      <c r="L3275" s="26" t="s">
        <v>7518</v>
      </c>
      <c r="M3275" s="28"/>
      <c r="N3275" s="28"/>
      <c r="O3275" s="20" t="s">
        <v>7530</v>
      </c>
      <c r="P3275" s="27" t="str">
        <f t="shared" si="154"/>
        <v>vermelho</v>
      </c>
    </row>
    <row r="3276" spans="1:16" ht="25.5">
      <c r="A3276" s="3" t="s">
        <v>4</v>
      </c>
      <c r="B3276" s="3" t="s">
        <v>2358</v>
      </c>
      <c r="C3276" s="4">
        <v>327</v>
      </c>
      <c r="D3276" s="3" t="s">
        <v>100</v>
      </c>
      <c r="E3276" s="3" t="s">
        <v>7</v>
      </c>
      <c r="F3276" s="5">
        <v>0</v>
      </c>
      <c r="G3276" s="5">
        <v>156</v>
      </c>
      <c r="H3276" s="6">
        <v>0</v>
      </c>
      <c r="I3276" s="22">
        <v>7917.93</v>
      </c>
      <c r="J3276" s="24">
        <f t="shared" si="153"/>
        <v>5.4864302461536708E-5</v>
      </c>
      <c r="K3276" s="25">
        <f t="shared" si="155"/>
        <v>0.95055309115504216</v>
      </c>
      <c r="L3276" s="26" t="s">
        <v>7518</v>
      </c>
      <c r="M3276" s="28"/>
      <c r="N3276" s="28"/>
      <c r="O3276" s="20">
        <v>17211.419999999998</v>
      </c>
      <c r="P3276" s="27" t="str">
        <f t="shared" si="154"/>
        <v>verde</v>
      </c>
    </row>
    <row r="3277" spans="1:16" ht="38.25">
      <c r="A3277" s="3" t="s">
        <v>4</v>
      </c>
      <c r="B3277" s="3" t="s">
        <v>2359</v>
      </c>
      <c r="C3277" s="4">
        <v>292</v>
      </c>
      <c r="D3277" s="3" t="s">
        <v>57</v>
      </c>
      <c r="E3277" s="3" t="s">
        <v>49</v>
      </c>
      <c r="F3277" s="5">
        <v>0</v>
      </c>
      <c r="G3277" s="5">
        <v>147</v>
      </c>
      <c r="H3277" s="6">
        <v>0</v>
      </c>
      <c r="I3277" s="22">
        <v>7915.23</v>
      </c>
      <c r="J3277" s="24">
        <f t="shared" si="153"/>
        <v>5.4845593832305812E-5</v>
      </c>
      <c r="K3277" s="25">
        <f t="shared" si="155"/>
        <v>0.95060793674887445</v>
      </c>
      <c r="L3277" s="26" t="s">
        <v>7518</v>
      </c>
      <c r="M3277" s="28"/>
      <c r="N3277" s="28"/>
      <c r="O3277" s="20" t="s">
        <v>7530</v>
      </c>
      <c r="P3277" s="27" t="str">
        <f t="shared" si="154"/>
        <v>vermelho</v>
      </c>
    </row>
    <row r="3278" spans="1:16" ht="25.5">
      <c r="A3278" s="3" t="s">
        <v>6820</v>
      </c>
      <c r="B3278" s="3" t="s">
        <v>6821</v>
      </c>
      <c r="C3278" s="4">
        <v>39</v>
      </c>
      <c r="D3278" s="3" t="s">
        <v>26</v>
      </c>
      <c r="E3278" s="3" t="s">
        <v>13</v>
      </c>
      <c r="F3278" s="5">
        <v>816</v>
      </c>
      <c r="G3278" s="5">
        <v>144</v>
      </c>
      <c r="H3278" s="6">
        <v>37706.936999999998</v>
      </c>
      <c r="I3278" s="22">
        <v>7911.6</v>
      </c>
      <c r="J3278" s="24">
        <f t="shared" si="153"/>
        <v>5.4820441119673172E-5</v>
      </c>
      <c r="K3278" s="25">
        <f t="shared" si="155"/>
        <v>0.95066275718999416</v>
      </c>
      <c r="L3278" s="26" t="s">
        <v>7518</v>
      </c>
      <c r="M3278" s="28"/>
      <c r="N3278" s="28"/>
      <c r="O3278" s="20" t="s">
        <v>7530</v>
      </c>
      <c r="P3278" s="27" t="str">
        <f t="shared" si="154"/>
        <v>vermelho</v>
      </c>
    </row>
    <row r="3279" spans="1:16" ht="25.5">
      <c r="A3279" s="3" t="s">
        <v>4</v>
      </c>
      <c r="B3279" s="3" t="s">
        <v>2360</v>
      </c>
      <c r="C3279" s="4">
        <v>93</v>
      </c>
      <c r="D3279" s="3" t="s">
        <v>20</v>
      </c>
      <c r="E3279" s="3" t="s">
        <v>7</v>
      </c>
      <c r="F3279" s="5">
        <v>0</v>
      </c>
      <c r="G3279" s="5">
        <v>120</v>
      </c>
      <c r="H3279" s="6">
        <v>0</v>
      </c>
      <c r="I3279" s="22">
        <v>7909.68</v>
      </c>
      <c r="J3279" s="24">
        <f t="shared" si="153"/>
        <v>5.4807137205553429E-5</v>
      </c>
      <c r="K3279" s="25">
        <f t="shared" si="155"/>
        <v>0.95071756432719967</v>
      </c>
      <c r="L3279" s="26" t="s">
        <v>7518</v>
      </c>
      <c r="M3279" s="28"/>
      <c r="N3279" s="28"/>
      <c r="O3279" s="20" t="s">
        <v>7530</v>
      </c>
      <c r="P3279" s="27" t="str">
        <f t="shared" si="154"/>
        <v>vermelho</v>
      </c>
    </row>
    <row r="3280" spans="1:16">
      <c r="A3280" s="3" t="s">
        <v>4</v>
      </c>
      <c r="B3280" s="3" t="s">
        <v>2361</v>
      </c>
      <c r="C3280" s="4">
        <v>232</v>
      </c>
      <c r="D3280" s="3" t="s">
        <v>174</v>
      </c>
      <c r="E3280" s="3" t="s">
        <v>16</v>
      </c>
      <c r="F3280" s="5">
        <v>192</v>
      </c>
      <c r="G3280" s="5">
        <v>144</v>
      </c>
      <c r="H3280" s="6">
        <v>9738.6</v>
      </c>
      <c r="I3280" s="22">
        <v>7907.16</v>
      </c>
      <c r="J3280" s="24">
        <f t="shared" si="153"/>
        <v>5.4789675818271259E-5</v>
      </c>
      <c r="K3280" s="25">
        <f t="shared" si="155"/>
        <v>0.95077235400301796</v>
      </c>
      <c r="L3280" s="26" t="s">
        <v>7518</v>
      </c>
      <c r="M3280" s="28"/>
      <c r="N3280" s="28"/>
      <c r="O3280" s="20" t="s">
        <v>7530</v>
      </c>
      <c r="P3280" s="27" t="str">
        <f t="shared" si="154"/>
        <v>vermelho</v>
      </c>
    </row>
    <row r="3281" spans="1:16" ht="38.25">
      <c r="A3281" s="3" t="s">
        <v>4</v>
      </c>
      <c r="B3281" s="3" t="s">
        <v>2362</v>
      </c>
      <c r="C3281" s="4">
        <v>297</v>
      </c>
      <c r="D3281" s="3" t="s">
        <v>115</v>
      </c>
      <c r="E3281" s="3" t="s">
        <v>41</v>
      </c>
      <c r="F3281" s="5">
        <v>0</v>
      </c>
      <c r="G3281" s="5">
        <v>138</v>
      </c>
      <c r="H3281" s="6">
        <v>0</v>
      </c>
      <c r="I3281" s="22">
        <v>7906.47</v>
      </c>
      <c r="J3281" s="24">
        <f t="shared" si="153"/>
        <v>5.4784894724134479E-5</v>
      </c>
      <c r="K3281" s="25">
        <f t="shared" si="155"/>
        <v>0.95082713889774206</v>
      </c>
      <c r="L3281" s="26" t="s">
        <v>7518</v>
      </c>
      <c r="M3281" s="28"/>
      <c r="N3281" s="28"/>
      <c r="O3281" s="20" t="s">
        <v>7530</v>
      </c>
      <c r="P3281" s="27" t="str">
        <f t="shared" si="154"/>
        <v>vermelho</v>
      </c>
    </row>
    <row r="3282" spans="1:16" ht="38.25">
      <c r="A3282" s="3" t="s">
        <v>6344</v>
      </c>
      <c r="B3282" s="3" t="s">
        <v>6345</v>
      </c>
      <c r="C3282" s="4">
        <v>11</v>
      </c>
      <c r="D3282" s="3" t="s">
        <v>61</v>
      </c>
      <c r="E3282" s="3" t="s">
        <v>16</v>
      </c>
      <c r="F3282" s="5">
        <v>180</v>
      </c>
      <c r="G3282" s="5">
        <v>132</v>
      </c>
      <c r="H3282" s="6">
        <v>11257.68</v>
      </c>
      <c r="I3282" s="22">
        <v>7905.72</v>
      </c>
      <c r="J3282" s="24">
        <f t="shared" si="153"/>
        <v>5.4779697882681452E-5</v>
      </c>
      <c r="K3282" s="25">
        <f t="shared" si="155"/>
        <v>0.95088191859562476</v>
      </c>
      <c r="L3282" s="26" t="s">
        <v>7518</v>
      </c>
      <c r="M3282" s="28"/>
      <c r="N3282" s="28"/>
      <c r="O3282" s="20" t="s">
        <v>7530</v>
      </c>
      <c r="P3282" s="27" t="str">
        <f t="shared" si="154"/>
        <v>vermelho</v>
      </c>
    </row>
    <row r="3283" spans="1:16" ht="25.5">
      <c r="A3283" s="3" t="s">
        <v>6822</v>
      </c>
      <c r="B3283" s="3" t="s">
        <v>5132</v>
      </c>
      <c r="C3283" s="4">
        <v>328</v>
      </c>
      <c r="D3283" s="3" t="s">
        <v>215</v>
      </c>
      <c r="E3283" s="3" t="s">
        <v>41</v>
      </c>
      <c r="F3283" s="5">
        <v>0</v>
      </c>
      <c r="G3283" s="5">
        <v>153</v>
      </c>
      <c r="H3283" s="6">
        <v>0</v>
      </c>
      <c r="I3283" s="22">
        <v>7901.73</v>
      </c>
      <c r="J3283" s="24">
        <f t="shared" si="153"/>
        <v>5.4752050686151355E-5</v>
      </c>
      <c r="K3283" s="25">
        <f t="shared" si="155"/>
        <v>0.95093667064631093</v>
      </c>
      <c r="L3283" s="26" t="s">
        <v>7518</v>
      </c>
      <c r="M3283" s="28"/>
      <c r="N3283" s="28"/>
      <c r="O3283" s="20">
        <v>22354.59</v>
      </c>
      <c r="P3283" s="27" t="str">
        <f t="shared" si="154"/>
        <v>verde</v>
      </c>
    </row>
    <row r="3284" spans="1:16" ht="25.5">
      <c r="A3284" s="3" t="s">
        <v>4</v>
      </c>
      <c r="B3284" s="3" t="s">
        <v>2363</v>
      </c>
      <c r="C3284" s="4">
        <v>217</v>
      </c>
      <c r="D3284" s="3" t="s">
        <v>91</v>
      </c>
      <c r="E3284" s="3" t="s">
        <v>16</v>
      </c>
      <c r="F3284" s="5">
        <v>168</v>
      </c>
      <c r="G3284" s="5">
        <v>147</v>
      </c>
      <c r="H3284" s="6">
        <v>7363.32</v>
      </c>
      <c r="I3284" s="22">
        <v>7901.46</v>
      </c>
      <c r="J3284" s="24">
        <f t="shared" si="153"/>
        <v>5.4750179823228271E-5</v>
      </c>
      <c r="K3284" s="25">
        <f t="shared" si="155"/>
        <v>0.95099142082613419</v>
      </c>
      <c r="L3284" s="26" t="s">
        <v>7518</v>
      </c>
      <c r="M3284" s="28"/>
      <c r="N3284" s="28"/>
      <c r="O3284" s="20" t="s">
        <v>7530</v>
      </c>
      <c r="P3284" s="27" t="str">
        <f t="shared" si="154"/>
        <v>vermelho</v>
      </c>
    </row>
    <row r="3285" spans="1:16" ht="25.5">
      <c r="A3285" s="3" t="s">
        <v>4</v>
      </c>
      <c r="B3285" s="3" t="s">
        <v>1866</v>
      </c>
      <c r="C3285" s="4">
        <v>264</v>
      </c>
      <c r="D3285" s="3" t="s">
        <v>40</v>
      </c>
      <c r="E3285" s="3" t="s">
        <v>41</v>
      </c>
      <c r="F3285" s="5">
        <v>72</v>
      </c>
      <c r="G3285" s="5">
        <v>144</v>
      </c>
      <c r="H3285" s="6">
        <v>3430.8</v>
      </c>
      <c r="I3285" s="22">
        <v>7900.076</v>
      </c>
      <c r="J3285" s="24">
        <f t="shared" si="153"/>
        <v>5.4740589918466955E-5</v>
      </c>
      <c r="K3285" s="25">
        <f t="shared" si="155"/>
        <v>0.95104616141605269</v>
      </c>
      <c r="L3285" s="26" t="s">
        <v>7518</v>
      </c>
      <c r="M3285" s="28"/>
      <c r="N3285" s="28"/>
      <c r="O3285" s="20" t="s">
        <v>7530</v>
      </c>
      <c r="P3285" s="27" t="str">
        <f t="shared" si="154"/>
        <v>vermelho</v>
      </c>
    </row>
    <row r="3286" spans="1:16" ht="38.25">
      <c r="A3286" s="3" t="s">
        <v>4</v>
      </c>
      <c r="B3286" s="3" t="s">
        <v>2364</v>
      </c>
      <c r="C3286" s="4">
        <v>371</v>
      </c>
      <c r="D3286" s="3" t="s">
        <v>82</v>
      </c>
      <c r="E3286" s="3" t="s">
        <v>49</v>
      </c>
      <c r="F3286" s="5">
        <v>339</v>
      </c>
      <c r="G3286" s="5">
        <v>158</v>
      </c>
      <c r="H3286" s="6">
        <v>16834.521000000001</v>
      </c>
      <c r="I3286" s="22">
        <v>7896.1</v>
      </c>
      <c r="J3286" s="24">
        <f t="shared" si="153"/>
        <v>5.4713039729643982E-5</v>
      </c>
      <c r="K3286" s="25">
        <f t="shared" si="155"/>
        <v>0.95110087445578229</v>
      </c>
      <c r="L3286" s="26" t="s">
        <v>7518</v>
      </c>
      <c r="M3286" s="28"/>
      <c r="N3286" s="28"/>
      <c r="O3286" s="20">
        <v>6122.31</v>
      </c>
      <c r="P3286" s="27" t="str">
        <f t="shared" si="154"/>
        <v>laranja</v>
      </c>
    </row>
    <row r="3287" spans="1:16" ht="38.25">
      <c r="A3287" s="3" t="s">
        <v>4</v>
      </c>
      <c r="B3287" s="3" t="s">
        <v>2365</v>
      </c>
      <c r="C3287" s="4">
        <v>34</v>
      </c>
      <c r="D3287" s="3" t="s">
        <v>54</v>
      </c>
      <c r="E3287" s="3" t="s">
        <v>49</v>
      </c>
      <c r="F3287" s="5">
        <v>0</v>
      </c>
      <c r="G3287" s="5">
        <v>108</v>
      </c>
      <c r="H3287" s="6">
        <v>0</v>
      </c>
      <c r="I3287" s="22">
        <v>7894.89</v>
      </c>
      <c r="J3287" s="24">
        <f t="shared" si="153"/>
        <v>5.4704655492099771E-5</v>
      </c>
      <c r="K3287" s="25">
        <f t="shared" si="155"/>
        <v>0.95115557911127435</v>
      </c>
      <c r="L3287" s="26" t="s">
        <v>7518</v>
      </c>
      <c r="M3287" s="28"/>
      <c r="N3287" s="28"/>
      <c r="O3287" s="20" t="s">
        <v>7530</v>
      </c>
      <c r="P3287" s="27" t="str">
        <f t="shared" si="154"/>
        <v>vermelho</v>
      </c>
    </row>
    <row r="3288" spans="1:16" ht="25.5">
      <c r="A3288" s="3" t="s">
        <v>4</v>
      </c>
      <c r="B3288" s="3" t="s">
        <v>2366</v>
      </c>
      <c r="C3288" s="4">
        <v>74</v>
      </c>
      <c r="D3288" s="3" t="s">
        <v>6</v>
      </c>
      <c r="E3288" s="3" t="s">
        <v>7</v>
      </c>
      <c r="F3288" s="5">
        <v>0</v>
      </c>
      <c r="G3288" s="5">
        <v>120</v>
      </c>
      <c r="H3288" s="6">
        <v>0</v>
      </c>
      <c r="I3288" s="22">
        <v>7894.8</v>
      </c>
      <c r="J3288" s="24">
        <f t="shared" si="153"/>
        <v>5.4704031871125405E-5</v>
      </c>
      <c r="K3288" s="25">
        <f t="shared" si="155"/>
        <v>0.95121028314314549</v>
      </c>
      <c r="L3288" s="26" t="s">
        <v>7518</v>
      </c>
      <c r="M3288" s="28"/>
      <c r="N3288" s="28"/>
      <c r="O3288" s="20" t="s">
        <v>7530</v>
      </c>
      <c r="P3288" s="27" t="str">
        <f t="shared" si="154"/>
        <v>vermelho</v>
      </c>
    </row>
    <row r="3289" spans="1:16" ht="25.5">
      <c r="A3289" s="3" t="s">
        <v>4</v>
      </c>
      <c r="B3289" s="3" t="s">
        <v>2367</v>
      </c>
      <c r="C3289" s="4">
        <v>261</v>
      </c>
      <c r="D3289" s="3" t="s">
        <v>9</v>
      </c>
      <c r="E3289" s="3" t="s">
        <v>10</v>
      </c>
      <c r="F3289" s="5">
        <v>111</v>
      </c>
      <c r="G3289" s="5">
        <v>156</v>
      </c>
      <c r="H3289" s="6">
        <v>7418.25</v>
      </c>
      <c r="I3289" s="22">
        <v>7883.28</v>
      </c>
      <c r="J3289" s="24">
        <f t="shared" si="153"/>
        <v>5.462420838640693E-5</v>
      </c>
      <c r="K3289" s="25">
        <f t="shared" si="155"/>
        <v>0.95126490735153191</v>
      </c>
      <c r="L3289" s="26" t="s">
        <v>7518</v>
      </c>
      <c r="M3289" s="28"/>
      <c r="N3289" s="28"/>
      <c r="O3289" s="20" t="s">
        <v>7530</v>
      </c>
      <c r="P3289" s="27" t="str">
        <f t="shared" si="154"/>
        <v>vermelho</v>
      </c>
    </row>
    <row r="3290" spans="1:16" ht="38.25">
      <c r="A3290" s="3" t="s">
        <v>4</v>
      </c>
      <c r="B3290" s="3" t="s">
        <v>2368</v>
      </c>
      <c r="C3290" s="4">
        <v>187</v>
      </c>
      <c r="D3290" s="3" t="s">
        <v>96</v>
      </c>
      <c r="E3290" s="3" t="s">
        <v>7</v>
      </c>
      <c r="F3290" s="5">
        <v>111</v>
      </c>
      <c r="G3290" s="5">
        <v>111</v>
      </c>
      <c r="H3290" s="6">
        <v>7423.17</v>
      </c>
      <c r="I3290" s="22">
        <v>7883.22</v>
      </c>
      <c r="J3290" s="24">
        <f t="shared" si="153"/>
        <v>5.4623792639090697E-5</v>
      </c>
      <c r="K3290" s="25">
        <f t="shared" si="155"/>
        <v>0.951319531144171</v>
      </c>
      <c r="L3290" s="26" t="s">
        <v>7518</v>
      </c>
      <c r="M3290" s="28">
        <v>-2.1870648179333676E-2</v>
      </c>
      <c r="N3290" s="28"/>
      <c r="O3290" s="20">
        <v>3622.02</v>
      </c>
      <c r="P3290" s="27" t="str">
        <f t="shared" si="154"/>
        <v>amarelo</v>
      </c>
    </row>
    <row r="3291" spans="1:16" ht="25.5">
      <c r="A3291" s="3" t="s">
        <v>4</v>
      </c>
      <c r="B3291" s="3" t="s">
        <v>2369</v>
      </c>
      <c r="C3291" s="4">
        <v>218</v>
      </c>
      <c r="D3291" s="3" t="s">
        <v>104</v>
      </c>
      <c r="E3291" s="3" t="s">
        <v>16</v>
      </c>
      <c r="F3291" s="5">
        <v>0</v>
      </c>
      <c r="G3291" s="5">
        <v>144</v>
      </c>
      <c r="H3291" s="6">
        <v>0</v>
      </c>
      <c r="I3291" s="22">
        <v>7878.24</v>
      </c>
      <c r="J3291" s="24">
        <f t="shared" si="153"/>
        <v>5.4589285611842603E-5</v>
      </c>
      <c r="K3291" s="25">
        <f t="shared" si="155"/>
        <v>0.95137412042978287</v>
      </c>
      <c r="L3291" s="26" t="s">
        <v>7518</v>
      </c>
      <c r="M3291" s="28"/>
      <c r="N3291" s="28"/>
      <c r="O3291" s="20" t="s">
        <v>7530</v>
      </c>
      <c r="P3291" s="27" t="str">
        <f t="shared" si="154"/>
        <v>vermelho</v>
      </c>
    </row>
    <row r="3292" spans="1:16" ht="25.5">
      <c r="A3292" s="3" t="s">
        <v>4</v>
      </c>
      <c r="B3292" s="3" t="s">
        <v>2370</v>
      </c>
      <c r="C3292" s="4">
        <v>261</v>
      </c>
      <c r="D3292" s="3" t="s">
        <v>9</v>
      </c>
      <c r="E3292" s="3" t="s">
        <v>10</v>
      </c>
      <c r="F3292" s="5">
        <v>480</v>
      </c>
      <c r="G3292" s="5">
        <v>120</v>
      </c>
      <c r="H3292" s="6">
        <v>27046.95</v>
      </c>
      <c r="I3292" s="22">
        <v>7875.06</v>
      </c>
      <c r="J3292" s="24">
        <f t="shared" si="153"/>
        <v>5.4567251004081778E-5</v>
      </c>
      <c r="K3292" s="25">
        <f t="shared" si="155"/>
        <v>0.95142868768078692</v>
      </c>
      <c r="L3292" s="26" t="s">
        <v>7518</v>
      </c>
      <c r="M3292" s="28"/>
      <c r="N3292" s="28"/>
      <c r="O3292" s="20" t="s">
        <v>7530</v>
      </c>
      <c r="P3292" s="27" t="str">
        <f t="shared" si="154"/>
        <v>vermelho</v>
      </c>
    </row>
    <row r="3293" spans="1:16" ht="25.5">
      <c r="A3293" s="3" t="s">
        <v>6823</v>
      </c>
      <c r="B3293" s="3" t="s">
        <v>6824</v>
      </c>
      <c r="C3293" s="4">
        <v>218</v>
      </c>
      <c r="D3293" s="3" t="s">
        <v>104</v>
      </c>
      <c r="E3293" s="3" t="s">
        <v>16</v>
      </c>
      <c r="F3293" s="5">
        <v>504</v>
      </c>
      <c r="G3293" s="5">
        <v>129</v>
      </c>
      <c r="H3293" s="6">
        <v>26880.48</v>
      </c>
      <c r="I3293" s="22">
        <v>7870.02</v>
      </c>
      <c r="J3293" s="24">
        <f t="shared" si="153"/>
        <v>5.4532328229517451E-5</v>
      </c>
      <c r="K3293" s="25">
        <f t="shared" si="155"/>
        <v>0.95148322000901642</v>
      </c>
      <c r="L3293" s="26" t="s">
        <v>7518</v>
      </c>
      <c r="M3293" s="28"/>
      <c r="N3293" s="28"/>
      <c r="O3293" s="20">
        <v>10559.67</v>
      </c>
      <c r="P3293" s="27" t="str">
        <f t="shared" si="154"/>
        <v>verde</v>
      </c>
    </row>
    <row r="3294" spans="1:16" ht="25.5">
      <c r="A3294" s="3" t="s">
        <v>4</v>
      </c>
      <c r="B3294" s="3" t="s">
        <v>2371</v>
      </c>
      <c r="C3294" s="4">
        <v>321</v>
      </c>
      <c r="D3294" s="3" t="s">
        <v>136</v>
      </c>
      <c r="E3294" s="3" t="s">
        <v>41</v>
      </c>
      <c r="F3294" s="5">
        <v>0</v>
      </c>
      <c r="G3294" s="5">
        <v>144</v>
      </c>
      <c r="H3294" s="6">
        <v>0</v>
      </c>
      <c r="I3294" s="22">
        <v>7869.72</v>
      </c>
      <c r="J3294" s="24">
        <f t="shared" si="153"/>
        <v>5.453024949293624E-5</v>
      </c>
      <c r="K3294" s="25">
        <f t="shared" si="155"/>
        <v>0.9515377502585094</v>
      </c>
      <c r="L3294" s="26" t="s">
        <v>7518</v>
      </c>
      <c r="M3294" s="28"/>
      <c r="N3294" s="28"/>
      <c r="O3294" s="20" t="s">
        <v>7530</v>
      </c>
      <c r="P3294" s="27" t="str">
        <f t="shared" si="154"/>
        <v>vermelho</v>
      </c>
    </row>
    <row r="3295" spans="1:16" ht="25.5">
      <c r="A3295" s="3" t="s">
        <v>4</v>
      </c>
      <c r="B3295" s="3" t="s">
        <v>2372</v>
      </c>
      <c r="C3295" s="4">
        <v>218</v>
      </c>
      <c r="D3295" s="3" t="s">
        <v>104</v>
      </c>
      <c r="E3295" s="3" t="s">
        <v>16</v>
      </c>
      <c r="F3295" s="5">
        <v>228</v>
      </c>
      <c r="G3295" s="5">
        <v>168</v>
      </c>
      <c r="H3295" s="6">
        <v>9997.56</v>
      </c>
      <c r="I3295" s="22">
        <v>7854.96</v>
      </c>
      <c r="J3295" s="24">
        <f t="shared" si="153"/>
        <v>5.4427975653140702E-5</v>
      </c>
      <c r="K3295" s="25">
        <f t="shared" si="155"/>
        <v>0.95159217823416253</v>
      </c>
      <c r="L3295" s="26" t="s">
        <v>7518</v>
      </c>
      <c r="M3295" s="28"/>
      <c r="N3295" s="28"/>
      <c r="O3295" s="20">
        <v>7030.32</v>
      </c>
      <c r="P3295" s="27" t="str">
        <f t="shared" si="154"/>
        <v>laranja</v>
      </c>
    </row>
    <row r="3296" spans="1:16">
      <c r="A3296" s="3" t="s">
        <v>4</v>
      </c>
      <c r="B3296" s="3" t="s">
        <v>2373</v>
      </c>
      <c r="C3296" s="4">
        <v>315</v>
      </c>
      <c r="D3296" s="3" t="s">
        <v>63</v>
      </c>
      <c r="E3296" s="3" t="s">
        <v>7</v>
      </c>
      <c r="F3296" s="5">
        <v>0</v>
      </c>
      <c r="G3296" s="5">
        <v>138</v>
      </c>
      <c r="H3296" s="6">
        <v>0</v>
      </c>
      <c r="I3296" s="22">
        <v>7847.76</v>
      </c>
      <c r="J3296" s="24">
        <f t="shared" si="153"/>
        <v>5.4378085975191661E-5</v>
      </c>
      <c r="K3296" s="25">
        <f t="shared" si="155"/>
        <v>0.95164655632013773</v>
      </c>
      <c r="L3296" s="26" t="s">
        <v>7518</v>
      </c>
      <c r="M3296" s="28"/>
      <c r="N3296" s="28"/>
      <c r="O3296" s="20" t="s">
        <v>7530</v>
      </c>
      <c r="P3296" s="27" t="str">
        <f t="shared" si="154"/>
        <v>vermelho</v>
      </c>
    </row>
    <row r="3297" spans="1:16" ht="25.5">
      <c r="A3297" s="3" t="s">
        <v>4</v>
      </c>
      <c r="B3297" s="3" t="s">
        <v>2374</v>
      </c>
      <c r="C3297" s="4">
        <v>332</v>
      </c>
      <c r="D3297" s="3" t="s">
        <v>1470</v>
      </c>
      <c r="E3297" s="3" t="s">
        <v>13</v>
      </c>
      <c r="F3297" s="5">
        <v>0</v>
      </c>
      <c r="G3297" s="5">
        <v>120</v>
      </c>
      <c r="H3297" s="6">
        <v>0</v>
      </c>
      <c r="I3297" s="22">
        <v>7829.88</v>
      </c>
      <c r="J3297" s="24">
        <f t="shared" si="153"/>
        <v>5.4254193274951537E-5</v>
      </c>
      <c r="K3297" s="25">
        <f t="shared" si="155"/>
        <v>0.95170081051341271</v>
      </c>
      <c r="L3297" s="26" t="s">
        <v>7518</v>
      </c>
      <c r="M3297" s="28"/>
      <c r="N3297" s="28"/>
      <c r="O3297" s="20" t="s">
        <v>7530</v>
      </c>
      <c r="P3297" s="27" t="str">
        <f t="shared" si="154"/>
        <v>vermelho</v>
      </c>
    </row>
    <row r="3298" spans="1:16" ht="25.5">
      <c r="A3298" s="3" t="s">
        <v>4</v>
      </c>
      <c r="B3298" s="3" t="s">
        <v>2375</v>
      </c>
      <c r="C3298" s="4">
        <v>74</v>
      </c>
      <c r="D3298" s="3" t="s">
        <v>6</v>
      </c>
      <c r="E3298" s="3" t="s">
        <v>7</v>
      </c>
      <c r="F3298" s="5">
        <v>228</v>
      </c>
      <c r="G3298" s="5">
        <v>129</v>
      </c>
      <c r="H3298" s="6">
        <v>13745.64</v>
      </c>
      <c r="I3298" s="22">
        <v>7829.88</v>
      </c>
      <c r="J3298" s="24">
        <f t="shared" si="153"/>
        <v>5.4254193274951537E-5</v>
      </c>
      <c r="K3298" s="25">
        <f t="shared" si="155"/>
        <v>0.95175506470668769</v>
      </c>
      <c r="L3298" s="26" t="s">
        <v>7518</v>
      </c>
      <c r="M3298" s="28"/>
      <c r="N3298" s="28"/>
      <c r="O3298" s="20" t="s">
        <v>7530</v>
      </c>
      <c r="P3298" s="27" t="str">
        <f t="shared" si="154"/>
        <v>vermelho</v>
      </c>
    </row>
    <row r="3299" spans="1:16" ht="25.5">
      <c r="A3299" s="3" t="s">
        <v>4</v>
      </c>
      <c r="B3299" s="3" t="s">
        <v>2376</v>
      </c>
      <c r="C3299" s="4">
        <v>218</v>
      </c>
      <c r="D3299" s="3" t="s">
        <v>104</v>
      </c>
      <c r="E3299" s="3" t="s">
        <v>16</v>
      </c>
      <c r="F3299" s="5">
        <v>0</v>
      </c>
      <c r="G3299" s="5">
        <v>123</v>
      </c>
      <c r="H3299" s="6">
        <v>0</v>
      </c>
      <c r="I3299" s="22">
        <v>7828.77</v>
      </c>
      <c r="J3299" s="24">
        <f t="shared" si="153"/>
        <v>5.424650194960106E-5</v>
      </c>
      <c r="K3299" s="25">
        <f t="shared" si="155"/>
        <v>0.95180931120863732</v>
      </c>
      <c r="L3299" s="26" t="s">
        <v>7518</v>
      </c>
      <c r="M3299" s="28"/>
      <c r="N3299" s="28"/>
      <c r="O3299" s="20" t="s">
        <v>7530</v>
      </c>
      <c r="P3299" s="27" t="str">
        <f t="shared" si="154"/>
        <v>vermelho</v>
      </c>
    </row>
    <row r="3300" spans="1:16" ht="25.5">
      <c r="A3300" s="3" t="s">
        <v>4</v>
      </c>
      <c r="B3300" s="3" t="s">
        <v>2377</v>
      </c>
      <c r="C3300" s="4">
        <v>316</v>
      </c>
      <c r="D3300" s="3" t="s">
        <v>247</v>
      </c>
      <c r="E3300" s="3" t="s">
        <v>10</v>
      </c>
      <c r="F3300" s="5">
        <v>0</v>
      </c>
      <c r="G3300" s="5">
        <v>143</v>
      </c>
      <c r="H3300" s="6">
        <v>0</v>
      </c>
      <c r="I3300" s="22">
        <v>7827.83</v>
      </c>
      <c r="J3300" s="24">
        <f t="shared" si="153"/>
        <v>5.4239988574979933E-5</v>
      </c>
      <c r="K3300" s="25">
        <f t="shared" si="155"/>
        <v>0.95186355119721233</v>
      </c>
      <c r="L3300" s="26" t="s">
        <v>7518</v>
      </c>
      <c r="M3300" s="28"/>
      <c r="N3300" s="28"/>
      <c r="O3300" s="20">
        <v>2890.74</v>
      </c>
      <c r="P3300" s="27" t="str">
        <f t="shared" si="154"/>
        <v>amarelo</v>
      </c>
    </row>
    <row r="3301" spans="1:16">
      <c r="A3301" s="3" t="s">
        <v>4</v>
      </c>
      <c r="B3301" s="3" t="s">
        <v>2378</v>
      </c>
      <c r="C3301" s="4">
        <v>264</v>
      </c>
      <c r="D3301" s="3" t="s">
        <v>40</v>
      </c>
      <c r="E3301" s="3" t="s">
        <v>41</v>
      </c>
      <c r="F3301" s="5">
        <v>0</v>
      </c>
      <c r="G3301" s="5">
        <v>153</v>
      </c>
      <c r="H3301" s="6">
        <v>0</v>
      </c>
      <c r="I3301" s="22">
        <v>7819.3230000000003</v>
      </c>
      <c r="J3301" s="24">
        <f t="shared" si="153"/>
        <v>5.4181042534658753E-5</v>
      </c>
      <c r="K3301" s="25">
        <f t="shared" si="155"/>
        <v>0.95191773223974696</v>
      </c>
      <c r="L3301" s="26" t="s">
        <v>7518</v>
      </c>
      <c r="M3301" s="28"/>
      <c r="N3301" s="28"/>
      <c r="O3301" s="20">
        <v>2283.1799999999998</v>
      </c>
      <c r="P3301" s="27" t="str">
        <f t="shared" si="154"/>
        <v>amarelo</v>
      </c>
    </row>
    <row r="3302" spans="1:16" ht="25.5">
      <c r="A3302" s="3" t="s">
        <v>4</v>
      </c>
      <c r="B3302" s="3" t="s">
        <v>2379</v>
      </c>
      <c r="C3302" s="4">
        <v>178</v>
      </c>
      <c r="D3302" s="3" t="s">
        <v>74</v>
      </c>
      <c r="E3302" s="3" t="s">
        <v>7</v>
      </c>
      <c r="F3302" s="5">
        <v>216</v>
      </c>
      <c r="G3302" s="5">
        <v>132</v>
      </c>
      <c r="H3302" s="6">
        <v>13413.84</v>
      </c>
      <c r="I3302" s="22">
        <v>7802.04</v>
      </c>
      <c r="J3302" s="24">
        <f t="shared" si="153"/>
        <v>5.4061286520215237E-5</v>
      </c>
      <c r="K3302" s="25">
        <f t="shared" si="155"/>
        <v>0.95197179352626715</v>
      </c>
      <c r="L3302" s="26" t="s">
        <v>7518</v>
      </c>
      <c r="M3302" s="28"/>
      <c r="N3302" s="28"/>
      <c r="O3302" s="20">
        <v>8341.7999999999993</v>
      </c>
      <c r="P3302" s="27" t="str">
        <f t="shared" si="154"/>
        <v>verde</v>
      </c>
    </row>
    <row r="3303" spans="1:16" ht="25.5">
      <c r="A3303" s="3" t="s">
        <v>4</v>
      </c>
      <c r="B3303" s="3" t="s">
        <v>2380</v>
      </c>
      <c r="C3303" s="4">
        <v>61</v>
      </c>
      <c r="D3303" s="3" t="s">
        <v>48</v>
      </c>
      <c r="E3303" s="3" t="s">
        <v>49</v>
      </c>
      <c r="F3303" s="5">
        <v>120</v>
      </c>
      <c r="G3303" s="5">
        <v>120</v>
      </c>
      <c r="H3303" s="6">
        <v>6658.44</v>
      </c>
      <c r="I3303" s="22">
        <v>7801.56</v>
      </c>
      <c r="J3303" s="24">
        <f t="shared" si="153"/>
        <v>5.4057960541685302E-5</v>
      </c>
      <c r="K3303" s="25">
        <f t="shared" si="155"/>
        <v>0.95202585148680885</v>
      </c>
      <c r="L3303" s="26" t="s">
        <v>7518</v>
      </c>
      <c r="M3303" s="28"/>
      <c r="N3303" s="28"/>
      <c r="O3303" s="20" t="s">
        <v>7530</v>
      </c>
      <c r="P3303" s="27" t="str">
        <f t="shared" si="154"/>
        <v>vermelho</v>
      </c>
    </row>
    <row r="3304" spans="1:16" ht="25.5">
      <c r="A3304" s="3" t="s">
        <v>4</v>
      </c>
      <c r="B3304" s="3" t="s">
        <v>2381</v>
      </c>
      <c r="C3304" s="4">
        <v>61</v>
      </c>
      <c r="D3304" s="3" t="s">
        <v>48</v>
      </c>
      <c r="E3304" s="3" t="s">
        <v>49</v>
      </c>
      <c r="F3304" s="5">
        <v>84</v>
      </c>
      <c r="G3304" s="5">
        <v>120</v>
      </c>
      <c r="H3304" s="6">
        <v>4460.28</v>
      </c>
      <c r="I3304" s="22">
        <v>7801.56</v>
      </c>
      <c r="J3304" s="24">
        <f t="shared" si="153"/>
        <v>5.4057960541685302E-5</v>
      </c>
      <c r="K3304" s="25">
        <f t="shared" si="155"/>
        <v>0.95207990944735055</v>
      </c>
      <c r="L3304" s="26" t="s">
        <v>7518</v>
      </c>
      <c r="M3304" s="28"/>
      <c r="N3304" s="28"/>
      <c r="O3304" s="20" t="s">
        <v>7530</v>
      </c>
      <c r="P3304" s="27" t="str">
        <f t="shared" si="154"/>
        <v>vermelho</v>
      </c>
    </row>
    <row r="3305" spans="1:16" ht="25.5">
      <c r="A3305" s="3" t="s">
        <v>4</v>
      </c>
      <c r="B3305" s="3" t="s">
        <v>2382</v>
      </c>
      <c r="C3305" s="4">
        <v>53</v>
      </c>
      <c r="D3305" s="3" t="s">
        <v>34</v>
      </c>
      <c r="E3305" s="3" t="s">
        <v>16</v>
      </c>
      <c r="F3305" s="5">
        <v>0</v>
      </c>
      <c r="G3305" s="5">
        <v>132</v>
      </c>
      <c r="H3305" s="6">
        <v>0</v>
      </c>
      <c r="I3305" s="22">
        <v>7795.56</v>
      </c>
      <c r="J3305" s="24">
        <f t="shared" si="153"/>
        <v>5.4016385810061103E-5</v>
      </c>
      <c r="K3305" s="25">
        <f t="shared" si="155"/>
        <v>0.95213392583316059</v>
      </c>
      <c r="L3305" s="26" t="s">
        <v>7518</v>
      </c>
      <c r="M3305" s="28"/>
      <c r="N3305" s="28"/>
      <c r="O3305" s="20" t="s">
        <v>7530</v>
      </c>
      <c r="P3305" s="27" t="str">
        <f t="shared" si="154"/>
        <v>vermelho</v>
      </c>
    </row>
    <row r="3306" spans="1:16" ht="25.5">
      <c r="A3306" s="3" t="s">
        <v>5248</v>
      </c>
      <c r="B3306" s="3" t="s">
        <v>5249</v>
      </c>
      <c r="C3306" s="4">
        <v>53</v>
      </c>
      <c r="D3306" s="3" t="s">
        <v>34</v>
      </c>
      <c r="E3306" s="3" t="s">
        <v>16</v>
      </c>
      <c r="F3306" s="5">
        <v>0</v>
      </c>
      <c r="G3306" s="5">
        <v>132</v>
      </c>
      <c r="H3306" s="6">
        <v>0</v>
      </c>
      <c r="I3306" s="22">
        <v>7795.56</v>
      </c>
      <c r="J3306" s="24">
        <f t="shared" si="153"/>
        <v>5.4016385810061103E-5</v>
      </c>
      <c r="K3306" s="25">
        <f t="shared" si="155"/>
        <v>0.95218794221897063</v>
      </c>
      <c r="L3306" s="26" t="s">
        <v>7518</v>
      </c>
      <c r="M3306" s="28"/>
      <c r="N3306" s="28"/>
      <c r="O3306" s="20">
        <v>18154.936000000002</v>
      </c>
      <c r="P3306" s="27" t="str">
        <f t="shared" si="154"/>
        <v>verde</v>
      </c>
    </row>
    <row r="3307" spans="1:16" ht="25.5">
      <c r="A3307" s="3" t="s">
        <v>4</v>
      </c>
      <c r="B3307" s="3" t="s">
        <v>2383</v>
      </c>
      <c r="C3307" s="4">
        <v>320</v>
      </c>
      <c r="D3307" s="3" t="s">
        <v>218</v>
      </c>
      <c r="E3307" s="3" t="s">
        <v>49</v>
      </c>
      <c r="F3307" s="5">
        <v>123</v>
      </c>
      <c r="G3307" s="5">
        <v>132</v>
      </c>
      <c r="H3307" s="6">
        <v>7727.28</v>
      </c>
      <c r="I3307" s="22">
        <v>7795.08</v>
      </c>
      <c r="J3307" s="24">
        <f t="shared" si="153"/>
        <v>5.4013059831531161E-5</v>
      </c>
      <c r="K3307" s="25">
        <f t="shared" si="155"/>
        <v>0.95224195527880218</v>
      </c>
      <c r="L3307" s="26" t="s">
        <v>7518</v>
      </c>
      <c r="M3307" s="28"/>
      <c r="N3307" s="28">
        <v>9.8557010877967158E-2</v>
      </c>
      <c r="O3307" s="20">
        <v>3536.28</v>
      </c>
      <c r="P3307" s="27" t="str">
        <f t="shared" si="154"/>
        <v>amarelo</v>
      </c>
    </row>
    <row r="3308" spans="1:16" ht="51">
      <c r="A3308" s="3" t="s">
        <v>4</v>
      </c>
      <c r="B3308" s="3" t="s">
        <v>2384</v>
      </c>
      <c r="C3308" s="4">
        <v>282</v>
      </c>
      <c r="D3308" s="3" t="s">
        <v>12</v>
      </c>
      <c r="E3308" s="3" t="s">
        <v>13</v>
      </c>
      <c r="F3308" s="5">
        <v>0</v>
      </c>
      <c r="G3308" s="5">
        <v>123</v>
      </c>
      <c r="H3308" s="6">
        <v>0</v>
      </c>
      <c r="I3308" s="22">
        <v>7785.54</v>
      </c>
      <c r="J3308" s="24">
        <f t="shared" si="153"/>
        <v>5.3946956008248681E-5</v>
      </c>
      <c r="K3308" s="25">
        <f t="shared" si="155"/>
        <v>0.95229590223481042</v>
      </c>
      <c r="L3308" s="26" t="s">
        <v>7518</v>
      </c>
      <c r="M3308" s="28"/>
      <c r="N3308" s="28"/>
      <c r="O3308" s="20" t="s">
        <v>7530</v>
      </c>
      <c r="P3308" s="27" t="str">
        <f t="shared" si="154"/>
        <v>vermelho</v>
      </c>
    </row>
    <row r="3309" spans="1:16" ht="25.5">
      <c r="A3309" s="3" t="s">
        <v>4</v>
      </c>
      <c r="B3309" s="3" t="s">
        <v>2385</v>
      </c>
      <c r="C3309" s="4">
        <v>240</v>
      </c>
      <c r="D3309" s="3" t="s">
        <v>69</v>
      </c>
      <c r="E3309" s="3" t="s">
        <v>16</v>
      </c>
      <c r="F3309" s="5">
        <v>0</v>
      </c>
      <c r="G3309" s="5">
        <v>147</v>
      </c>
      <c r="H3309" s="6">
        <v>0</v>
      </c>
      <c r="I3309" s="22">
        <v>7782.93</v>
      </c>
      <c r="J3309" s="24">
        <f t="shared" si="153"/>
        <v>5.3928870999992152E-5</v>
      </c>
      <c r="K3309" s="25">
        <f t="shared" si="155"/>
        <v>0.9523498311058104</v>
      </c>
      <c r="L3309" s="26" t="s">
        <v>7518</v>
      </c>
      <c r="M3309" s="28"/>
      <c r="N3309" s="28"/>
      <c r="O3309" s="20" t="s">
        <v>7530</v>
      </c>
      <c r="P3309" s="27" t="str">
        <f t="shared" si="154"/>
        <v>vermelho</v>
      </c>
    </row>
    <row r="3310" spans="1:16" ht="38.25">
      <c r="A3310" s="3" t="s">
        <v>4</v>
      </c>
      <c r="B3310" s="3" t="s">
        <v>2386</v>
      </c>
      <c r="C3310" s="4">
        <v>11</v>
      </c>
      <c r="D3310" s="3" t="s">
        <v>61</v>
      </c>
      <c r="E3310" s="3" t="s">
        <v>10</v>
      </c>
      <c r="F3310" s="5">
        <v>264</v>
      </c>
      <c r="G3310" s="5">
        <v>144</v>
      </c>
      <c r="H3310" s="6">
        <v>14575.2</v>
      </c>
      <c r="I3310" s="22">
        <v>7777.44</v>
      </c>
      <c r="J3310" s="24">
        <f t="shared" si="153"/>
        <v>5.3890830120556002E-5</v>
      </c>
      <c r="K3310" s="25">
        <f t="shared" si="155"/>
        <v>0.95240372193593092</v>
      </c>
      <c r="L3310" s="26" t="s">
        <v>7518</v>
      </c>
      <c r="M3310" s="28"/>
      <c r="N3310" s="28"/>
      <c r="O3310" s="20" t="s">
        <v>7530</v>
      </c>
      <c r="P3310" s="27" t="str">
        <f t="shared" si="154"/>
        <v>vermelho</v>
      </c>
    </row>
    <row r="3311" spans="1:16" ht="51">
      <c r="A3311" s="3" t="s">
        <v>4</v>
      </c>
      <c r="B3311" s="3" t="s">
        <v>2387</v>
      </c>
      <c r="C3311" s="4">
        <v>282</v>
      </c>
      <c r="D3311" s="3" t="s">
        <v>12</v>
      </c>
      <c r="E3311" s="3" t="s">
        <v>13</v>
      </c>
      <c r="F3311" s="5">
        <v>0</v>
      </c>
      <c r="G3311" s="5">
        <v>96</v>
      </c>
      <c r="H3311" s="6">
        <v>0</v>
      </c>
      <c r="I3311" s="22">
        <v>7776.96</v>
      </c>
      <c r="J3311" s="24">
        <f t="shared" si="153"/>
        <v>5.3887504142026073E-5</v>
      </c>
      <c r="K3311" s="25">
        <f t="shared" si="155"/>
        <v>0.95245760944007296</v>
      </c>
      <c r="L3311" s="26" t="s">
        <v>7518</v>
      </c>
      <c r="M3311" s="28"/>
      <c r="N3311" s="28"/>
      <c r="O3311" s="20" t="s">
        <v>7530</v>
      </c>
      <c r="P3311" s="27" t="str">
        <f t="shared" si="154"/>
        <v>vermelho</v>
      </c>
    </row>
    <row r="3312" spans="1:16" ht="25.5">
      <c r="A3312" s="3" t="s">
        <v>4</v>
      </c>
      <c r="B3312" s="3" t="s">
        <v>2388</v>
      </c>
      <c r="C3312" s="4">
        <v>194</v>
      </c>
      <c r="D3312" s="3" t="s">
        <v>145</v>
      </c>
      <c r="E3312" s="3" t="s">
        <v>16</v>
      </c>
      <c r="F3312" s="5">
        <v>0</v>
      </c>
      <c r="G3312" s="5">
        <v>120</v>
      </c>
      <c r="H3312" s="6">
        <v>0</v>
      </c>
      <c r="I3312" s="22">
        <v>7776.6</v>
      </c>
      <c r="J3312" s="24">
        <f t="shared" si="153"/>
        <v>5.3885009658128623E-5</v>
      </c>
      <c r="K3312" s="25">
        <f t="shared" si="155"/>
        <v>0.95251149444973104</v>
      </c>
      <c r="L3312" s="26" t="s">
        <v>7518</v>
      </c>
      <c r="M3312" s="28"/>
      <c r="N3312" s="28"/>
      <c r="O3312" s="20" t="s">
        <v>7530</v>
      </c>
      <c r="P3312" s="27" t="str">
        <f t="shared" si="154"/>
        <v>vermelho</v>
      </c>
    </row>
    <row r="3313" spans="1:16" ht="25.5">
      <c r="A3313" s="3" t="s">
        <v>4</v>
      </c>
      <c r="B3313" s="3" t="s">
        <v>2389</v>
      </c>
      <c r="C3313" s="4">
        <v>53</v>
      </c>
      <c r="D3313" s="3" t="s">
        <v>34</v>
      </c>
      <c r="E3313" s="3" t="s">
        <v>16</v>
      </c>
      <c r="F3313" s="5">
        <v>276</v>
      </c>
      <c r="G3313" s="5">
        <v>144</v>
      </c>
      <c r="H3313" s="6">
        <v>13875.24</v>
      </c>
      <c r="I3313" s="22">
        <v>7776.48</v>
      </c>
      <c r="J3313" s="24">
        <f t="shared" si="153"/>
        <v>5.388417816349613E-5</v>
      </c>
      <c r="K3313" s="25">
        <f t="shared" si="155"/>
        <v>0.95256537862789459</v>
      </c>
      <c r="L3313" s="26" t="s">
        <v>7518</v>
      </c>
      <c r="M3313" s="28"/>
      <c r="N3313" s="28"/>
      <c r="O3313" s="20" t="s">
        <v>7530</v>
      </c>
      <c r="P3313" s="27" t="str">
        <f t="shared" si="154"/>
        <v>vermelho</v>
      </c>
    </row>
    <row r="3314" spans="1:16" ht="25.5">
      <c r="A3314" s="3" t="s">
        <v>4</v>
      </c>
      <c r="B3314" s="3" t="s">
        <v>2390</v>
      </c>
      <c r="C3314" s="4">
        <v>335</v>
      </c>
      <c r="D3314" s="3" t="s">
        <v>36</v>
      </c>
      <c r="E3314" s="3" t="s">
        <v>7</v>
      </c>
      <c r="F3314" s="5">
        <v>0</v>
      </c>
      <c r="G3314" s="5">
        <v>120</v>
      </c>
      <c r="H3314" s="6">
        <v>0</v>
      </c>
      <c r="I3314" s="22">
        <v>7776.48</v>
      </c>
      <c r="J3314" s="24">
        <f t="shared" si="153"/>
        <v>5.388417816349613E-5</v>
      </c>
      <c r="K3314" s="25">
        <f t="shared" si="155"/>
        <v>0.95261926280605813</v>
      </c>
      <c r="L3314" s="26" t="s">
        <v>7518</v>
      </c>
      <c r="M3314" s="28">
        <v>-5.2604224116582381E-2</v>
      </c>
      <c r="N3314" s="28"/>
      <c r="O3314" s="20">
        <v>7776.48</v>
      </c>
      <c r="P3314" s="27" t="str">
        <f t="shared" si="154"/>
        <v>verde</v>
      </c>
    </row>
    <row r="3315" spans="1:16" ht="38.25">
      <c r="A3315" s="3" t="s">
        <v>4</v>
      </c>
      <c r="B3315" s="3" t="s">
        <v>2391</v>
      </c>
      <c r="C3315" s="4">
        <v>316</v>
      </c>
      <c r="D3315" s="3" t="s">
        <v>247</v>
      </c>
      <c r="E3315" s="3" t="s">
        <v>10</v>
      </c>
      <c r="F3315" s="5">
        <v>0</v>
      </c>
      <c r="G3315" s="5">
        <v>117</v>
      </c>
      <c r="H3315" s="6">
        <v>0</v>
      </c>
      <c r="I3315" s="22">
        <v>7773.18</v>
      </c>
      <c r="J3315" s="24">
        <f t="shared" si="153"/>
        <v>5.3861312061102827E-5</v>
      </c>
      <c r="K3315" s="25">
        <f t="shared" si="155"/>
        <v>0.95267312411811922</v>
      </c>
      <c r="L3315" s="26" t="s">
        <v>7518</v>
      </c>
      <c r="M3315" s="28"/>
      <c r="N3315" s="28"/>
      <c r="O3315" s="20" t="s">
        <v>7530</v>
      </c>
      <c r="P3315" s="27" t="str">
        <f t="shared" si="154"/>
        <v>vermelho</v>
      </c>
    </row>
    <row r="3316" spans="1:16" ht="25.5">
      <c r="A3316" s="3" t="s">
        <v>4</v>
      </c>
      <c r="B3316" s="3" t="s">
        <v>2392</v>
      </c>
      <c r="C3316" s="4">
        <v>218</v>
      </c>
      <c r="D3316" s="3" t="s">
        <v>104</v>
      </c>
      <c r="E3316" s="3" t="s">
        <v>16</v>
      </c>
      <c r="F3316" s="5">
        <v>216</v>
      </c>
      <c r="G3316" s="5">
        <v>156</v>
      </c>
      <c r="H3316" s="6">
        <v>10724.4</v>
      </c>
      <c r="I3316" s="22">
        <v>7771.8</v>
      </c>
      <c r="J3316" s="24">
        <f t="shared" si="153"/>
        <v>5.385174987282926E-5</v>
      </c>
      <c r="K3316" s="25">
        <f t="shared" si="155"/>
        <v>0.95272697586799204</v>
      </c>
      <c r="L3316" s="26" t="s">
        <v>7518</v>
      </c>
      <c r="M3316" s="28"/>
      <c r="N3316" s="28">
        <v>3.8338154861648197E-2</v>
      </c>
      <c r="O3316" s="20">
        <v>3195.6</v>
      </c>
      <c r="P3316" s="27" t="str">
        <f t="shared" si="154"/>
        <v>amarelo</v>
      </c>
    </row>
    <row r="3317" spans="1:16">
      <c r="A3317" s="3" t="s">
        <v>4</v>
      </c>
      <c r="B3317" s="3" t="s">
        <v>2393</v>
      </c>
      <c r="C3317" s="4">
        <v>217</v>
      </c>
      <c r="D3317" s="3" t="s">
        <v>91</v>
      </c>
      <c r="E3317" s="3" t="s">
        <v>16</v>
      </c>
      <c r="F3317" s="5">
        <v>192</v>
      </c>
      <c r="G3317" s="5">
        <v>156</v>
      </c>
      <c r="H3317" s="6">
        <v>10010.4</v>
      </c>
      <c r="I3317" s="22">
        <v>7770.36</v>
      </c>
      <c r="J3317" s="24">
        <f t="shared" si="153"/>
        <v>5.3841771937239446E-5</v>
      </c>
      <c r="K3317" s="25">
        <f t="shared" si="155"/>
        <v>0.95278081763992928</v>
      </c>
      <c r="L3317" s="26" t="s">
        <v>7518</v>
      </c>
      <c r="M3317" s="28"/>
      <c r="N3317" s="28"/>
      <c r="O3317" s="20" t="s">
        <v>7530</v>
      </c>
      <c r="P3317" s="27" t="str">
        <f t="shared" si="154"/>
        <v>vermelho</v>
      </c>
    </row>
    <row r="3318" spans="1:16">
      <c r="A3318" s="3" t="s">
        <v>4</v>
      </c>
      <c r="B3318" s="3" t="s">
        <v>2394</v>
      </c>
      <c r="C3318" s="4">
        <v>217</v>
      </c>
      <c r="D3318" s="3" t="s">
        <v>91</v>
      </c>
      <c r="E3318" s="3" t="s">
        <v>16</v>
      </c>
      <c r="F3318" s="5">
        <v>309</v>
      </c>
      <c r="G3318" s="5">
        <v>132</v>
      </c>
      <c r="H3318" s="6">
        <v>18611.73</v>
      </c>
      <c r="I3318" s="22">
        <v>7768.56</v>
      </c>
      <c r="J3318" s="24">
        <f t="shared" si="153"/>
        <v>5.3829299517752189E-5</v>
      </c>
      <c r="K3318" s="25">
        <f t="shared" si="155"/>
        <v>0.95283464693944708</v>
      </c>
      <c r="L3318" s="26" t="s">
        <v>7518</v>
      </c>
      <c r="M3318" s="28"/>
      <c r="N3318" s="28"/>
      <c r="O3318" s="20">
        <v>25615.26</v>
      </c>
      <c r="P3318" s="27" t="str">
        <f t="shared" si="154"/>
        <v>verde</v>
      </c>
    </row>
    <row r="3319" spans="1:16" ht="51">
      <c r="A3319" s="3" t="s">
        <v>6825</v>
      </c>
      <c r="B3319" s="3" t="s">
        <v>6826</v>
      </c>
      <c r="C3319" s="4">
        <v>282</v>
      </c>
      <c r="D3319" s="3" t="s">
        <v>12</v>
      </c>
      <c r="E3319" s="3" t="s">
        <v>13</v>
      </c>
      <c r="F3319" s="5">
        <v>336</v>
      </c>
      <c r="G3319" s="5">
        <v>156</v>
      </c>
      <c r="H3319" s="6">
        <v>16912.248</v>
      </c>
      <c r="I3319" s="22">
        <v>7768.143</v>
      </c>
      <c r="J3319" s="24">
        <f t="shared" si="153"/>
        <v>5.3826410073904307E-5</v>
      </c>
      <c r="K3319" s="25">
        <f t="shared" si="155"/>
        <v>0.95288847334952098</v>
      </c>
      <c r="L3319" s="26" t="s">
        <v>7518</v>
      </c>
      <c r="M3319" s="28"/>
      <c r="N3319" s="28"/>
      <c r="O3319" s="20">
        <v>1821.3969999999999</v>
      </c>
      <c r="P3319" s="27" t="str">
        <f t="shared" si="154"/>
        <v>amarelo</v>
      </c>
    </row>
    <row r="3320" spans="1:16" ht="25.5">
      <c r="A3320" s="3" t="s">
        <v>4</v>
      </c>
      <c r="B3320" s="3" t="s">
        <v>2395</v>
      </c>
      <c r="C3320" s="4">
        <v>270</v>
      </c>
      <c r="D3320" s="3" t="s">
        <v>266</v>
      </c>
      <c r="E3320" s="3" t="s">
        <v>49</v>
      </c>
      <c r="F3320" s="5">
        <v>108</v>
      </c>
      <c r="G3320" s="5">
        <v>144</v>
      </c>
      <c r="H3320" s="6">
        <v>5974.92</v>
      </c>
      <c r="I3320" s="22">
        <v>7766.04</v>
      </c>
      <c r="J3320" s="24">
        <f t="shared" si="153"/>
        <v>5.3811838130470019E-5</v>
      </c>
      <c r="K3320" s="25">
        <f t="shared" si="155"/>
        <v>0.95294228518765145</v>
      </c>
      <c r="L3320" s="26" t="s">
        <v>7518</v>
      </c>
      <c r="M3320" s="28"/>
      <c r="N3320" s="28"/>
      <c r="O3320" s="20" t="s">
        <v>7530</v>
      </c>
      <c r="P3320" s="27" t="str">
        <f t="shared" si="154"/>
        <v>vermelho</v>
      </c>
    </row>
    <row r="3321" spans="1:16" ht="25.5">
      <c r="A3321" s="3" t="s">
        <v>4</v>
      </c>
      <c r="B3321" s="3" t="s">
        <v>2396</v>
      </c>
      <c r="C3321" s="4">
        <v>273</v>
      </c>
      <c r="D3321" s="3" t="s">
        <v>149</v>
      </c>
      <c r="E3321" s="3" t="s">
        <v>16</v>
      </c>
      <c r="F3321" s="5">
        <v>204</v>
      </c>
      <c r="G3321" s="5">
        <v>144</v>
      </c>
      <c r="H3321" s="6">
        <v>9047.16</v>
      </c>
      <c r="I3321" s="22">
        <v>7752.9830000000002</v>
      </c>
      <c r="J3321" s="24">
        <f t="shared" si="153"/>
        <v>5.3721364585333823E-5</v>
      </c>
      <c r="K3321" s="25">
        <f t="shared" si="155"/>
        <v>0.95299600655223682</v>
      </c>
      <c r="L3321" s="26" t="s">
        <v>7518</v>
      </c>
      <c r="M3321" s="28"/>
      <c r="N3321" s="28"/>
      <c r="O3321" s="20" t="s">
        <v>7530</v>
      </c>
      <c r="P3321" s="27" t="str">
        <f t="shared" si="154"/>
        <v>vermelho</v>
      </c>
    </row>
    <row r="3322" spans="1:16">
      <c r="A3322" s="3" t="s">
        <v>4</v>
      </c>
      <c r="B3322" s="3" t="s">
        <v>2397</v>
      </c>
      <c r="C3322" s="4">
        <v>240</v>
      </c>
      <c r="D3322" s="3" t="s">
        <v>69</v>
      </c>
      <c r="E3322" s="3" t="s">
        <v>16</v>
      </c>
      <c r="F3322" s="5">
        <v>0</v>
      </c>
      <c r="G3322" s="5">
        <v>156</v>
      </c>
      <c r="H3322" s="6">
        <v>0</v>
      </c>
      <c r="I3322" s="22">
        <v>7751.4</v>
      </c>
      <c r="J3322" s="24">
        <f t="shared" si="153"/>
        <v>5.3710395785306966E-5</v>
      </c>
      <c r="K3322" s="25">
        <f t="shared" si="155"/>
        <v>0.9530497169480221</v>
      </c>
      <c r="L3322" s="26" t="s">
        <v>7518</v>
      </c>
      <c r="M3322" s="28"/>
      <c r="N3322" s="28"/>
      <c r="O3322" s="20" t="s">
        <v>7530</v>
      </c>
      <c r="P3322" s="27" t="str">
        <f t="shared" si="154"/>
        <v>vermelho</v>
      </c>
    </row>
    <row r="3323" spans="1:16" ht="25.5">
      <c r="A3323" s="3" t="s">
        <v>4</v>
      </c>
      <c r="B3323" s="3" t="s">
        <v>2398</v>
      </c>
      <c r="C3323" s="4">
        <v>317</v>
      </c>
      <c r="D3323" s="3" t="s">
        <v>78</v>
      </c>
      <c r="E3323" s="3" t="s">
        <v>10</v>
      </c>
      <c r="F3323" s="5">
        <v>0</v>
      </c>
      <c r="G3323" s="5">
        <v>126</v>
      </c>
      <c r="H3323" s="6">
        <v>0</v>
      </c>
      <c r="I3323" s="22">
        <v>7750.98</v>
      </c>
      <c r="J3323" s="24">
        <f t="shared" si="153"/>
        <v>5.370748555409327E-5</v>
      </c>
      <c r="K3323" s="25">
        <f t="shared" si="155"/>
        <v>0.95310342443357621</v>
      </c>
      <c r="L3323" s="26" t="s">
        <v>7518</v>
      </c>
      <c r="M3323" s="28"/>
      <c r="N3323" s="28"/>
      <c r="O3323" s="20" t="s">
        <v>7530</v>
      </c>
      <c r="P3323" s="27" t="str">
        <f t="shared" si="154"/>
        <v>vermelho</v>
      </c>
    </row>
    <row r="3324" spans="1:16" ht="25.5">
      <c r="A3324" s="3" t="s">
        <v>4</v>
      </c>
      <c r="B3324" s="3" t="s">
        <v>2399</v>
      </c>
      <c r="C3324" s="4">
        <v>231</v>
      </c>
      <c r="D3324" s="3" t="s">
        <v>52</v>
      </c>
      <c r="E3324" s="3" t="s">
        <v>7</v>
      </c>
      <c r="F3324" s="5">
        <v>228</v>
      </c>
      <c r="G3324" s="5">
        <v>132</v>
      </c>
      <c r="H3324" s="6">
        <v>13238.76</v>
      </c>
      <c r="I3324" s="22">
        <v>7749.9</v>
      </c>
      <c r="J3324" s="24">
        <f t="shared" si="153"/>
        <v>5.3700002102400913E-5</v>
      </c>
      <c r="K3324" s="25">
        <f t="shared" si="155"/>
        <v>0.95315712443567857</v>
      </c>
      <c r="L3324" s="26" t="s">
        <v>7518</v>
      </c>
      <c r="M3324" s="28"/>
      <c r="N3324" s="28"/>
      <c r="O3324" s="20">
        <v>7261.02</v>
      </c>
      <c r="P3324" s="27" t="str">
        <f t="shared" si="154"/>
        <v>laranja</v>
      </c>
    </row>
    <row r="3325" spans="1:16" ht="25.5">
      <c r="A3325" s="3" t="s">
        <v>4</v>
      </c>
      <c r="B3325" s="3" t="s">
        <v>2400</v>
      </c>
      <c r="C3325" s="4">
        <v>240</v>
      </c>
      <c r="D3325" s="3" t="s">
        <v>69</v>
      </c>
      <c r="E3325" s="3" t="s">
        <v>16</v>
      </c>
      <c r="F3325" s="5">
        <v>120</v>
      </c>
      <c r="G3325" s="5">
        <v>138</v>
      </c>
      <c r="H3325" s="6">
        <v>7384.77</v>
      </c>
      <c r="I3325" s="22">
        <v>7739.1</v>
      </c>
      <c r="J3325" s="24">
        <f t="shared" si="153"/>
        <v>5.3625167585477358E-5</v>
      </c>
      <c r="K3325" s="25">
        <f t="shared" si="155"/>
        <v>0.95321074960326402</v>
      </c>
      <c r="L3325" s="26" t="s">
        <v>7518</v>
      </c>
      <c r="M3325" s="28"/>
      <c r="N3325" s="28"/>
      <c r="O3325" s="20" t="s">
        <v>7530</v>
      </c>
      <c r="P3325" s="27" t="str">
        <f t="shared" si="154"/>
        <v>vermelho</v>
      </c>
    </row>
    <row r="3326" spans="1:16" ht="38.25">
      <c r="A3326" s="3" t="s">
        <v>4</v>
      </c>
      <c r="B3326" s="3" t="s">
        <v>2401</v>
      </c>
      <c r="C3326" s="4">
        <v>34</v>
      </c>
      <c r="D3326" s="3" t="s">
        <v>54</v>
      </c>
      <c r="E3326" s="3" t="s">
        <v>49</v>
      </c>
      <c r="F3326" s="5">
        <v>468</v>
      </c>
      <c r="G3326" s="5">
        <v>126</v>
      </c>
      <c r="H3326" s="6">
        <v>26938.32</v>
      </c>
      <c r="I3326" s="22">
        <v>7738.74</v>
      </c>
      <c r="J3326" s="24">
        <f t="shared" si="153"/>
        <v>5.3622673101579901E-5</v>
      </c>
      <c r="K3326" s="25">
        <f t="shared" si="155"/>
        <v>0.95326437227636562</v>
      </c>
      <c r="L3326" s="26" t="s">
        <v>7518</v>
      </c>
      <c r="M3326" s="28"/>
      <c r="N3326" s="28"/>
      <c r="O3326" s="20">
        <v>39144.78</v>
      </c>
      <c r="P3326" s="27" t="str">
        <f t="shared" si="154"/>
        <v>verde</v>
      </c>
    </row>
    <row r="3327" spans="1:16" ht="25.5">
      <c r="A3327" s="3" t="s">
        <v>4</v>
      </c>
      <c r="B3327" s="3" t="s">
        <v>2402</v>
      </c>
      <c r="C3327" s="4">
        <v>217</v>
      </c>
      <c r="D3327" s="3" t="s">
        <v>91</v>
      </c>
      <c r="E3327" s="3" t="s">
        <v>16</v>
      </c>
      <c r="F3327" s="5">
        <v>0</v>
      </c>
      <c r="G3327" s="5">
        <v>132</v>
      </c>
      <c r="H3327" s="6">
        <v>0</v>
      </c>
      <c r="I3327" s="22">
        <v>7736.76</v>
      </c>
      <c r="J3327" s="24">
        <f t="shared" si="153"/>
        <v>5.3608953440143919E-5</v>
      </c>
      <c r="K3327" s="25">
        <f t="shared" si="155"/>
        <v>0.95331798122980582</v>
      </c>
      <c r="L3327" s="26" t="s">
        <v>7518</v>
      </c>
      <c r="M3327" s="28"/>
      <c r="N3327" s="28"/>
      <c r="O3327" s="20" t="s">
        <v>7530</v>
      </c>
      <c r="P3327" s="27" t="str">
        <f t="shared" si="154"/>
        <v>vermelho</v>
      </c>
    </row>
    <row r="3328" spans="1:16" ht="25.5">
      <c r="A3328" s="3" t="s">
        <v>4</v>
      </c>
      <c r="B3328" s="3" t="s">
        <v>2403</v>
      </c>
      <c r="C3328" s="4">
        <v>267</v>
      </c>
      <c r="D3328" s="3" t="s">
        <v>125</v>
      </c>
      <c r="E3328" s="3" t="s">
        <v>16</v>
      </c>
      <c r="F3328" s="5">
        <v>96</v>
      </c>
      <c r="G3328" s="5">
        <v>132</v>
      </c>
      <c r="H3328" s="6">
        <v>4840.8</v>
      </c>
      <c r="I3328" s="22">
        <v>7734.36</v>
      </c>
      <c r="J3328" s="24">
        <f t="shared" si="153"/>
        <v>5.3592323547494235E-5</v>
      </c>
      <c r="K3328" s="25">
        <f t="shared" si="155"/>
        <v>0.95337157355335334</v>
      </c>
      <c r="L3328" s="26" t="s">
        <v>7518</v>
      </c>
      <c r="M3328" s="28"/>
      <c r="N3328" s="28"/>
      <c r="O3328" s="20" t="s">
        <v>7530</v>
      </c>
      <c r="P3328" s="27" t="str">
        <f t="shared" si="154"/>
        <v>vermelho</v>
      </c>
    </row>
    <row r="3329" spans="1:16" ht="38.25">
      <c r="A3329" s="3" t="s">
        <v>4</v>
      </c>
      <c r="B3329" s="3" t="s">
        <v>2404</v>
      </c>
      <c r="C3329" s="4">
        <v>38</v>
      </c>
      <c r="D3329" s="3" t="s">
        <v>184</v>
      </c>
      <c r="E3329" s="3" t="s">
        <v>49</v>
      </c>
      <c r="F3329" s="5">
        <v>204</v>
      </c>
      <c r="G3329" s="5">
        <v>132</v>
      </c>
      <c r="H3329" s="6">
        <v>11091</v>
      </c>
      <c r="I3329" s="22">
        <v>7731.6</v>
      </c>
      <c r="J3329" s="24">
        <f t="shared" si="153"/>
        <v>5.3573199170947106E-5</v>
      </c>
      <c r="K3329" s="25">
        <f t="shared" si="155"/>
        <v>0.95342514675252432</v>
      </c>
      <c r="L3329" s="26" t="s">
        <v>7518</v>
      </c>
      <c r="M3329" s="28"/>
      <c r="N3329" s="28"/>
      <c r="O3329" s="20" t="s">
        <v>7530</v>
      </c>
      <c r="P3329" s="27" t="str">
        <f t="shared" si="154"/>
        <v>vermelho</v>
      </c>
    </row>
    <row r="3330" spans="1:16" ht="25.5">
      <c r="A3330" s="3" t="s">
        <v>6827</v>
      </c>
      <c r="B3330" s="3" t="s">
        <v>6828</v>
      </c>
      <c r="C3330" s="4">
        <v>93</v>
      </c>
      <c r="D3330" s="3" t="s">
        <v>20</v>
      </c>
      <c r="E3330" s="3" t="s">
        <v>7</v>
      </c>
      <c r="F3330" s="5">
        <v>894</v>
      </c>
      <c r="G3330" s="5">
        <v>132</v>
      </c>
      <c r="H3330" s="6">
        <v>40650.54</v>
      </c>
      <c r="I3330" s="22">
        <v>7723.2</v>
      </c>
      <c r="J3330" s="24">
        <f t="shared" si="153"/>
        <v>5.3514994546673216E-5</v>
      </c>
      <c r="K3330" s="25">
        <f t="shared" si="155"/>
        <v>0.95347866174707097</v>
      </c>
      <c r="L3330" s="26" t="s">
        <v>7518</v>
      </c>
      <c r="M3330" s="28"/>
      <c r="N3330" s="28"/>
      <c r="O3330" s="20" t="s">
        <v>7530</v>
      </c>
      <c r="P3330" s="27" t="str">
        <f t="shared" si="154"/>
        <v>vermelho</v>
      </c>
    </row>
    <row r="3331" spans="1:16" ht="25.5">
      <c r="A3331" s="3" t="s">
        <v>4</v>
      </c>
      <c r="B3331" s="3" t="s">
        <v>2405</v>
      </c>
      <c r="C3331" s="4">
        <v>270</v>
      </c>
      <c r="D3331" s="3" t="s">
        <v>266</v>
      </c>
      <c r="E3331" s="3" t="s">
        <v>49</v>
      </c>
      <c r="F3331" s="5">
        <v>180</v>
      </c>
      <c r="G3331" s="5">
        <v>120</v>
      </c>
      <c r="H3331" s="6">
        <v>9898.2000000000007</v>
      </c>
      <c r="I3331" s="22">
        <v>7714.8</v>
      </c>
      <c r="J3331" s="24">
        <f t="shared" ref="J3331:J3394" si="156">I3331/$I$6364</f>
        <v>5.3456789922399333E-5</v>
      </c>
      <c r="K3331" s="25">
        <f t="shared" si="155"/>
        <v>0.95353211853699338</v>
      </c>
      <c r="L3331" s="26" t="s">
        <v>7518</v>
      </c>
      <c r="M3331" s="28"/>
      <c r="N3331" s="28"/>
      <c r="O3331" s="20" t="s">
        <v>7530</v>
      </c>
      <c r="P3331" s="27" t="str">
        <f t="shared" ref="P3331:P3394" si="157">IF(O3331&lt;=0,"vermelho",IFERROR(IF(O3331/I3331&lt;=0.5098,"amarelo",IF(O3331/I3331&lt;1,"laranja","verde")),"vermelho"))</f>
        <v>vermelho</v>
      </c>
    </row>
    <row r="3332" spans="1:16">
      <c r="A3332" s="3" t="s">
        <v>6829</v>
      </c>
      <c r="B3332" s="3" t="s">
        <v>6830</v>
      </c>
      <c r="C3332" s="4">
        <v>232</v>
      </c>
      <c r="D3332" s="3" t="s">
        <v>174</v>
      </c>
      <c r="E3332" s="3" t="s">
        <v>16</v>
      </c>
      <c r="F3332" s="5">
        <v>150</v>
      </c>
      <c r="G3332" s="5">
        <v>150</v>
      </c>
      <c r="H3332" s="6">
        <v>7225.62</v>
      </c>
      <c r="I3332" s="22">
        <v>7711.14</v>
      </c>
      <c r="J3332" s="24">
        <f t="shared" si="156"/>
        <v>5.3431429336108573E-5</v>
      </c>
      <c r="K3332" s="25">
        <f t="shared" ref="K3332:K3395" si="158">J3332+K3331</f>
        <v>0.95358554996632949</v>
      </c>
      <c r="L3332" s="26" t="s">
        <v>7518</v>
      </c>
      <c r="M3332" s="28"/>
      <c r="N3332" s="28"/>
      <c r="O3332" s="20">
        <v>7119.84</v>
      </c>
      <c r="P3332" s="27" t="str">
        <f t="shared" si="157"/>
        <v>laranja</v>
      </c>
    </row>
    <row r="3333" spans="1:16" ht="51">
      <c r="A3333" s="3" t="s">
        <v>6831</v>
      </c>
      <c r="B3333" s="3" t="s">
        <v>6832</v>
      </c>
      <c r="C3333" s="4">
        <v>282</v>
      </c>
      <c r="D3333" s="3" t="s">
        <v>12</v>
      </c>
      <c r="E3333" s="3" t="s">
        <v>13</v>
      </c>
      <c r="F3333" s="5">
        <v>0</v>
      </c>
      <c r="G3333" s="5">
        <v>120</v>
      </c>
      <c r="H3333" s="6">
        <v>0</v>
      </c>
      <c r="I3333" s="22">
        <v>7709.88</v>
      </c>
      <c r="J3333" s="24">
        <f t="shared" si="156"/>
        <v>5.3422698642467491E-5</v>
      </c>
      <c r="K3333" s="25">
        <f t="shared" si="158"/>
        <v>0.953638972664972</v>
      </c>
      <c r="L3333" s="26" t="s">
        <v>7518</v>
      </c>
      <c r="M3333" s="28"/>
      <c r="N3333" s="28"/>
      <c r="O3333" s="20" t="s">
        <v>7530</v>
      </c>
      <c r="P3333" s="27" t="str">
        <f t="shared" si="157"/>
        <v>vermelho</v>
      </c>
    </row>
    <row r="3334" spans="1:16" ht="38.25">
      <c r="A3334" s="3" t="s">
        <v>4</v>
      </c>
      <c r="B3334" s="3" t="s">
        <v>2406</v>
      </c>
      <c r="C3334" s="4">
        <v>371</v>
      </c>
      <c r="D3334" s="3" t="s">
        <v>82</v>
      </c>
      <c r="E3334" s="3" t="s">
        <v>49</v>
      </c>
      <c r="F3334" s="5">
        <v>48</v>
      </c>
      <c r="G3334" s="5">
        <v>204</v>
      </c>
      <c r="H3334" s="6">
        <v>3133.08</v>
      </c>
      <c r="I3334" s="22">
        <v>7708.2</v>
      </c>
      <c r="J3334" s="24">
        <f t="shared" si="156"/>
        <v>5.3411057717612713E-5</v>
      </c>
      <c r="K3334" s="25">
        <f t="shared" si="158"/>
        <v>0.95369238372268961</v>
      </c>
      <c r="L3334" s="26" t="s">
        <v>7518</v>
      </c>
      <c r="M3334" s="28">
        <v>4.6097806503489519E-2</v>
      </c>
      <c r="N3334" s="28"/>
      <c r="O3334" s="20">
        <v>12009.48</v>
      </c>
      <c r="P3334" s="27" t="str">
        <f t="shared" si="157"/>
        <v>verde</v>
      </c>
    </row>
    <row r="3335" spans="1:16">
      <c r="A3335" s="3" t="s">
        <v>4</v>
      </c>
      <c r="B3335" s="3" t="s">
        <v>2407</v>
      </c>
      <c r="C3335" s="4">
        <v>232</v>
      </c>
      <c r="D3335" s="3" t="s">
        <v>174</v>
      </c>
      <c r="E3335" s="3" t="s">
        <v>16</v>
      </c>
      <c r="F3335" s="5">
        <v>0</v>
      </c>
      <c r="G3335" s="5">
        <v>132</v>
      </c>
      <c r="H3335" s="6">
        <v>0</v>
      </c>
      <c r="I3335" s="22">
        <v>7701</v>
      </c>
      <c r="J3335" s="24">
        <f t="shared" si="156"/>
        <v>5.3361168039663672E-5</v>
      </c>
      <c r="K3335" s="25">
        <f t="shared" si="158"/>
        <v>0.95374574489072927</v>
      </c>
      <c r="L3335" s="26" t="s">
        <v>7518</v>
      </c>
      <c r="M3335" s="28"/>
      <c r="N3335" s="28"/>
      <c r="O3335" s="20" t="s">
        <v>7530</v>
      </c>
      <c r="P3335" s="27" t="str">
        <f t="shared" si="157"/>
        <v>vermelho</v>
      </c>
    </row>
    <row r="3336" spans="1:16" ht="25.5">
      <c r="A3336" s="3" t="s">
        <v>4</v>
      </c>
      <c r="B3336" s="3" t="s">
        <v>2408</v>
      </c>
      <c r="C3336" s="4">
        <v>327</v>
      </c>
      <c r="D3336" s="3" t="s">
        <v>100</v>
      </c>
      <c r="E3336" s="3" t="s">
        <v>7</v>
      </c>
      <c r="F3336" s="5">
        <v>456</v>
      </c>
      <c r="G3336" s="5">
        <v>132</v>
      </c>
      <c r="H3336" s="6">
        <v>23667.24</v>
      </c>
      <c r="I3336" s="22">
        <v>7690.68</v>
      </c>
      <c r="J3336" s="24">
        <f t="shared" si="156"/>
        <v>5.3289659501270046E-5</v>
      </c>
      <c r="K3336" s="25">
        <f t="shared" si="158"/>
        <v>0.95379903455023052</v>
      </c>
      <c r="L3336" s="26" t="s">
        <v>7518</v>
      </c>
      <c r="M3336" s="28"/>
      <c r="N3336" s="28"/>
      <c r="O3336" s="20" t="s">
        <v>7530</v>
      </c>
      <c r="P3336" s="27" t="str">
        <f t="shared" si="157"/>
        <v>vermelho</v>
      </c>
    </row>
    <row r="3337" spans="1:16">
      <c r="A3337" s="3" t="s">
        <v>6833</v>
      </c>
      <c r="B3337" s="3" t="s">
        <v>6834</v>
      </c>
      <c r="C3337" s="4">
        <v>232</v>
      </c>
      <c r="D3337" s="3" t="s">
        <v>174</v>
      </c>
      <c r="E3337" s="3" t="s">
        <v>16</v>
      </c>
      <c r="F3337" s="5">
        <v>123</v>
      </c>
      <c r="G3337" s="5">
        <v>138</v>
      </c>
      <c r="H3337" s="6">
        <v>6712.41</v>
      </c>
      <c r="I3337" s="22">
        <v>7673.58</v>
      </c>
      <c r="J3337" s="24">
        <f t="shared" si="156"/>
        <v>5.3171171516141062E-5</v>
      </c>
      <c r="K3337" s="25">
        <f t="shared" si="158"/>
        <v>0.95385220572174667</v>
      </c>
      <c r="L3337" s="26" t="s">
        <v>7518</v>
      </c>
      <c r="M3337" s="28"/>
      <c r="N3337" s="28"/>
      <c r="O3337" s="20">
        <v>19735.41</v>
      </c>
      <c r="P3337" s="27" t="str">
        <f t="shared" si="157"/>
        <v>verde</v>
      </c>
    </row>
    <row r="3338" spans="1:16" ht="38.25">
      <c r="A3338" s="3" t="s">
        <v>6835</v>
      </c>
      <c r="B3338" s="3" t="s">
        <v>6836</v>
      </c>
      <c r="C3338" s="4">
        <v>45</v>
      </c>
      <c r="D3338" s="3" t="s">
        <v>23</v>
      </c>
      <c r="E3338" s="3" t="s">
        <v>7</v>
      </c>
      <c r="F3338" s="5">
        <v>120</v>
      </c>
      <c r="G3338" s="5">
        <v>120</v>
      </c>
      <c r="H3338" s="6">
        <v>7186.44</v>
      </c>
      <c r="I3338" s="22">
        <v>7669.92</v>
      </c>
      <c r="J3338" s="24">
        <f t="shared" si="156"/>
        <v>5.3145810929850302E-5</v>
      </c>
      <c r="K3338" s="25">
        <f t="shared" si="158"/>
        <v>0.95390535153267653</v>
      </c>
      <c r="L3338" s="26" t="s">
        <v>7518</v>
      </c>
      <c r="M3338" s="28"/>
      <c r="N3338" s="28"/>
      <c r="O3338" s="20">
        <v>12778.02</v>
      </c>
      <c r="P3338" s="27" t="str">
        <f t="shared" si="157"/>
        <v>verde</v>
      </c>
    </row>
    <row r="3339" spans="1:16">
      <c r="A3339" s="3" t="s">
        <v>4</v>
      </c>
      <c r="B3339" s="3" t="s">
        <v>2409</v>
      </c>
      <c r="C3339" s="4">
        <v>315</v>
      </c>
      <c r="D3339" s="3" t="s">
        <v>63</v>
      </c>
      <c r="E3339" s="3" t="s">
        <v>7</v>
      </c>
      <c r="F3339" s="5">
        <v>252</v>
      </c>
      <c r="G3339" s="5">
        <v>138</v>
      </c>
      <c r="H3339" s="6">
        <v>12606.18</v>
      </c>
      <c r="I3339" s="22">
        <v>7657.5950000000003</v>
      </c>
      <c r="J3339" s="24">
        <f t="shared" si="156"/>
        <v>5.3060409501972252E-5</v>
      </c>
      <c r="K3339" s="25">
        <f t="shared" si="158"/>
        <v>0.95395841194217845</v>
      </c>
      <c r="L3339" s="26" t="s">
        <v>7518</v>
      </c>
      <c r="M3339" s="28"/>
      <c r="N3339" s="28"/>
      <c r="O3339" s="20" t="s">
        <v>7530</v>
      </c>
      <c r="P3339" s="27" t="str">
        <f t="shared" si="157"/>
        <v>vermelho</v>
      </c>
    </row>
    <row r="3340" spans="1:16" ht="25.5">
      <c r="A3340" s="3" t="s">
        <v>4</v>
      </c>
      <c r="B3340" s="3" t="s">
        <v>2410</v>
      </c>
      <c r="C3340" s="4">
        <v>321</v>
      </c>
      <c r="D3340" s="3" t="s">
        <v>136</v>
      </c>
      <c r="E3340" s="3" t="s">
        <v>41</v>
      </c>
      <c r="F3340" s="5">
        <v>321</v>
      </c>
      <c r="G3340" s="5">
        <v>117</v>
      </c>
      <c r="H3340" s="6">
        <v>18279.03</v>
      </c>
      <c r="I3340" s="22">
        <v>7656.78</v>
      </c>
      <c r="J3340" s="24">
        <f t="shared" si="156"/>
        <v>5.3054762267593295E-5</v>
      </c>
      <c r="K3340" s="25">
        <f t="shared" si="158"/>
        <v>0.95401146670444603</v>
      </c>
      <c r="L3340" s="26" t="s">
        <v>7518</v>
      </c>
      <c r="M3340" s="28"/>
      <c r="N3340" s="28"/>
      <c r="O3340" s="20">
        <v>7853.91</v>
      </c>
      <c r="P3340" s="27" t="str">
        <f t="shared" si="157"/>
        <v>verde</v>
      </c>
    </row>
    <row r="3341" spans="1:16" ht="38.25">
      <c r="A3341" s="3" t="s">
        <v>4</v>
      </c>
      <c r="B3341" s="3" t="s">
        <v>2411</v>
      </c>
      <c r="C3341" s="4">
        <v>301</v>
      </c>
      <c r="D3341" s="3" t="s">
        <v>519</v>
      </c>
      <c r="E3341" s="3" t="s">
        <v>16</v>
      </c>
      <c r="F3341" s="5">
        <v>528</v>
      </c>
      <c r="G3341" s="5">
        <v>126</v>
      </c>
      <c r="H3341" s="6">
        <v>26616.84</v>
      </c>
      <c r="I3341" s="22">
        <v>7654.86</v>
      </c>
      <c r="J3341" s="24">
        <f t="shared" si="156"/>
        <v>5.3041458353473553E-5</v>
      </c>
      <c r="K3341" s="25">
        <f t="shared" si="158"/>
        <v>0.95406450816279953</v>
      </c>
      <c r="L3341" s="26" t="s">
        <v>7518</v>
      </c>
      <c r="M3341" s="28"/>
      <c r="N3341" s="28"/>
      <c r="O3341" s="20" t="s">
        <v>7530</v>
      </c>
      <c r="P3341" s="27" t="str">
        <f t="shared" si="157"/>
        <v>vermelho</v>
      </c>
    </row>
    <row r="3342" spans="1:16" ht="25.5">
      <c r="A3342" s="3" t="s">
        <v>6837</v>
      </c>
      <c r="B3342" s="3" t="s">
        <v>6838</v>
      </c>
      <c r="C3342" s="4">
        <v>194</v>
      </c>
      <c r="D3342" s="3" t="s">
        <v>145</v>
      </c>
      <c r="E3342" s="3" t="s">
        <v>16</v>
      </c>
      <c r="F3342" s="5">
        <v>144</v>
      </c>
      <c r="G3342" s="5">
        <v>234</v>
      </c>
      <c r="H3342" s="6">
        <v>10200.959999999999</v>
      </c>
      <c r="I3342" s="22">
        <v>7634.25</v>
      </c>
      <c r="J3342" s="24">
        <f t="shared" si="156"/>
        <v>5.2898649150344421E-5</v>
      </c>
      <c r="K3342" s="25">
        <f t="shared" si="158"/>
        <v>0.9541174068119499</v>
      </c>
      <c r="L3342" s="26" t="s">
        <v>7518</v>
      </c>
      <c r="M3342" s="28"/>
      <c r="N3342" s="28"/>
      <c r="O3342" s="20" t="s">
        <v>7530</v>
      </c>
      <c r="P3342" s="27" t="str">
        <f t="shared" si="157"/>
        <v>vermelho</v>
      </c>
    </row>
    <row r="3343" spans="1:16" ht="25.5">
      <c r="A3343" s="3" t="s">
        <v>4</v>
      </c>
      <c r="B3343" s="3" t="s">
        <v>2412</v>
      </c>
      <c r="C3343" s="4">
        <v>273</v>
      </c>
      <c r="D3343" s="3" t="s">
        <v>149</v>
      </c>
      <c r="E3343" s="3" t="s">
        <v>16</v>
      </c>
      <c r="F3343" s="5">
        <v>273</v>
      </c>
      <c r="G3343" s="5">
        <v>144</v>
      </c>
      <c r="H3343" s="6">
        <v>12776.19</v>
      </c>
      <c r="I3343" s="22">
        <v>7625.46</v>
      </c>
      <c r="J3343" s="24">
        <f t="shared" si="156"/>
        <v>5.2837742168514961E-5</v>
      </c>
      <c r="K3343" s="25">
        <f t="shared" si="158"/>
        <v>0.95417024455411836</v>
      </c>
      <c r="L3343" s="26" t="s">
        <v>7518</v>
      </c>
      <c r="M3343" s="28"/>
      <c r="N3343" s="28">
        <v>6.2742245421160941E-2</v>
      </c>
      <c r="O3343" s="20">
        <v>14366.04</v>
      </c>
      <c r="P3343" s="27" t="str">
        <f t="shared" si="157"/>
        <v>verde</v>
      </c>
    </row>
    <row r="3344" spans="1:16" ht="25.5">
      <c r="A3344" s="3" t="s">
        <v>4</v>
      </c>
      <c r="B3344" s="3" t="s">
        <v>2413</v>
      </c>
      <c r="C3344" s="4">
        <v>74</v>
      </c>
      <c r="D3344" s="3" t="s">
        <v>6</v>
      </c>
      <c r="E3344" s="3" t="s">
        <v>7</v>
      </c>
      <c r="F3344" s="5">
        <v>0</v>
      </c>
      <c r="G3344" s="5">
        <v>126</v>
      </c>
      <c r="H3344" s="6">
        <v>0</v>
      </c>
      <c r="I3344" s="22">
        <v>7621.74</v>
      </c>
      <c r="J3344" s="24">
        <f t="shared" si="156"/>
        <v>5.2811965834907955E-5</v>
      </c>
      <c r="K3344" s="25">
        <f t="shared" si="158"/>
        <v>0.95422305651995332</v>
      </c>
      <c r="L3344" s="26" t="s">
        <v>7518</v>
      </c>
      <c r="M3344" s="28"/>
      <c r="N3344" s="28"/>
      <c r="O3344" s="20" t="s">
        <v>7530</v>
      </c>
      <c r="P3344" s="27" t="str">
        <f t="shared" si="157"/>
        <v>vermelho</v>
      </c>
    </row>
    <row r="3345" spans="1:16" ht="25.5">
      <c r="A3345" s="3" t="s">
        <v>4</v>
      </c>
      <c r="B3345" s="3" t="s">
        <v>2414</v>
      </c>
      <c r="C3345" s="4">
        <v>240</v>
      </c>
      <c r="D3345" s="3" t="s">
        <v>69</v>
      </c>
      <c r="E3345" s="3" t="s">
        <v>16</v>
      </c>
      <c r="F3345" s="5">
        <v>252</v>
      </c>
      <c r="G3345" s="5">
        <v>144</v>
      </c>
      <c r="H3345" s="6">
        <v>14833.8</v>
      </c>
      <c r="I3345" s="22">
        <v>7617.6</v>
      </c>
      <c r="J3345" s="24">
        <f t="shared" si="156"/>
        <v>5.2783279270087259E-5</v>
      </c>
      <c r="K3345" s="25">
        <f t="shared" si="158"/>
        <v>0.95427583979922337</v>
      </c>
      <c r="L3345" s="26" t="s">
        <v>7518</v>
      </c>
      <c r="M3345" s="28"/>
      <c r="N3345" s="28"/>
      <c r="O3345" s="20" t="s">
        <v>7530</v>
      </c>
      <c r="P3345" s="27" t="str">
        <f t="shared" si="157"/>
        <v>vermelho</v>
      </c>
    </row>
    <row r="3346" spans="1:16" ht="25.5">
      <c r="A3346" s="3" t="s">
        <v>4</v>
      </c>
      <c r="B3346" s="3" t="s">
        <v>2415</v>
      </c>
      <c r="C3346" s="4">
        <v>31</v>
      </c>
      <c r="D3346" s="3" t="s">
        <v>194</v>
      </c>
      <c r="E3346" s="3" t="s">
        <v>16</v>
      </c>
      <c r="F3346" s="5">
        <v>0</v>
      </c>
      <c r="G3346" s="5">
        <v>156</v>
      </c>
      <c r="H3346" s="6">
        <v>0</v>
      </c>
      <c r="I3346" s="22">
        <v>7617.48</v>
      </c>
      <c r="J3346" s="24">
        <f t="shared" si="156"/>
        <v>5.2782447775454767E-5</v>
      </c>
      <c r="K3346" s="25">
        <f t="shared" si="158"/>
        <v>0.95432862224699877</v>
      </c>
      <c r="L3346" s="26" t="s">
        <v>7518</v>
      </c>
      <c r="M3346" s="28"/>
      <c r="N3346" s="28"/>
      <c r="O3346" s="20" t="s">
        <v>7530</v>
      </c>
      <c r="P3346" s="27" t="str">
        <f t="shared" si="157"/>
        <v>vermelho</v>
      </c>
    </row>
    <row r="3347" spans="1:16" ht="38.25">
      <c r="A3347" s="3" t="s">
        <v>4</v>
      </c>
      <c r="B3347" s="3" t="s">
        <v>2416</v>
      </c>
      <c r="C3347" s="4">
        <v>45</v>
      </c>
      <c r="D3347" s="3" t="s">
        <v>23</v>
      </c>
      <c r="E3347" s="3" t="s">
        <v>7</v>
      </c>
      <c r="F3347" s="5">
        <v>807</v>
      </c>
      <c r="G3347" s="5">
        <v>120</v>
      </c>
      <c r="H3347" s="6">
        <v>44896.991999999998</v>
      </c>
      <c r="I3347" s="22">
        <v>7616.76</v>
      </c>
      <c r="J3347" s="24">
        <f t="shared" si="156"/>
        <v>5.2777458807659867E-5</v>
      </c>
      <c r="K3347" s="25">
        <f t="shared" si="158"/>
        <v>0.95438139970580638</v>
      </c>
      <c r="L3347" s="26" t="s">
        <v>7518</v>
      </c>
      <c r="M3347" s="28"/>
      <c r="N3347" s="28"/>
      <c r="O3347" s="20">
        <v>8006.4</v>
      </c>
      <c r="P3347" s="27" t="str">
        <f t="shared" si="157"/>
        <v>verde</v>
      </c>
    </row>
    <row r="3348" spans="1:16" ht="25.5">
      <c r="A3348" s="3" t="s">
        <v>4</v>
      </c>
      <c r="B3348" s="3" t="s">
        <v>2417</v>
      </c>
      <c r="C3348" s="4">
        <v>232</v>
      </c>
      <c r="D3348" s="3" t="s">
        <v>174</v>
      </c>
      <c r="E3348" s="3" t="s">
        <v>16</v>
      </c>
      <c r="F3348" s="5">
        <v>150</v>
      </c>
      <c r="G3348" s="5">
        <v>156</v>
      </c>
      <c r="H3348" s="6">
        <v>7677.3</v>
      </c>
      <c r="I3348" s="22">
        <v>7615.44</v>
      </c>
      <c r="J3348" s="24">
        <f t="shared" si="156"/>
        <v>5.2768312366702539E-5</v>
      </c>
      <c r="K3348" s="25">
        <f t="shared" si="158"/>
        <v>0.95443416801817305</v>
      </c>
      <c r="L3348" s="26" t="s">
        <v>7518</v>
      </c>
      <c r="M3348" s="28"/>
      <c r="N3348" s="28"/>
      <c r="O3348" s="20" t="s">
        <v>7530</v>
      </c>
      <c r="P3348" s="27" t="str">
        <f t="shared" si="157"/>
        <v>vermelho</v>
      </c>
    </row>
    <row r="3349" spans="1:16" ht="25.5">
      <c r="A3349" s="3" t="s">
        <v>4</v>
      </c>
      <c r="B3349" s="3" t="s">
        <v>2418</v>
      </c>
      <c r="C3349" s="4">
        <v>194</v>
      </c>
      <c r="D3349" s="3" t="s">
        <v>145</v>
      </c>
      <c r="E3349" s="3" t="s">
        <v>16</v>
      </c>
      <c r="F3349" s="5">
        <v>72</v>
      </c>
      <c r="G3349" s="5">
        <v>132</v>
      </c>
      <c r="H3349" s="6">
        <v>3432.96</v>
      </c>
      <c r="I3349" s="22">
        <v>7615.02</v>
      </c>
      <c r="J3349" s="24">
        <f t="shared" si="156"/>
        <v>5.2765402135488849E-5</v>
      </c>
      <c r="K3349" s="25">
        <f t="shared" si="158"/>
        <v>0.95448693342030855</v>
      </c>
      <c r="L3349" s="26" t="s">
        <v>7518</v>
      </c>
      <c r="M3349" s="28"/>
      <c r="N3349" s="28"/>
      <c r="O3349" s="20">
        <v>5339.94</v>
      </c>
      <c r="P3349" s="27" t="str">
        <f t="shared" si="157"/>
        <v>laranja</v>
      </c>
    </row>
    <row r="3350" spans="1:16" ht="51">
      <c r="A3350" s="3" t="s">
        <v>4</v>
      </c>
      <c r="B3350" s="3" t="s">
        <v>2419</v>
      </c>
      <c r="C3350" s="4">
        <v>282</v>
      </c>
      <c r="D3350" s="3" t="s">
        <v>12</v>
      </c>
      <c r="E3350" s="3" t="s">
        <v>13</v>
      </c>
      <c r="F3350" s="5">
        <v>120</v>
      </c>
      <c r="G3350" s="5">
        <v>141</v>
      </c>
      <c r="H3350" s="6">
        <v>5546.232</v>
      </c>
      <c r="I3350" s="22">
        <v>7614.06</v>
      </c>
      <c r="J3350" s="24">
        <f t="shared" si="156"/>
        <v>5.2758750178428978E-5</v>
      </c>
      <c r="K3350" s="25">
        <f t="shared" si="158"/>
        <v>0.95453969217048695</v>
      </c>
      <c r="L3350" s="26" t="s">
        <v>7518</v>
      </c>
      <c r="M3350" s="28"/>
      <c r="N3350" s="28"/>
      <c r="O3350" s="20" t="s">
        <v>7530</v>
      </c>
      <c r="P3350" s="27" t="str">
        <f t="shared" si="157"/>
        <v>vermelho</v>
      </c>
    </row>
    <row r="3351" spans="1:16" ht="38.25">
      <c r="A3351" s="3" t="s">
        <v>4</v>
      </c>
      <c r="B3351" s="3" t="s">
        <v>2420</v>
      </c>
      <c r="C3351" s="4">
        <v>38</v>
      </c>
      <c r="D3351" s="3" t="s">
        <v>184</v>
      </c>
      <c r="E3351" s="3" t="s">
        <v>49</v>
      </c>
      <c r="F3351" s="5">
        <v>114</v>
      </c>
      <c r="G3351" s="5">
        <v>132</v>
      </c>
      <c r="H3351" s="6">
        <v>6349.86</v>
      </c>
      <c r="I3351" s="22">
        <v>7614</v>
      </c>
      <c r="J3351" s="24">
        <f t="shared" si="156"/>
        <v>5.2758334431112732E-5</v>
      </c>
      <c r="K3351" s="25">
        <f t="shared" si="158"/>
        <v>0.95459245050491803</v>
      </c>
      <c r="L3351" s="26" t="s">
        <v>7518</v>
      </c>
      <c r="M3351" s="28"/>
      <c r="N3351" s="28"/>
      <c r="O3351" s="20">
        <v>5017.8</v>
      </c>
      <c r="P3351" s="27" t="str">
        <f t="shared" si="157"/>
        <v>laranja</v>
      </c>
    </row>
    <row r="3352" spans="1:16" ht="25.5">
      <c r="A3352" s="3" t="s">
        <v>4</v>
      </c>
      <c r="B3352" s="3" t="s">
        <v>2421</v>
      </c>
      <c r="C3352" s="4">
        <v>31</v>
      </c>
      <c r="D3352" s="3" t="s">
        <v>194</v>
      </c>
      <c r="E3352" s="3" t="s">
        <v>16</v>
      </c>
      <c r="F3352" s="5">
        <v>84</v>
      </c>
      <c r="G3352" s="5">
        <v>132</v>
      </c>
      <c r="H3352" s="6">
        <v>4537.1400000000003</v>
      </c>
      <c r="I3352" s="22">
        <v>7603.41</v>
      </c>
      <c r="J3352" s="24">
        <f t="shared" si="156"/>
        <v>5.2684955029796015E-5</v>
      </c>
      <c r="K3352" s="25">
        <f t="shared" si="158"/>
        <v>0.95464513545994778</v>
      </c>
      <c r="L3352" s="26" t="s">
        <v>7518</v>
      </c>
      <c r="M3352" s="28"/>
      <c r="N3352" s="28"/>
      <c r="O3352" s="20" t="s">
        <v>7530</v>
      </c>
      <c r="P3352" s="27" t="str">
        <f t="shared" si="157"/>
        <v>vermelho</v>
      </c>
    </row>
    <row r="3353" spans="1:16">
      <c r="A3353" s="3" t="s">
        <v>4</v>
      </c>
      <c r="B3353" s="3" t="s">
        <v>2422</v>
      </c>
      <c r="C3353" s="4">
        <v>334</v>
      </c>
      <c r="D3353" s="3" t="s">
        <v>531</v>
      </c>
      <c r="E3353" s="3" t="s">
        <v>7</v>
      </c>
      <c r="F3353" s="5">
        <v>288</v>
      </c>
      <c r="G3353" s="5">
        <v>174</v>
      </c>
      <c r="H3353" s="6">
        <v>13130.88</v>
      </c>
      <c r="I3353" s="22">
        <v>7601.6</v>
      </c>
      <c r="J3353" s="24">
        <f t="shared" si="156"/>
        <v>5.267241331908939E-5</v>
      </c>
      <c r="K3353" s="25">
        <f t="shared" si="158"/>
        <v>0.95469780787326686</v>
      </c>
      <c r="L3353" s="26" t="s">
        <v>7518</v>
      </c>
      <c r="M3353" s="28"/>
      <c r="N3353" s="28"/>
      <c r="O3353" s="20">
        <v>5064.72</v>
      </c>
      <c r="P3353" s="27" t="str">
        <f t="shared" si="157"/>
        <v>laranja</v>
      </c>
    </row>
    <row r="3354" spans="1:16">
      <c r="A3354" s="3" t="s">
        <v>6485</v>
      </c>
      <c r="B3354" s="3" t="s">
        <v>6486</v>
      </c>
      <c r="C3354" s="4">
        <v>264</v>
      </c>
      <c r="D3354" s="3" t="s">
        <v>40</v>
      </c>
      <c r="E3354" s="3" t="s">
        <v>41</v>
      </c>
      <c r="F3354" s="5">
        <v>0</v>
      </c>
      <c r="G3354" s="5">
        <v>175</v>
      </c>
      <c r="H3354" s="6">
        <v>0</v>
      </c>
      <c r="I3354" s="22">
        <v>7590.31</v>
      </c>
      <c r="J3354" s="24">
        <f t="shared" si="156"/>
        <v>5.259418353241651E-5</v>
      </c>
      <c r="K3354" s="25">
        <f t="shared" si="158"/>
        <v>0.95475040205679929</v>
      </c>
      <c r="L3354" s="26" t="s">
        <v>7518</v>
      </c>
      <c r="M3354" s="28"/>
      <c r="N3354" s="28"/>
      <c r="O3354" s="20" t="s">
        <v>7530</v>
      </c>
      <c r="P3354" s="27" t="str">
        <f t="shared" si="157"/>
        <v>vermelho</v>
      </c>
    </row>
    <row r="3355" spans="1:16" ht="25.5">
      <c r="A3355" s="3" t="s">
        <v>4</v>
      </c>
      <c r="B3355" s="3" t="s">
        <v>2423</v>
      </c>
      <c r="C3355" s="4">
        <v>320</v>
      </c>
      <c r="D3355" s="3" t="s">
        <v>218</v>
      </c>
      <c r="E3355" s="3" t="s">
        <v>49</v>
      </c>
      <c r="F3355" s="5">
        <v>318</v>
      </c>
      <c r="G3355" s="5">
        <v>126</v>
      </c>
      <c r="H3355" s="6">
        <v>16637.22</v>
      </c>
      <c r="I3355" s="22">
        <v>7576.98</v>
      </c>
      <c r="J3355" s="24">
        <f t="shared" si="156"/>
        <v>5.2501818336991403E-5</v>
      </c>
      <c r="K3355" s="25">
        <f t="shared" si="158"/>
        <v>0.95480290387513622</v>
      </c>
      <c r="L3355" s="26" t="s">
        <v>7518</v>
      </c>
      <c r="M3355" s="28"/>
      <c r="N3355" s="28"/>
      <c r="O3355" s="20" t="s">
        <v>7530</v>
      </c>
      <c r="P3355" s="27" t="str">
        <f t="shared" si="157"/>
        <v>vermelho</v>
      </c>
    </row>
    <row r="3356" spans="1:16" ht="25.5">
      <c r="A3356" s="3" t="s">
        <v>4</v>
      </c>
      <c r="B3356" s="3" t="s">
        <v>2424</v>
      </c>
      <c r="C3356" s="4">
        <v>178</v>
      </c>
      <c r="D3356" s="3" t="s">
        <v>74</v>
      </c>
      <c r="E3356" s="3" t="s">
        <v>7</v>
      </c>
      <c r="F3356" s="5">
        <v>147</v>
      </c>
      <c r="G3356" s="5">
        <v>108</v>
      </c>
      <c r="H3356" s="6">
        <v>9037.5</v>
      </c>
      <c r="I3356" s="22">
        <v>7566</v>
      </c>
      <c r="J3356" s="24">
        <f t="shared" si="156"/>
        <v>5.2425736578119116E-5</v>
      </c>
      <c r="K3356" s="25">
        <f t="shared" si="158"/>
        <v>0.95485532961171438</v>
      </c>
      <c r="L3356" s="26" t="s">
        <v>7518</v>
      </c>
      <c r="M3356" s="28"/>
      <c r="N3356" s="28"/>
      <c r="O3356" s="20">
        <v>5177.76</v>
      </c>
      <c r="P3356" s="27" t="str">
        <f t="shared" si="157"/>
        <v>laranja</v>
      </c>
    </row>
    <row r="3357" spans="1:16" ht="25.5">
      <c r="A3357" s="3" t="s">
        <v>6839</v>
      </c>
      <c r="B3357" s="3" t="s">
        <v>6840</v>
      </c>
      <c r="C3357" s="4">
        <v>328</v>
      </c>
      <c r="D3357" s="3" t="s">
        <v>215</v>
      </c>
      <c r="E3357" s="3" t="s">
        <v>41</v>
      </c>
      <c r="F3357" s="5">
        <v>0</v>
      </c>
      <c r="G3357" s="5">
        <v>126</v>
      </c>
      <c r="H3357" s="6">
        <v>0</v>
      </c>
      <c r="I3357" s="22">
        <v>7558.0290000000005</v>
      </c>
      <c r="J3357" s="24">
        <f t="shared" si="156"/>
        <v>5.2370504547156369E-5</v>
      </c>
      <c r="K3357" s="25">
        <f t="shared" si="158"/>
        <v>0.95490770011626158</v>
      </c>
      <c r="L3357" s="26" t="s">
        <v>7518</v>
      </c>
      <c r="M3357" s="28"/>
      <c r="N3357" s="28"/>
      <c r="O3357" s="20" t="s">
        <v>7530</v>
      </c>
      <c r="P3357" s="27" t="str">
        <f t="shared" si="157"/>
        <v>vermelho</v>
      </c>
    </row>
    <row r="3358" spans="1:16">
      <c r="A3358" s="3" t="s">
        <v>4</v>
      </c>
      <c r="B3358" s="3" t="s">
        <v>2425</v>
      </c>
      <c r="C3358" s="4">
        <v>334</v>
      </c>
      <c r="D3358" s="3" t="s">
        <v>531</v>
      </c>
      <c r="E3358" s="3" t="s">
        <v>7</v>
      </c>
      <c r="F3358" s="5">
        <v>120</v>
      </c>
      <c r="G3358" s="5">
        <v>126</v>
      </c>
      <c r="H3358" s="6">
        <v>6551.4</v>
      </c>
      <c r="I3358" s="22">
        <v>7543.3609999999999</v>
      </c>
      <c r="J3358" s="24">
        <f t="shared" si="156"/>
        <v>5.226886818657906E-5</v>
      </c>
      <c r="K3358" s="25">
        <f t="shared" si="158"/>
        <v>0.95495996898444813</v>
      </c>
      <c r="L3358" s="26" t="s">
        <v>7518</v>
      </c>
      <c r="M3358" s="28"/>
      <c r="N3358" s="28">
        <v>6.8314805961816674E-2</v>
      </c>
      <c r="O3358" s="20">
        <v>9626.64</v>
      </c>
      <c r="P3358" s="27" t="str">
        <f t="shared" si="157"/>
        <v>verde</v>
      </c>
    </row>
    <row r="3359" spans="1:16" ht="25.5">
      <c r="A3359" s="3" t="s">
        <v>5465</v>
      </c>
      <c r="B3359" s="3" t="s">
        <v>5466</v>
      </c>
      <c r="C3359" s="4">
        <v>194</v>
      </c>
      <c r="D3359" s="3" t="s">
        <v>145</v>
      </c>
      <c r="E3359" s="3" t="s">
        <v>16</v>
      </c>
      <c r="F3359" s="5">
        <v>720</v>
      </c>
      <c r="G3359" s="5">
        <v>156</v>
      </c>
      <c r="H3359" s="6">
        <v>37289.4</v>
      </c>
      <c r="I3359" s="22">
        <v>7541.94</v>
      </c>
      <c r="J3359" s="24">
        <f t="shared" si="156"/>
        <v>5.2259021904306062E-5</v>
      </c>
      <c r="K3359" s="25">
        <f t="shared" si="158"/>
        <v>0.95501222800635244</v>
      </c>
      <c r="L3359" s="26" t="s">
        <v>7518</v>
      </c>
      <c r="M3359" s="28"/>
      <c r="N3359" s="28"/>
      <c r="O3359" s="20" t="s">
        <v>7530</v>
      </c>
      <c r="P3359" s="27" t="str">
        <f t="shared" si="157"/>
        <v>vermelho</v>
      </c>
    </row>
    <row r="3360" spans="1:16" ht="25.5">
      <c r="A3360" s="3" t="s">
        <v>4</v>
      </c>
      <c r="B3360" s="3" t="s">
        <v>2426</v>
      </c>
      <c r="C3360" s="4">
        <v>328</v>
      </c>
      <c r="D3360" s="3" t="s">
        <v>215</v>
      </c>
      <c r="E3360" s="3" t="s">
        <v>41</v>
      </c>
      <c r="F3360" s="5">
        <v>0</v>
      </c>
      <c r="G3360" s="5">
        <v>156</v>
      </c>
      <c r="H3360" s="6">
        <v>0</v>
      </c>
      <c r="I3360" s="22">
        <v>7538.991</v>
      </c>
      <c r="J3360" s="24">
        <f t="shared" si="156"/>
        <v>5.2238587923712769E-5</v>
      </c>
      <c r="K3360" s="25">
        <f t="shared" si="158"/>
        <v>0.95506446659427613</v>
      </c>
      <c r="L3360" s="26" t="s">
        <v>7518</v>
      </c>
      <c r="M3360" s="28"/>
      <c r="N3360" s="28"/>
      <c r="O3360" s="20" t="s">
        <v>7530</v>
      </c>
      <c r="P3360" s="27" t="str">
        <f t="shared" si="157"/>
        <v>vermelho</v>
      </c>
    </row>
    <row r="3361" spans="1:16" ht="25.5">
      <c r="A3361" s="3" t="s">
        <v>4</v>
      </c>
      <c r="B3361" s="3" t="s">
        <v>2427</v>
      </c>
      <c r="C3361" s="4">
        <v>208</v>
      </c>
      <c r="D3361" s="3" t="s">
        <v>15</v>
      </c>
      <c r="E3361" s="3" t="s">
        <v>16</v>
      </c>
      <c r="F3361" s="5">
        <v>96</v>
      </c>
      <c r="G3361" s="5">
        <v>120</v>
      </c>
      <c r="H3361" s="6">
        <v>5345.04</v>
      </c>
      <c r="I3361" s="22">
        <v>7529.64</v>
      </c>
      <c r="J3361" s="24">
        <f t="shared" si="156"/>
        <v>5.2173793704476454E-5</v>
      </c>
      <c r="K3361" s="25">
        <f t="shared" si="158"/>
        <v>0.95511664038798061</v>
      </c>
      <c r="L3361" s="26" t="s">
        <v>7518</v>
      </c>
      <c r="M3361" s="28"/>
      <c r="N3361" s="28"/>
      <c r="O3361" s="20" t="s">
        <v>7530</v>
      </c>
      <c r="P3361" s="27" t="str">
        <f t="shared" si="157"/>
        <v>vermelho</v>
      </c>
    </row>
    <row r="3362" spans="1:16" ht="25.5">
      <c r="A3362" s="3" t="s">
        <v>4</v>
      </c>
      <c r="B3362" s="3" t="s">
        <v>2428</v>
      </c>
      <c r="C3362" s="4">
        <v>334</v>
      </c>
      <c r="D3362" s="3" t="s">
        <v>531</v>
      </c>
      <c r="E3362" s="3" t="s">
        <v>7</v>
      </c>
      <c r="F3362" s="5">
        <v>0</v>
      </c>
      <c r="G3362" s="5">
        <v>132</v>
      </c>
      <c r="H3362" s="6">
        <v>0</v>
      </c>
      <c r="I3362" s="22">
        <v>7524.5079999999998</v>
      </c>
      <c r="J3362" s="24">
        <f t="shared" si="156"/>
        <v>5.2138233450693883E-5</v>
      </c>
      <c r="K3362" s="25">
        <f t="shared" si="158"/>
        <v>0.95516877862143135</v>
      </c>
      <c r="L3362" s="26" t="s">
        <v>7518</v>
      </c>
      <c r="M3362" s="28"/>
      <c r="N3362" s="28"/>
      <c r="O3362" s="20" t="s">
        <v>7530</v>
      </c>
      <c r="P3362" s="27" t="str">
        <f t="shared" si="157"/>
        <v>vermelho</v>
      </c>
    </row>
    <row r="3363" spans="1:16" ht="25.5">
      <c r="A3363" s="3" t="s">
        <v>4</v>
      </c>
      <c r="B3363" s="3" t="s">
        <v>2429</v>
      </c>
      <c r="C3363" s="4">
        <v>321</v>
      </c>
      <c r="D3363" s="3" t="s">
        <v>136</v>
      </c>
      <c r="E3363" s="3" t="s">
        <v>41</v>
      </c>
      <c r="F3363" s="5">
        <v>156</v>
      </c>
      <c r="G3363" s="5">
        <v>135</v>
      </c>
      <c r="H3363" s="6">
        <v>8784.36</v>
      </c>
      <c r="I3363" s="22">
        <v>7510.83</v>
      </c>
      <c r="J3363" s="24">
        <f t="shared" si="156"/>
        <v>5.2043456920834579E-5</v>
      </c>
      <c r="K3363" s="25">
        <f t="shared" si="158"/>
        <v>0.95522082207835213</v>
      </c>
      <c r="L3363" s="26" t="s">
        <v>7518</v>
      </c>
      <c r="M3363" s="28"/>
      <c r="N3363" s="28"/>
      <c r="O3363" s="20" t="s">
        <v>7530</v>
      </c>
      <c r="P3363" s="27" t="str">
        <f t="shared" si="157"/>
        <v>vermelho</v>
      </c>
    </row>
    <row r="3364" spans="1:16">
      <c r="A3364" s="3" t="s">
        <v>4</v>
      </c>
      <c r="B3364" s="3" t="s">
        <v>2430</v>
      </c>
      <c r="C3364" s="4">
        <v>167</v>
      </c>
      <c r="D3364" s="3" t="s">
        <v>251</v>
      </c>
      <c r="E3364" s="3" t="s">
        <v>49</v>
      </c>
      <c r="F3364" s="5">
        <v>246</v>
      </c>
      <c r="G3364" s="5">
        <v>138</v>
      </c>
      <c r="H3364" s="6">
        <v>13162.11</v>
      </c>
      <c r="I3364" s="22">
        <v>7510.35</v>
      </c>
      <c r="J3364" s="24">
        <f t="shared" si="156"/>
        <v>5.2040130942304644E-5</v>
      </c>
      <c r="K3364" s="25">
        <f t="shared" si="158"/>
        <v>0.95527286220929442</v>
      </c>
      <c r="L3364" s="26" t="s">
        <v>7518</v>
      </c>
      <c r="M3364" s="28"/>
      <c r="N3364" s="28"/>
      <c r="O3364" s="20" t="s">
        <v>7530</v>
      </c>
      <c r="P3364" s="27" t="str">
        <f t="shared" si="157"/>
        <v>vermelho</v>
      </c>
    </row>
    <row r="3365" spans="1:16" ht="25.5">
      <c r="A3365" s="3" t="s">
        <v>4</v>
      </c>
      <c r="B3365" s="3" t="s">
        <v>2431</v>
      </c>
      <c r="C3365" s="4">
        <v>93</v>
      </c>
      <c r="D3365" s="3" t="s">
        <v>20</v>
      </c>
      <c r="E3365" s="3" t="s">
        <v>7</v>
      </c>
      <c r="F3365" s="5">
        <v>0</v>
      </c>
      <c r="G3365" s="5">
        <v>120</v>
      </c>
      <c r="H3365" s="6">
        <v>0</v>
      </c>
      <c r="I3365" s="22">
        <v>7510.14</v>
      </c>
      <c r="J3365" s="24">
        <f t="shared" si="156"/>
        <v>5.2038675826697792E-5</v>
      </c>
      <c r="K3365" s="25">
        <f t="shared" si="158"/>
        <v>0.95532490088512112</v>
      </c>
      <c r="L3365" s="26" t="s">
        <v>7518</v>
      </c>
      <c r="M3365" s="28"/>
      <c r="N3365" s="28"/>
      <c r="O3365" s="20" t="s">
        <v>7530</v>
      </c>
      <c r="P3365" s="27" t="str">
        <f t="shared" si="157"/>
        <v>vermelho</v>
      </c>
    </row>
    <row r="3366" spans="1:16" ht="25.5">
      <c r="A3366" s="3" t="s">
        <v>6841</v>
      </c>
      <c r="B3366" s="3" t="s">
        <v>6842</v>
      </c>
      <c r="C3366" s="4">
        <v>328</v>
      </c>
      <c r="D3366" s="3" t="s">
        <v>215</v>
      </c>
      <c r="E3366" s="3" t="s">
        <v>41</v>
      </c>
      <c r="F3366" s="5">
        <v>474</v>
      </c>
      <c r="G3366" s="5">
        <v>156</v>
      </c>
      <c r="H3366" s="6">
        <v>28840.493999999999</v>
      </c>
      <c r="I3366" s="22">
        <v>7508.36</v>
      </c>
      <c r="J3366" s="24">
        <f t="shared" si="156"/>
        <v>5.202634198964928E-5</v>
      </c>
      <c r="K3366" s="25">
        <f t="shared" si="158"/>
        <v>0.95537692722711076</v>
      </c>
      <c r="L3366" s="26" t="s">
        <v>7518</v>
      </c>
      <c r="M3366" s="28"/>
      <c r="N3366" s="28"/>
      <c r="O3366" s="20" t="s">
        <v>7530</v>
      </c>
      <c r="P3366" s="27" t="str">
        <f t="shared" si="157"/>
        <v>vermelho</v>
      </c>
    </row>
    <row r="3367" spans="1:16" ht="25.5">
      <c r="A3367" s="3" t="s">
        <v>4</v>
      </c>
      <c r="B3367" s="3" t="s">
        <v>2432</v>
      </c>
      <c r="C3367" s="4">
        <v>194</v>
      </c>
      <c r="D3367" s="3" t="s">
        <v>145</v>
      </c>
      <c r="E3367" s="3" t="s">
        <v>16</v>
      </c>
      <c r="F3367" s="5">
        <v>0</v>
      </c>
      <c r="G3367" s="5">
        <v>138</v>
      </c>
      <c r="H3367" s="6">
        <v>0</v>
      </c>
      <c r="I3367" s="22">
        <v>7483.62</v>
      </c>
      <c r="J3367" s="24">
        <f t="shared" si="156"/>
        <v>5.1854915512918821E-5</v>
      </c>
      <c r="K3367" s="25">
        <f t="shared" si="158"/>
        <v>0.95542878214262372</v>
      </c>
      <c r="L3367" s="26" t="s">
        <v>7518</v>
      </c>
      <c r="M3367" s="28"/>
      <c r="N3367" s="28"/>
      <c r="O3367" s="20" t="s">
        <v>7530</v>
      </c>
      <c r="P3367" s="27" t="str">
        <f t="shared" si="157"/>
        <v>vermelho</v>
      </c>
    </row>
    <row r="3368" spans="1:16" ht="25.5">
      <c r="A3368" s="3" t="s">
        <v>6843</v>
      </c>
      <c r="B3368" s="3" t="s">
        <v>6844</v>
      </c>
      <c r="C3368" s="4">
        <v>31</v>
      </c>
      <c r="D3368" s="3" t="s">
        <v>194</v>
      </c>
      <c r="E3368" s="3" t="s">
        <v>16</v>
      </c>
      <c r="F3368" s="5">
        <v>204</v>
      </c>
      <c r="G3368" s="5">
        <v>120</v>
      </c>
      <c r="H3368" s="6">
        <v>11007.72</v>
      </c>
      <c r="I3368" s="22">
        <v>7483.32</v>
      </c>
      <c r="J3368" s="24">
        <f t="shared" si="156"/>
        <v>5.185283677633761E-5</v>
      </c>
      <c r="K3368" s="25">
        <f t="shared" si="158"/>
        <v>0.95548063497940006</v>
      </c>
      <c r="L3368" s="26" t="s">
        <v>7518</v>
      </c>
      <c r="M3368" s="28"/>
      <c r="N3368" s="28"/>
      <c r="O3368" s="20">
        <v>6924</v>
      </c>
      <c r="P3368" s="27" t="str">
        <f t="shared" si="157"/>
        <v>laranja</v>
      </c>
    </row>
    <row r="3369" spans="1:16" ht="38.25">
      <c r="A3369" s="3" t="s">
        <v>4</v>
      </c>
      <c r="B3369" s="3" t="s">
        <v>2433</v>
      </c>
      <c r="C3369" s="4">
        <v>38</v>
      </c>
      <c r="D3369" s="3" t="s">
        <v>184</v>
      </c>
      <c r="E3369" s="3" t="s">
        <v>49</v>
      </c>
      <c r="F3369" s="5">
        <v>87</v>
      </c>
      <c r="G3369" s="5">
        <v>132</v>
      </c>
      <c r="H3369" s="6">
        <v>5925.42</v>
      </c>
      <c r="I3369" s="22">
        <v>7479.72</v>
      </c>
      <c r="J3369" s="24">
        <f t="shared" si="156"/>
        <v>5.182789193736309E-5</v>
      </c>
      <c r="K3369" s="25">
        <f t="shared" si="158"/>
        <v>0.95553246287133742</v>
      </c>
      <c r="L3369" s="26" t="s">
        <v>7518</v>
      </c>
      <c r="M3369" s="28"/>
      <c r="N3369" s="28"/>
      <c r="O3369" s="20" t="s">
        <v>7530</v>
      </c>
      <c r="P3369" s="27" t="str">
        <f t="shared" si="157"/>
        <v>vermelho</v>
      </c>
    </row>
    <row r="3370" spans="1:16" ht="25.5">
      <c r="A3370" s="3" t="s">
        <v>6845</v>
      </c>
      <c r="B3370" s="3" t="s">
        <v>6846</v>
      </c>
      <c r="C3370" s="4">
        <v>299</v>
      </c>
      <c r="D3370" s="3" t="s">
        <v>111</v>
      </c>
      <c r="E3370" s="3" t="s">
        <v>49</v>
      </c>
      <c r="F3370" s="5">
        <v>227</v>
      </c>
      <c r="G3370" s="5">
        <v>132</v>
      </c>
      <c r="H3370" s="6">
        <v>7543.03</v>
      </c>
      <c r="I3370" s="22">
        <v>7474.68</v>
      </c>
      <c r="J3370" s="24">
        <f t="shared" si="156"/>
        <v>5.1792969162798762E-5</v>
      </c>
      <c r="K3370" s="25">
        <f t="shared" si="158"/>
        <v>0.95558425584050022</v>
      </c>
      <c r="L3370" s="26" t="s">
        <v>7518</v>
      </c>
      <c r="M3370" s="28"/>
      <c r="N3370" s="28"/>
      <c r="O3370" s="20" t="s">
        <v>7530</v>
      </c>
      <c r="P3370" s="27" t="str">
        <f t="shared" si="157"/>
        <v>vermelho</v>
      </c>
    </row>
    <row r="3371" spans="1:16" ht="51">
      <c r="A3371" s="3" t="s">
        <v>4</v>
      </c>
      <c r="B3371" s="3" t="s">
        <v>2434</v>
      </c>
      <c r="C3371" s="4">
        <v>282</v>
      </c>
      <c r="D3371" s="3" t="s">
        <v>12</v>
      </c>
      <c r="E3371" s="3" t="s">
        <v>13</v>
      </c>
      <c r="F3371" s="5">
        <v>108</v>
      </c>
      <c r="G3371" s="5">
        <v>150</v>
      </c>
      <c r="H3371" s="6">
        <v>6000.72</v>
      </c>
      <c r="I3371" s="22">
        <v>7473</v>
      </c>
      <c r="J3371" s="24">
        <f t="shared" si="156"/>
        <v>5.1781328237943984E-5</v>
      </c>
      <c r="K3371" s="25">
        <f t="shared" si="158"/>
        <v>0.95563603716873813</v>
      </c>
      <c r="L3371" s="26" t="s">
        <v>7518</v>
      </c>
      <c r="M3371" s="28"/>
      <c r="N3371" s="28"/>
      <c r="O3371" s="20">
        <v>6779.9219999999996</v>
      </c>
      <c r="P3371" s="27" t="str">
        <f t="shared" si="157"/>
        <v>laranja</v>
      </c>
    </row>
    <row r="3372" spans="1:16" ht="25.5">
      <c r="A3372" s="3" t="s">
        <v>4</v>
      </c>
      <c r="B3372" s="3" t="s">
        <v>2435</v>
      </c>
      <c r="C3372" s="4">
        <v>334</v>
      </c>
      <c r="D3372" s="3" t="s">
        <v>531</v>
      </c>
      <c r="E3372" s="3" t="s">
        <v>7</v>
      </c>
      <c r="F3372" s="5">
        <v>144</v>
      </c>
      <c r="G3372" s="5">
        <v>120</v>
      </c>
      <c r="H3372" s="6">
        <v>4646.76</v>
      </c>
      <c r="I3372" s="22">
        <v>7471.32</v>
      </c>
      <c r="J3372" s="24">
        <f t="shared" si="156"/>
        <v>5.1769687313089199E-5</v>
      </c>
      <c r="K3372" s="25">
        <f t="shared" si="158"/>
        <v>0.95568780685605126</v>
      </c>
      <c r="L3372" s="26" t="s">
        <v>7518</v>
      </c>
      <c r="M3372" s="28"/>
      <c r="N3372" s="28"/>
      <c r="O3372" s="20" t="s">
        <v>7530</v>
      </c>
      <c r="P3372" s="27" t="str">
        <f t="shared" si="157"/>
        <v>vermelho</v>
      </c>
    </row>
    <row r="3373" spans="1:16" ht="25.5">
      <c r="A3373" s="3" t="s">
        <v>4</v>
      </c>
      <c r="B3373" s="3" t="s">
        <v>2436</v>
      </c>
      <c r="C3373" s="4">
        <v>321</v>
      </c>
      <c r="D3373" s="3" t="s">
        <v>136</v>
      </c>
      <c r="E3373" s="3" t="s">
        <v>41</v>
      </c>
      <c r="F3373" s="5">
        <v>0</v>
      </c>
      <c r="G3373" s="5">
        <v>135</v>
      </c>
      <c r="H3373" s="6">
        <v>0</v>
      </c>
      <c r="I3373" s="22">
        <v>7457.7510000000002</v>
      </c>
      <c r="J3373" s="24">
        <f t="shared" si="156"/>
        <v>5.167566605752107E-5</v>
      </c>
      <c r="K3373" s="25">
        <f t="shared" si="158"/>
        <v>0.95573948252210883</v>
      </c>
      <c r="L3373" s="26" t="s">
        <v>7518</v>
      </c>
      <c r="M3373" s="28"/>
      <c r="N3373" s="28"/>
      <c r="O3373" s="20" t="s">
        <v>7530</v>
      </c>
      <c r="P3373" s="27" t="str">
        <f t="shared" si="157"/>
        <v>vermelho</v>
      </c>
    </row>
    <row r="3374" spans="1:16" ht="25.5">
      <c r="A3374" s="3" t="s">
        <v>4</v>
      </c>
      <c r="B3374" s="3" t="s">
        <v>2437</v>
      </c>
      <c r="C3374" s="4">
        <v>321</v>
      </c>
      <c r="D3374" s="3" t="s">
        <v>136</v>
      </c>
      <c r="E3374" s="3" t="s">
        <v>41</v>
      </c>
      <c r="F3374" s="5">
        <v>0</v>
      </c>
      <c r="G3374" s="5">
        <v>135</v>
      </c>
      <c r="H3374" s="6">
        <v>0</v>
      </c>
      <c r="I3374" s="22">
        <v>7457.7510000000002</v>
      </c>
      <c r="J3374" s="24">
        <f t="shared" si="156"/>
        <v>5.167566605752107E-5</v>
      </c>
      <c r="K3374" s="25">
        <f t="shared" si="158"/>
        <v>0.9557911581881664</v>
      </c>
      <c r="L3374" s="26" t="s">
        <v>7518</v>
      </c>
      <c r="M3374" s="28"/>
      <c r="N3374" s="28"/>
      <c r="O3374" s="20" t="s">
        <v>7530</v>
      </c>
      <c r="P3374" s="27" t="str">
        <f t="shared" si="157"/>
        <v>vermelho</v>
      </c>
    </row>
    <row r="3375" spans="1:16" ht="25.5">
      <c r="A3375" s="3" t="s">
        <v>4</v>
      </c>
      <c r="B3375" s="3" t="s">
        <v>2438</v>
      </c>
      <c r="C3375" s="4">
        <v>321</v>
      </c>
      <c r="D3375" s="3" t="s">
        <v>136</v>
      </c>
      <c r="E3375" s="3" t="s">
        <v>41</v>
      </c>
      <c r="F3375" s="5">
        <v>0</v>
      </c>
      <c r="G3375" s="5">
        <v>135</v>
      </c>
      <c r="H3375" s="6">
        <v>0</v>
      </c>
      <c r="I3375" s="22">
        <v>7457.7510000000002</v>
      </c>
      <c r="J3375" s="24">
        <f t="shared" si="156"/>
        <v>5.167566605752107E-5</v>
      </c>
      <c r="K3375" s="25">
        <f t="shared" si="158"/>
        <v>0.95584283385422397</v>
      </c>
      <c r="L3375" s="26" t="s">
        <v>7518</v>
      </c>
      <c r="M3375" s="28"/>
      <c r="N3375" s="28"/>
      <c r="O3375" s="20" t="s">
        <v>7530</v>
      </c>
      <c r="P3375" s="27" t="str">
        <f t="shared" si="157"/>
        <v>vermelho</v>
      </c>
    </row>
    <row r="3376" spans="1:16" ht="25.5">
      <c r="A3376" s="3" t="s">
        <v>4</v>
      </c>
      <c r="B3376" s="3" t="s">
        <v>2439</v>
      </c>
      <c r="C3376" s="4">
        <v>321</v>
      </c>
      <c r="D3376" s="3" t="s">
        <v>136</v>
      </c>
      <c r="E3376" s="3" t="s">
        <v>41</v>
      </c>
      <c r="F3376" s="5">
        <v>0</v>
      </c>
      <c r="G3376" s="5">
        <v>135</v>
      </c>
      <c r="H3376" s="6">
        <v>0</v>
      </c>
      <c r="I3376" s="22">
        <v>7457.7510000000002</v>
      </c>
      <c r="J3376" s="24">
        <f t="shared" si="156"/>
        <v>5.167566605752107E-5</v>
      </c>
      <c r="K3376" s="25">
        <f t="shared" si="158"/>
        <v>0.95589450952028154</v>
      </c>
      <c r="L3376" s="26" t="s">
        <v>7518</v>
      </c>
      <c r="M3376" s="28"/>
      <c r="N3376" s="28"/>
      <c r="O3376" s="20" t="s">
        <v>7530</v>
      </c>
      <c r="P3376" s="27" t="str">
        <f t="shared" si="157"/>
        <v>vermelho</v>
      </c>
    </row>
    <row r="3377" spans="1:16" ht="25.5">
      <c r="A3377" s="3" t="s">
        <v>4</v>
      </c>
      <c r="B3377" s="3" t="s">
        <v>2440</v>
      </c>
      <c r="C3377" s="4">
        <v>15</v>
      </c>
      <c r="D3377" s="3" t="s">
        <v>18</v>
      </c>
      <c r="E3377" s="3" t="s">
        <v>16</v>
      </c>
      <c r="F3377" s="5">
        <v>168</v>
      </c>
      <c r="G3377" s="5">
        <v>114</v>
      </c>
      <c r="H3377" s="6">
        <v>10546.32</v>
      </c>
      <c r="I3377" s="22">
        <v>7456.65</v>
      </c>
      <c r="J3377" s="24">
        <f t="shared" si="156"/>
        <v>5.1668037094268027E-5</v>
      </c>
      <c r="K3377" s="25">
        <f t="shared" si="158"/>
        <v>0.95594617755737576</v>
      </c>
      <c r="L3377" s="26" t="s">
        <v>7518</v>
      </c>
      <c r="M3377" s="28"/>
      <c r="N3377" s="28"/>
      <c r="O3377" s="20" t="s">
        <v>7530</v>
      </c>
      <c r="P3377" s="27" t="str">
        <f t="shared" si="157"/>
        <v>vermelho</v>
      </c>
    </row>
    <row r="3378" spans="1:16" ht="38.25">
      <c r="A3378" s="3" t="s">
        <v>6847</v>
      </c>
      <c r="B3378" s="3" t="s">
        <v>6848</v>
      </c>
      <c r="C3378" s="4">
        <v>34</v>
      </c>
      <c r="D3378" s="3" t="s">
        <v>54</v>
      </c>
      <c r="E3378" s="3" t="s">
        <v>49</v>
      </c>
      <c r="F3378" s="5">
        <v>366</v>
      </c>
      <c r="G3378" s="5">
        <v>107</v>
      </c>
      <c r="H3378" s="6">
        <v>21424.38</v>
      </c>
      <c r="I3378" s="22">
        <v>7443.91</v>
      </c>
      <c r="J3378" s="24">
        <f t="shared" si="156"/>
        <v>5.1579760080785972E-5</v>
      </c>
      <c r="K3378" s="25">
        <f t="shared" si="158"/>
        <v>0.95599775731745651</v>
      </c>
      <c r="L3378" s="26" t="s">
        <v>7518</v>
      </c>
      <c r="M3378" s="28"/>
      <c r="N3378" s="28"/>
      <c r="O3378" s="20" t="s">
        <v>7530</v>
      </c>
      <c r="P3378" s="27" t="str">
        <f t="shared" si="157"/>
        <v>vermelho</v>
      </c>
    </row>
    <row r="3379" spans="1:16" ht="38.25">
      <c r="A3379" s="3" t="s">
        <v>4</v>
      </c>
      <c r="B3379" s="3" t="s">
        <v>2441</v>
      </c>
      <c r="C3379" s="4">
        <v>38</v>
      </c>
      <c r="D3379" s="3" t="s">
        <v>184</v>
      </c>
      <c r="E3379" s="3" t="s">
        <v>49</v>
      </c>
      <c r="F3379" s="5">
        <v>108</v>
      </c>
      <c r="G3379" s="5">
        <v>132</v>
      </c>
      <c r="H3379" s="6">
        <v>5904.96</v>
      </c>
      <c r="I3379" s="22">
        <v>7443.84</v>
      </c>
      <c r="J3379" s="24">
        <f t="shared" si="156"/>
        <v>5.1579275042250357E-5</v>
      </c>
      <c r="K3379" s="25">
        <f t="shared" si="158"/>
        <v>0.9560493365924988</v>
      </c>
      <c r="L3379" s="26" t="s">
        <v>7518</v>
      </c>
      <c r="M3379" s="28"/>
      <c r="N3379" s="28"/>
      <c r="O3379" s="20" t="s">
        <v>7530</v>
      </c>
      <c r="P3379" s="27" t="str">
        <f t="shared" si="157"/>
        <v>vermelho</v>
      </c>
    </row>
    <row r="3380" spans="1:16" ht="25.5">
      <c r="A3380" s="3" t="s">
        <v>4</v>
      </c>
      <c r="B3380" s="3" t="s">
        <v>2442</v>
      </c>
      <c r="C3380" s="4">
        <v>296</v>
      </c>
      <c r="D3380" s="3" t="s">
        <v>282</v>
      </c>
      <c r="E3380" s="3" t="s">
        <v>10</v>
      </c>
      <c r="F3380" s="5">
        <v>0</v>
      </c>
      <c r="G3380" s="5">
        <v>147</v>
      </c>
      <c r="H3380" s="6">
        <v>0</v>
      </c>
      <c r="I3380" s="22">
        <v>7442.5540000000001</v>
      </c>
      <c r="J3380" s="24">
        <f t="shared" si="156"/>
        <v>5.1570364191438904E-5</v>
      </c>
      <c r="K3380" s="25">
        <f t="shared" si="158"/>
        <v>0.95610090695669026</v>
      </c>
      <c r="L3380" s="26" t="s">
        <v>7518</v>
      </c>
      <c r="M3380" s="28">
        <v>-4.4431203587538631E-2</v>
      </c>
      <c r="N3380" s="28"/>
      <c r="O3380" s="20" t="s">
        <v>7530</v>
      </c>
      <c r="P3380" s="27" t="str">
        <f t="shared" si="157"/>
        <v>vermelho</v>
      </c>
    </row>
    <row r="3381" spans="1:16" ht="25.5">
      <c r="A3381" s="3" t="s">
        <v>4</v>
      </c>
      <c r="B3381" s="3" t="s">
        <v>2443</v>
      </c>
      <c r="C3381" s="4">
        <v>327</v>
      </c>
      <c r="D3381" s="3" t="s">
        <v>100</v>
      </c>
      <c r="E3381" s="3" t="s">
        <v>7</v>
      </c>
      <c r="F3381" s="5">
        <v>96</v>
      </c>
      <c r="G3381" s="5">
        <v>168</v>
      </c>
      <c r="H3381" s="6">
        <v>5207.04</v>
      </c>
      <c r="I3381" s="22">
        <v>7435.92</v>
      </c>
      <c r="J3381" s="24">
        <f t="shared" si="156"/>
        <v>5.1524396396506409E-5</v>
      </c>
      <c r="K3381" s="25">
        <f t="shared" si="158"/>
        <v>0.95615243135308681</v>
      </c>
      <c r="L3381" s="26" t="s">
        <v>7518</v>
      </c>
      <c r="M3381" s="28"/>
      <c r="N3381" s="28"/>
      <c r="O3381" s="20" t="s">
        <v>7530</v>
      </c>
      <c r="P3381" s="27" t="str">
        <f t="shared" si="157"/>
        <v>vermelho</v>
      </c>
    </row>
    <row r="3382" spans="1:16" ht="51">
      <c r="A3382" s="3" t="s">
        <v>4</v>
      </c>
      <c r="B3382" s="3" t="s">
        <v>2444</v>
      </c>
      <c r="C3382" s="4">
        <v>282</v>
      </c>
      <c r="D3382" s="3" t="s">
        <v>12</v>
      </c>
      <c r="E3382" s="3" t="s">
        <v>13</v>
      </c>
      <c r="F3382" s="5">
        <v>123</v>
      </c>
      <c r="G3382" s="5">
        <v>120</v>
      </c>
      <c r="H3382" s="6">
        <v>8345.9699999999993</v>
      </c>
      <c r="I3382" s="22">
        <v>7435.8</v>
      </c>
      <c r="J3382" s="24">
        <f t="shared" si="156"/>
        <v>5.152356490187393E-5</v>
      </c>
      <c r="K3382" s="25">
        <f t="shared" si="158"/>
        <v>0.95620395491798871</v>
      </c>
      <c r="L3382" s="26" t="s">
        <v>7518</v>
      </c>
      <c r="M3382" s="28"/>
      <c r="N3382" s="28"/>
      <c r="O3382" s="20" t="s">
        <v>7530</v>
      </c>
      <c r="P3382" s="27" t="str">
        <f t="shared" si="157"/>
        <v>vermelho</v>
      </c>
    </row>
    <row r="3383" spans="1:16" ht="25.5">
      <c r="A3383" s="3" t="s">
        <v>4</v>
      </c>
      <c r="B3383" s="3" t="s">
        <v>1495</v>
      </c>
      <c r="C3383" s="4">
        <v>296</v>
      </c>
      <c r="D3383" s="3" t="s">
        <v>282</v>
      </c>
      <c r="E3383" s="3" t="s">
        <v>16</v>
      </c>
      <c r="F3383" s="5">
        <v>105</v>
      </c>
      <c r="G3383" s="5">
        <v>120</v>
      </c>
      <c r="H3383" s="6">
        <v>6443.61</v>
      </c>
      <c r="I3383" s="22">
        <v>7429.44</v>
      </c>
      <c r="J3383" s="24">
        <f t="shared" si="156"/>
        <v>5.1479495686352268E-5</v>
      </c>
      <c r="K3383" s="25">
        <f t="shared" si="158"/>
        <v>0.95625543441367511</v>
      </c>
      <c r="L3383" s="26" t="s">
        <v>7518</v>
      </c>
      <c r="M3383" s="28"/>
      <c r="N3383" s="28"/>
      <c r="O3383" s="20" t="s">
        <v>7530</v>
      </c>
      <c r="P3383" s="27" t="str">
        <f t="shared" si="157"/>
        <v>vermelho</v>
      </c>
    </row>
    <row r="3384" spans="1:16" ht="38.25">
      <c r="A3384" s="3" t="s">
        <v>4</v>
      </c>
      <c r="B3384" s="3" t="s">
        <v>2445</v>
      </c>
      <c r="C3384" s="4">
        <v>143</v>
      </c>
      <c r="D3384" s="3" t="s">
        <v>44</v>
      </c>
      <c r="E3384" s="3" t="s">
        <v>41</v>
      </c>
      <c r="F3384" s="5">
        <v>132</v>
      </c>
      <c r="G3384" s="5">
        <v>120</v>
      </c>
      <c r="H3384" s="6">
        <v>7774.02</v>
      </c>
      <c r="I3384" s="22">
        <v>7414.8</v>
      </c>
      <c r="J3384" s="24">
        <f t="shared" si="156"/>
        <v>5.1378053341189222E-5</v>
      </c>
      <c r="K3384" s="25">
        <f t="shared" si="158"/>
        <v>0.95630681246701632</v>
      </c>
      <c r="L3384" s="26" t="s">
        <v>7518</v>
      </c>
      <c r="M3384" s="28"/>
      <c r="N3384" s="28"/>
      <c r="O3384" s="20">
        <v>4010.88</v>
      </c>
      <c r="P3384" s="27" t="str">
        <f t="shared" si="157"/>
        <v>laranja</v>
      </c>
    </row>
    <row r="3385" spans="1:16" ht="25.5">
      <c r="A3385" s="3" t="s">
        <v>4</v>
      </c>
      <c r="B3385" s="3" t="s">
        <v>2446</v>
      </c>
      <c r="C3385" s="4">
        <v>218</v>
      </c>
      <c r="D3385" s="3" t="s">
        <v>104</v>
      </c>
      <c r="E3385" s="3" t="s">
        <v>16</v>
      </c>
      <c r="F3385" s="5">
        <v>84</v>
      </c>
      <c r="G3385" s="5">
        <v>153</v>
      </c>
      <c r="H3385" s="6">
        <v>3978.6</v>
      </c>
      <c r="I3385" s="22">
        <v>7413.81</v>
      </c>
      <c r="J3385" s="24">
        <f t="shared" si="156"/>
        <v>5.1371193510471231E-5</v>
      </c>
      <c r="K3385" s="25">
        <f t="shared" si="158"/>
        <v>0.95635818366052683</v>
      </c>
      <c r="L3385" s="26" t="s">
        <v>7518</v>
      </c>
      <c r="M3385" s="28"/>
      <c r="N3385" s="28"/>
      <c r="O3385" s="20">
        <v>3542.22</v>
      </c>
      <c r="P3385" s="27" t="str">
        <f t="shared" si="157"/>
        <v>amarelo</v>
      </c>
    </row>
    <row r="3386" spans="1:16">
      <c r="A3386" s="3" t="s">
        <v>6849</v>
      </c>
      <c r="B3386" s="3" t="s">
        <v>6850</v>
      </c>
      <c r="C3386" s="4">
        <v>240</v>
      </c>
      <c r="D3386" s="3" t="s">
        <v>69</v>
      </c>
      <c r="E3386" s="3" t="s">
        <v>16</v>
      </c>
      <c r="F3386" s="5">
        <v>84</v>
      </c>
      <c r="G3386" s="5">
        <v>108</v>
      </c>
      <c r="H3386" s="6">
        <v>5201.16</v>
      </c>
      <c r="I3386" s="22">
        <v>7391.88</v>
      </c>
      <c r="J3386" s="24">
        <f t="shared" si="156"/>
        <v>5.1219237866384764E-5</v>
      </c>
      <c r="K3386" s="25">
        <f t="shared" si="158"/>
        <v>0.95640940289839327</v>
      </c>
      <c r="L3386" s="26" t="s">
        <v>7518</v>
      </c>
      <c r="M3386" s="28"/>
      <c r="N3386" s="28"/>
      <c r="O3386" s="20" t="s">
        <v>7530</v>
      </c>
      <c r="P3386" s="27" t="str">
        <f t="shared" si="157"/>
        <v>vermelho</v>
      </c>
    </row>
    <row r="3387" spans="1:16" ht="25.5">
      <c r="A3387" s="3" t="s">
        <v>4</v>
      </c>
      <c r="B3387" s="3" t="s">
        <v>2447</v>
      </c>
      <c r="C3387" s="4">
        <v>321</v>
      </c>
      <c r="D3387" s="3" t="s">
        <v>136</v>
      </c>
      <c r="E3387" s="3" t="s">
        <v>41</v>
      </c>
      <c r="F3387" s="5">
        <v>345</v>
      </c>
      <c r="G3387" s="5">
        <v>126</v>
      </c>
      <c r="H3387" s="6">
        <v>19490.759999999998</v>
      </c>
      <c r="I3387" s="22">
        <v>7390.26</v>
      </c>
      <c r="J3387" s="24">
        <f t="shared" si="156"/>
        <v>5.1208012688846232E-5</v>
      </c>
      <c r="K3387" s="25">
        <f t="shared" si="158"/>
        <v>0.95646061091108214</v>
      </c>
      <c r="L3387" s="26" t="s">
        <v>7518</v>
      </c>
      <c r="M3387" s="28"/>
      <c r="N3387" s="28"/>
      <c r="O3387" s="20">
        <v>7652.94</v>
      </c>
      <c r="P3387" s="27" t="str">
        <f t="shared" si="157"/>
        <v>verde</v>
      </c>
    </row>
    <row r="3388" spans="1:16" ht="25.5">
      <c r="A3388" s="3" t="s">
        <v>4</v>
      </c>
      <c r="B3388" s="3" t="s">
        <v>2448</v>
      </c>
      <c r="C3388" s="4">
        <v>232</v>
      </c>
      <c r="D3388" s="3" t="s">
        <v>174</v>
      </c>
      <c r="E3388" s="3" t="s">
        <v>16</v>
      </c>
      <c r="F3388" s="5">
        <v>0</v>
      </c>
      <c r="G3388" s="5">
        <v>132</v>
      </c>
      <c r="H3388" s="6">
        <v>0</v>
      </c>
      <c r="I3388" s="22">
        <v>7388.76</v>
      </c>
      <c r="J3388" s="24">
        <f t="shared" si="156"/>
        <v>5.1197619005940179E-5</v>
      </c>
      <c r="K3388" s="25">
        <f t="shared" si="158"/>
        <v>0.9565118085300881</v>
      </c>
      <c r="L3388" s="26" t="s">
        <v>7518</v>
      </c>
      <c r="M3388" s="28"/>
      <c r="N3388" s="28"/>
      <c r="O3388" s="20" t="s">
        <v>7530</v>
      </c>
      <c r="P3388" s="27" t="str">
        <f t="shared" si="157"/>
        <v>vermelho</v>
      </c>
    </row>
    <row r="3389" spans="1:16" ht="25.5">
      <c r="A3389" s="3" t="s">
        <v>4</v>
      </c>
      <c r="B3389" s="3" t="s">
        <v>2449</v>
      </c>
      <c r="C3389" s="4">
        <v>74</v>
      </c>
      <c r="D3389" s="3" t="s">
        <v>6</v>
      </c>
      <c r="E3389" s="3" t="s">
        <v>7</v>
      </c>
      <c r="F3389" s="5">
        <v>186</v>
      </c>
      <c r="G3389" s="5">
        <v>114</v>
      </c>
      <c r="H3389" s="6">
        <v>11435.01</v>
      </c>
      <c r="I3389" s="22">
        <v>7381.86</v>
      </c>
      <c r="J3389" s="24">
        <f t="shared" si="156"/>
        <v>5.1149808064572349E-5</v>
      </c>
      <c r="K3389" s="25">
        <f t="shared" si="158"/>
        <v>0.95656295833815264</v>
      </c>
      <c r="L3389" s="26" t="s">
        <v>7518</v>
      </c>
      <c r="M3389" s="28"/>
      <c r="N3389" s="28"/>
      <c r="O3389" s="20">
        <v>7967.37</v>
      </c>
      <c r="P3389" s="27" t="str">
        <f t="shared" si="157"/>
        <v>verde</v>
      </c>
    </row>
    <row r="3390" spans="1:16">
      <c r="A3390" s="3" t="s">
        <v>4</v>
      </c>
      <c r="B3390" s="3" t="s">
        <v>2450</v>
      </c>
      <c r="C3390" s="4">
        <v>232</v>
      </c>
      <c r="D3390" s="3" t="s">
        <v>174</v>
      </c>
      <c r="E3390" s="3" t="s">
        <v>16</v>
      </c>
      <c r="F3390" s="5">
        <v>312</v>
      </c>
      <c r="G3390" s="5">
        <v>144</v>
      </c>
      <c r="H3390" s="6">
        <v>18503.88</v>
      </c>
      <c r="I3390" s="22">
        <v>7379.28</v>
      </c>
      <c r="J3390" s="24">
        <f t="shared" si="156"/>
        <v>5.1131930929973939E-5</v>
      </c>
      <c r="K3390" s="25">
        <f t="shared" si="158"/>
        <v>0.95661409026908262</v>
      </c>
      <c r="L3390" s="26" t="s">
        <v>7518</v>
      </c>
      <c r="M3390" s="28"/>
      <c r="N3390" s="28">
        <v>6.9930240860676895E-2</v>
      </c>
      <c r="O3390" s="20">
        <v>4237.2</v>
      </c>
      <c r="P3390" s="27" t="str">
        <f t="shared" si="157"/>
        <v>laranja</v>
      </c>
    </row>
    <row r="3391" spans="1:16" ht="25.5">
      <c r="A3391" s="3" t="s">
        <v>4</v>
      </c>
      <c r="B3391" s="3" t="s">
        <v>2451</v>
      </c>
      <c r="C3391" s="4">
        <v>267</v>
      </c>
      <c r="D3391" s="3" t="s">
        <v>125</v>
      </c>
      <c r="E3391" s="3" t="s">
        <v>16</v>
      </c>
      <c r="F3391" s="5">
        <v>228</v>
      </c>
      <c r="G3391" s="5">
        <v>138</v>
      </c>
      <c r="H3391" s="6">
        <v>12003.06</v>
      </c>
      <c r="I3391" s="22">
        <v>7377</v>
      </c>
      <c r="J3391" s="24">
        <f t="shared" si="156"/>
        <v>5.1116132531956746E-5</v>
      </c>
      <c r="K3391" s="25">
        <f t="shared" si="158"/>
        <v>0.95666520640161457</v>
      </c>
      <c r="L3391" s="26" t="s">
        <v>7518</v>
      </c>
      <c r="M3391" s="28"/>
      <c r="N3391" s="28"/>
      <c r="O3391" s="20" t="s">
        <v>7530</v>
      </c>
      <c r="P3391" s="27" t="str">
        <f t="shared" si="157"/>
        <v>vermelho</v>
      </c>
    </row>
    <row r="3392" spans="1:16" ht="25.5">
      <c r="A3392" s="3" t="s">
        <v>4</v>
      </c>
      <c r="B3392" s="3" t="s">
        <v>2452</v>
      </c>
      <c r="C3392" s="4">
        <v>337</v>
      </c>
      <c r="D3392" s="3" t="s">
        <v>202</v>
      </c>
      <c r="E3392" s="3" t="s">
        <v>16</v>
      </c>
      <c r="F3392" s="5">
        <v>0</v>
      </c>
      <c r="G3392" s="5">
        <v>132</v>
      </c>
      <c r="H3392" s="6">
        <v>0</v>
      </c>
      <c r="I3392" s="22">
        <v>7375.2</v>
      </c>
      <c r="J3392" s="24">
        <f t="shared" si="156"/>
        <v>5.1103660112469483E-5</v>
      </c>
      <c r="K3392" s="25">
        <f t="shared" si="158"/>
        <v>0.95671631006172708</v>
      </c>
      <c r="L3392" s="26" t="s">
        <v>7518</v>
      </c>
      <c r="M3392" s="28"/>
      <c r="N3392" s="28"/>
      <c r="O3392" s="20" t="s">
        <v>7530</v>
      </c>
      <c r="P3392" s="27" t="str">
        <f t="shared" si="157"/>
        <v>vermelho</v>
      </c>
    </row>
    <row r="3393" spans="1:16" ht="25.5">
      <c r="A3393" s="3" t="s">
        <v>4</v>
      </c>
      <c r="B3393" s="3" t="s">
        <v>2453</v>
      </c>
      <c r="C3393" s="4">
        <v>232</v>
      </c>
      <c r="D3393" s="3" t="s">
        <v>174</v>
      </c>
      <c r="E3393" s="3" t="s">
        <v>16</v>
      </c>
      <c r="F3393" s="5">
        <v>0</v>
      </c>
      <c r="G3393" s="5">
        <v>147</v>
      </c>
      <c r="H3393" s="6">
        <v>0</v>
      </c>
      <c r="I3393" s="22">
        <v>7362.93</v>
      </c>
      <c r="J3393" s="24">
        <f t="shared" si="156"/>
        <v>5.1018639786297995E-5</v>
      </c>
      <c r="K3393" s="25">
        <f t="shared" si="158"/>
        <v>0.95676732870151338</v>
      </c>
      <c r="L3393" s="26" t="s">
        <v>7518</v>
      </c>
      <c r="M3393" s="28">
        <v>3.7741780846636347E-2</v>
      </c>
      <c r="N3393" s="28"/>
      <c r="O3393" s="20" t="s">
        <v>7530</v>
      </c>
      <c r="P3393" s="27" t="str">
        <f t="shared" si="157"/>
        <v>vermelho</v>
      </c>
    </row>
    <row r="3394" spans="1:16" ht="25.5">
      <c r="A3394" s="3" t="s">
        <v>4</v>
      </c>
      <c r="B3394" s="3" t="s">
        <v>2454</v>
      </c>
      <c r="C3394" s="4">
        <v>316</v>
      </c>
      <c r="D3394" s="3" t="s">
        <v>247</v>
      </c>
      <c r="E3394" s="3" t="s">
        <v>10</v>
      </c>
      <c r="F3394" s="5">
        <v>492</v>
      </c>
      <c r="G3394" s="5">
        <v>126</v>
      </c>
      <c r="H3394" s="6">
        <v>23728.2</v>
      </c>
      <c r="I3394" s="22">
        <v>7360.02</v>
      </c>
      <c r="J3394" s="24">
        <f t="shared" si="156"/>
        <v>5.0998476041460254E-5</v>
      </c>
      <c r="K3394" s="25">
        <f t="shared" si="158"/>
        <v>0.95681832717755488</v>
      </c>
      <c r="L3394" s="26" t="s">
        <v>7518</v>
      </c>
      <c r="M3394" s="28"/>
      <c r="N3394" s="28"/>
      <c r="O3394" s="20" t="s">
        <v>7530</v>
      </c>
      <c r="P3394" s="27" t="str">
        <f t="shared" si="157"/>
        <v>vermelho</v>
      </c>
    </row>
    <row r="3395" spans="1:16" ht="25.5">
      <c r="A3395" s="3" t="s">
        <v>4</v>
      </c>
      <c r="B3395" s="3" t="s">
        <v>2455</v>
      </c>
      <c r="C3395" s="4">
        <v>267</v>
      </c>
      <c r="D3395" s="3" t="s">
        <v>125</v>
      </c>
      <c r="E3395" s="3" t="s">
        <v>16</v>
      </c>
      <c r="F3395" s="5">
        <v>168</v>
      </c>
      <c r="G3395" s="5">
        <v>144</v>
      </c>
      <c r="H3395" s="6">
        <v>8111.28</v>
      </c>
      <c r="I3395" s="22">
        <v>7357.86</v>
      </c>
      <c r="J3395" s="24">
        <f t="shared" ref="J3395:J3458" si="159">I3395/$I$6364</f>
        <v>5.0983509138075534E-5</v>
      </c>
      <c r="K3395" s="25">
        <f t="shared" si="158"/>
        <v>0.95686931068669301</v>
      </c>
      <c r="L3395" s="26" t="s">
        <v>7518</v>
      </c>
      <c r="M3395" s="28"/>
      <c r="N3395" s="28"/>
      <c r="O3395" s="20">
        <v>2556.48</v>
      </c>
      <c r="P3395" s="27" t="str">
        <f t="shared" ref="P3395:P3458" si="160">IF(O3395&lt;=0,"vermelho",IFERROR(IF(O3395/I3395&lt;=0.5098,"amarelo",IF(O3395/I3395&lt;1,"laranja","verde")),"vermelho"))</f>
        <v>amarelo</v>
      </c>
    </row>
    <row r="3396" spans="1:16" ht="25.5">
      <c r="A3396" s="3" t="s">
        <v>4</v>
      </c>
      <c r="B3396" s="3" t="s">
        <v>2456</v>
      </c>
      <c r="C3396" s="4">
        <v>232</v>
      </c>
      <c r="D3396" s="3" t="s">
        <v>174</v>
      </c>
      <c r="E3396" s="3" t="s">
        <v>16</v>
      </c>
      <c r="F3396" s="5">
        <v>0</v>
      </c>
      <c r="G3396" s="5">
        <v>156</v>
      </c>
      <c r="H3396" s="6">
        <v>0</v>
      </c>
      <c r="I3396" s="22">
        <v>7355.4</v>
      </c>
      <c r="J3396" s="24">
        <f t="shared" si="159"/>
        <v>5.0966463498109616E-5</v>
      </c>
      <c r="K3396" s="25">
        <f t="shared" ref="K3396:K3459" si="161">J3396+K3395</f>
        <v>0.95692027715019112</v>
      </c>
      <c r="L3396" s="26" t="s">
        <v>7518</v>
      </c>
      <c r="M3396" s="28"/>
      <c r="N3396" s="28"/>
      <c r="O3396" s="20" t="s">
        <v>7530</v>
      </c>
      <c r="P3396" s="27" t="str">
        <f t="shared" si="160"/>
        <v>vermelho</v>
      </c>
    </row>
    <row r="3397" spans="1:16">
      <c r="A3397" s="3" t="s">
        <v>4</v>
      </c>
      <c r="B3397" s="3" t="s">
        <v>2457</v>
      </c>
      <c r="C3397" s="4">
        <v>232</v>
      </c>
      <c r="D3397" s="3" t="s">
        <v>174</v>
      </c>
      <c r="E3397" s="3" t="s">
        <v>16</v>
      </c>
      <c r="F3397" s="5">
        <v>0</v>
      </c>
      <c r="G3397" s="5">
        <v>156</v>
      </c>
      <c r="H3397" s="6">
        <v>0</v>
      </c>
      <c r="I3397" s="22">
        <v>7355.4</v>
      </c>
      <c r="J3397" s="24">
        <f t="shared" si="159"/>
        <v>5.0966463498109616E-5</v>
      </c>
      <c r="K3397" s="25">
        <f t="shared" si="161"/>
        <v>0.95697124361368924</v>
      </c>
      <c r="L3397" s="26" t="s">
        <v>7518</v>
      </c>
      <c r="M3397" s="28"/>
      <c r="N3397" s="28">
        <v>5.9235127373632568E-2</v>
      </c>
      <c r="O3397" s="20">
        <v>3639.72</v>
      </c>
      <c r="P3397" s="27" t="str">
        <f t="shared" si="160"/>
        <v>amarelo</v>
      </c>
    </row>
    <row r="3398" spans="1:16" ht="25.5">
      <c r="A3398" s="3" t="s">
        <v>4</v>
      </c>
      <c r="B3398" s="3" t="s">
        <v>2458</v>
      </c>
      <c r="C3398" s="4">
        <v>194</v>
      </c>
      <c r="D3398" s="3" t="s">
        <v>145</v>
      </c>
      <c r="E3398" s="3" t="s">
        <v>16</v>
      </c>
      <c r="F3398" s="5">
        <v>282</v>
      </c>
      <c r="G3398" s="5">
        <v>120</v>
      </c>
      <c r="H3398" s="6">
        <v>15535.35</v>
      </c>
      <c r="I3398" s="22">
        <v>7355.04</v>
      </c>
      <c r="J3398" s="24">
        <f t="shared" si="159"/>
        <v>5.0963969014212166E-5</v>
      </c>
      <c r="K3398" s="25">
        <f t="shared" si="161"/>
        <v>0.9570222075827034</v>
      </c>
      <c r="L3398" s="26" t="s">
        <v>7518</v>
      </c>
      <c r="M3398" s="28"/>
      <c r="N3398" s="28"/>
      <c r="O3398" s="20">
        <v>10506.24</v>
      </c>
      <c r="P3398" s="27" t="str">
        <f t="shared" si="160"/>
        <v>verde</v>
      </c>
    </row>
    <row r="3399" spans="1:16" ht="25.5">
      <c r="A3399" s="3" t="s">
        <v>4</v>
      </c>
      <c r="B3399" s="3" t="s">
        <v>2459</v>
      </c>
      <c r="C3399" s="4">
        <v>316</v>
      </c>
      <c r="D3399" s="3" t="s">
        <v>247</v>
      </c>
      <c r="E3399" s="3" t="s">
        <v>10</v>
      </c>
      <c r="F3399" s="5">
        <v>0</v>
      </c>
      <c r="G3399" s="5">
        <v>180</v>
      </c>
      <c r="H3399" s="6">
        <v>0</v>
      </c>
      <c r="I3399" s="22">
        <v>7353.48</v>
      </c>
      <c r="J3399" s="24">
        <f t="shared" si="159"/>
        <v>5.0953159583989867E-5</v>
      </c>
      <c r="K3399" s="25">
        <f t="shared" si="161"/>
        <v>0.95707316074228743</v>
      </c>
      <c r="L3399" s="26" t="s">
        <v>7518</v>
      </c>
      <c r="M3399" s="28"/>
      <c r="N3399" s="28"/>
      <c r="O3399" s="20" t="s">
        <v>7530</v>
      </c>
      <c r="P3399" s="27" t="str">
        <f t="shared" si="160"/>
        <v>vermelho</v>
      </c>
    </row>
    <row r="3400" spans="1:16" ht="25.5">
      <c r="A3400" s="3" t="s">
        <v>4</v>
      </c>
      <c r="B3400" s="3" t="s">
        <v>2460</v>
      </c>
      <c r="C3400" s="4">
        <v>273</v>
      </c>
      <c r="D3400" s="3" t="s">
        <v>149</v>
      </c>
      <c r="E3400" s="3" t="s">
        <v>16</v>
      </c>
      <c r="F3400" s="5">
        <v>0</v>
      </c>
      <c r="G3400" s="5">
        <v>150</v>
      </c>
      <c r="H3400" s="6">
        <v>0</v>
      </c>
      <c r="I3400" s="22">
        <v>7352.34</v>
      </c>
      <c r="J3400" s="24">
        <f t="shared" si="159"/>
        <v>5.0945260384981271E-5</v>
      </c>
      <c r="K3400" s="25">
        <f t="shared" si="161"/>
        <v>0.95712410600267239</v>
      </c>
      <c r="L3400" s="26" t="s">
        <v>7518</v>
      </c>
      <c r="M3400" s="28"/>
      <c r="N3400" s="28"/>
      <c r="O3400" s="20" t="s">
        <v>7530</v>
      </c>
      <c r="P3400" s="27" t="str">
        <f t="shared" si="160"/>
        <v>vermelho</v>
      </c>
    </row>
    <row r="3401" spans="1:16" ht="25.5">
      <c r="A3401" s="3" t="s">
        <v>6851</v>
      </c>
      <c r="B3401" s="3" t="s">
        <v>6852</v>
      </c>
      <c r="C3401" s="4">
        <v>208</v>
      </c>
      <c r="D3401" s="3" t="s">
        <v>15</v>
      </c>
      <c r="E3401" s="3" t="s">
        <v>16</v>
      </c>
      <c r="F3401" s="5">
        <v>180</v>
      </c>
      <c r="G3401" s="5">
        <v>120</v>
      </c>
      <c r="H3401" s="6">
        <v>9888.48</v>
      </c>
      <c r="I3401" s="22">
        <v>7350.36</v>
      </c>
      <c r="J3401" s="24">
        <f t="shared" si="159"/>
        <v>5.0931540723545282E-5</v>
      </c>
      <c r="K3401" s="25">
        <f t="shared" si="161"/>
        <v>0.95717503754339595</v>
      </c>
      <c r="L3401" s="26" t="s">
        <v>7518</v>
      </c>
      <c r="M3401" s="28"/>
      <c r="N3401" s="28"/>
      <c r="O3401" s="20">
        <v>6518.64</v>
      </c>
      <c r="P3401" s="27" t="str">
        <f t="shared" si="160"/>
        <v>laranja</v>
      </c>
    </row>
    <row r="3402" spans="1:16" ht="25.5">
      <c r="A3402" s="3" t="s">
        <v>4</v>
      </c>
      <c r="B3402" s="3" t="s">
        <v>2461</v>
      </c>
      <c r="C3402" s="4">
        <v>321</v>
      </c>
      <c r="D3402" s="3" t="s">
        <v>136</v>
      </c>
      <c r="E3402" s="3" t="s">
        <v>41</v>
      </c>
      <c r="F3402" s="5">
        <v>0</v>
      </c>
      <c r="G3402" s="5">
        <v>117</v>
      </c>
      <c r="H3402" s="6">
        <v>0</v>
      </c>
      <c r="I3402" s="22">
        <v>7348.83</v>
      </c>
      <c r="J3402" s="24">
        <f t="shared" si="159"/>
        <v>5.0920939166981116E-5</v>
      </c>
      <c r="K3402" s="25">
        <f t="shared" si="161"/>
        <v>0.95722595848256298</v>
      </c>
      <c r="L3402" s="26" t="s">
        <v>7518</v>
      </c>
      <c r="M3402" s="28"/>
      <c r="N3402" s="28"/>
      <c r="O3402" s="20" t="s">
        <v>7530</v>
      </c>
      <c r="P3402" s="27" t="str">
        <f t="shared" si="160"/>
        <v>vermelho</v>
      </c>
    </row>
    <row r="3403" spans="1:16">
      <c r="A3403" s="3" t="s">
        <v>6853</v>
      </c>
      <c r="B3403" s="3" t="s">
        <v>6854</v>
      </c>
      <c r="C3403" s="4">
        <v>217</v>
      </c>
      <c r="D3403" s="3" t="s">
        <v>91</v>
      </c>
      <c r="E3403" s="3" t="s">
        <v>16</v>
      </c>
      <c r="F3403" s="5">
        <v>123</v>
      </c>
      <c r="G3403" s="5">
        <v>132</v>
      </c>
      <c r="H3403" s="6">
        <v>7088.79</v>
      </c>
      <c r="I3403" s="22">
        <v>7346.2160000000003</v>
      </c>
      <c r="J3403" s="24">
        <f t="shared" si="159"/>
        <v>5.0902826442236838E-5</v>
      </c>
      <c r="K3403" s="25">
        <f t="shared" si="161"/>
        <v>0.95727686130900524</v>
      </c>
      <c r="L3403" s="26" t="s">
        <v>7518</v>
      </c>
      <c r="M3403" s="28"/>
      <c r="N3403" s="28"/>
      <c r="O3403" s="20" t="s">
        <v>7530</v>
      </c>
      <c r="P3403" s="27" t="str">
        <f t="shared" si="160"/>
        <v>vermelho</v>
      </c>
    </row>
    <row r="3404" spans="1:16" ht="25.5">
      <c r="A3404" s="3" t="s">
        <v>4</v>
      </c>
      <c r="B3404" s="3" t="s">
        <v>2462</v>
      </c>
      <c r="C3404" s="4">
        <v>240</v>
      </c>
      <c r="D3404" s="3" t="s">
        <v>69</v>
      </c>
      <c r="E3404" s="3" t="s">
        <v>16</v>
      </c>
      <c r="F3404" s="5">
        <v>0</v>
      </c>
      <c r="G3404" s="5">
        <v>108</v>
      </c>
      <c r="H3404" s="6">
        <v>0</v>
      </c>
      <c r="I3404" s="22">
        <v>7334.28</v>
      </c>
      <c r="J3404" s="24">
        <f t="shared" si="159"/>
        <v>5.0820120442792422E-5</v>
      </c>
      <c r="K3404" s="25">
        <f t="shared" si="161"/>
        <v>0.95732768142944802</v>
      </c>
      <c r="L3404" s="26" t="s">
        <v>7518</v>
      </c>
      <c r="M3404" s="28"/>
      <c r="N3404" s="28"/>
      <c r="O3404" s="20">
        <v>4955.58</v>
      </c>
      <c r="P3404" s="27" t="str">
        <f t="shared" si="160"/>
        <v>laranja</v>
      </c>
    </row>
    <row r="3405" spans="1:16" ht="38.25">
      <c r="A3405" s="3" t="s">
        <v>6855</v>
      </c>
      <c r="B3405" s="3" t="s">
        <v>6856</v>
      </c>
      <c r="C3405" s="4">
        <v>38</v>
      </c>
      <c r="D3405" s="3" t="s">
        <v>184</v>
      </c>
      <c r="E3405" s="3" t="s">
        <v>49</v>
      </c>
      <c r="F3405" s="5">
        <v>492</v>
      </c>
      <c r="G3405" s="5">
        <v>138</v>
      </c>
      <c r="H3405" s="6">
        <v>25718.400000000001</v>
      </c>
      <c r="I3405" s="22">
        <v>7333.59</v>
      </c>
      <c r="J3405" s="24">
        <f t="shared" si="159"/>
        <v>5.0815339348655642E-5</v>
      </c>
      <c r="K3405" s="25">
        <f t="shared" si="161"/>
        <v>0.95737849676879672</v>
      </c>
      <c r="L3405" s="26" t="s">
        <v>7518</v>
      </c>
      <c r="M3405" s="28"/>
      <c r="N3405" s="28"/>
      <c r="O3405" s="20">
        <v>22357.71</v>
      </c>
      <c r="P3405" s="27" t="str">
        <f t="shared" si="160"/>
        <v>verde</v>
      </c>
    </row>
    <row r="3406" spans="1:16" ht="25.5">
      <c r="A3406" s="3" t="s">
        <v>6857</v>
      </c>
      <c r="B3406" s="3" t="s">
        <v>6858</v>
      </c>
      <c r="C3406" s="4">
        <v>317</v>
      </c>
      <c r="D3406" s="3" t="s">
        <v>78</v>
      </c>
      <c r="E3406" s="3" t="s">
        <v>10</v>
      </c>
      <c r="F3406" s="5">
        <v>0</v>
      </c>
      <c r="G3406" s="5">
        <v>96</v>
      </c>
      <c r="H3406" s="6">
        <v>0</v>
      </c>
      <c r="I3406" s="22">
        <v>7324.08</v>
      </c>
      <c r="J3406" s="24">
        <f t="shared" si="159"/>
        <v>5.0749443399031282E-5</v>
      </c>
      <c r="K3406" s="25">
        <f t="shared" si="161"/>
        <v>0.95742924621219572</v>
      </c>
      <c r="L3406" s="26" t="s">
        <v>7518</v>
      </c>
      <c r="M3406" s="28"/>
      <c r="N3406" s="28"/>
      <c r="O3406" s="20">
        <v>4836</v>
      </c>
      <c r="P3406" s="27" t="str">
        <f t="shared" si="160"/>
        <v>laranja</v>
      </c>
    </row>
    <row r="3407" spans="1:16" ht="38.25">
      <c r="A3407" s="3" t="s">
        <v>4</v>
      </c>
      <c r="B3407" s="3" t="s">
        <v>2463</v>
      </c>
      <c r="C3407" s="4">
        <v>327</v>
      </c>
      <c r="D3407" s="3" t="s">
        <v>100</v>
      </c>
      <c r="E3407" s="3" t="s">
        <v>7</v>
      </c>
      <c r="F3407" s="5">
        <v>0</v>
      </c>
      <c r="G3407" s="5">
        <v>132</v>
      </c>
      <c r="H3407" s="6">
        <v>0</v>
      </c>
      <c r="I3407" s="22">
        <v>7323.24</v>
      </c>
      <c r="J3407" s="24">
        <f t="shared" si="159"/>
        <v>5.074362293660389E-5</v>
      </c>
      <c r="K3407" s="25">
        <f t="shared" si="161"/>
        <v>0.95747998983513227</v>
      </c>
      <c r="L3407" s="26" t="s">
        <v>7518</v>
      </c>
      <c r="M3407" s="28"/>
      <c r="N3407" s="28"/>
      <c r="O3407" s="20">
        <v>8522.19</v>
      </c>
      <c r="P3407" s="27" t="str">
        <f t="shared" si="160"/>
        <v>verde</v>
      </c>
    </row>
    <row r="3408" spans="1:16" ht="38.25">
      <c r="A3408" s="3" t="s">
        <v>6859</v>
      </c>
      <c r="B3408" s="3" t="s">
        <v>6860</v>
      </c>
      <c r="C3408" s="4">
        <v>11</v>
      </c>
      <c r="D3408" s="3" t="s">
        <v>61</v>
      </c>
      <c r="E3408" s="3" t="s">
        <v>10</v>
      </c>
      <c r="F3408" s="5">
        <v>120</v>
      </c>
      <c r="G3408" s="5">
        <v>132</v>
      </c>
      <c r="H3408" s="6">
        <v>5861.76</v>
      </c>
      <c r="I3408" s="22">
        <v>7322.8050000000003</v>
      </c>
      <c r="J3408" s="24">
        <f t="shared" si="159"/>
        <v>5.074060876856114E-5</v>
      </c>
      <c r="K3408" s="25">
        <f t="shared" si="161"/>
        <v>0.9575307304439008</v>
      </c>
      <c r="L3408" s="26" t="s">
        <v>7518</v>
      </c>
      <c r="M3408" s="28"/>
      <c r="N3408" s="28"/>
      <c r="O3408" s="20">
        <v>5890.0460000000003</v>
      </c>
      <c r="P3408" s="27" t="str">
        <f t="shared" si="160"/>
        <v>laranja</v>
      </c>
    </row>
    <row r="3409" spans="1:16" ht="25.5">
      <c r="A3409" s="3" t="s">
        <v>4</v>
      </c>
      <c r="B3409" s="3" t="s">
        <v>2464</v>
      </c>
      <c r="C3409" s="4">
        <v>231</v>
      </c>
      <c r="D3409" s="3" t="s">
        <v>52</v>
      </c>
      <c r="E3409" s="3" t="s">
        <v>7</v>
      </c>
      <c r="F3409" s="5">
        <v>144</v>
      </c>
      <c r="G3409" s="5">
        <v>120</v>
      </c>
      <c r="H3409" s="6">
        <v>8404.08</v>
      </c>
      <c r="I3409" s="22">
        <v>7319.28</v>
      </c>
      <c r="J3409" s="24">
        <f t="shared" si="159"/>
        <v>5.0716183613731919E-5</v>
      </c>
      <c r="K3409" s="25">
        <f t="shared" si="161"/>
        <v>0.95758144662751454</v>
      </c>
      <c r="L3409" s="26" t="s">
        <v>7518</v>
      </c>
      <c r="M3409" s="28"/>
      <c r="N3409" s="28"/>
      <c r="O3409" s="20" t="s">
        <v>7530</v>
      </c>
      <c r="P3409" s="27" t="str">
        <f t="shared" si="160"/>
        <v>vermelho</v>
      </c>
    </row>
    <row r="3410" spans="1:16" ht="25.5">
      <c r="A3410" s="3" t="s">
        <v>4</v>
      </c>
      <c r="B3410" s="3" t="s">
        <v>2465</v>
      </c>
      <c r="C3410" s="4">
        <v>93</v>
      </c>
      <c r="D3410" s="3" t="s">
        <v>20</v>
      </c>
      <c r="E3410" s="3" t="s">
        <v>7</v>
      </c>
      <c r="F3410" s="5">
        <v>48</v>
      </c>
      <c r="G3410" s="5">
        <v>120</v>
      </c>
      <c r="H3410" s="6">
        <v>3107.52</v>
      </c>
      <c r="I3410" s="22">
        <v>7318.8</v>
      </c>
      <c r="J3410" s="24">
        <f t="shared" si="159"/>
        <v>5.0712857635201983E-5</v>
      </c>
      <c r="K3410" s="25">
        <f t="shared" si="161"/>
        <v>0.95763215948514979</v>
      </c>
      <c r="L3410" s="26" t="s">
        <v>7518</v>
      </c>
      <c r="M3410" s="28"/>
      <c r="N3410" s="28"/>
      <c r="O3410" s="20" t="s">
        <v>7530</v>
      </c>
      <c r="P3410" s="27" t="str">
        <f t="shared" si="160"/>
        <v>vermelho</v>
      </c>
    </row>
    <row r="3411" spans="1:16" ht="25.5">
      <c r="A3411" s="3" t="s">
        <v>4</v>
      </c>
      <c r="B3411" s="3" t="s">
        <v>2466</v>
      </c>
      <c r="C3411" s="4">
        <v>232</v>
      </c>
      <c r="D3411" s="3" t="s">
        <v>174</v>
      </c>
      <c r="E3411" s="3" t="s">
        <v>16</v>
      </c>
      <c r="F3411" s="5">
        <v>192</v>
      </c>
      <c r="G3411" s="5">
        <v>132</v>
      </c>
      <c r="H3411" s="6">
        <v>10170.36</v>
      </c>
      <c r="I3411" s="22">
        <v>7318.2</v>
      </c>
      <c r="J3411" s="24">
        <f t="shared" si="159"/>
        <v>5.0708700162039562E-5</v>
      </c>
      <c r="K3411" s="25">
        <f t="shared" si="161"/>
        <v>0.95768286818531179</v>
      </c>
      <c r="L3411" s="26" t="s">
        <v>7518</v>
      </c>
      <c r="M3411" s="28"/>
      <c r="N3411" s="28"/>
      <c r="O3411" s="20">
        <v>8603.8799999999992</v>
      </c>
      <c r="P3411" s="27" t="str">
        <f t="shared" si="160"/>
        <v>verde</v>
      </c>
    </row>
    <row r="3412" spans="1:16" ht="25.5">
      <c r="A3412" s="3" t="s">
        <v>4</v>
      </c>
      <c r="B3412" s="3" t="s">
        <v>2467</v>
      </c>
      <c r="C3412" s="4">
        <v>302</v>
      </c>
      <c r="D3412" s="3" t="s">
        <v>293</v>
      </c>
      <c r="E3412" s="3" t="s">
        <v>49</v>
      </c>
      <c r="F3412" s="5">
        <v>132</v>
      </c>
      <c r="G3412" s="5">
        <v>126</v>
      </c>
      <c r="H3412" s="6">
        <v>6655.08</v>
      </c>
      <c r="I3412" s="22">
        <v>7312.74</v>
      </c>
      <c r="J3412" s="24">
        <f t="shared" si="159"/>
        <v>5.0670867156261539E-5</v>
      </c>
      <c r="K3412" s="25">
        <f t="shared" si="161"/>
        <v>0.95773353905246805</v>
      </c>
      <c r="L3412" s="26" t="s">
        <v>7518</v>
      </c>
      <c r="M3412" s="28"/>
      <c r="N3412" s="28"/>
      <c r="O3412" s="20" t="s">
        <v>7530</v>
      </c>
      <c r="P3412" s="27" t="str">
        <f t="shared" si="160"/>
        <v>vermelho</v>
      </c>
    </row>
    <row r="3413" spans="1:16" ht="38.25">
      <c r="A3413" s="3" t="s">
        <v>4</v>
      </c>
      <c r="B3413" s="3" t="s">
        <v>2468</v>
      </c>
      <c r="C3413" s="4">
        <v>45</v>
      </c>
      <c r="D3413" s="3" t="s">
        <v>23</v>
      </c>
      <c r="E3413" s="3" t="s">
        <v>7</v>
      </c>
      <c r="F3413" s="5">
        <v>144</v>
      </c>
      <c r="G3413" s="5">
        <v>138</v>
      </c>
      <c r="H3413" s="6">
        <v>8641.68</v>
      </c>
      <c r="I3413" s="22">
        <v>7310.25</v>
      </c>
      <c r="J3413" s="24">
        <f t="shared" si="159"/>
        <v>5.0653613642637495E-5</v>
      </c>
      <c r="K3413" s="25">
        <f t="shared" si="161"/>
        <v>0.9577841926661107</v>
      </c>
      <c r="L3413" s="26" t="s">
        <v>7518</v>
      </c>
      <c r="M3413" s="28"/>
      <c r="N3413" s="28"/>
      <c r="O3413" s="20" t="s">
        <v>7530</v>
      </c>
      <c r="P3413" s="27" t="str">
        <f t="shared" si="160"/>
        <v>vermelho</v>
      </c>
    </row>
    <row r="3414" spans="1:16" ht="51">
      <c r="A3414" s="3" t="s">
        <v>4</v>
      </c>
      <c r="B3414" s="3" t="s">
        <v>2469</v>
      </c>
      <c r="C3414" s="4">
        <v>282</v>
      </c>
      <c r="D3414" s="3" t="s">
        <v>12</v>
      </c>
      <c r="E3414" s="3" t="s">
        <v>13</v>
      </c>
      <c r="F3414" s="5">
        <v>0</v>
      </c>
      <c r="G3414" s="5">
        <v>120</v>
      </c>
      <c r="H3414" s="6">
        <v>0</v>
      </c>
      <c r="I3414" s="22">
        <v>7309.8879999999999</v>
      </c>
      <c r="J3414" s="24">
        <f t="shared" si="159"/>
        <v>5.0651105300496167E-5</v>
      </c>
      <c r="K3414" s="25">
        <f t="shared" si="161"/>
        <v>0.95783484377141115</v>
      </c>
      <c r="L3414" s="26" t="s">
        <v>7518</v>
      </c>
      <c r="M3414" s="28"/>
      <c r="N3414" s="28"/>
      <c r="O3414" s="20" t="s">
        <v>7530</v>
      </c>
      <c r="P3414" s="27" t="str">
        <f t="shared" si="160"/>
        <v>vermelho</v>
      </c>
    </row>
    <row r="3415" spans="1:16" ht="38.25">
      <c r="A3415" s="3" t="s">
        <v>4</v>
      </c>
      <c r="B3415" s="3" t="s">
        <v>2470</v>
      </c>
      <c r="C3415" s="4">
        <v>34</v>
      </c>
      <c r="D3415" s="3" t="s">
        <v>54</v>
      </c>
      <c r="E3415" s="3" t="s">
        <v>49</v>
      </c>
      <c r="F3415" s="5">
        <v>249</v>
      </c>
      <c r="G3415" s="5">
        <v>102</v>
      </c>
      <c r="H3415" s="6">
        <v>13766.31</v>
      </c>
      <c r="I3415" s="22">
        <v>7309.14</v>
      </c>
      <c r="J3415" s="24">
        <f t="shared" si="159"/>
        <v>5.0645922317287018E-5</v>
      </c>
      <c r="K3415" s="25">
        <f t="shared" si="161"/>
        <v>0.95788548969372844</v>
      </c>
      <c r="L3415" s="26" t="s">
        <v>7518</v>
      </c>
      <c r="M3415" s="28"/>
      <c r="N3415" s="28">
        <v>6.4652405903132038E-2</v>
      </c>
      <c r="O3415" s="20">
        <v>3395.88</v>
      </c>
      <c r="P3415" s="27" t="str">
        <f t="shared" si="160"/>
        <v>amarelo</v>
      </c>
    </row>
    <row r="3416" spans="1:16" ht="25.5">
      <c r="A3416" s="3" t="s">
        <v>4</v>
      </c>
      <c r="B3416" s="3" t="s">
        <v>2471</v>
      </c>
      <c r="C3416" s="4">
        <v>23</v>
      </c>
      <c r="D3416" s="3" t="s">
        <v>87</v>
      </c>
      <c r="E3416" s="3" t="s">
        <v>7</v>
      </c>
      <c r="F3416" s="5">
        <v>210</v>
      </c>
      <c r="G3416" s="5">
        <v>132</v>
      </c>
      <c r="H3416" s="6">
        <v>12854.1</v>
      </c>
      <c r="I3416" s="22">
        <v>7307.64</v>
      </c>
      <c r="J3416" s="24">
        <f t="shared" si="159"/>
        <v>5.0635528634380965E-5</v>
      </c>
      <c r="K3416" s="25">
        <f t="shared" si="161"/>
        <v>0.95793612522236282</v>
      </c>
      <c r="L3416" s="26" t="s">
        <v>7518</v>
      </c>
      <c r="M3416" s="28"/>
      <c r="N3416" s="28"/>
      <c r="O3416" s="20" t="s">
        <v>7530</v>
      </c>
      <c r="P3416" s="27" t="str">
        <f t="shared" si="160"/>
        <v>vermelho</v>
      </c>
    </row>
    <row r="3417" spans="1:16" ht="25.5">
      <c r="A3417" s="3" t="s">
        <v>4</v>
      </c>
      <c r="B3417" s="3" t="s">
        <v>2472</v>
      </c>
      <c r="C3417" s="4">
        <v>317</v>
      </c>
      <c r="D3417" s="3" t="s">
        <v>78</v>
      </c>
      <c r="E3417" s="3" t="s">
        <v>10</v>
      </c>
      <c r="F3417" s="5">
        <v>159</v>
      </c>
      <c r="G3417" s="5">
        <v>126</v>
      </c>
      <c r="H3417" s="6">
        <v>9613.7099999999991</v>
      </c>
      <c r="I3417" s="22">
        <v>7306.02</v>
      </c>
      <c r="J3417" s="24">
        <f t="shared" si="159"/>
        <v>5.0624303456842433E-5</v>
      </c>
      <c r="K3417" s="25">
        <f t="shared" si="161"/>
        <v>0.95798674952581964</v>
      </c>
      <c r="L3417" s="26" t="s">
        <v>7518</v>
      </c>
      <c r="M3417" s="28"/>
      <c r="N3417" s="28"/>
      <c r="O3417" s="20" t="s">
        <v>7530</v>
      </c>
      <c r="P3417" s="27" t="str">
        <f t="shared" si="160"/>
        <v>vermelho</v>
      </c>
    </row>
    <row r="3418" spans="1:16" ht="25.5">
      <c r="A3418" s="3" t="s">
        <v>4</v>
      </c>
      <c r="B3418" s="3" t="s">
        <v>2473</v>
      </c>
      <c r="C3418" s="4">
        <v>267</v>
      </c>
      <c r="D3418" s="3" t="s">
        <v>125</v>
      </c>
      <c r="E3418" s="3" t="s">
        <v>16</v>
      </c>
      <c r="F3418" s="5">
        <v>132</v>
      </c>
      <c r="G3418" s="5">
        <v>132</v>
      </c>
      <c r="H3418" s="6">
        <v>6840.48</v>
      </c>
      <c r="I3418" s="22">
        <v>7299.12</v>
      </c>
      <c r="J3418" s="24">
        <f t="shared" si="159"/>
        <v>5.0576492515474596E-5</v>
      </c>
      <c r="K3418" s="25">
        <f t="shared" si="161"/>
        <v>0.95803732601833513</v>
      </c>
      <c r="L3418" s="26" t="s">
        <v>7518</v>
      </c>
      <c r="M3418" s="28"/>
      <c r="N3418" s="28"/>
      <c r="O3418" s="20" t="s">
        <v>7530</v>
      </c>
      <c r="P3418" s="27" t="str">
        <f t="shared" si="160"/>
        <v>vermelho</v>
      </c>
    </row>
    <row r="3419" spans="1:16">
      <c r="A3419" s="3" t="s">
        <v>6861</v>
      </c>
      <c r="B3419" s="3" t="s">
        <v>6862</v>
      </c>
      <c r="C3419" s="4">
        <v>217</v>
      </c>
      <c r="D3419" s="3" t="s">
        <v>91</v>
      </c>
      <c r="E3419" s="3" t="s">
        <v>16</v>
      </c>
      <c r="F3419" s="5">
        <v>700</v>
      </c>
      <c r="G3419" s="5">
        <v>137</v>
      </c>
      <c r="H3419" s="6">
        <v>38627.730000000003</v>
      </c>
      <c r="I3419" s="22">
        <v>7289.17</v>
      </c>
      <c r="J3419" s="24">
        <f t="shared" si="159"/>
        <v>5.0507547752197796E-5</v>
      </c>
      <c r="K3419" s="25">
        <f t="shared" si="161"/>
        <v>0.95808783356608729</v>
      </c>
      <c r="L3419" s="26" t="s">
        <v>7518</v>
      </c>
      <c r="M3419" s="28"/>
      <c r="N3419" s="28"/>
      <c r="O3419" s="20" t="s">
        <v>7530</v>
      </c>
      <c r="P3419" s="27" t="str">
        <f t="shared" si="160"/>
        <v>vermelho</v>
      </c>
    </row>
    <row r="3420" spans="1:16" ht="25.5">
      <c r="A3420" s="3" t="s">
        <v>4</v>
      </c>
      <c r="B3420" s="3" t="s">
        <v>2474</v>
      </c>
      <c r="C3420" s="4">
        <v>197</v>
      </c>
      <c r="D3420" s="3" t="s">
        <v>66</v>
      </c>
      <c r="E3420" s="3" t="s">
        <v>41</v>
      </c>
      <c r="F3420" s="5">
        <v>0</v>
      </c>
      <c r="G3420" s="5">
        <v>144</v>
      </c>
      <c r="H3420" s="6">
        <v>0</v>
      </c>
      <c r="I3420" s="22">
        <v>7282.56</v>
      </c>
      <c r="J3420" s="24">
        <f t="shared" si="159"/>
        <v>5.0461746256191801E-5</v>
      </c>
      <c r="K3420" s="25">
        <f t="shared" si="161"/>
        <v>0.95813829531234351</v>
      </c>
      <c r="L3420" s="26" t="s">
        <v>7518</v>
      </c>
      <c r="M3420" s="28"/>
      <c r="N3420" s="28"/>
      <c r="O3420" s="20" t="s">
        <v>7530</v>
      </c>
      <c r="P3420" s="27" t="str">
        <f t="shared" si="160"/>
        <v>vermelho</v>
      </c>
    </row>
    <row r="3421" spans="1:16" ht="38.25">
      <c r="A3421" s="3" t="s">
        <v>4</v>
      </c>
      <c r="B3421" s="3" t="s">
        <v>2475</v>
      </c>
      <c r="C3421" s="4">
        <v>38</v>
      </c>
      <c r="D3421" s="3" t="s">
        <v>184</v>
      </c>
      <c r="E3421" s="3" t="s">
        <v>49</v>
      </c>
      <c r="F3421" s="5">
        <v>144</v>
      </c>
      <c r="G3421" s="5">
        <v>132</v>
      </c>
      <c r="H3421" s="6">
        <v>6250.1760000000004</v>
      </c>
      <c r="I3421" s="22">
        <v>7280.16</v>
      </c>
      <c r="J3421" s="24">
        <f t="shared" si="159"/>
        <v>5.0445116363542116E-5</v>
      </c>
      <c r="K3421" s="25">
        <f t="shared" si="161"/>
        <v>0.95818874042870705</v>
      </c>
      <c r="L3421" s="26" t="s">
        <v>7518</v>
      </c>
      <c r="M3421" s="28"/>
      <c r="N3421" s="28"/>
      <c r="O3421" s="20" t="s">
        <v>7530</v>
      </c>
      <c r="P3421" s="27" t="str">
        <f t="shared" si="160"/>
        <v>vermelho</v>
      </c>
    </row>
    <row r="3422" spans="1:16" ht="38.25">
      <c r="A3422" s="3" t="s">
        <v>4</v>
      </c>
      <c r="B3422" s="3" t="s">
        <v>2476</v>
      </c>
      <c r="C3422" s="4">
        <v>231</v>
      </c>
      <c r="D3422" s="3" t="s">
        <v>52</v>
      </c>
      <c r="E3422" s="3" t="s">
        <v>7</v>
      </c>
      <c r="F3422" s="5">
        <v>198</v>
      </c>
      <c r="G3422" s="5">
        <v>114</v>
      </c>
      <c r="H3422" s="6">
        <v>11814.09</v>
      </c>
      <c r="I3422" s="22">
        <v>7277.76</v>
      </c>
      <c r="J3422" s="24">
        <f t="shared" si="159"/>
        <v>5.0428486470892438E-5</v>
      </c>
      <c r="K3422" s="25">
        <f t="shared" si="161"/>
        <v>0.95823916891517791</v>
      </c>
      <c r="L3422" s="26" t="s">
        <v>7518</v>
      </c>
      <c r="M3422" s="28"/>
      <c r="N3422" s="28"/>
      <c r="O3422" s="20">
        <v>5562.36</v>
      </c>
      <c r="P3422" s="27" t="str">
        <f t="shared" si="160"/>
        <v>laranja</v>
      </c>
    </row>
    <row r="3423" spans="1:16" ht="25.5">
      <c r="A3423" s="3" t="s">
        <v>4</v>
      </c>
      <c r="B3423" s="3" t="s">
        <v>2477</v>
      </c>
      <c r="C3423" s="4">
        <v>296</v>
      </c>
      <c r="D3423" s="3" t="s">
        <v>282</v>
      </c>
      <c r="E3423" s="3" t="s">
        <v>10</v>
      </c>
      <c r="F3423" s="5">
        <v>0</v>
      </c>
      <c r="G3423" s="5">
        <v>120</v>
      </c>
      <c r="H3423" s="6">
        <v>0</v>
      </c>
      <c r="I3423" s="22">
        <v>7257.7049999999999</v>
      </c>
      <c r="J3423" s="24">
        <f t="shared" si="159"/>
        <v>5.028952293043854E-5</v>
      </c>
      <c r="K3423" s="25">
        <f t="shared" si="161"/>
        <v>0.95828945843810831</v>
      </c>
      <c r="L3423" s="26" t="s">
        <v>7518</v>
      </c>
      <c r="M3423" s="28"/>
      <c r="N3423" s="28"/>
      <c r="O3423" s="20">
        <v>5145.7219999999998</v>
      </c>
      <c r="P3423" s="27" t="str">
        <f t="shared" si="160"/>
        <v>laranja</v>
      </c>
    </row>
    <row r="3424" spans="1:16" ht="25.5">
      <c r="A3424" s="3" t="s">
        <v>4</v>
      </c>
      <c r="B3424" s="3" t="s">
        <v>2478</v>
      </c>
      <c r="C3424" s="4">
        <v>218</v>
      </c>
      <c r="D3424" s="3" t="s">
        <v>104</v>
      </c>
      <c r="E3424" s="3" t="s">
        <v>16</v>
      </c>
      <c r="F3424" s="5">
        <v>0</v>
      </c>
      <c r="G3424" s="5">
        <v>117</v>
      </c>
      <c r="H3424" s="6">
        <v>0</v>
      </c>
      <c r="I3424" s="22">
        <v>7257.27</v>
      </c>
      <c r="J3424" s="24">
        <f t="shared" si="159"/>
        <v>5.0286508762395791E-5</v>
      </c>
      <c r="K3424" s="25">
        <f t="shared" si="161"/>
        <v>0.95833974494687069</v>
      </c>
      <c r="L3424" s="26" t="s">
        <v>7518</v>
      </c>
      <c r="M3424" s="28"/>
      <c r="N3424" s="28"/>
      <c r="O3424" s="20" t="s">
        <v>7530</v>
      </c>
      <c r="P3424" s="27" t="str">
        <f t="shared" si="160"/>
        <v>vermelho</v>
      </c>
    </row>
    <row r="3425" spans="1:16" ht="25.5">
      <c r="A3425" s="3" t="s">
        <v>4</v>
      </c>
      <c r="B3425" s="3" t="s">
        <v>2479</v>
      </c>
      <c r="C3425" s="4">
        <v>267</v>
      </c>
      <c r="D3425" s="3" t="s">
        <v>125</v>
      </c>
      <c r="E3425" s="3" t="s">
        <v>16</v>
      </c>
      <c r="F3425" s="5">
        <v>84</v>
      </c>
      <c r="G3425" s="5">
        <v>120</v>
      </c>
      <c r="H3425" s="6">
        <v>4307.88</v>
      </c>
      <c r="I3425" s="22">
        <v>7257.12</v>
      </c>
      <c r="J3425" s="24">
        <f t="shared" si="159"/>
        <v>5.0285469394105179E-5</v>
      </c>
      <c r="K3425" s="25">
        <f t="shared" si="161"/>
        <v>0.9583900304162648</v>
      </c>
      <c r="L3425" s="26" t="s">
        <v>7518</v>
      </c>
      <c r="M3425" s="28"/>
      <c r="N3425" s="28"/>
      <c r="O3425" s="20" t="s">
        <v>7530</v>
      </c>
      <c r="P3425" s="27" t="str">
        <f t="shared" si="160"/>
        <v>vermelho</v>
      </c>
    </row>
    <row r="3426" spans="1:16" ht="25.5">
      <c r="A3426" s="3" t="s">
        <v>4</v>
      </c>
      <c r="B3426" s="3" t="s">
        <v>2480</v>
      </c>
      <c r="C3426" s="4">
        <v>39</v>
      </c>
      <c r="D3426" s="3" t="s">
        <v>26</v>
      </c>
      <c r="E3426" s="3" t="s">
        <v>13</v>
      </c>
      <c r="F3426" s="5">
        <v>0</v>
      </c>
      <c r="G3426" s="5">
        <v>120</v>
      </c>
      <c r="H3426" s="6">
        <v>0</v>
      </c>
      <c r="I3426" s="22">
        <v>7255.8</v>
      </c>
      <c r="J3426" s="24">
        <f t="shared" si="159"/>
        <v>5.0276322953147858E-5</v>
      </c>
      <c r="K3426" s="25">
        <f t="shared" si="161"/>
        <v>0.95844030673921798</v>
      </c>
      <c r="L3426" s="26" t="s">
        <v>7518</v>
      </c>
      <c r="M3426" s="28"/>
      <c r="N3426" s="28"/>
      <c r="O3426" s="20" t="s">
        <v>7530</v>
      </c>
      <c r="P3426" s="27" t="str">
        <f t="shared" si="160"/>
        <v>vermelho</v>
      </c>
    </row>
    <row r="3427" spans="1:16" ht="38.25">
      <c r="A3427" s="3" t="s">
        <v>4</v>
      </c>
      <c r="B3427" s="3" t="s">
        <v>2481</v>
      </c>
      <c r="C3427" s="4">
        <v>301</v>
      </c>
      <c r="D3427" s="3" t="s">
        <v>519</v>
      </c>
      <c r="E3427" s="3" t="s">
        <v>16</v>
      </c>
      <c r="F3427" s="5">
        <v>0</v>
      </c>
      <c r="G3427" s="5">
        <v>120</v>
      </c>
      <c r="H3427" s="6">
        <v>0</v>
      </c>
      <c r="I3427" s="22">
        <v>7252.2</v>
      </c>
      <c r="J3427" s="24">
        <f t="shared" si="159"/>
        <v>5.0251378114173337E-5</v>
      </c>
      <c r="K3427" s="25">
        <f t="shared" si="161"/>
        <v>0.95849055811733219</v>
      </c>
      <c r="L3427" s="26" t="s">
        <v>7518</v>
      </c>
      <c r="M3427" s="28"/>
      <c r="N3427" s="28"/>
      <c r="O3427" s="20" t="s">
        <v>7530</v>
      </c>
      <c r="P3427" s="27" t="str">
        <f t="shared" si="160"/>
        <v>vermelho</v>
      </c>
    </row>
    <row r="3428" spans="1:16">
      <c r="A3428" s="3" t="s">
        <v>4</v>
      </c>
      <c r="B3428" s="3" t="s">
        <v>2482</v>
      </c>
      <c r="C3428" s="4">
        <v>240</v>
      </c>
      <c r="D3428" s="3" t="s">
        <v>69</v>
      </c>
      <c r="E3428" s="3" t="s">
        <v>16</v>
      </c>
      <c r="F3428" s="5">
        <v>108</v>
      </c>
      <c r="G3428" s="5">
        <v>132</v>
      </c>
      <c r="H3428" s="6">
        <v>5842.92</v>
      </c>
      <c r="I3428" s="22">
        <v>7250.88</v>
      </c>
      <c r="J3428" s="24">
        <f t="shared" si="159"/>
        <v>5.0242231673216009E-5</v>
      </c>
      <c r="K3428" s="25">
        <f t="shared" si="161"/>
        <v>0.95854080034900546</v>
      </c>
      <c r="L3428" s="26" t="s">
        <v>7518</v>
      </c>
      <c r="M3428" s="28"/>
      <c r="N3428" s="28"/>
      <c r="O3428" s="20" t="s">
        <v>7530</v>
      </c>
      <c r="P3428" s="27" t="str">
        <f t="shared" si="160"/>
        <v>vermelho</v>
      </c>
    </row>
    <row r="3429" spans="1:16" ht="25.5">
      <c r="A3429" s="3" t="s">
        <v>4</v>
      </c>
      <c r="B3429" s="3" t="s">
        <v>2483</v>
      </c>
      <c r="C3429" s="4">
        <v>321</v>
      </c>
      <c r="D3429" s="3" t="s">
        <v>136</v>
      </c>
      <c r="E3429" s="3" t="s">
        <v>41</v>
      </c>
      <c r="F3429" s="5">
        <v>180</v>
      </c>
      <c r="G3429" s="5">
        <v>120</v>
      </c>
      <c r="H3429" s="6">
        <v>10449.299999999999</v>
      </c>
      <c r="I3429" s="22">
        <v>7244.1</v>
      </c>
      <c r="J3429" s="24">
        <f t="shared" si="159"/>
        <v>5.0195252226480665E-5</v>
      </c>
      <c r="K3429" s="25">
        <f t="shared" si="161"/>
        <v>0.95859099560123195</v>
      </c>
      <c r="L3429" s="26" t="s">
        <v>7518</v>
      </c>
      <c r="M3429" s="28"/>
      <c r="N3429" s="28"/>
      <c r="O3429" s="20">
        <v>12708.3</v>
      </c>
      <c r="P3429" s="27" t="str">
        <f t="shared" si="160"/>
        <v>verde</v>
      </c>
    </row>
    <row r="3430" spans="1:16" ht="25.5">
      <c r="A3430" s="3" t="s">
        <v>4</v>
      </c>
      <c r="B3430" s="3" t="s">
        <v>2484</v>
      </c>
      <c r="C3430" s="4">
        <v>321</v>
      </c>
      <c r="D3430" s="3" t="s">
        <v>136</v>
      </c>
      <c r="E3430" s="3" t="s">
        <v>41</v>
      </c>
      <c r="F3430" s="5">
        <v>60</v>
      </c>
      <c r="G3430" s="5">
        <v>102</v>
      </c>
      <c r="H3430" s="6">
        <v>3557.43</v>
      </c>
      <c r="I3430" s="22">
        <v>7244.04</v>
      </c>
      <c r="J3430" s="24">
        <f t="shared" si="159"/>
        <v>5.0194836479164418E-5</v>
      </c>
      <c r="K3430" s="25">
        <f t="shared" si="161"/>
        <v>0.95864119043771112</v>
      </c>
      <c r="L3430" s="26" t="s">
        <v>7518</v>
      </c>
      <c r="M3430" s="28"/>
      <c r="N3430" s="28"/>
      <c r="O3430" s="20">
        <v>7281.36</v>
      </c>
      <c r="P3430" s="27" t="str">
        <f t="shared" si="160"/>
        <v>verde</v>
      </c>
    </row>
    <row r="3431" spans="1:16" ht="25.5">
      <c r="A3431" s="3" t="s">
        <v>4</v>
      </c>
      <c r="B3431" s="3" t="s">
        <v>2485</v>
      </c>
      <c r="C3431" s="4">
        <v>218</v>
      </c>
      <c r="D3431" s="3" t="s">
        <v>104</v>
      </c>
      <c r="E3431" s="3" t="s">
        <v>16</v>
      </c>
      <c r="F3431" s="5">
        <v>72</v>
      </c>
      <c r="G3431" s="5">
        <v>114</v>
      </c>
      <c r="H3431" s="6">
        <v>3263.28</v>
      </c>
      <c r="I3431" s="22">
        <v>7228.86</v>
      </c>
      <c r="J3431" s="24">
        <f t="shared" si="159"/>
        <v>5.0089652408155183E-5</v>
      </c>
      <c r="K3431" s="25">
        <f t="shared" si="161"/>
        <v>0.95869128009011928</v>
      </c>
      <c r="L3431" s="26" t="s">
        <v>7518</v>
      </c>
      <c r="M3431" s="28"/>
      <c r="N3431" s="28">
        <v>4.2599345902525607E-2</v>
      </c>
      <c r="O3431" s="20">
        <v>4420.68</v>
      </c>
      <c r="P3431" s="27" t="str">
        <f t="shared" si="160"/>
        <v>laranja</v>
      </c>
    </row>
    <row r="3432" spans="1:16" ht="38.25">
      <c r="A3432" s="3" t="s">
        <v>4</v>
      </c>
      <c r="B3432" s="3" t="s">
        <v>2486</v>
      </c>
      <c r="C3432" s="4">
        <v>301</v>
      </c>
      <c r="D3432" s="3" t="s">
        <v>519</v>
      </c>
      <c r="E3432" s="3" t="s">
        <v>16</v>
      </c>
      <c r="F3432" s="5">
        <v>0</v>
      </c>
      <c r="G3432" s="5">
        <v>120</v>
      </c>
      <c r="H3432" s="6">
        <v>0</v>
      </c>
      <c r="I3432" s="22">
        <v>7226.04</v>
      </c>
      <c r="J3432" s="24">
        <f t="shared" si="159"/>
        <v>5.0070112284291816E-5</v>
      </c>
      <c r="K3432" s="25">
        <f t="shared" si="161"/>
        <v>0.95874135020240359</v>
      </c>
      <c r="L3432" s="26" t="s">
        <v>7518</v>
      </c>
      <c r="M3432" s="28"/>
      <c r="N3432" s="28"/>
      <c r="O3432" s="20" t="s">
        <v>7530</v>
      </c>
      <c r="P3432" s="27" t="str">
        <f t="shared" si="160"/>
        <v>vermelho</v>
      </c>
    </row>
    <row r="3433" spans="1:16" ht="25.5">
      <c r="A3433" s="3" t="s">
        <v>6863</v>
      </c>
      <c r="B3433" s="3" t="s">
        <v>6864</v>
      </c>
      <c r="C3433" s="4">
        <v>273</v>
      </c>
      <c r="D3433" s="3" t="s">
        <v>149</v>
      </c>
      <c r="E3433" s="3" t="s">
        <v>16</v>
      </c>
      <c r="F3433" s="5">
        <v>0</v>
      </c>
      <c r="G3433" s="5">
        <v>123</v>
      </c>
      <c r="H3433" s="6">
        <v>0</v>
      </c>
      <c r="I3433" s="22">
        <v>7225.8739999999998</v>
      </c>
      <c r="J3433" s="24">
        <f t="shared" si="159"/>
        <v>5.0068962050050208E-5</v>
      </c>
      <c r="K3433" s="25">
        <f t="shared" si="161"/>
        <v>0.95879141916445365</v>
      </c>
      <c r="L3433" s="26" t="s">
        <v>7518</v>
      </c>
      <c r="M3433" s="28"/>
      <c r="N3433" s="28"/>
      <c r="O3433" s="20" t="s">
        <v>7530</v>
      </c>
      <c r="P3433" s="27" t="str">
        <f t="shared" si="160"/>
        <v>vermelho</v>
      </c>
    </row>
    <row r="3434" spans="1:16" ht="25.5">
      <c r="A3434" s="3" t="s">
        <v>4</v>
      </c>
      <c r="B3434" s="3" t="s">
        <v>2487</v>
      </c>
      <c r="C3434" s="4">
        <v>167</v>
      </c>
      <c r="D3434" s="3" t="s">
        <v>251</v>
      </c>
      <c r="E3434" s="3" t="s">
        <v>49</v>
      </c>
      <c r="F3434" s="5">
        <v>60</v>
      </c>
      <c r="G3434" s="5">
        <v>129</v>
      </c>
      <c r="H3434" s="6">
        <v>2776.68</v>
      </c>
      <c r="I3434" s="22">
        <v>7224</v>
      </c>
      <c r="J3434" s="24">
        <f t="shared" si="159"/>
        <v>5.0055976875539588E-5</v>
      </c>
      <c r="K3434" s="25">
        <f t="shared" si="161"/>
        <v>0.95884147514132922</v>
      </c>
      <c r="L3434" s="26" t="s">
        <v>7518</v>
      </c>
      <c r="M3434" s="28"/>
      <c r="N3434" s="28"/>
      <c r="O3434" s="20">
        <v>3584.28</v>
      </c>
      <c r="P3434" s="27" t="str">
        <f t="shared" si="160"/>
        <v>amarelo</v>
      </c>
    </row>
    <row r="3435" spans="1:16" ht="38.25">
      <c r="A3435" s="3" t="s">
        <v>4</v>
      </c>
      <c r="B3435" s="3" t="s">
        <v>2488</v>
      </c>
      <c r="C3435" s="4">
        <v>194</v>
      </c>
      <c r="D3435" s="3" t="s">
        <v>145</v>
      </c>
      <c r="E3435" s="3" t="s">
        <v>16</v>
      </c>
      <c r="F3435" s="5">
        <v>156</v>
      </c>
      <c r="G3435" s="5">
        <v>132</v>
      </c>
      <c r="H3435" s="6">
        <v>8937.7199999999993</v>
      </c>
      <c r="I3435" s="22">
        <v>7222.68</v>
      </c>
      <c r="J3435" s="24">
        <f t="shared" si="159"/>
        <v>5.004683043458226E-5</v>
      </c>
      <c r="K3435" s="25">
        <f t="shared" si="161"/>
        <v>0.95889152197176386</v>
      </c>
      <c r="L3435" s="26" t="s">
        <v>7518</v>
      </c>
      <c r="M3435" s="28"/>
      <c r="N3435" s="28"/>
      <c r="O3435" s="20">
        <v>10280.16</v>
      </c>
      <c r="P3435" s="27" t="str">
        <f t="shared" si="160"/>
        <v>verde</v>
      </c>
    </row>
    <row r="3436" spans="1:16" ht="25.5">
      <c r="A3436" s="3" t="s">
        <v>6865</v>
      </c>
      <c r="B3436" s="3" t="s">
        <v>6866</v>
      </c>
      <c r="C3436" s="4">
        <v>74</v>
      </c>
      <c r="D3436" s="3" t="s">
        <v>6</v>
      </c>
      <c r="E3436" s="3" t="s">
        <v>7</v>
      </c>
      <c r="F3436" s="5">
        <v>141</v>
      </c>
      <c r="G3436" s="5">
        <v>132</v>
      </c>
      <c r="H3436" s="6">
        <v>8602.5300000000007</v>
      </c>
      <c r="I3436" s="22">
        <v>7222.08</v>
      </c>
      <c r="J3436" s="24">
        <f t="shared" si="159"/>
        <v>5.0042672961419839E-5</v>
      </c>
      <c r="K3436" s="25">
        <f t="shared" si="161"/>
        <v>0.95894156464472524</v>
      </c>
      <c r="L3436" s="26" t="s">
        <v>7518</v>
      </c>
      <c r="M3436" s="28"/>
      <c r="N3436" s="28"/>
      <c r="O3436" s="20" t="s">
        <v>7530</v>
      </c>
      <c r="P3436" s="27" t="str">
        <f t="shared" si="160"/>
        <v>vermelho</v>
      </c>
    </row>
    <row r="3437" spans="1:16" ht="38.25">
      <c r="A3437" s="3" t="s">
        <v>4</v>
      </c>
      <c r="B3437" s="3" t="s">
        <v>2489</v>
      </c>
      <c r="C3437" s="4">
        <v>371</v>
      </c>
      <c r="D3437" s="3" t="s">
        <v>82</v>
      </c>
      <c r="E3437" s="3" t="s">
        <v>49</v>
      </c>
      <c r="F3437" s="5">
        <v>0</v>
      </c>
      <c r="G3437" s="5">
        <v>138</v>
      </c>
      <c r="H3437" s="6">
        <v>0</v>
      </c>
      <c r="I3437" s="22">
        <v>7213.8</v>
      </c>
      <c r="J3437" s="24">
        <f t="shared" si="159"/>
        <v>4.9985299831778441E-5</v>
      </c>
      <c r="K3437" s="25">
        <f t="shared" si="161"/>
        <v>0.95899154994455704</v>
      </c>
      <c r="L3437" s="26" t="s">
        <v>7518</v>
      </c>
      <c r="M3437" s="28"/>
      <c r="N3437" s="28"/>
      <c r="O3437" s="20" t="s">
        <v>7530</v>
      </c>
      <c r="P3437" s="27" t="str">
        <f t="shared" si="160"/>
        <v>vermelho</v>
      </c>
    </row>
    <row r="3438" spans="1:16" ht="25.5">
      <c r="A3438" s="3" t="s">
        <v>4</v>
      </c>
      <c r="B3438" s="3" t="s">
        <v>2490</v>
      </c>
      <c r="C3438" s="4">
        <v>218</v>
      </c>
      <c r="D3438" s="3" t="s">
        <v>104</v>
      </c>
      <c r="E3438" s="3" t="s">
        <v>16</v>
      </c>
      <c r="F3438" s="5">
        <v>0</v>
      </c>
      <c r="G3438" s="5">
        <v>132</v>
      </c>
      <c r="H3438" s="6">
        <v>0</v>
      </c>
      <c r="I3438" s="22">
        <v>7210.68</v>
      </c>
      <c r="J3438" s="24">
        <f t="shared" si="159"/>
        <v>4.9963680971333856E-5</v>
      </c>
      <c r="K3438" s="25">
        <f t="shared" si="161"/>
        <v>0.95904151362552836</v>
      </c>
      <c r="L3438" s="26" t="s">
        <v>7518</v>
      </c>
      <c r="M3438" s="28"/>
      <c r="N3438" s="28"/>
      <c r="O3438" s="20" t="s">
        <v>7530</v>
      </c>
      <c r="P3438" s="27" t="str">
        <f t="shared" si="160"/>
        <v>vermelho</v>
      </c>
    </row>
    <row r="3439" spans="1:16" ht="25.5">
      <c r="A3439" s="3" t="s">
        <v>4</v>
      </c>
      <c r="B3439" s="3" t="s">
        <v>2491</v>
      </c>
      <c r="C3439" s="4">
        <v>194</v>
      </c>
      <c r="D3439" s="3" t="s">
        <v>145</v>
      </c>
      <c r="E3439" s="3" t="s">
        <v>16</v>
      </c>
      <c r="F3439" s="5">
        <v>0</v>
      </c>
      <c r="G3439" s="5">
        <v>108</v>
      </c>
      <c r="H3439" s="6">
        <v>0</v>
      </c>
      <c r="I3439" s="22">
        <v>7203.96</v>
      </c>
      <c r="J3439" s="24">
        <f t="shared" si="159"/>
        <v>4.9917117271914751E-5</v>
      </c>
      <c r="K3439" s="25">
        <f t="shared" si="161"/>
        <v>0.95909143074280023</v>
      </c>
      <c r="L3439" s="26" t="s">
        <v>7518</v>
      </c>
      <c r="M3439" s="28"/>
      <c r="N3439" s="28"/>
      <c r="O3439" s="20" t="s">
        <v>7530</v>
      </c>
      <c r="P3439" s="27" t="str">
        <f t="shared" si="160"/>
        <v>vermelho</v>
      </c>
    </row>
    <row r="3440" spans="1:16" ht="25.5">
      <c r="A3440" s="3" t="s">
        <v>4</v>
      </c>
      <c r="B3440" s="3" t="s">
        <v>2492</v>
      </c>
      <c r="C3440" s="4">
        <v>218</v>
      </c>
      <c r="D3440" s="3" t="s">
        <v>104</v>
      </c>
      <c r="E3440" s="3" t="s">
        <v>16</v>
      </c>
      <c r="F3440" s="5">
        <v>198</v>
      </c>
      <c r="G3440" s="5">
        <v>144</v>
      </c>
      <c r="H3440" s="6">
        <v>9799.86</v>
      </c>
      <c r="I3440" s="22">
        <v>7184.04</v>
      </c>
      <c r="J3440" s="24">
        <f t="shared" si="159"/>
        <v>4.9779089162922399E-5</v>
      </c>
      <c r="K3440" s="25">
        <f t="shared" si="161"/>
        <v>0.95914120983196316</v>
      </c>
      <c r="L3440" s="26" t="s">
        <v>7518</v>
      </c>
      <c r="M3440" s="28"/>
      <c r="N3440" s="28"/>
      <c r="O3440" s="20">
        <v>8276.16</v>
      </c>
      <c r="P3440" s="27" t="str">
        <f t="shared" si="160"/>
        <v>verde</v>
      </c>
    </row>
    <row r="3441" spans="1:16" ht="25.5">
      <c r="A3441" s="3" t="s">
        <v>4</v>
      </c>
      <c r="B3441" s="3" t="s">
        <v>2493</v>
      </c>
      <c r="C3441" s="4">
        <v>327</v>
      </c>
      <c r="D3441" s="3" t="s">
        <v>100</v>
      </c>
      <c r="E3441" s="3" t="s">
        <v>7</v>
      </c>
      <c r="F3441" s="5">
        <v>603</v>
      </c>
      <c r="G3441" s="5">
        <v>138</v>
      </c>
      <c r="H3441" s="6">
        <v>36738.03</v>
      </c>
      <c r="I3441" s="22">
        <v>7182.2049999999999</v>
      </c>
      <c r="J3441" s="24">
        <f t="shared" si="159"/>
        <v>4.9766374224167331E-5</v>
      </c>
      <c r="K3441" s="25">
        <f t="shared" si="161"/>
        <v>0.95919097620618732</v>
      </c>
      <c r="L3441" s="26" t="s">
        <v>7518</v>
      </c>
      <c r="M3441" s="28"/>
      <c r="N3441" s="28">
        <v>4.3912029767738094E-2</v>
      </c>
      <c r="O3441" s="20">
        <v>15737.76</v>
      </c>
      <c r="P3441" s="27" t="str">
        <f t="shared" si="160"/>
        <v>verde</v>
      </c>
    </row>
    <row r="3442" spans="1:16" ht="25.5">
      <c r="A3442" s="3" t="s">
        <v>4</v>
      </c>
      <c r="B3442" s="3" t="s">
        <v>2495</v>
      </c>
      <c r="C3442" s="4">
        <v>178</v>
      </c>
      <c r="D3442" s="3" t="s">
        <v>74</v>
      </c>
      <c r="E3442" s="3" t="s">
        <v>7</v>
      </c>
      <c r="F3442" s="5">
        <v>282</v>
      </c>
      <c r="G3442" s="5">
        <v>102</v>
      </c>
      <c r="H3442" s="6">
        <v>15933.18</v>
      </c>
      <c r="I3442" s="22">
        <v>7179.96</v>
      </c>
      <c r="J3442" s="24">
        <f t="shared" si="159"/>
        <v>4.9750818345417943E-5</v>
      </c>
      <c r="K3442" s="25">
        <f t="shared" si="161"/>
        <v>0.95924072702453278</v>
      </c>
      <c r="L3442" s="26" t="s">
        <v>7518</v>
      </c>
      <c r="M3442" s="28"/>
      <c r="N3442" s="28"/>
      <c r="O3442" s="20">
        <v>5087.88</v>
      </c>
      <c r="P3442" s="27" t="str">
        <f t="shared" si="160"/>
        <v>laranja</v>
      </c>
    </row>
    <row r="3443" spans="1:16" ht="25.5">
      <c r="A3443" s="3" t="s">
        <v>4</v>
      </c>
      <c r="B3443" s="3" t="s">
        <v>2496</v>
      </c>
      <c r="C3443" s="4">
        <v>267</v>
      </c>
      <c r="D3443" s="3" t="s">
        <v>125</v>
      </c>
      <c r="E3443" s="3" t="s">
        <v>16</v>
      </c>
      <c r="F3443" s="5">
        <v>84</v>
      </c>
      <c r="G3443" s="5">
        <v>144</v>
      </c>
      <c r="H3443" s="6">
        <v>3724.56</v>
      </c>
      <c r="I3443" s="22">
        <v>7172.64</v>
      </c>
      <c r="J3443" s="24">
        <f t="shared" si="159"/>
        <v>4.9700097172836416E-5</v>
      </c>
      <c r="K3443" s="25">
        <f t="shared" si="161"/>
        <v>0.95929042712170565</v>
      </c>
      <c r="L3443" s="26" t="s">
        <v>7518</v>
      </c>
      <c r="M3443" s="28"/>
      <c r="N3443" s="28"/>
      <c r="O3443" s="20" t="s">
        <v>7530</v>
      </c>
      <c r="P3443" s="27" t="str">
        <f t="shared" si="160"/>
        <v>vermelho</v>
      </c>
    </row>
    <row r="3444" spans="1:16" ht="25.5">
      <c r="A3444" s="3" t="s">
        <v>4</v>
      </c>
      <c r="B3444" s="3" t="s">
        <v>2497</v>
      </c>
      <c r="C3444" s="4">
        <v>334</v>
      </c>
      <c r="D3444" s="3" t="s">
        <v>531</v>
      </c>
      <c r="E3444" s="3" t="s">
        <v>7</v>
      </c>
      <c r="F3444" s="5">
        <v>0</v>
      </c>
      <c r="G3444" s="5">
        <v>165</v>
      </c>
      <c r="H3444" s="6">
        <v>0</v>
      </c>
      <c r="I3444" s="22">
        <v>7169.0249999999996</v>
      </c>
      <c r="J3444" s="24">
        <f t="shared" si="159"/>
        <v>4.9675048397032829E-5</v>
      </c>
      <c r="K3444" s="25">
        <f t="shared" si="161"/>
        <v>0.95934010217010268</v>
      </c>
      <c r="L3444" s="26" t="s">
        <v>7518</v>
      </c>
      <c r="M3444" s="28"/>
      <c r="N3444" s="28"/>
      <c r="O3444" s="20" t="s">
        <v>7530</v>
      </c>
      <c r="P3444" s="27" t="str">
        <f t="shared" si="160"/>
        <v>vermelho</v>
      </c>
    </row>
    <row r="3445" spans="1:16" ht="25.5">
      <c r="A3445" s="3" t="s">
        <v>4</v>
      </c>
      <c r="B3445" s="3" t="s">
        <v>2498</v>
      </c>
      <c r="C3445" s="4">
        <v>321</v>
      </c>
      <c r="D3445" s="3" t="s">
        <v>136</v>
      </c>
      <c r="E3445" s="3" t="s">
        <v>41</v>
      </c>
      <c r="F3445" s="5">
        <v>78</v>
      </c>
      <c r="G3445" s="5">
        <v>111</v>
      </c>
      <c r="H3445" s="6">
        <v>4682.7</v>
      </c>
      <c r="I3445" s="22">
        <v>7165.41</v>
      </c>
      <c r="J3445" s="24">
        <f t="shared" si="159"/>
        <v>4.9649999621229249E-5</v>
      </c>
      <c r="K3445" s="25">
        <f t="shared" si="161"/>
        <v>0.95938975216972389</v>
      </c>
      <c r="L3445" s="26" t="s">
        <v>7518</v>
      </c>
      <c r="M3445" s="28"/>
      <c r="N3445" s="28"/>
      <c r="O3445" s="20" t="s">
        <v>7530</v>
      </c>
      <c r="P3445" s="27" t="str">
        <f t="shared" si="160"/>
        <v>vermelho</v>
      </c>
    </row>
    <row r="3446" spans="1:16" ht="25.5">
      <c r="A3446" s="3" t="s">
        <v>4</v>
      </c>
      <c r="B3446" s="3" t="s">
        <v>2499</v>
      </c>
      <c r="C3446" s="4">
        <v>178</v>
      </c>
      <c r="D3446" s="3" t="s">
        <v>74</v>
      </c>
      <c r="E3446" s="3" t="s">
        <v>7</v>
      </c>
      <c r="F3446" s="5">
        <v>120</v>
      </c>
      <c r="G3446" s="5">
        <v>108</v>
      </c>
      <c r="H3446" s="6">
        <v>7945.38</v>
      </c>
      <c r="I3446" s="22">
        <v>7162.92</v>
      </c>
      <c r="J3446" s="24">
        <f t="shared" si="159"/>
        <v>4.9632746107605205E-5</v>
      </c>
      <c r="K3446" s="25">
        <f t="shared" si="161"/>
        <v>0.95943938491583147</v>
      </c>
      <c r="L3446" s="26" t="s">
        <v>7518</v>
      </c>
      <c r="M3446" s="28"/>
      <c r="N3446" s="28"/>
      <c r="O3446" s="20" t="s">
        <v>7530</v>
      </c>
      <c r="P3446" s="27" t="str">
        <f t="shared" si="160"/>
        <v>vermelho</v>
      </c>
    </row>
    <row r="3447" spans="1:16" ht="25.5">
      <c r="A3447" s="3" t="s">
        <v>4</v>
      </c>
      <c r="B3447" s="3" t="s">
        <v>1980</v>
      </c>
      <c r="C3447" s="4">
        <v>264</v>
      </c>
      <c r="D3447" s="3" t="s">
        <v>40</v>
      </c>
      <c r="E3447" s="3" t="s">
        <v>41</v>
      </c>
      <c r="F3447" s="5">
        <v>0</v>
      </c>
      <c r="G3447" s="5">
        <v>126</v>
      </c>
      <c r="H3447" s="6">
        <v>0</v>
      </c>
      <c r="I3447" s="22">
        <v>7147.5479999999998</v>
      </c>
      <c r="J3447" s="24">
        <f t="shared" si="159"/>
        <v>4.9526231645183998E-5</v>
      </c>
      <c r="K3447" s="25">
        <f t="shared" si="161"/>
        <v>0.9594889111474767</v>
      </c>
      <c r="L3447" s="26" t="s">
        <v>7518</v>
      </c>
      <c r="M3447" s="28"/>
      <c r="N3447" s="28"/>
      <c r="O3447" s="20" t="s">
        <v>7530</v>
      </c>
      <c r="P3447" s="27" t="str">
        <f t="shared" si="160"/>
        <v>vermelho</v>
      </c>
    </row>
    <row r="3448" spans="1:16" ht="25.5">
      <c r="A3448" s="3" t="s">
        <v>4</v>
      </c>
      <c r="B3448" s="3" t="s">
        <v>2500</v>
      </c>
      <c r="C3448" s="4">
        <v>93</v>
      </c>
      <c r="D3448" s="3" t="s">
        <v>20</v>
      </c>
      <c r="E3448" s="3" t="s">
        <v>7</v>
      </c>
      <c r="F3448" s="5">
        <v>183</v>
      </c>
      <c r="G3448" s="5">
        <v>102</v>
      </c>
      <c r="H3448" s="6">
        <v>10447.209999999999</v>
      </c>
      <c r="I3448" s="22">
        <v>7143.42</v>
      </c>
      <c r="J3448" s="24">
        <f t="shared" si="159"/>
        <v>4.9497628229826549E-5</v>
      </c>
      <c r="K3448" s="25">
        <f t="shared" si="161"/>
        <v>0.95953840877570651</v>
      </c>
      <c r="L3448" s="26" t="s">
        <v>7518</v>
      </c>
      <c r="M3448" s="28"/>
      <c r="N3448" s="28"/>
      <c r="O3448" s="20">
        <v>7044.57</v>
      </c>
      <c r="P3448" s="27" t="str">
        <f t="shared" si="160"/>
        <v>laranja</v>
      </c>
    </row>
    <row r="3449" spans="1:16" ht="25.5">
      <c r="A3449" s="3" t="s">
        <v>6867</v>
      </c>
      <c r="B3449" s="3" t="s">
        <v>6868</v>
      </c>
      <c r="C3449" s="4">
        <v>261</v>
      </c>
      <c r="D3449" s="3" t="s">
        <v>9</v>
      </c>
      <c r="E3449" s="3" t="s">
        <v>10</v>
      </c>
      <c r="F3449" s="5">
        <v>390</v>
      </c>
      <c r="G3449" s="5">
        <v>120</v>
      </c>
      <c r="H3449" s="6">
        <v>20824.71</v>
      </c>
      <c r="I3449" s="22">
        <v>7142.97</v>
      </c>
      <c r="J3449" s="24">
        <f t="shared" si="159"/>
        <v>4.9494510124954733E-5</v>
      </c>
      <c r="K3449" s="25">
        <f t="shared" si="161"/>
        <v>0.95958790328583143</v>
      </c>
      <c r="L3449" s="26" t="s">
        <v>7518</v>
      </c>
      <c r="M3449" s="28"/>
      <c r="N3449" s="28"/>
      <c r="O3449" s="20">
        <v>16321.5</v>
      </c>
      <c r="P3449" s="27" t="str">
        <f t="shared" si="160"/>
        <v>verde</v>
      </c>
    </row>
    <row r="3450" spans="1:16" ht="25.5">
      <c r="A3450" s="3" t="s">
        <v>4</v>
      </c>
      <c r="B3450" s="3" t="s">
        <v>2501</v>
      </c>
      <c r="C3450" s="4">
        <v>197</v>
      </c>
      <c r="D3450" s="3" t="s">
        <v>66</v>
      </c>
      <c r="E3450" s="3" t="s">
        <v>41</v>
      </c>
      <c r="F3450" s="5">
        <v>0</v>
      </c>
      <c r="G3450" s="5">
        <v>108</v>
      </c>
      <c r="H3450" s="6">
        <v>0</v>
      </c>
      <c r="I3450" s="22">
        <v>7139.45</v>
      </c>
      <c r="J3450" s="24">
        <f t="shared" si="159"/>
        <v>4.9470119615735196E-5</v>
      </c>
      <c r="K3450" s="25">
        <f t="shared" si="161"/>
        <v>0.95963737340544719</v>
      </c>
      <c r="L3450" s="26" t="s">
        <v>7518</v>
      </c>
      <c r="M3450" s="28">
        <v>-5.2604224116582381E-2</v>
      </c>
      <c r="N3450" s="28"/>
      <c r="O3450" s="20" t="s">
        <v>7530</v>
      </c>
      <c r="P3450" s="27" t="str">
        <f t="shared" si="160"/>
        <v>vermelho</v>
      </c>
    </row>
    <row r="3451" spans="1:16" ht="25.5">
      <c r="A3451" s="3" t="s">
        <v>4</v>
      </c>
      <c r="B3451" s="3" t="s">
        <v>2502</v>
      </c>
      <c r="C3451" s="4">
        <v>74</v>
      </c>
      <c r="D3451" s="3" t="s">
        <v>6</v>
      </c>
      <c r="E3451" s="3" t="s">
        <v>7</v>
      </c>
      <c r="F3451" s="5">
        <v>0</v>
      </c>
      <c r="G3451" s="5">
        <v>108</v>
      </c>
      <c r="H3451" s="6">
        <v>0</v>
      </c>
      <c r="I3451" s="22">
        <v>7138.92</v>
      </c>
      <c r="J3451" s="24">
        <f t="shared" si="159"/>
        <v>4.9466447181108397E-5</v>
      </c>
      <c r="K3451" s="25">
        <f t="shared" si="161"/>
        <v>0.95968683985262826</v>
      </c>
      <c r="L3451" s="26" t="s">
        <v>7518</v>
      </c>
      <c r="M3451" s="28"/>
      <c r="N3451" s="28"/>
      <c r="O3451" s="20" t="s">
        <v>7530</v>
      </c>
      <c r="P3451" s="27" t="str">
        <f t="shared" si="160"/>
        <v>vermelho</v>
      </c>
    </row>
    <row r="3452" spans="1:16" ht="25.5">
      <c r="A3452" s="3" t="s">
        <v>4</v>
      </c>
      <c r="B3452" s="3" t="s">
        <v>2503</v>
      </c>
      <c r="C3452" s="4">
        <v>327</v>
      </c>
      <c r="D3452" s="3" t="s">
        <v>100</v>
      </c>
      <c r="E3452" s="3" t="s">
        <v>7</v>
      </c>
      <c r="F3452" s="5">
        <v>0</v>
      </c>
      <c r="G3452" s="5">
        <v>120</v>
      </c>
      <c r="H3452" s="6">
        <v>0</v>
      </c>
      <c r="I3452" s="22">
        <v>7132.8</v>
      </c>
      <c r="J3452" s="24">
        <f t="shared" si="159"/>
        <v>4.9424040954851713E-5</v>
      </c>
      <c r="K3452" s="25">
        <f t="shared" si="161"/>
        <v>0.95973626389358313</v>
      </c>
      <c r="L3452" s="26" t="s">
        <v>7518</v>
      </c>
      <c r="M3452" s="28"/>
      <c r="N3452" s="28"/>
      <c r="O3452" s="20" t="s">
        <v>7530</v>
      </c>
      <c r="P3452" s="27" t="str">
        <f t="shared" si="160"/>
        <v>vermelho</v>
      </c>
    </row>
    <row r="3453" spans="1:16">
      <c r="A3453" s="3" t="s">
        <v>4</v>
      </c>
      <c r="B3453" s="3" t="s">
        <v>2504</v>
      </c>
      <c r="C3453" s="4">
        <v>231</v>
      </c>
      <c r="D3453" s="3" t="s">
        <v>52</v>
      </c>
      <c r="E3453" s="3" t="s">
        <v>7</v>
      </c>
      <c r="F3453" s="5">
        <v>228</v>
      </c>
      <c r="G3453" s="5">
        <v>120</v>
      </c>
      <c r="H3453" s="6">
        <v>10257.719999999999</v>
      </c>
      <c r="I3453" s="22">
        <v>7132.8</v>
      </c>
      <c r="J3453" s="24">
        <f t="shared" si="159"/>
        <v>4.9424040954851713E-5</v>
      </c>
      <c r="K3453" s="25">
        <f t="shared" si="161"/>
        <v>0.959785687934538</v>
      </c>
      <c r="L3453" s="26" t="s">
        <v>7518</v>
      </c>
      <c r="M3453" s="28"/>
      <c r="N3453" s="28"/>
      <c r="O3453" s="20" t="s">
        <v>7530</v>
      </c>
      <c r="P3453" s="27" t="str">
        <f t="shared" si="160"/>
        <v>vermelho</v>
      </c>
    </row>
    <row r="3454" spans="1:16" ht="38.25">
      <c r="A3454" s="3" t="s">
        <v>4</v>
      </c>
      <c r="B3454" s="3" t="s">
        <v>2505</v>
      </c>
      <c r="C3454" s="4">
        <v>371</v>
      </c>
      <c r="D3454" s="3" t="s">
        <v>82</v>
      </c>
      <c r="E3454" s="3" t="s">
        <v>49</v>
      </c>
      <c r="F3454" s="5">
        <v>0</v>
      </c>
      <c r="G3454" s="5">
        <v>162</v>
      </c>
      <c r="H3454" s="6">
        <v>0</v>
      </c>
      <c r="I3454" s="22">
        <v>7119.9</v>
      </c>
      <c r="J3454" s="24">
        <f t="shared" si="159"/>
        <v>4.933465528185967E-5</v>
      </c>
      <c r="K3454" s="25">
        <f t="shared" si="161"/>
        <v>0.9598350225898199</v>
      </c>
      <c r="L3454" s="26" t="s">
        <v>7518</v>
      </c>
      <c r="M3454" s="28"/>
      <c r="N3454" s="28"/>
      <c r="O3454" s="20">
        <v>2109.4560000000001</v>
      </c>
      <c r="P3454" s="27" t="str">
        <f t="shared" si="160"/>
        <v>amarelo</v>
      </c>
    </row>
    <row r="3455" spans="1:16" ht="25.5">
      <c r="A3455" s="3" t="s">
        <v>4</v>
      </c>
      <c r="B3455" s="3" t="s">
        <v>2506</v>
      </c>
      <c r="C3455" s="4">
        <v>93</v>
      </c>
      <c r="D3455" s="3" t="s">
        <v>20</v>
      </c>
      <c r="E3455" s="3" t="s">
        <v>7</v>
      </c>
      <c r="F3455" s="5">
        <v>0</v>
      </c>
      <c r="G3455" s="5">
        <v>117</v>
      </c>
      <c r="H3455" s="6">
        <v>0</v>
      </c>
      <c r="I3455" s="22">
        <v>7117.65</v>
      </c>
      <c r="J3455" s="24">
        <f t="shared" si="159"/>
        <v>4.9319064757500597E-5</v>
      </c>
      <c r="K3455" s="25">
        <f t="shared" si="161"/>
        <v>0.95988434165457737</v>
      </c>
      <c r="L3455" s="26" t="s">
        <v>7518</v>
      </c>
      <c r="M3455" s="28"/>
      <c r="N3455" s="28"/>
      <c r="O3455" s="20" t="s">
        <v>7530</v>
      </c>
      <c r="P3455" s="27" t="str">
        <f t="shared" si="160"/>
        <v>vermelho</v>
      </c>
    </row>
    <row r="3456" spans="1:16" ht="51">
      <c r="A3456" s="3" t="s">
        <v>6869</v>
      </c>
      <c r="B3456" s="3" t="s">
        <v>6870</v>
      </c>
      <c r="C3456" s="4">
        <v>282</v>
      </c>
      <c r="D3456" s="3" t="s">
        <v>12</v>
      </c>
      <c r="E3456" s="3" t="s">
        <v>13</v>
      </c>
      <c r="F3456" s="5">
        <v>0</v>
      </c>
      <c r="G3456" s="5">
        <v>108</v>
      </c>
      <c r="H3456" s="6">
        <v>0</v>
      </c>
      <c r="I3456" s="22">
        <v>7110.9</v>
      </c>
      <c r="J3456" s="24">
        <f t="shared" si="159"/>
        <v>4.9272293184423366E-5</v>
      </c>
      <c r="K3456" s="25">
        <f t="shared" si="161"/>
        <v>0.95993361394776178</v>
      </c>
      <c r="L3456" s="26" t="s">
        <v>7518</v>
      </c>
      <c r="M3456" s="28"/>
      <c r="N3456" s="28"/>
      <c r="O3456" s="20" t="s">
        <v>7530</v>
      </c>
      <c r="P3456" s="27" t="str">
        <f t="shared" si="160"/>
        <v>vermelho</v>
      </c>
    </row>
    <row r="3457" spans="1:16">
      <c r="A3457" s="3" t="s">
        <v>4</v>
      </c>
      <c r="B3457" s="3" t="s">
        <v>2507</v>
      </c>
      <c r="C3457" s="4">
        <v>232</v>
      </c>
      <c r="D3457" s="3" t="s">
        <v>174</v>
      </c>
      <c r="E3457" s="3" t="s">
        <v>16</v>
      </c>
      <c r="F3457" s="5">
        <v>672</v>
      </c>
      <c r="G3457" s="5">
        <v>102</v>
      </c>
      <c r="H3457" s="6">
        <v>37163.339999999997</v>
      </c>
      <c r="I3457" s="22">
        <v>7103.67</v>
      </c>
      <c r="J3457" s="24">
        <f t="shared" si="159"/>
        <v>4.9222195632816205E-5</v>
      </c>
      <c r="K3457" s="25">
        <f t="shared" si="161"/>
        <v>0.95998283614339464</v>
      </c>
      <c r="L3457" s="26" t="s">
        <v>7518</v>
      </c>
      <c r="M3457" s="28"/>
      <c r="N3457" s="28"/>
      <c r="O3457" s="20" t="s">
        <v>7530</v>
      </c>
      <c r="P3457" s="27" t="str">
        <f t="shared" si="160"/>
        <v>vermelho</v>
      </c>
    </row>
    <row r="3458" spans="1:16" ht="38.25">
      <c r="A3458" s="3" t="s">
        <v>4</v>
      </c>
      <c r="B3458" s="3" t="s">
        <v>2508</v>
      </c>
      <c r="C3458" s="4">
        <v>34</v>
      </c>
      <c r="D3458" s="3" t="s">
        <v>54</v>
      </c>
      <c r="E3458" s="3" t="s">
        <v>49</v>
      </c>
      <c r="F3458" s="5">
        <v>252</v>
      </c>
      <c r="G3458" s="5">
        <v>120</v>
      </c>
      <c r="H3458" s="6">
        <v>13600.44</v>
      </c>
      <c r="I3458" s="22">
        <v>7101.96</v>
      </c>
      <c r="J3458" s="24">
        <f t="shared" si="159"/>
        <v>4.9210346834303307E-5</v>
      </c>
      <c r="K3458" s="25">
        <f t="shared" si="161"/>
        <v>0.96003204649022889</v>
      </c>
      <c r="L3458" s="26" t="s">
        <v>7518</v>
      </c>
      <c r="M3458" s="28"/>
      <c r="N3458" s="28"/>
      <c r="O3458" s="20" t="s">
        <v>7530</v>
      </c>
      <c r="P3458" s="27" t="str">
        <f t="shared" si="160"/>
        <v>vermelho</v>
      </c>
    </row>
    <row r="3459" spans="1:16" ht="25.5">
      <c r="A3459" s="3" t="s">
        <v>4</v>
      </c>
      <c r="B3459" s="3" t="s">
        <v>2509</v>
      </c>
      <c r="C3459" s="4">
        <v>317</v>
      </c>
      <c r="D3459" s="3" t="s">
        <v>78</v>
      </c>
      <c r="E3459" s="3" t="s">
        <v>10</v>
      </c>
      <c r="F3459" s="5">
        <v>0</v>
      </c>
      <c r="G3459" s="5">
        <v>120</v>
      </c>
      <c r="H3459" s="6">
        <v>0</v>
      </c>
      <c r="I3459" s="22">
        <v>7094.76</v>
      </c>
      <c r="J3459" s="24">
        <f t="shared" ref="J3459:J3522" si="162">I3459/$I$6364</f>
        <v>4.9160457156354266E-5</v>
      </c>
      <c r="K3459" s="25">
        <f t="shared" si="161"/>
        <v>0.96008120694738519</v>
      </c>
      <c r="L3459" s="26" t="s">
        <v>7518</v>
      </c>
      <c r="M3459" s="28"/>
      <c r="N3459" s="28"/>
      <c r="O3459" s="20" t="s">
        <v>7530</v>
      </c>
      <c r="P3459" s="27" t="str">
        <f t="shared" ref="P3459:P3522" si="163">IF(O3459&lt;=0,"vermelho",IFERROR(IF(O3459/I3459&lt;=0.5098,"amarelo",IF(O3459/I3459&lt;1,"laranja","verde")),"vermelho"))</f>
        <v>vermelho</v>
      </c>
    </row>
    <row r="3460" spans="1:16">
      <c r="A3460" s="3" t="s">
        <v>4</v>
      </c>
      <c r="B3460" s="3" t="s">
        <v>2510</v>
      </c>
      <c r="C3460" s="4">
        <v>334</v>
      </c>
      <c r="D3460" s="3" t="s">
        <v>531</v>
      </c>
      <c r="E3460" s="3" t="s">
        <v>7</v>
      </c>
      <c r="F3460" s="5">
        <v>0</v>
      </c>
      <c r="G3460" s="5">
        <v>117</v>
      </c>
      <c r="H3460" s="6">
        <v>0</v>
      </c>
      <c r="I3460" s="22">
        <v>7091.4229999999998</v>
      </c>
      <c r="J3460" s="24">
        <f t="shared" si="162"/>
        <v>4.9137334676449274E-5</v>
      </c>
      <c r="K3460" s="25">
        <f t="shared" ref="K3460:K3523" si="164">J3460+K3459</f>
        <v>0.96013034428206168</v>
      </c>
      <c r="L3460" s="26" t="s">
        <v>7518</v>
      </c>
      <c r="M3460" s="28"/>
      <c r="N3460" s="28"/>
      <c r="O3460" s="20">
        <v>2999.76</v>
      </c>
      <c r="P3460" s="27" t="str">
        <f t="shared" si="163"/>
        <v>amarelo</v>
      </c>
    </row>
    <row r="3461" spans="1:16" ht="25.5">
      <c r="A3461" s="3" t="s">
        <v>4</v>
      </c>
      <c r="B3461" s="3" t="s">
        <v>2511</v>
      </c>
      <c r="C3461" s="4">
        <v>240</v>
      </c>
      <c r="D3461" s="3" t="s">
        <v>69</v>
      </c>
      <c r="E3461" s="3" t="s">
        <v>16</v>
      </c>
      <c r="F3461" s="5">
        <v>84</v>
      </c>
      <c r="G3461" s="5">
        <v>132</v>
      </c>
      <c r="H3461" s="6">
        <v>5123.22</v>
      </c>
      <c r="I3461" s="22">
        <v>7086.66</v>
      </c>
      <c r="J3461" s="24">
        <f t="shared" si="162"/>
        <v>4.9104331268661593E-5</v>
      </c>
      <c r="K3461" s="25">
        <f t="shared" si="164"/>
        <v>0.96017944861333038</v>
      </c>
      <c r="L3461" s="26" t="s">
        <v>7518</v>
      </c>
      <c r="M3461" s="28"/>
      <c r="N3461" s="28"/>
      <c r="O3461" s="20" t="s">
        <v>7530</v>
      </c>
      <c r="P3461" s="27" t="str">
        <f t="shared" si="163"/>
        <v>vermelho</v>
      </c>
    </row>
    <row r="3462" spans="1:16" ht="38.25">
      <c r="A3462" s="3" t="s">
        <v>4</v>
      </c>
      <c r="B3462" s="3" t="s">
        <v>2512</v>
      </c>
      <c r="C3462" s="4">
        <v>143</v>
      </c>
      <c r="D3462" s="3" t="s">
        <v>44</v>
      </c>
      <c r="E3462" s="3" t="s">
        <v>41</v>
      </c>
      <c r="F3462" s="5">
        <v>171</v>
      </c>
      <c r="G3462" s="5">
        <v>138</v>
      </c>
      <c r="H3462" s="6">
        <v>9955.7909999999993</v>
      </c>
      <c r="I3462" s="22">
        <v>7085.1</v>
      </c>
      <c r="J3462" s="24">
        <f t="shared" si="162"/>
        <v>4.9093521838439301E-5</v>
      </c>
      <c r="K3462" s="25">
        <f t="shared" si="164"/>
        <v>0.96022854213516884</v>
      </c>
      <c r="L3462" s="26" t="s">
        <v>7518</v>
      </c>
      <c r="M3462" s="28"/>
      <c r="N3462" s="28"/>
      <c r="O3462" s="20" t="s">
        <v>7530</v>
      </c>
      <c r="P3462" s="27" t="str">
        <f t="shared" si="163"/>
        <v>vermelho</v>
      </c>
    </row>
    <row r="3463" spans="1:16" ht="38.25">
      <c r="A3463" s="3" t="s">
        <v>6871</v>
      </c>
      <c r="B3463" s="3" t="s">
        <v>6872</v>
      </c>
      <c r="C3463" s="4">
        <v>143</v>
      </c>
      <c r="D3463" s="3" t="s">
        <v>44</v>
      </c>
      <c r="E3463" s="3" t="s">
        <v>41</v>
      </c>
      <c r="F3463" s="5">
        <v>102</v>
      </c>
      <c r="G3463" s="5">
        <v>138</v>
      </c>
      <c r="H3463" s="6">
        <v>5539.83</v>
      </c>
      <c r="I3463" s="22">
        <v>7085.1</v>
      </c>
      <c r="J3463" s="24">
        <f t="shared" si="162"/>
        <v>4.9093521838439301E-5</v>
      </c>
      <c r="K3463" s="25">
        <f t="shared" si="164"/>
        <v>0.9602776356570073</v>
      </c>
      <c r="L3463" s="26" t="s">
        <v>7518</v>
      </c>
      <c r="M3463" s="28"/>
      <c r="N3463" s="28"/>
      <c r="O3463" s="20" t="s">
        <v>7530</v>
      </c>
      <c r="P3463" s="27" t="str">
        <f t="shared" si="163"/>
        <v>vermelho</v>
      </c>
    </row>
    <row r="3464" spans="1:16" ht="38.25">
      <c r="A3464" s="3" t="s">
        <v>4</v>
      </c>
      <c r="B3464" s="3" t="s">
        <v>2513</v>
      </c>
      <c r="C3464" s="4">
        <v>143</v>
      </c>
      <c r="D3464" s="3" t="s">
        <v>44</v>
      </c>
      <c r="E3464" s="3" t="s">
        <v>41</v>
      </c>
      <c r="F3464" s="5">
        <v>132</v>
      </c>
      <c r="G3464" s="5">
        <v>132</v>
      </c>
      <c r="H3464" s="6">
        <v>7518.6</v>
      </c>
      <c r="I3464" s="22">
        <v>7084.12</v>
      </c>
      <c r="J3464" s="24">
        <f t="shared" si="162"/>
        <v>4.9086731298940679E-5</v>
      </c>
      <c r="K3464" s="25">
        <f t="shared" si="164"/>
        <v>0.96032672238830619</v>
      </c>
      <c r="L3464" s="26" t="s">
        <v>7518</v>
      </c>
      <c r="M3464" s="28"/>
      <c r="N3464" s="28"/>
      <c r="O3464" s="20" t="s">
        <v>7530</v>
      </c>
      <c r="P3464" s="27" t="str">
        <f t="shared" si="163"/>
        <v>vermelho</v>
      </c>
    </row>
    <row r="3465" spans="1:16" ht="25.5">
      <c r="A3465" s="3" t="s">
        <v>6873</v>
      </c>
      <c r="B3465" s="3" t="s">
        <v>6874</v>
      </c>
      <c r="C3465" s="4">
        <v>93</v>
      </c>
      <c r="D3465" s="3" t="s">
        <v>20</v>
      </c>
      <c r="E3465" s="3" t="s">
        <v>7</v>
      </c>
      <c r="F3465" s="5">
        <v>318</v>
      </c>
      <c r="G3465" s="5">
        <v>123</v>
      </c>
      <c r="H3465" s="6">
        <v>15160.338</v>
      </c>
      <c r="I3465" s="22">
        <v>7083.87</v>
      </c>
      <c r="J3465" s="24">
        <f t="shared" si="162"/>
        <v>4.9084999018456339E-5</v>
      </c>
      <c r="K3465" s="25">
        <f t="shared" si="164"/>
        <v>0.96037580738732464</v>
      </c>
      <c r="L3465" s="26" t="s">
        <v>7518</v>
      </c>
      <c r="M3465" s="28"/>
      <c r="N3465" s="28"/>
      <c r="O3465" s="20">
        <v>11790.66</v>
      </c>
      <c r="P3465" s="27" t="str">
        <f t="shared" si="163"/>
        <v>verde</v>
      </c>
    </row>
    <row r="3466" spans="1:16" ht="25.5">
      <c r="A3466" s="3" t="s">
        <v>4</v>
      </c>
      <c r="B3466" s="3" t="s">
        <v>2514</v>
      </c>
      <c r="C3466" s="4">
        <v>327</v>
      </c>
      <c r="D3466" s="3" t="s">
        <v>100</v>
      </c>
      <c r="E3466" s="3" t="s">
        <v>7</v>
      </c>
      <c r="F3466" s="5">
        <v>0</v>
      </c>
      <c r="G3466" s="5">
        <v>144</v>
      </c>
      <c r="H3466" s="6">
        <v>0</v>
      </c>
      <c r="I3466" s="22">
        <v>7080.84</v>
      </c>
      <c r="J3466" s="24">
        <f t="shared" si="162"/>
        <v>4.906400377898612E-5</v>
      </c>
      <c r="K3466" s="25">
        <f t="shared" si="164"/>
        <v>0.96042487139110366</v>
      </c>
      <c r="L3466" s="26" t="s">
        <v>7518</v>
      </c>
      <c r="M3466" s="28"/>
      <c r="N3466" s="28"/>
      <c r="O3466" s="20" t="s">
        <v>7530</v>
      </c>
      <c r="P3466" s="27" t="str">
        <f t="shared" si="163"/>
        <v>vermelho</v>
      </c>
    </row>
    <row r="3467" spans="1:16" ht="25.5">
      <c r="A3467" s="3" t="s">
        <v>4</v>
      </c>
      <c r="B3467" s="3" t="s">
        <v>2515</v>
      </c>
      <c r="C3467" s="4">
        <v>74</v>
      </c>
      <c r="D3467" s="3" t="s">
        <v>6</v>
      </c>
      <c r="E3467" s="3" t="s">
        <v>7</v>
      </c>
      <c r="F3467" s="5">
        <v>0</v>
      </c>
      <c r="G3467" s="5">
        <v>153</v>
      </c>
      <c r="H3467" s="6">
        <v>0</v>
      </c>
      <c r="I3467" s="22">
        <v>7070.76</v>
      </c>
      <c r="J3467" s="24">
        <f t="shared" si="162"/>
        <v>4.8994158229857458E-5</v>
      </c>
      <c r="K3467" s="25">
        <f t="shared" si="164"/>
        <v>0.96047386554933356</v>
      </c>
      <c r="L3467" s="26" t="s">
        <v>7518</v>
      </c>
      <c r="M3467" s="28"/>
      <c r="N3467" s="28"/>
      <c r="O3467" s="20">
        <v>10259.64</v>
      </c>
      <c r="P3467" s="27" t="str">
        <f t="shared" si="163"/>
        <v>verde</v>
      </c>
    </row>
    <row r="3468" spans="1:16">
      <c r="A3468" s="3" t="s">
        <v>4</v>
      </c>
      <c r="B3468" s="3" t="s">
        <v>2516</v>
      </c>
      <c r="C3468" s="4">
        <v>231</v>
      </c>
      <c r="D3468" s="3" t="s">
        <v>52</v>
      </c>
      <c r="E3468" s="3" t="s">
        <v>7</v>
      </c>
      <c r="F3468" s="5">
        <v>60</v>
      </c>
      <c r="G3468" s="5">
        <v>120</v>
      </c>
      <c r="H3468" s="6">
        <v>3071.4</v>
      </c>
      <c r="I3468" s="22">
        <v>7063.68</v>
      </c>
      <c r="J3468" s="24">
        <f t="shared" si="162"/>
        <v>4.8945100046540903E-5</v>
      </c>
      <c r="K3468" s="25">
        <f t="shared" si="164"/>
        <v>0.96052281064938005</v>
      </c>
      <c r="L3468" s="26" t="s">
        <v>7518</v>
      </c>
      <c r="M3468" s="28"/>
      <c r="N3468" s="28"/>
      <c r="O3468" s="20" t="s">
        <v>7530</v>
      </c>
      <c r="P3468" s="27" t="str">
        <f t="shared" si="163"/>
        <v>vermelho</v>
      </c>
    </row>
    <row r="3469" spans="1:16" ht="25.5">
      <c r="A3469" s="3" t="s">
        <v>4</v>
      </c>
      <c r="B3469" s="3" t="s">
        <v>2517</v>
      </c>
      <c r="C3469" s="4">
        <v>335</v>
      </c>
      <c r="D3469" s="3" t="s">
        <v>36</v>
      </c>
      <c r="E3469" s="3" t="s">
        <v>7</v>
      </c>
      <c r="F3469" s="5">
        <v>102</v>
      </c>
      <c r="G3469" s="5">
        <v>96</v>
      </c>
      <c r="H3469" s="6">
        <v>6841.14</v>
      </c>
      <c r="I3469" s="22">
        <v>7062.96</v>
      </c>
      <c r="J3469" s="24">
        <f t="shared" si="162"/>
        <v>4.8940111078745996E-5</v>
      </c>
      <c r="K3469" s="25">
        <f t="shared" si="164"/>
        <v>0.96057175076045875</v>
      </c>
      <c r="L3469" s="26" t="s">
        <v>7518</v>
      </c>
      <c r="M3469" s="28"/>
      <c r="N3469" s="28"/>
      <c r="O3469" s="20" t="s">
        <v>7530</v>
      </c>
      <c r="P3469" s="27" t="str">
        <f t="shared" si="163"/>
        <v>vermelho</v>
      </c>
    </row>
    <row r="3470" spans="1:16" ht="25.5">
      <c r="A3470" s="3" t="s">
        <v>4</v>
      </c>
      <c r="B3470" s="3" t="s">
        <v>2518</v>
      </c>
      <c r="C3470" s="4">
        <v>264</v>
      </c>
      <c r="D3470" s="3" t="s">
        <v>40</v>
      </c>
      <c r="E3470" s="3" t="s">
        <v>41</v>
      </c>
      <c r="F3470" s="5">
        <v>0</v>
      </c>
      <c r="G3470" s="5">
        <v>132</v>
      </c>
      <c r="H3470" s="6">
        <v>0</v>
      </c>
      <c r="I3470" s="22">
        <v>7062.6210000000001</v>
      </c>
      <c r="J3470" s="24">
        <f t="shared" si="162"/>
        <v>4.8937762106409226E-5</v>
      </c>
      <c r="K3470" s="25">
        <f t="shared" si="164"/>
        <v>0.96062068852256521</v>
      </c>
      <c r="L3470" s="26" t="s">
        <v>7518</v>
      </c>
      <c r="M3470" s="28"/>
      <c r="N3470" s="28"/>
      <c r="O3470" s="20" t="s">
        <v>7530</v>
      </c>
      <c r="P3470" s="27" t="str">
        <f t="shared" si="163"/>
        <v>vermelho</v>
      </c>
    </row>
    <row r="3471" spans="1:16">
      <c r="A3471" s="3" t="s">
        <v>4</v>
      </c>
      <c r="B3471" s="3" t="s">
        <v>2519</v>
      </c>
      <c r="C3471" s="4">
        <v>315</v>
      </c>
      <c r="D3471" s="3" t="s">
        <v>63</v>
      </c>
      <c r="E3471" s="3" t="s">
        <v>7</v>
      </c>
      <c r="F3471" s="5">
        <v>96</v>
      </c>
      <c r="G3471" s="5">
        <v>150</v>
      </c>
      <c r="H3471" s="6">
        <v>3708.6120000000001</v>
      </c>
      <c r="I3471" s="22">
        <v>7056.59</v>
      </c>
      <c r="J3471" s="24">
        <f t="shared" si="162"/>
        <v>4.8895972572004965E-5</v>
      </c>
      <c r="K3471" s="25">
        <f t="shared" si="164"/>
        <v>0.96066958449513717</v>
      </c>
      <c r="L3471" s="26" t="s">
        <v>7518</v>
      </c>
      <c r="M3471" s="28"/>
      <c r="N3471" s="28"/>
      <c r="O3471" s="20" t="s">
        <v>7530</v>
      </c>
      <c r="P3471" s="27" t="str">
        <f t="shared" si="163"/>
        <v>vermelho</v>
      </c>
    </row>
    <row r="3472" spans="1:16" ht="25.5">
      <c r="A3472" s="3" t="s">
        <v>4</v>
      </c>
      <c r="B3472" s="3" t="s">
        <v>2520</v>
      </c>
      <c r="C3472" s="4">
        <v>240</v>
      </c>
      <c r="D3472" s="3" t="s">
        <v>69</v>
      </c>
      <c r="E3472" s="3" t="s">
        <v>16</v>
      </c>
      <c r="F3472" s="5">
        <v>0</v>
      </c>
      <c r="G3472" s="5">
        <v>108</v>
      </c>
      <c r="H3472" s="6">
        <v>0</v>
      </c>
      <c r="I3472" s="22">
        <v>7048.89</v>
      </c>
      <c r="J3472" s="24">
        <f t="shared" si="162"/>
        <v>4.8842618333087244E-5</v>
      </c>
      <c r="K3472" s="25">
        <f t="shared" si="164"/>
        <v>0.96071842711347022</v>
      </c>
      <c r="L3472" s="26" t="s">
        <v>7518</v>
      </c>
      <c r="M3472" s="28"/>
      <c r="N3472" s="28"/>
      <c r="O3472" s="20" t="s">
        <v>7530</v>
      </c>
      <c r="P3472" s="27" t="str">
        <f t="shared" si="163"/>
        <v>vermelho</v>
      </c>
    </row>
    <row r="3473" spans="1:16" ht="25.5">
      <c r="A3473" s="3" t="s">
        <v>4</v>
      </c>
      <c r="B3473" s="3" t="s">
        <v>2521</v>
      </c>
      <c r="C3473" s="4">
        <v>217</v>
      </c>
      <c r="D3473" s="3" t="s">
        <v>91</v>
      </c>
      <c r="E3473" s="3" t="s">
        <v>16</v>
      </c>
      <c r="F3473" s="5">
        <v>156</v>
      </c>
      <c r="G3473" s="5">
        <v>114</v>
      </c>
      <c r="H3473" s="6">
        <v>7461.48</v>
      </c>
      <c r="I3473" s="22">
        <v>7044.183</v>
      </c>
      <c r="J3473" s="24">
        <f t="shared" si="162"/>
        <v>4.8810002956128054E-5</v>
      </c>
      <c r="K3473" s="25">
        <f t="shared" si="164"/>
        <v>0.96076723711642631</v>
      </c>
      <c r="L3473" s="26" t="s">
        <v>7518</v>
      </c>
      <c r="M3473" s="28"/>
      <c r="N3473" s="28"/>
      <c r="O3473" s="20" t="s">
        <v>7530</v>
      </c>
      <c r="P3473" s="27" t="str">
        <f t="shared" si="163"/>
        <v>vermelho</v>
      </c>
    </row>
    <row r="3474" spans="1:16" ht="25.5">
      <c r="A3474" s="3" t="s">
        <v>4</v>
      </c>
      <c r="B3474" s="3" t="s">
        <v>2522</v>
      </c>
      <c r="C3474" s="4">
        <v>310</v>
      </c>
      <c r="D3474" s="3" t="s">
        <v>2523</v>
      </c>
      <c r="E3474" s="3" t="s">
        <v>10</v>
      </c>
      <c r="F3474" s="5">
        <v>0</v>
      </c>
      <c r="G3474" s="5">
        <v>352</v>
      </c>
      <c r="H3474" s="6">
        <v>0</v>
      </c>
      <c r="I3474" s="22">
        <v>7040</v>
      </c>
      <c r="J3474" s="24">
        <f t="shared" si="162"/>
        <v>4.878101843906405E-5</v>
      </c>
      <c r="K3474" s="25">
        <f t="shared" si="164"/>
        <v>0.96081601813486539</v>
      </c>
      <c r="L3474" s="26" t="s">
        <v>7518</v>
      </c>
      <c r="M3474" s="28"/>
      <c r="N3474" s="28"/>
      <c r="O3474" s="20" t="s">
        <v>7530</v>
      </c>
      <c r="P3474" s="27" t="str">
        <f t="shared" si="163"/>
        <v>vermelho</v>
      </c>
    </row>
    <row r="3475" spans="1:16">
      <c r="A3475" s="3" t="s">
        <v>4</v>
      </c>
      <c r="B3475" s="3" t="s">
        <v>2524</v>
      </c>
      <c r="C3475" s="4">
        <v>217</v>
      </c>
      <c r="D3475" s="3" t="s">
        <v>91</v>
      </c>
      <c r="E3475" s="3" t="s">
        <v>16</v>
      </c>
      <c r="F3475" s="5">
        <v>132</v>
      </c>
      <c r="G3475" s="5">
        <v>174</v>
      </c>
      <c r="H3475" s="6">
        <v>5556.48</v>
      </c>
      <c r="I3475" s="22">
        <v>7036.26</v>
      </c>
      <c r="J3475" s="24">
        <f t="shared" si="162"/>
        <v>4.8755103523018293E-5</v>
      </c>
      <c r="K3475" s="25">
        <f t="shared" si="164"/>
        <v>0.96086477323838837</v>
      </c>
      <c r="L3475" s="26" t="s">
        <v>7518</v>
      </c>
      <c r="M3475" s="28"/>
      <c r="N3475" s="28"/>
      <c r="O3475" s="20" t="s">
        <v>7530</v>
      </c>
      <c r="P3475" s="27" t="str">
        <f t="shared" si="163"/>
        <v>vermelho</v>
      </c>
    </row>
    <row r="3476" spans="1:16" ht="25.5">
      <c r="A3476" s="3" t="s">
        <v>4</v>
      </c>
      <c r="B3476" s="3" t="s">
        <v>2525</v>
      </c>
      <c r="C3476" s="4">
        <v>31</v>
      </c>
      <c r="D3476" s="3" t="s">
        <v>194</v>
      </c>
      <c r="E3476" s="3" t="s">
        <v>16</v>
      </c>
      <c r="F3476" s="5">
        <v>426</v>
      </c>
      <c r="G3476" s="5">
        <v>144</v>
      </c>
      <c r="H3476" s="6">
        <v>24965.7</v>
      </c>
      <c r="I3476" s="22">
        <v>7031.52</v>
      </c>
      <c r="J3476" s="24">
        <f t="shared" si="162"/>
        <v>4.8722259485035176E-5</v>
      </c>
      <c r="K3476" s="25">
        <f t="shared" si="164"/>
        <v>0.96091349549787342</v>
      </c>
      <c r="L3476" s="26" t="s">
        <v>7518</v>
      </c>
      <c r="M3476" s="28"/>
      <c r="N3476" s="28"/>
      <c r="O3476" s="20">
        <v>12390.96</v>
      </c>
      <c r="P3476" s="27" t="str">
        <f t="shared" si="163"/>
        <v>verde</v>
      </c>
    </row>
    <row r="3477" spans="1:16" ht="25.5">
      <c r="A3477" s="3" t="s">
        <v>4</v>
      </c>
      <c r="B3477" s="3" t="s">
        <v>2526</v>
      </c>
      <c r="C3477" s="4">
        <v>320</v>
      </c>
      <c r="D3477" s="3" t="s">
        <v>218</v>
      </c>
      <c r="E3477" s="3" t="s">
        <v>49</v>
      </c>
      <c r="F3477" s="5">
        <v>0</v>
      </c>
      <c r="G3477" s="5">
        <v>120</v>
      </c>
      <c r="H3477" s="6">
        <v>0</v>
      </c>
      <c r="I3477" s="22">
        <v>7030.8</v>
      </c>
      <c r="J3477" s="24">
        <f t="shared" si="162"/>
        <v>4.8717270517240269E-5</v>
      </c>
      <c r="K3477" s="25">
        <f t="shared" si="164"/>
        <v>0.96096221276839067</v>
      </c>
      <c r="L3477" s="26" t="s">
        <v>7518</v>
      </c>
      <c r="M3477" s="28"/>
      <c r="N3477" s="28"/>
      <c r="O3477" s="20" t="s">
        <v>7530</v>
      </c>
      <c r="P3477" s="27" t="str">
        <f t="shared" si="163"/>
        <v>vermelho</v>
      </c>
    </row>
    <row r="3478" spans="1:16" ht="25.5">
      <c r="A3478" s="3" t="s">
        <v>4</v>
      </c>
      <c r="B3478" s="3" t="s">
        <v>2527</v>
      </c>
      <c r="C3478" s="4">
        <v>208</v>
      </c>
      <c r="D3478" s="3" t="s">
        <v>15</v>
      </c>
      <c r="E3478" s="3" t="s">
        <v>16</v>
      </c>
      <c r="F3478" s="5">
        <v>192</v>
      </c>
      <c r="G3478" s="5">
        <v>120</v>
      </c>
      <c r="H3478" s="6">
        <v>8305.08</v>
      </c>
      <c r="I3478" s="22">
        <v>7030.68</v>
      </c>
      <c r="J3478" s="24">
        <f t="shared" si="162"/>
        <v>4.871643902260779E-5</v>
      </c>
      <c r="K3478" s="25">
        <f t="shared" si="164"/>
        <v>0.96101092920741327</v>
      </c>
      <c r="L3478" s="26" t="s">
        <v>7518</v>
      </c>
      <c r="M3478" s="28"/>
      <c r="N3478" s="28"/>
      <c r="O3478" s="20" t="s">
        <v>7530</v>
      </c>
      <c r="P3478" s="27" t="str">
        <f t="shared" si="163"/>
        <v>vermelho</v>
      </c>
    </row>
    <row r="3479" spans="1:16" ht="25.5">
      <c r="A3479" s="3" t="s">
        <v>4</v>
      </c>
      <c r="B3479" s="3" t="s">
        <v>2528</v>
      </c>
      <c r="C3479" s="4">
        <v>197</v>
      </c>
      <c r="D3479" s="3" t="s">
        <v>66</v>
      </c>
      <c r="E3479" s="3" t="s">
        <v>41</v>
      </c>
      <c r="F3479" s="5">
        <v>102</v>
      </c>
      <c r="G3479" s="5">
        <v>108</v>
      </c>
      <c r="H3479" s="6">
        <v>6124.98</v>
      </c>
      <c r="I3479" s="22">
        <v>7020.9</v>
      </c>
      <c r="J3479" s="24">
        <f t="shared" si="162"/>
        <v>4.8648672210060333E-5</v>
      </c>
      <c r="K3479" s="25">
        <f t="shared" si="164"/>
        <v>0.96105957787962337</v>
      </c>
      <c r="L3479" s="26" t="s">
        <v>7518</v>
      </c>
      <c r="M3479" s="28"/>
      <c r="N3479" s="28"/>
      <c r="O3479" s="20">
        <v>2225.16</v>
      </c>
      <c r="P3479" s="27" t="str">
        <f t="shared" si="163"/>
        <v>amarelo</v>
      </c>
    </row>
    <row r="3480" spans="1:16" ht="25.5">
      <c r="A3480" s="3" t="s">
        <v>4</v>
      </c>
      <c r="B3480" s="3" t="s">
        <v>2529</v>
      </c>
      <c r="C3480" s="4">
        <v>232</v>
      </c>
      <c r="D3480" s="3" t="s">
        <v>174</v>
      </c>
      <c r="E3480" s="3" t="s">
        <v>16</v>
      </c>
      <c r="F3480" s="5">
        <v>0</v>
      </c>
      <c r="G3480" s="5">
        <v>137</v>
      </c>
      <c r="H3480" s="6">
        <v>0</v>
      </c>
      <c r="I3480" s="22">
        <v>7017.61</v>
      </c>
      <c r="J3480" s="24">
        <f t="shared" si="162"/>
        <v>4.8625875398886398E-5</v>
      </c>
      <c r="K3480" s="25">
        <f t="shared" si="164"/>
        <v>0.96110820375502226</v>
      </c>
      <c r="L3480" s="26" t="s">
        <v>7518</v>
      </c>
      <c r="M3480" s="28"/>
      <c r="N3480" s="28"/>
      <c r="O3480" s="20" t="s">
        <v>7530</v>
      </c>
      <c r="P3480" s="27" t="str">
        <f t="shared" si="163"/>
        <v>vermelho</v>
      </c>
    </row>
    <row r="3481" spans="1:16" ht="25.5">
      <c r="A3481" s="3" t="s">
        <v>4</v>
      </c>
      <c r="B3481" s="3" t="s">
        <v>2530</v>
      </c>
      <c r="C3481" s="4">
        <v>297</v>
      </c>
      <c r="D3481" s="3" t="s">
        <v>115</v>
      </c>
      <c r="E3481" s="3" t="s">
        <v>41</v>
      </c>
      <c r="F3481" s="5">
        <v>0</v>
      </c>
      <c r="G3481" s="5">
        <v>144</v>
      </c>
      <c r="H3481" s="6">
        <v>0</v>
      </c>
      <c r="I3481" s="22">
        <v>7009.68</v>
      </c>
      <c r="J3481" s="24">
        <f t="shared" si="162"/>
        <v>4.8570927461923082E-5</v>
      </c>
      <c r="K3481" s="25">
        <f t="shared" si="164"/>
        <v>0.96115677468248417</v>
      </c>
      <c r="L3481" s="26" t="s">
        <v>7518</v>
      </c>
      <c r="M3481" s="28"/>
      <c r="N3481" s="28">
        <v>-5.4769475402689623E-2</v>
      </c>
      <c r="O3481" s="20">
        <v>1978.221</v>
      </c>
      <c r="P3481" s="27" t="str">
        <f t="shared" si="163"/>
        <v>amarelo</v>
      </c>
    </row>
    <row r="3482" spans="1:16" ht="25.5">
      <c r="A3482" s="3" t="s">
        <v>4</v>
      </c>
      <c r="B3482" s="3" t="s">
        <v>2531</v>
      </c>
      <c r="C3482" s="4">
        <v>299</v>
      </c>
      <c r="D3482" s="3" t="s">
        <v>111</v>
      </c>
      <c r="E3482" s="3" t="s">
        <v>49</v>
      </c>
      <c r="F3482" s="5">
        <v>216</v>
      </c>
      <c r="G3482" s="5">
        <v>168</v>
      </c>
      <c r="H3482" s="6">
        <v>6314.16</v>
      </c>
      <c r="I3482" s="22">
        <v>7007.52</v>
      </c>
      <c r="J3482" s="24">
        <f t="shared" si="162"/>
        <v>4.8555960558538368E-5</v>
      </c>
      <c r="K3482" s="25">
        <f t="shared" si="164"/>
        <v>0.9612053306430427</v>
      </c>
      <c r="L3482" s="26" t="s">
        <v>7518</v>
      </c>
      <c r="M3482" s="28"/>
      <c r="N3482" s="28"/>
      <c r="O3482" s="20" t="s">
        <v>7530</v>
      </c>
      <c r="P3482" s="27" t="str">
        <f t="shared" si="163"/>
        <v>vermelho</v>
      </c>
    </row>
    <row r="3483" spans="1:16" ht="25.5">
      <c r="A3483" s="3" t="s">
        <v>4</v>
      </c>
      <c r="B3483" s="3" t="s">
        <v>2532</v>
      </c>
      <c r="C3483" s="4">
        <v>31</v>
      </c>
      <c r="D3483" s="3" t="s">
        <v>194</v>
      </c>
      <c r="E3483" s="3" t="s">
        <v>16</v>
      </c>
      <c r="F3483" s="5">
        <v>120</v>
      </c>
      <c r="G3483" s="5">
        <v>132</v>
      </c>
      <c r="H3483" s="6">
        <v>5962.44</v>
      </c>
      <c r="I3483" s="22">
        <v>7004.37</v>
      </c>
      <c r="J3483" s="24">
        <f t="shared" si="162"/>
        <v>4.8534133824435657E-5</v>
      </c>
      <c r="K3483" s="25">
        <f t="shared" si="164"/>
        <v>0.96125386477686714</v>
      </c>
      <c r="L3483" s="26" t="s">
        <v>7518</v>
      </c>
      <c r="M3483" s="28"/>
      <c r="N3483" s="28"/>
      <c r="O3483" s="20" t="s">
        <v>7530</v>
      </c>
      <c r="P3483" s="27" t="str">
        <f t="shared" si="163"/>
        <v>vermelho</v>
      </c>
    </row>
    <row r="3484" spans="1:16" ht="25.5">
      <c r="A3484" s="3" t="s">
        <v>4</v>
      </c>
      <c r="B3484" s="3" t="s">
        <v>2533</v>
      </c>
      <c r="C3484" s="4">
        <v>61</v>
      </c>
      <c r="D3484" s="3" t="s">
        <v>48</v>
      </c>
      <c r="E3484" s="3" t="s">
        <v>49</v>
      </c>
      <c r="F3484" s="5">
        <v>138</v>
      </c>
      <c r="G3484" s="5">
        <v>120</v>
      </c>
      <c r="H3484" s="6">
        <v>9538.32</v>
      </c>
      <c r="I3484" s="22">
        <v>6994.44</v>
      </c>
      <c r="J3484" s="24">
        <f t="shared" si="162"/>
        <v>4.8465327643597601E-5</v>
      </c>
      <c r="K3484" s="25">
        <f t="shared" si="164"/>
        <v>0.96130233010451072</v>
      </c>
      <c r="L3484" s="26" t="s">
        <v>7518</v>
      </c>
      <c r="M3484" s="28"/>
      <c r="N3484" s="28"/>
      <c r="O3484" s="20" t="s">
        <v>7530</v>
      </c>
      <c r="P3484" s="27" t="str">
        <f t="shared" si="163"/>
        <v>vermelho</v>
      </c>
    </row>
    <row r="3485" spans="1:16" ht="38.25">
      <c r="A3485" s="3" t="s">
        <v>4</v>
      </c>
      <c r="B3485" s="3" t="s">
        <v>2534</v>
      </c>
      <c r="C3485" s="4">
        <v>292</v>
      </c>
      <c r="D3485" s="3" t="s">
        <v>57</v>
      </c>
      <c r="E3485" s="3" t="s">
        <v>49</v>
      </c>
      <c r="F3485" s="5">
        <v>120</v>
      </c>
      <c r="G3485" s="5">
        <v>162</v>
      </c>
      <c r="H3485" s="6">
        <v>5543.424</v>
      </c>
      <c r="I3485" s="22">
        <v>6994.38</v>
      </c>
      <c r="J3485" s="24">
        <f t="shared" si="162"/>
        <v>4.8464911896281361E-5</v>
      </c>
      <c r="K3485" s="25">
        <f t="shared" si="164"/>
        <v>0.96135079501640697</v>
      </c>
      <c r="L3485" s="26" t="s">
        <v>7518</v>
      </c>
      <c r="M3485" s="28"/>
      <c r="N3485" s="28"/>
      <c r="O3485" s="20" t="s">
        <v>7530</v>
      </c>
      <c r="P3485" s="27" t="str">
        <f t="shared" si="163"/>
        <v>vermelho</v>
      </c>
    </row>
    <row r="3486" spans="1:16" ht="25.5">
      <c r="A3486" s="3" t="s">
        <v>4</v>
      </c>
      <c r="B3486" s="3" t="s">
        <v>2535</v>
      </c>
      <c r="C3486" s="4">
        <v>334</v>
      </c>
      <c r="D3486" s="3" t="s">
        <v>531</v>
      </c>
      <c r="E3486" s="3" t="s">
        <v>7</v>
      </c>
      <c r="F3486" s="5">
        <v>0</v>
      </c>
      <c r="G3486" s="5">
        <v>96</v>
      </c>
      <c r="H3486" s="6">
        <v>0</v>
      </c>
      <c r="I3486" s="22">
        <v>6989.16</v>
      </c>
      <c r="J3486" s="24">
        <f t="shared" si="162"/>
        <v>4.8428741879768302E-5</v>
      </c>
      <c r="K3486" s="25">
        <f t="shared" si="164"/>
        <v>0.96139922375828668</v>
      </c>
      <c r="L3486" s="26" t="s">
        <v>7518</v>
      </c>
      <c r="M3486" s="28"/>
      <c r="N3486" s="28"/>
      <c r="O3486" s="20" t="s">
        <v>7530</v>
      </c>
      <c r="P3486" s="27" t="str">
        <f t="shared" si="163"/>
        <v>vermelho</v>
      </c>
    </row>
    <row r="3487" spans="1:16" ht="38.25">
      <c r="A3487" s="3" t="s">
        <v>4</v>
      </c>
      <c r="B3487" s="3" t="s">
        <v>2536</v>
      </c>
      <c r="C3487" s="4">
        <v>143</v>
      </c>
      <c r="D3487" s="3" t="s">
        <v>44</v>
      </c>
      <c r="E3487" s="3" t="s">
        <v>41</v>
      </c>
      <c r="F3487" s="5">
        <v>204</v>
      </c>
      <c r="G3487" s="5">
        <v>120</v>
      </c>
      <c r="H3487" s="6">
        <v>11521.548000000001</v>
      </c>
      <c r="I3487" s="22">
        <v>6986.16</v>
      </c>
      <c r="J3487" s="24">
        <f t="shared" si="162"/>
        <v>4.8407954513956203E-5</v>
      </c>
      <c r="K3487" s="25">
        <f t="shared" si="164"/>
        <v>0.96144763171280068</v>
      </c>
      <c r="L3487" s="26" t="s">
        <v>7518</v>
      </c>
      <c r="M3487" s="28"/>
      <c r="N3487" s="28"/>
      <c r="O3487" s="20">
        <v>2352.2399999999998</v>
      </c>
      <c r="P3487" s="27" t="str">
        <f t="shared" si="163"/>
        <v>amarelo</v>
      </c>
    </row>
    <row r="3488" spans="1:16">
      <c r="A3488" s="3" t="s">
        <v>6875</v>
      </c>
      <c r="B3488" s="3" t="s">
        <v>6876</v>
      </c>
      <c r="C3488" s="4">
        <v>217</v>
      </c>
      <c r="D3488" s="3" t="s">
        <v>91</v>
      </c>
      <c r="E3488" s="3" t="s">
        <v>16</v>
      </c>
      <c r="F3488" s="5">
        <v>255</v>
      </c>
      <c r="G3488" s="5">
        <v>120</v>
      </c>
      <c r="H3488" s="6">
        <v>11844.15</v>
      </c>
      <c r="I3488" s="22">
        <v>6975.96</v>
      </c>
      <c r="J3488" s="24">
        <f t="shared" si="162"/>
        <v>4.8337277470195063E-5</v>
      </c>
      <c r="K3488" s="25">
        <f t="shared" si="164"/>
        <v>0.9614959689902709</v>
      </c>
      <c r="L3488" s="26" t="s">
        <v>7518</v>
      </c>
      <c r="M3488" s="28"/>
      <c r="N3488" s="28"/>
      <c r="O3488" s="20" t="s">
        <v>7530</v>
      </c>
      <c r="P3488" s="27" t="str">
        <f t="shared" si="163"/>
        <v>vermelho</v>
      </c>
    </row>
    <row r="3489" spans="1:16" ht="25.5">
      <c r="A3489" s="3" t="s">
        <v>4</v>
      </c>
      <c r="B3489" s="3" t="s">
        <v>2537</v>
      </c>
      <c r="C3489" s="4">
        <v>299</v>
      </c>
      <c r="D3489" s="3" t="s">
        <v>111</v>
      </c>
      <c r="E3489" s="3" t="s">
        <v>49</v>
      </c>
      <c r="F3489" s="5">
        <v>0</v>
      </c>
      <c r="G3489" s="5">
        <v>168</v>
      </c>
      <c r="H3489" s="6">
        <v>0</v>
      </c>
      <c r="I3489" s="22">
        <v>6975.12</v>
      </c>
      <c r="J3489" s="24">
        <f t="shared" si="162"/>
        <v>4.833145700776767E-5</v>
      </c>
      <c r="K3489" s="25">
        <f t="shared" si="164"/>
        <v>0.96154430044727868</v>
      </c>
      <c r="L3489" s="26" t="s">
        <v>7518</v>
      </c>
      <c r="M3489" s="28"/>
      <c r="N3489" s="28"/>
      <c r="O3489" s="20" t="s">
        <v>7530</v>
      </c>
      <c r="P3489" s="27" t="str">
        <f t="shared" si="163"/>
        <v>vermelho</v>
      </c>
    </row>
    <row r="3490" spans="1:16" ht="38.25">
      <c r="A3490" s="3" t="s">
        <v>4</v>
      </c>
      <c r="B3490" s="3" t="s">
        <v>2538</v>
      </c>
      <c r="C3490" s="4">
        <v>371</v>
      </c>
      <c r="D3490" s="3" t="s">
        <v>82</v>
      </c>
      <c r="E3490" s="3" t="s">
        <v>49</v>
      </c>
      <c r="F3490" s="5">
        <v>246</v>
      </c>
      <c r="G3490" s="5">
        <v>144</v>
      </c>
      <c r="H3490" s="6">
        <v>11467.05</v>
      </c>
      <c r="I3490" s="22">
        <v>6975.0929999999998</v>
      </c>
      <c r="J3490" s="24">
        <f t="shared" si="162"/>
        <v>4.8331269921475364E-5</v>
      </c>
      <c r="K3490" s="25">
        <f t="shared" si="164"/>
        <v>0.96159263171720011</v>
      </c>
      <c r="L3490" s="26" t="s">
        <v>7518</v>
      </c>
      <c r="M3490" s="28"/>
      <c r="N3490" s="28"/>
      <c r="O3490" s="20">
        <v>3310.5079999999998</v>
      </c>
      <c r="P3490" s="27" t="str">
        <f t="shared" si="163"/>
        <v>amarelo</v>
      </c>
    </row>
    <row r="3491" spans="1:16" ht="38.25">
      <c r="A3491" s="3" t="s">
        <v>4</v>
      </c>
      <c r="B3491" s="3" t="s">
        <v>2539</v>
      </c>
      <c r="C3491" s="4">
        <v>45</v>
      </c>
      <c r="D3491" s="3" t="s">
        <v>23</v>
      </c>
      <c r="E3491" s="3" t="s">
        <v>7</v>
      </c>
      <c r="F3491" s="5">
        <v>0</v>
      </c>
      <c r="G3491" s="5">
        <v>132</v>
      </c>
      <c r="H3491" s="6">
        <v>0</v>
      </c>
      <c r="I3491" s="22">
        <v>6972.72</v>
      </c>
      <c r="J3491" s="24">
        <f t="shared" si="162"/>
        <v>4.8314827115117992E-5</v>
      </c>
      <c r="K3491" s="25">
        <f t="shared" si="164"/>
        <v>0.9616409465443152</v>
      </c>
      <c r="L3491" s="26" t="s">
        <v>7518</v>
      </c>
      <c r="M3491" s="28"/>
      <c r="N3491" s="28"/>
      <c r="O3491" s="20" t="s">
        <v>7530</v>
      </c>
      <c r="P3491" s="27" t="str">
        <f t="shared" si="163"/>
        <v>vermelho</v>
      </c>
    </row>
    <row r="3492" spans="1:16">
      <c r="A3492" s="3" t="s">
        <v>6485</v>
      </c>
      <c r="B3492" s="3" t="s">
        <v>6486</v>
      </c>
      <c r="C3492" s="4">
        <v>264</v>
      </c>
      <c r="D3492" s="3" t="s">
        <v>40</v>
      </c>
      <c r="E3492" s="3" t="s">
        <v>7</v>
      </c>
      <c r="F3492" s="5">
        <v>0</v>
      </c>
      <c r="G3492" s="5">
        <v>120</v>
      </c>
      <c r="H3492" s="6">
        <v>0</v>
      </c>
      <c r="I3492" s="22">
        <v>6972.48</v>
      </c>
      <c r="J3492" s="24">
        <f t="shared" si="162"/>
        <v>4.8313164125853021E-5</v>
      </c>
      <c r="K3492" s="25">
        <f t="shared" si="164"/>
        <v>0.9616892597084411</v>
      </c>
      <c r="L3492" s="26" t="s">
        <v>7518</v>
      </c>
      <c r="M3492" s="28"/>
      <c r="N3492" s="28"/>
      <c r="O3492" s="20" t="s">
        <v>7530</v>
      </c>
      <c r="P3492" s="27" t="str">
        <f t="shared" si="163"/>
        <v>vermelho</v>
      </c>
    </row>
    <row r="3493" spans="1:16" ht="25.5">
      <c r="A3493" s="3" t="s">
        <v>4</v>
      </c>
      <c r="B3493" s="3" t="s">
        <v>2540</v>
      </c>
      <c r="C3493" s="4">
        <v>93</v>
      </c>
      <c r="D3493" s="3" t="s">
        <v>20</v>
      </c>
      <c r="E3493" s="3" t="s">
        <v>7</v>
      </c>
      <c r="F3493" s="5">
        <v>90</v>
      </c>
      <c r="G3493" s="5">
        <v>114</v>
      </c>
      <c r="H3493" s="6">
        <v>4227.3900000000003</v>
      </c>
      <c r="I3493" s="22">
        <v>6972.39</v>
      </c>
      <c r="J3493" s="24">
        <f t="shared" si="162"/>
        <v>4.8312540504878662E-5</v>
      </c>
      <c r="K3493" s="25">
        <f t="shared" si="164"/>
        <v>0.96173757224894596</v>
      </c>
      <c r="L3493" s="26" t="s">
        <v>7518</v>
      </c>
      <c r="M3493" s="28"/>
      <c r="N3493" s="28"/>
      <c r="O3493" s="20" t="s">
        <v>7530</v>
      </c>
      <c r="P3493" s="27" t="str">
        <f t="shared" si="163"/>
        <v>vermelho</v>
      </c>
    </row>
    <row r="3494" spans="1:16" ht="25.5">
      <c r="A3494" s="3" t="s">
        <v>4</v>
      </c>
      <c r="B3494" s="3" t="s">
        <v>2541</v>
      </c>
      <c r="C3494" s="4">
        <v>267</v>
      </c>
      <c r="D3494" s="3" t="s">
        <v>125</v>
      </c>
      <c r="E3494" s="3" t="s">
        <v>16</v>
      </c>
      <c r="F3494" s="5">
        <v>108</v>
      </c>
      <c r="G3494" s="5">
        <v>132</v>
      </c>
      <c r="H3494" s="6">
        <v>5656.92</v>
      </c>
      <c r="I3494" s="22">
        <v>6970.08</v>
      </c>
      <c r="J3494" s="24">
        <f t="shared" si="162"/>
        <v>4.8296534233203343E-5</v>
      </c>
      <c r="K3494" s="25">
        <f t="shared" si="164"/>
        <v>0.96178586878317918</v>
      </c>
      <c r="L3494" s="26" t="s">
        <v>7518</v>
      </c>
      <c r="M3494" s="28"/>
      <c r="N3494" s="28"/>
      <c r="O3494" s="20" t="s">
        <v>7530</v>
      </c>
      <c r="P3494" s="27" t="str">
        <f t="shared" si="163"/>
        <v>vermelho</v>
      </c>
    </row>
    <row r="3495" spans="1:16" ht="25.5">
      <c r="A3495" s="3" t="s">
        <v>4</v>
      </c>
      <c r="B3495" s="3" t="s">
        <v>2542</v>
      </c>
      <c r="C3495" s="4">
        <v>232</v>
      </c>
      <c r="D3495" s="3" t="s">
        <v>174</v>
      </c>
      <c r="E3495" s="3" t="s">
        <v>16</v>
      </c>
      <c r="F3495" s="5">
        <v>72</v>
      </c>
      <c r="G3495" s="5">
        <v>108</v>
      </c>
      <c r="H3495" s="6">
        <v>4337.5200000000004</v>
      </c>
      <c r="I3495" s="22">
        <v>6963.48</v>
      </c>
      <c r="J3495" s="24">
        <f t="shared" si="162"/>
        <v>4.8250802028416716E-5</v>
      </c>
      <c r="K3495" s="25">
        <f t="shared" si="164"/>
        <v>0.96183411958520759</v>
      </c>
      <c r="L3495" s="26" t="s">
        <v>7518</v>
      </c>
      <c r="M3495" s="28"/>
      <c r="N3495" s="28"/>
      <c r="O3495" s="20" t="s">
        <v>7530</v>
      </c>
      <c r="P3495" s="27" t="str">
        <f t="shared" si="163"/>
        <v>vermelho</v>
      </c>
    </row>
    <row r="3496" spans="1:16" ht="25.5">
      <c r="A3496" s="3" t="s">
        <v>4</v>
      </c>
      <c r="B3496" s="3" t="s">
        <v>2543</v>
      </c>
      <c r="C3496" s="4">
        <v>267</v>
      </c>
      <c r="D3496" s="3" t="s">
        <v>125</v>
      </c>
      <c r="E3496" s="3" t="s">
        <v>16</v>
      </c>
      <c r="F3496" s="5">
        <v>108</v>
      </c>
      <c r="G3496" s="5">
        <v>126</v>
      </c>
      <c r="H3496" s="6">
        <v>5549.28</v>
      </c>
      <c r="I3496" s="22">
        <v>6957.18</v>
      </c>
      <c r="J3496" s="24">
        <f t="shared" si="162"/>
        <v>4.8207148560211307E-5</v>
      </c>
      <c r="K3496" s="25">
        <f t="shared" si="164"/>
        <v>0.96188232673376783</v>
      </c>
      <c r="L3496" s="26" t="s">
        <v>7518</v>
      </c>
      <c r="M3496" s="28"/>
      <c r="N3496" s="28"/>
      <c r="O3496" s="20" t="s">
        <v>7530</v>
      </c>
      <c r="P3496" s="27" t="str">
        <f t="shared" si="163"/>
        <v>vermelho</v>
      </c>
    </row>
    <row r="3497" spans="1:16" ht="25.5">
      <c r="A3497" s="3" t="s">
        <v>6877</v>
      </c>
      <c r="B3497" s="3" t="s">
        <v>6878</v>
      </c>
      <c r="C3497" s="4">
        <v>218</v>
      </c>
      <c r="D3497" s="3" t="s">
        <v>104</v>
      </c>
      <c r="E3497" s="3" t="s">
        <v>16</v>
      </c>
      <c r="F3497" s="5">
        <v>0</v>
      </c>
      <c r="G3497" s="5">
        <v>144</v>
      </c>
      <c r="H3497" s="6">
        <v>0</v>
      </c>
      <c r="I3497" s="22">
        <v>6948.84</v>
      </c>
      <c r="J3497" s="24">
        <f t="shared" si="162"/>
        <v>4.814935968325367E-5</v>
      </c>
      <c r="K3497" s="25">
        <f t="shared" si="164"/>
        <v>0.96193047609345106</v>
      </c>
      <c r="L3497" s="26" t="s">
        <v>7518</v>
      </c>
      <c r="M3497" s="28"/>
      <c r="N3497" s="28"/>
      <c r="O3497" s="20" t="s">
        <v>7530</v>
      </c>
      <c r="P3497" s="27" t="str">
        <f t="shared" si="163"/>
        <v>vermelho</v>
      </c>
    </row>
    <row r="3498" spans="1:16" ht="38.25">
      <c r="A3498" s="3" t="s">
        <v>4</v>
      </c>
      <c r="B3498" s="3" t="s">
        <v>2544</v>
      </c>
      <c r="C3498" s="4">
        <v>34</v>
      </c>
      <c r="D3498" s="3" t="s">
        <v>54</v>
      </c>
      <c r="E3498" s="3" t="s">
        <v>49</v>
      </c>
      <c r="F3498" s="5">
        <v>252</v>
      </c>
      <c r="G3498" s="5">
        <v>138</v>
      </c>
      <c r="H3498" s="6">
        <v>13650.36</v>
      </c>
      <c r="I3498" s="22">
        <v>6936.9690000000001</v>
      </c>
      <c r="J3498" s="24">
        <f t="shared" si="162"/>
        <v>4.8067104076735185E-5</v>
      </c>
      <c r="K3498" s="25">
        <f t="shared" si="164"/>
        <v>0.96197854319752785</v>
      </c>
      <c r="L3498" s="26" t="s">
        <v>7518</v>
      </c>
      <c r="M3498" s="28"/>
      <c r="N3498" s="28"/>
      <c r="O3498" s="20" t="s">
        <v>7530</v>
      </c>
      <c r="P3498" s="27" t="str">
        <f t="shared" si="163"/>
        <v>vermelho</v>
      </c>
    </row>
    <row r="3499" spans="1:16" ht="25.5">
      <c r="A3499" s="3" t="s">
        <v>4</v>
      </c>
      <c r="B3499" s="3" t="s">
        <v>2545</v>
      </c>
      <c r="C3499" s="4">
        <v>93</v>
      </c>
      <c r="D3499" s="3" t="s">
        <v>20</v>
      </c>
      <c r="E3499" s="3" t="s">
        <v>7</v>
      </c>
      <c r="F3499" s="5">
        <v>0</v>
      </c>
      <c r="G3499" s="5">
        <v>108</v>
      </c>
      <c r="H3499" s="6">
        <v>0</v>
      </c>
      <c r="I3499" s="22">
        <v>6934.92</v>
      </c>
      <c r="J3499" s="24">
        <f t="shared" si="162"/>
        <v>4.8052906305885517E-5</v>
      </c>
      <c r="K3499" s="25">
        <f t="shared" si="164"/>
        <v>0.96202659610383379</v>
      </c>
      <c r="L3499" s="26" t="s">
        <v>7518</v>
      </c>
      <c r="M3499" s="28"/>
      <c r="N3499" s="28"/>
      <c r="O3499" s="20" t="s">
        <v>7530</v>
      </c>
      <c r="P3499" s="27" t="str">
        <f t="shared" si="163"/>
        <v>vermelho</v>
      </c>
    </row>
    <row r="3500" spans="1:16" ht="25.5">
      <c r="A3500" s="3" t="s">
        <v>4</v>
      </c>
      <c r="B3500" s="3" t="s">
        <v>2546</v>
      </c>
      <c r="C3500" s="4">
        <v>296</v>
      </c>
      <c r="D3500" s="3" t="s">
        <v>282</v>
      </c>
      <c r="E3500" s="3" t="s">
        <v>10</v>
      </c>
      <c r="F3500" s="5">
        <v>0</v>
      </c>
      <c r="G3500" s="5">
        <v>126</v>
      </c>
      <c r="H3500" s="6">
        <v>0</v>
      </c>
      <c r="I3500" s="22">
        <v>6927.1570000000002</v>
      </c>
      <c r="J3500" s="24">
        <f t="shared" si="162"/>
        <v>4.7999115532285737E-5</v>
      </c>
      <c r="K3500" s="25">
        <f t="shared" si="164"/>
        <v>0.96207459521936611</v>
      </c>
      <c r="L3500" s="26" t="s">
        <v>7518</v>
      </c>
      <c r="M3500" s="28"/>
      <c r="N3500" s="28"/>
      <c r="O3500" s="20" t="s">
        <v>7530</v>
      </c>
      <c r="P3500" s="27" t="str">
        <f t="shared" si="163"/>
        <v>vermelho</v>
      </c>
    </row>
    <row r="3501" spans="1:16" ht="25.5">
      <c r="A3501" s="3" t="s">
        <v>4</v>
      </c>
      <c r="B3501" s="3" t="s">
        <v>2547</v>
      </c>
      <c r="C3501" s="4">
        <v>23</v>
      </c>
      <c r="D3501" s="3" t="s">
        <v>87</v>
      </c>
      <c r="E3501" s="3" t="s">
        <v>7</v>
      </c>
      <c r="F3501" s="5">
        <v>0</v>
      </c>
      <c r="G3501" s="5">
        <v>108</v>
      </c>
      <c r="H3501" s="6">
        <v>0</v>
      </c>
      <c r="I3501" s="22">
        <v>6919.92</v>
      </c>
      <c r="J3501" s="24">
        <f t="shared" si="162"/>
        <v>4.7948969476825014E-5</v>
      </c>
      <c r="K3501" s="25">
        <f t="shared" si="164"/>
        <v>0.96212254418884291</v>
      </c>
      <c r="L3501" s="26" t="s">
        <v>7518</v>
      </c>
      <c r="M3501" s="28"/>
      <c r="N3501" s="28"/>
      <c r="O3501" s="20" t="s">
        <v>7530</v>
      </c>
      <c r="P3501" s="27" t="str">
        <f t="shared" si="163"/>
        <v>vermelho</v>
      </c>
    </row>
    <row r="3502" spans="1:16" ht="25.5">
      <c r="A3502" s="3" t="s">
        <v>4</v>
      </c>
      <c r="B3502" s="3" t="s">
        <v>2548</v>
      </c>
      <c r="C3502" s="4">
        <v>335</v>
      </c>
      <c r="D3502" s="3" t="s">
        <v>36</v>
      </c>
      <c r="E3502" s="3" t="s">
        <v>7</v>
      </c>
      <c r="F3502" s="5">
        <v>0</v>
      </c>
      <c r="G3502" s="5">
        <v>114</v>
      </c>
      <c r="H3502" s="6">
        <v>0</v>
      </c>
      <c r="I3502" s="22">
        <v>6915.96</v>
      </c>
      <c r="J3502" s="24">
        <f t="shared" si="162"/>
        <v>4.7921530153953036E-5</v>
      </c>
      <c r="K3502" s="25">
        <f t="shared" si="164"/>
        <v>0.96217046571899689</v>
      </c>
      <c r="L3502" s="26" t="s">
        <v>7518</v>
      </c>
      <c r="M3502" s="28">
        <v>-3.1395192321411462E-2</v>
      </c>
      <c r="N3502" s="28"/>
      <c r="O3502" s="20">
        <v>5928.84</v>
      </c>
      <c r="P3502" s="27" t="str">
        <f t="shared" si="163"/>
        <v>laranja</v>
      </c>
    </row>
    <row r="3503" spans="1:16" ht="25.5">
      <c r="A3503" s="3" t="s">
        <v>4</v>
      </c>
      <c r="B3503" s="3" t="s">
        <v>2549</v>
      </c>
      <c r="C3503" s="4">
        <v>218</v>
      </c>
      <c r="D3503" s="3" t="s">
        <v>104</v>
      </c>
      <c r="E3503" s="3" t="s">
        <v>16</v>
      </c>
      <c r="F3503" s="5">
        <v>0</v>
      </c>
      <c r="G3503" s="5">
        <v>135</v>
      </c>
      <c r="H3503" s="6">
        <v>0</v>
      </c>
      <c r="I3503" s="22">
        <v>6914.07</v>
      </c>
      <c r="J3503" s="24">
        <f t="shared" si="162"/>
        <v>4.7908434113491414E-5</v>
      </c>
      <c r="K3503" s="25">
        <f t="shared" si="164"/>
        <v>0.9622183741531104</v>
      </c>
      <c r="L3503" s="26" t="s">
        <v>7518</v>
      </c>
      <c r="M3503" s="28"/>
      <c r="N3503" s="28"/>
      <c r="O3503" s="20" t="s">
        <v>7530</v>
      </c>
      <c r="P3503" s="27" t="str">
        <f t="shared" si="163"/>
        <v>vermelho</v>
      </c>
    </row>
    <row r="3504" spans="1:16" ht="25.5">
      <c r="A3504" s="3" t="s">
        <v>4</v>
      </c>
      <c r="B3504" s="3" t="s">
        <v>2550</v>
      </c>
      <c r="C3504" s="4">
        <v>31</v>
      </c>
      <c r="D3504" s="3" t="s">
        <v>194</v>
      </c>
      <c r="E3504" s="3" t="s">
        <v>16</v>
      </c>
      <c r="F3504" s="5">
        <v>72</v>
      </c>
      <c r="G3504" s="5">
        <v>120</v>
      </c>
      <c r="H3504" s="6">
        <v>3230.64</v>
      </c>
      <c r="I3504" s="22">
        <v>6911.04</v>
      </c>
      <c r="J3504" s="24">
        <f t="shared" si="162"/>
        <v>4.7887438874021195E-5</v>
      </c>
      <c r="K3504" s="25">
        <f t="shared" si="164"/>
        <v>0.96226626159198447</v>
      </c>
      <c r="L3504" s="26" t="s">
        <v>7518</v>
      </c>
      <c r="M3504" s="28"/>
      <c r="N3504" s="28"/>
      <c r="O3504" s="20" t="s">
        <v>7530</v>
      </c>
      <c r="P3504" s="27" t="str">
        <f t="shared" si="163"/>
        <v>vermelho</v>
      </c>
    </row>
    <row r="3505" spans="1:16" ht="51">
      <c r="A3505" s="3" t="s">
        <v>4</v>
      </c>
      <c r="B3505" s="3" t="s">
        <v>2551</v>
      </c>
      <c r="C3505" s="4">
        <v>282</v>
      </c>
      <c r="D3505" s="3" t="s">
        <v>12</v>
      </c>
      <c r="E3505" s="3" t="s">
        <v>13</v>
      </c>
      <c r="F3505" s="5">
        <v>75</v>
      </c>
      <c r="G3505" s="5">
        <v>204</v>
      </c>
      <c r="H3505" s="6">
        <v>6288.12</v>
      </c>
      <c r="I3505" s="22">
        <v>6909.5630000000001</v>
      </c>
      <c r="J3505" s="24">
        <f t="shared" si="162"/>
        <v>4.7877204560919699E-5</v>
      </c>
      <c r="K3505" s="25">
        <f t="shared" si="164"/>
        <v>0.96231413879654537</v>
      </c>
      <c r="L3505" s="26" t="s">
        <v>7518</v>
      </c>
      <c r="M3505" s="28"/>
      <c r="N3505" s="28"/>
      <c r="O3505" s="20" t="s">
        <v>7530</v>
      </c>
      <c r="P3505" s="27" t="str">
        <f t="shared" si="163"/>
        <v>vermelho</v>
      </c>
    </row>
    <row r="3506" spans="1:16" ht="25.5">
      <c r="A3506" s="3" t="s">
        <v>4</v>
      </c>
      <c r="B3506" s="3" t="s">
        <v>2552</v>
      </c>
      <c r="C3506" s="4">
        <v>335</v>
      </c>
      <c r="D3506" s="3" t="s">
        <v>36</v>
      </c>
      <c r="E3506" s="3" t="s">
        <v>7</v>
      </c>
      <c r="F3506" s="5">
        <v>78</v>
      </c>
      <c r="G3506" s="5">
        <v>140</v>
      </c>
      <c r="H3506" s="6">
        <v>4241.22</v>
      </c>
      <c r="I3506" s="22">
        <v>6898.36</v>
      </c>
      <c r="J3506" s="24">
        <f t="shared" si="162"/>
        <v>4.7799577607855379E-5</v>
      </c>
      <c r="K3506" s="25">
        <f t="shared" si="164"/>
        <v>0.96236193837415318</v>
      </c>
      <c r="L3506" s="26" t="s">
        <v>7518</v>
      </c>
      <c r="M3506" s="28"/>
      <c r="N3506" s="28"/>
      <c r="O3506" s="20" t="s">
        <v>7530</v>
      </c>
      <c r="P3506" s="27" t="str">
        <f t="shared" si="163"/>
        <v>vermelho</v>
      </c>
    </row>
    <row r="3507" spans="1:16" ht="25.5">
      <c r="A3507" s="3" t="s">
        <v>6879</v>
      </c>
      <c r="B3507" s="3" t="s">
        <v>6880</v>
      </c>
      <c r="C3507" s="4">
        <v>93</v>
      </c>
      <c r="D3507" s="3" t="s">
        <v>20</v>
      </c>
      <c r="E3507" s="3" t="s">
        <v>7</v>
      </c>
      <c r="F3507" s="5">
        <v>108</v>
      </c>
      <c r="G3507" s="5">
        <v>96</v>
      </c>
      <c r="H3507" s="6">
        <v>5812.74</v>
      </c>
      <c r="I3507" s="22">
        <v>6893.28</v>
      </c>
      <c r="J3507" s="24">
        <f t="shared" si="162"/>
        <v>4.776437766841355E-5</v>
      </c>
      <c r="K3507" s="25">
        <f t="shared" si="164"/>
        <v>0.96240970275182158</v>
      </c>
      <c r="L3507" s="26" t="s">
        <v>7518</v>
      </c>
      <c r="M3507" s="28"/>
      <c r="N3507" s="28"/>
      <c r="O3507" s="20">
        <v>3890.88</v>
      </c>
      <c r="P3507" s="27" t="str">
        <f t="shared" si="163"/>
        <v>laranja</v>
      </c>
    </row>
    <row r="3508" spans="1:16" ht="38.25">
      <c r="A3508" s="3" t="s">
        <v>4</v>
      </c>
      <c r="B3508" s="3" t="s">
        <v>2553</v>
      </c>
      <c r="C3508" s="4">
        <v>301</v>
      </c>
      <c r="D3508" s="3" t="s">
        <v>519</v>
      </c>
      <c r="E3508" s="3" t="s">
        <v>16</v>
      </c>
      <c r="F3508" s="5">
        <v>108</v>
      </c>
      <c r="G3508" s="5">
        <v>123</v>
      </c>
      <c r="H3508" s="6">
        <v>5620.68</v>
      </c>
      <c r="I3508" s="22">
        <v>6892.95</v>
      </c>
      <c r="J3508" s="24">
        <f t="shared" si="162"/>
        <v>4.7762091058174219E-5</v>
      </c>
      <c r="K3508" s="25">
        <f t="shared" si="164"/>
        <v>0.96245746484287975</v>
      </c>
      <c r="L3508" s="26" t="s">
        <v>7518</v>
      </c>
      <c r="M3508" s="28"/>
      <c r="N3508" s="28"/>
      <c r="O3508" s="20" t="s">
        <v>7530</v>
      </c>
      <c r="P3508" s="27" t="str">
        <f t="shared" si="163"/>
        <v>vermelho</v>
      </c>
    </row>
    <row r="3509" spans="1:16" ht="25.5">
      <c r="A3509" s="3" t="s">
        <v>4</v>
      </c>
      <c r="B3509" s="3" t="s">
        <v>2554</v>
      </c>
      <c r="C3509" s="4">
        <v>273</v>
      </c>
      <c r="D3509" s="3" t="s">
        <v>149</v>
      </c>
      <c r="E3509" s="3" t="s">
        <v>16</v>
      </c>
      <c r="F3509" s="5">
        <v>0</v>
      </c>
      <c r="G3509" s="5">
        <v>120</v>
      </c>
      <c r="H3509" s="6">
        <v>0</v>
      </c>
      <c r="I3509" s="22">
        <v>6886.78</v>
      </c>
      <c r="J3509" s="24">
        <f t="shared" si="162"/>
        <v>4.7719338375820665E-5</v>
      </c>
      <c r="K3509" s="25">
        <f t="shared" si="164"/>
        <v>0.96250518418125552</v>
      </c>
      <c r="L3509" s="26" t="s">
        <v>7518</v>
      </c>
      <c r="M3509" s="28"/>
      <c r="N3509" s="28"/>
      <c r="O3509" s="20" t="s">
        <v>7530</v>
      </c>
      <c r="P3509" s="27" t="str">
        <f t="shared" si="163"/>
        <v>vermelho</v>
      </c>
    </row>
    <row r="3510" spans="1:16" ht="25.5">
      <c r="A3510" s="3" t="s">
        <v>4</v>
      </c>
      <c r="B3510" s="3" t="s">
        <v>2555</v>
      </c>
      <c r="C3510" s="4">
        <v>218</v>
      </c>
      <c r="D3510" s="3" t="s">
        <v>104</v>
      </c>
      <c r="E3510" s="3" t="s">
        <v>16</v>
      </c>
      <c r="F3510" s="5">
        <v>0</v>
      </c>
      <c r="G3510" s="5">
        <v>123</v>
      </c>
      <c r="H3510" s="6">
        <v>0</v>
      </c>
      <c r="I3510" s="22">
        <v>6884.55</v>
      </c>
      <c r="J3510" s="24">
        <f t="shared" si="162"/>
        <v>4.7703886433900343E-5</v>
      </c>
      <c r="K3510" s="25">
        <f t="shared" si="164"/>
        <v>0.96255288806768946</v>
      </c>
      <c r="L3510" s="26" t="s">
        <v>7518</v>
      </c>
      <c r="M3510" s="28"/>
      <c r="N3510" s="28"/>
      <c r="O3510" s="20">
        <v>7616.82</v>
      </c>
      <c r="P3510" s="27" t="str">
        <f t="shared" si="163"/>
        <v>verde</v>
      </c>
    </row>
    <row r="3511" spans="1:16" ht="38.25">
      <c r="A3511" s="3" t="s">
        <v>4</v>
      </c>
      <c r="B3511" s="3" t="s">
        <v>2556</v>
      </c>
      <c r="C3511" s="4">
        <v>315</v>
      </c>
      <c r="D3511" s="3" t="s">
        <v>63</v>
      </c>
      <c r="E3511" s="3" t="s">
        <v>7</v>
      </c>
      <c r="F3511" s="5">
        <v>0</v>
      </c>
      <c r="G3511" s="5">
        <v>99</v>
      </c>
      <c r="H3511" s="6">
        <v>0</v>
      </c>
      <c r="I3511" s="22">
        <v>6863.07</v>
      </c>
      <c r="J3511" s="24">
        <f t="shared" si="162"/>
        <v>4.7555048894685692E-5</v>
      </c>
      <c r="K3511" s="25">
        <f t="shared" si="164"/>
        <v>0.9626004431165841</v>
      </c>
      <c r="L3511" s="26" t="s">
        <v>7518</v>
      </c>
      <c r="M3511" s="28"/>
      <c r="N3511" s="28">
        <v>4.9314678603328506E-2</v>
      </c>
      <c r="O3511" s="20">
        <v>19536.495999999999</v>
      </c>
      <c r="P3511" s="27" t="str">
        <f t="shared" si="163"/>
        <v>verde</v>
      </c>
    </row>
    <row r="3512" spans="1:16" ht="25.5">
      <c r="A3512" s="3" t="s">
        <v>4</v>
      </c>
      <c r="B3512" s="3" t="s">
        <v>2557</v>
      </c>
      <c r="C3512" s="4">
        <v>261</v>
      </c>
      <c r="D3512" s="3" t="s">
        <v>9</v>
      </c>
      <c r="E3512" s="3" t="s">
        <v>10</v>
      </c>
      <c r="F3512" s="5">
        <v>96</v>
      </c>
      <c r="G3512" s="5">
        <v>108</v>
      </c>
      <c r="H3512" s="6">
        <v>4433.5200000000004</v>
      </c>
      <c r="I3512" s="22">
        <v>6862.92</v>
      </c>
      <c r="J3512" s="24">
        <f t="shared" si="162"/>
        <v>4.7554009526395093E-5</v>
      </c>
      <c r="K3512" s="25">
        <f t="shared" si="164"/>
        <v>0.96264799712611049</v>
      </c>
      <c r="L3512" s="26" t="s">
        <v>7518</v>
      </c>
      <c r="M3512" s="28"/>
      <c r="N3512" s="28"/>
      <c r="O3512" s="20">
        <v>7090.56</v>
      </c>
      <c r="P3512" s="27" t="str">
        <f t="shared" si="163"/>
        <v>verde</v>
      </c>
    </row>
    <row r="3513" spans="1:16" ht="25.5">
      <c r="A3513" s="3" t="s">
        <v>4</v>
      </c>
      <c r="B3513" s="3" t="s">
        <v>2558</v>
      </c>
      <c r="C3513" s="4">
        <v>261</v>
      </c>
      <c r="D3513" s="3" t="s">
        <v>9</v>
      </c>
      <c r="E3513" s="3" t="s">
        <v>10</v>
      </c>
      <c r="F3513" s="5">
        <v>54</v>
      </c>
      <c r="G3513" s="5">
        <v>126</v>
      </c>
      <c r="H3513" s="6">
        <v>2735.46</v>
      </c>
      <c r="I3513" s="22">
        <v>6861.42</v>
      </c>
      <c r="J3513" s="24">
        <f t="shared" si="162"/>
        <v>4.754361584348904E-5</v>
      </c>
      <c r="K3513" s="25">
        <f t="shared" si="164"/>
        <v>0.96269554074195396</v>
      </c>
      <c r="L3513" s="26" t="s">
        <v>7518</v>
      </c>
      <c r="M3513" s="28"/>
      <c r="N3513" s="28"/>
      <c r="O3513" s="20">
        <v>6149.61</v>
      </c>
      <c r="P3513" s="27" t="str">
        <f t="shared" si="163"/>
        <v>laranja</v>
      </c>
    </row>
    <row r="3514" spans="1:16" ht="25.5">
      <c r="A3514" s="3" t="s">
        <v>4</v>
      </c>
      <c r="B3514" s="3" t="s">
        <v>2559</v>
      </c>
      <c r="C3514" s="4">
        <v>23</v>
      </c>
      <c r="D3514" s="3" t="s">
        <v>87</v>
      </c>
      <c r="E3514" s="3" t="s">
        <v>7</v>
      </c>
      <c r="F3514" s="5">
        <v>0</v>
      </c>
      <c r="G3514" s="5">
        <v>126</v>
      </c>
      <c r="H3514" s="6">
        <v>0</v>
      </c>
      <c r="I3514" s="22">
        <v>6857.64</v>
      </c>
      <c r="J3514" s="24">
        <f t="shared" si="162"/>
        <v>4.7517423762565795E-5</v>
      </c>
      <c r="K3514" s="25">
        <f t="shared" si="164"/>
        <v>0.96274305816571648</v>
      </c>
      <c r="L3514" s="26" t="s">
        <v>7518</v>
      </c>
      <c r="M3514" s="28"/>
      <c r="N3514" s="28"/>
      <c r="O3514" s="20" t="s">
        <v>7530</v>
      </c>
      <c r="P3514" s="27" t="str">
        <f t="shared" si="163"/>
        <v>vermelho</v>
      </c>
    </row>
    <row r="3515" spans="1:16" ht="38.25">
      <c r="A3515" s="3" t="s">
        <v>4</v>
      </c>
      <c r="B3515" s="3" t="s">
        <v>2560</v>
      </c>
      <c r="C3515" s="4">
        <v>45</v>
      </c>
      <c r="D3515" s="3" t="s">
        <v>23</v>
      </c>
      <c r="E3515" s="3" t="s">
        <v>7</v>
      </c>
      <c r="F3515" s="5">
        <v>0</v>
      </c>
      <c r="G3515" s="5">
        <v>132</v>
      </c>
      <c r="H3515" s="6">
        <v>0</v>
      </c>
      <c r="I3515" s="22">
        <v>6856.44</v>
      </c>
      <c r="J3515" s="24">
        <f t="shared" si="162"/>
        <v>4.7509108816240946E-5</v>
      </c>
      <c r="K3515" s="25">
        <f t="shared" si="164"/>
        <v>0.96279056727453272</v>
      </c>
      <c r="L3515" s="26" t="s">
        <v>7518</v>
      </c>
      <c r="M3515" s="28"/>
      <c r="N3515" s="28"/>
      <c r="O3515" s="20">
        <v>5393.16</v>
      </c>
      <c r="P3515" s="27" t="str">
        <f t="shared" si="163"/>
        <v>laranja</v>
      </c>
    </row>
    <row r="3516" spans="1:16" ht="25.5">
      <c r="A3516" s="3" t="s">
        <v>4</v>
      </c>
      <c r="B3516" s="3" t="s">
        <v>2561</v>
      </c>
      <c r="C3516" s="4">
        <v>218</v>
      </c>
      <c r="D3516" s="3" t="s">
        <v>104</v>
      </c>
      <c r="E3516" s="3" t="s">
        <v>16</v>
      </c>
      <c r="F3516" s="5">
        <v>75</v>
      </c>
      <c r="G3516" s="5">
        <v>135</v>
      </c>
      <c r="H3516" s="6">
        <v>3429.45</v>
      </c>
      <c r="I3516" s="22">
        <v>6847.65</v>
      </c>
      <c r="J3516" s="24">
        <f t="shared" si="162"/>
        <v>4.7448201834411492E-5</v>
      </c>
      <c r="K3516" s="25">
        <f t="shared" si="164"/>
        <v>0.96283801547636716</v>
      </c>
      <c r="L3516" s="26" t="s">
        <v>7518</v>
      </c>
      <c r="M3516" s="28"/>
      <c r="N3516" s="28"/>
      <c r="O3516" s="20" t="s">
        <v>7530</v>
      </c>
      <c r="P3516" s="27" t="str">
        <f t="shared" si="163"/>
        <v>vermelho</v>
      </c>
    </row>
    <row r="3517" spans="1:16">
      <c r="A3517" s="3" t="s">
        <v>4</v>
      </c>
      <c r="B3517" s="3" t="s">
        <v>2562</v>
      </c>
      <c r="C3517" s="4">
        <v>15</v>
      </c>
      <c r="D3517" s="3" t="s">
        <v>18</v>
      </c>
      <c r="E3517" s="3" t="s">
        <v>16</v>
      </c>
      <c r="F3517" s="5">
        <v>180</v>
      </c>
      <c r="G3517" s="5">
        <v>108</v>
      </c>
      <c r="H3517" s="6">
        <v>10384.56</v>
      </c>
      <c r="I3517" s="22">
        <v>6833.16</v>
      </c>
      <c r="J3517" s="24">
        <f t="shared" si="162"/>
        <v>4.7347798857539045E-5</v>
      </c>
      <c r="K3517" s="25">
        <f t="shared" si="164"/>
        <v>0.96288536327522467</v>
      </c>
      <c r="L3517" s="26" t="s">
        <v>7518</v>
      </c>
      <c r="M3517" s="28"/>
      <c r="N3517" s="28"/>
      <c r="O3517" s="20" t="s">
        <v>7530</v>
      </c>
      <c r="P3517" s="27" t="str">
        <f t="shared" si="163"/>
        <v>vermelho</v>
      </c>
    </row>
    <row r="3518" spans="1:16" ht="38.25">
      <c r="A3518" s="3" t="s">
        <v>4</v>
      </c>
      <c r="B3518" s="3" t="s">
        <v>2563</v>
      </c>
      <c r="C3518" s="4">
        <v>38</v>
      </c>
      <c r="D3518" s="3" t="s">
        <v>184</v>
      </c>
      <c r="E3518" s="3" t="s">
        <v>49</v>
      </c>
      <c r="F3518" s="5">
        <v>132</v>
      </c>
      <c r="G3518" s="5">
        <v>216</v>
      </c>
      <c r="H3518" s="6">
        <v>6728.8320000000003</v>
      </c>
      <c r="I3518" s="22">
        <v>6831</v>
      </c>
      <c r="J3518" s="24">
        <f t="shared" si="162"/>
        <v>4.7332831954154331E-5</v>
      </c>
      <c r="K3518" s="25">
        <f t="shared" si="164"/>
        <v>0.9629326961071788</v>
      </c>
      <c r="L3518" s="26" t="s">
        <v>7518</v>
      </c>
      <c r="M3518" s="28"/>
      <c r="N3518" s="28"/>
      <c r="O3518" s="20" t="s">
        <v>7530</v>
      </c>
      <c r="P3518" s="27" t="str">
        <f t="shared" si="163"/>
        <v>vermelho</v>
      </c>
    </row>
    <row r="3519" spans="1:16" ht="25.5">
      <c r="A3519" s="3" t="s">
        <v>6881</v>
      </c>
      <c r="B3519" s="3" t="s">
        <v>6882</v>
      </c>
      <c r="C3519" s="4">
        <v>93</v>
      </c>
      <c r="D3519" s="3" t="s">
        <v>20</v>
      </c>
      <c r="E3519" s="3" t="s">
        <v>7</v>
      </c>
      <c r="F3519" s="5">
        <v>2849</v>
      </c>
      <c r="G3519" s="5">
        <v>153</v>
      </c>
      <c r="H3519" s="6">
        <v>77820.433999999994</v>
      </c>
      <c r="I3519" s="22">
        <v>6828.12</v>
      </c>
      <c r="J3519" s="24">
        <f t="shared" si="162"/>
        <v>4.7312876082974717E-5</v>
      </c>
      <c r="K3519" s="25">
        <f t="shared" si="164"/>
        <v>0.96298000898326175</v>
      </c>
      <c r="L3519" s="26" t="s">
        <v>7518</v>
      </c>
      <c r="M3519" s="28"/>
      <c r="N3519" s="28"/>
      <c r="O3519" s="20">
        <v>7295.04</v>
      </c>
      <c r="P3519" s="27" t="str">
        <f t="shared" si="163"/>
        <v>verde</v>
      </c>
    </row>
    <row r="3520" spans="1:16" ht="25.5">
      <c r="A3520" s="3" t="s">
        <v>4</v>
      </c>
      <c r="B3520" s="3" t="s">
        <v>2564</v>
      </c>
      <c r="C3520" s="4">
        <v>297</v>
      </c>
      <c r="D3520" s="3" t="s">
        <v>115</v>
      </c>
      <c r="E3520" s="3" t="s">
        <v>41</v>
      </c>
      <c r="F3520" s="5">
        <v>258</v>
      </c>
      <c r="G3520" s="5">
        <v>108</v>
      </c>
      <c r="H3520" s="6">
        <v>14348.1</v>
      </c>
      <c r="I3520" s="22">
        <v>6826.92</v>
      </c>
      <c r="J3520" s="24">
        <f t="shared" si="162"/>
        <v>4.7304561136649875E-5</v>
      </c>
      <c r="K3520" s="25">
        <f t="shared" si="164"/>
        <v>0.96302731354439841</v>
      </c>
      <c r="L3520" s="26" t="s">
        <v>7518</v>
      </c>
      <c r="M3520" s="28"/>
      <c r="N3520" s="28"/>
      <c r="O3520" s="20" t="s">
        <v>7530</v>
      </c>
      <c r="P3520" s="27" t="str">
        <f t="shared" si="163"/>
        <v>vermelho</v>
      </c>
    </row>
    <row r="3521" spans="1:16" ht="25.5">
      <c r="A3521" s="3" t="s">
        <v>6883</v>
      </c>
      <c r="B3521" s="3" t="s">
        <v>6884</v>
      </c>
      <c r="C3521" s="4">
        <v>273</v>
      </c>
      <c r="D3521" s="3" t="s">
        <v>149</v>
      </c>
      <c r="E3521" s="3" t="s">
        <v>16</v>
      </c>
      <c r="F3521" s="5">
        <v>255</v>
      </c>
      <c r="G3521" s="5">
        <v>117</v>
      </c>
      <c r="H3521" s="6">
        <v>13524.21</v>
      </c>
      <c r="I3521" s="22">
        <v>6825.692</v>
      </c>
      <c r="J3521" s="24">
        <f t="shared" si="162"/>
        <v>4.7296052174910791E-5</v>
      </c>
      <c r="K3521" s="25">
        <f t="shared" si="164"/>
        <v>0.96307460959657332</v>
      </c>
      <c r="L3521" s="26" t="s">
        <v>7518</v>
      </c>
      <c r="M3521" s="28"/>
      <c r="N3521" s="28"/>
      <c r="O3521" s="20" t="s">
        <v>7530</v>
      </c>
      <c r="P3521" s="27" t="str">
        <f t="shared" si="163"/>
        <v>vermelho</v>
      </c>
    </row>
    <row r="3522" spans="1:16">
      <c r="A3522" s="3" t="s">
        <v>6885</v>
      </c>
      <c r="B3522" s="3" t="s">
        <v>6886</v>
      </c>
      <c r="C3522" s="4">
        <v>240</v>
      </c>
      <c r="D3522" s="3" t="s">
        <v>69</v>
      </c>
      <c r="E3522" s="3" t="s">
        <v>16</v>
      </c>
      <c r="F3522" s="5">
        <v>234</v>
      </c>
      <c r="G3522" s="5">
        <v>120</v>
      </c>
      <c r="H3522" s="6">
        <v>13506.39</v>
      </c>
      <c r="I3522" s="22">
        <v>6817.92</v>
      </c>
      <c r="J3522" s="24">
        <f t="shared" si="162"/>
        <v>4.724219903921357E-5</v>
      </c>
      <c r="K3522" s="25">
        <f t="shared" si="164"/>
        <v>0.96312185179561249</v>
      </c>
      <c r="L3522" s="26" t="s">
        <v>7518</v>
      </c>
      <c r="M3522" s="28"/>
      <c r="N3522" s="28"/>
      <c r="O3522" s="20" t="s">
        <v>7530</v>
      </c>
      <c r="P3522" s="27" t="str">
        <f t="shared" si="163"/>
        <v>vermelho</v>
      </c>
    </row>
    <row r="3523" spans="1:16" ht="38.25">
      <c r="A3523" s="3" t="s">
        <v>4</v>
      </c>
      <c r="B3523" s="3" t="s">
        <v>2565</v>
      </c>
      <c r="C3523" s="4">
        <v>11</v>
      </c>
      <c r="D3523" s="3" t="s">
        <v>61</v>
      </c>
      <c r="E3523" s="3" t="s">
        <v>10</v>
      </c>
      <c r="F3523" s="5">
        <v>0</v>
      </c>
      <c r="G3523" s="5">
        <v>96</v>
      </c>
      <c r="H3523" s="6">
        <v>0</v>
      </c>
      <c r="I3523" s="22">
        <v>6815.04</v>
      </c>
      <c r="J3523" s="24">
        <f t="shared" ref="J3523:J3586" si="165">I3523/$I$6364</f>
        <v>4.7222243168033957E-5</v>
      </c>
      <c r="K3523" s="25">
        <f t="shared" si="164"/>
        <v>0.96316907403878049</v>
      </c>
      <c r="L3523" s="26" t="s">
        <v>7518</v>
      </c>
      <c r="M3523" s="28"/>
      <c r="N3523" s="28"/>
      <c r="O3523" s="20" t="s">
        <v>7530</v>
      </c>
      <c r="P3523" s="27" t="str">
        <f t="shared" ref="P3523:P3586" si="166">IF(O3523&lt;=0,"vermelho",IFERROR(IF(O3523/I3523&lt;=0.5098,"amarelo",IF(O3523/I3523&lt;1,"laranja","verde")),"vermelho"))</f>
        <v>vermelho</v>
      </c>
    </row>
    <row r="3524" spans="1:16" ht="25.5">
      <c r="A3524" s="3" t="s">
        <v>4</v>
      </c>
      <c r="B3524" s="3" t="s">
        <v>2566</v>
      </c>
      <c r="C3524" s="4">
        <v>297</v>
      </c>
      <c r="D3524" s="3" t="s">
        <v>115</v>
      </c>
      <c r="E3524" s="3" t="s">
        <v>41</v>
      </c>
      <c r="F3524" s="5">
        <v>156</v>
      </c>
      <c r="G3524" s="5">
        <v>126</v>
      </c>
      <c r="H3524" s="6">
        <v>8994.36</v>
      </c>
      <c r="I3524" s="22">
        <v>6808.05</v>
      </c>
      <c r="J3524" s="24">
        <f t="shared" si="165"/>
        <v>4.717380860569176E-5</v>
      </c>
      <c r="K3524" s="25">
        <f t="shared" ref="K3524:K3587" si="167">J3524+K3523</f>
        <v>0.96321624784738613</v>
      </c>
      <c r="L3524" s="26" t="s">
        <v>7518</v>
      </c>
      <c r="M3524" s="28"/>
      <c r="N3524" s="28"/>
      <c r="O3524" s="20">
        <v>6580.44</v>
      </c>
      <c r="P3524" s="27" t="str">
        <f t="shared" si="166"/>
        <v>laranja</v>
      </c>
    </row>
    <row r="3525" spans="1:16" ht="25.5">
      <c r="A3525" s="3" t="s">
        <v>4</v>
      </c>
      <c r="B3525" s="3" t="s">
        <v>2567</v>
      </c>
      <c r="C3525" s="4">
        <v>261</v>
      </c>
      <c r="D3525" s="3" t="s">
        <v>9</v>
      </c>
      <c r="E3525" s="3" t="s">
        <v>10</v>
      </c>
      <c r="F3525" s="5">
        <v>198</v>
      </c>
      <c r="G3525" s="5">
        <v>126</v>
      </c>
      <c r="H3525" s="6">
        <v>10726.92</v>
      </c>
      <c r="I3525" s="22">
        <v>6805.41</v>
      </c>
      <c r="J3525" s="24">
        <f t="shared" si="165"/>
        <v>4.7155515723777111E-5</v>
      </c>
      <c r="K3525" s="25">
        <f t="shared" si="167"/>
        <v>0.96326340336310989</v>
      </c>
      <c r="L3525" s="26" t="s">
        <v>7518</v>
      </c>
      <c r="M3525" s="28"/>
      <c r="N3525" s="28"/>
      <c r="O3525" s="20" t="s">
        <v>7530</v>
      </c>
      <c r="P3525" s="27" t="str">
        <f t="shared" si="166"/>
        <v>vermelho</v>
      </c>
    </row>
    <row r="3526" spans="1:16" ht="25.5">
      <c r="A3526" s="3" t="s">
        <v>4</v>
      </c>
      <c r="B3526" s="3" t="s">
        <v>2568</v>
      </c>
      <c r="C3526" s="4">
        <v>267</v>
      </c>
      <c r="D3526" s="3" t="s">
        <v>125</v>
      </c>
      <c r="E3526" s="3" t="s">
        <v>16</v>
      </c>
      <c r="F3526" s="5">
        <v>96</v>
      </c>
      <c r="G3526" s="5">
        <v>144</v>
      </c>
      <c r="H3526" s="6">
        <v>4223.04</v>
      </c>
      <c r="I3526" s="22">
        <v>6795.36</v>
      </c>
      <c r="J3526" s="24">
        <f t="shared" si="165"/>
        <v>4.7085878048306569E-5</v>
      </c>
      <c r="K3526" s="25">
        <f t="shared" si="167"/>
        <v>0.96331048924115825</v>
      </c>
      <c r="L3526" s="26" t="s">
        <v>7518</v>
      </c>
      <c r="M3526" s="28">
        <v>-1.326913096879008E-2</v>
      </c>
      <c r="N3526" s="28"/>
      <c r="O3526" s="20" t="s">
        <v>7530</v>
      </c>
      <c r="P3526" s="27" t="str">
        <f t="shared" si="166"/>
        <v>vermelho</v>
      </c>
    </row>
    <row r="3527" spans="1:16" ht="25.5">
      <c r="A3527" s="3" t="s">
        <v>4</v>
      </c>
      <c r="B3527" s="3" t="s">
        <v>2569</v>
      </c>
      <c r="C3527" s="4">
        <v>332</v>
      </c>
      <c r="D3527" s="3" t="s">
        <v>1470</v>
      </c>
      <c r="E3527" s="3" t="s">
        <v>13</v>
      </c>
      <c r="F3527" s="5">
        <v>0</v>
      </c>
      <c r="G3527" s="5">
        <v>90</v>
      </c>
      <c r="H3527" s="6">
        <v>0</v>
      </c>
      <c r="I3527" s="22">
        <v>6793.26</v>
      </c>
      <c r="J3527" s="24">
        <f t="shared" si="165"/>
        <v>4.7071326892238102E-5</v>
      </c>
      <c r="K3527" s="25">
        <f t="shared" si="167"/>
        <v>0.96335756056805044</v>
      </c>
      <c r="L3527" s="26" t="s">
        <v>7518</v>
      </c>
      <c r="M3527" s="28"/>
      <c r="N3527" s="28"/>
      <c r="O3527" s="20">
        <v>6793.26</v>
      </c>
      <c r="P3527" s="27" t="str">
        <f t="shared" si="166"/>
        <v>verde</v>
      </c>
    </row>
    <row r="3528" spans="1:16" ht="25.5">
      <c r="A3528" s="3" t="s">
        <v>4</v>
      </c>
      <c r="B3528" s="3" t="s">
        <v>2570</v>
      </c>
      <c r="C3528" s="4">
        <v>315</v>
      </c>
      <c r="D3528" s="3" t="s">
        <v>63</v>
      </c>
      <c r="E3528" s="3" t="s">
        <v>7</v>
      </c>
      <c r="F3528" s="5">
        <v>186</v>
      </c>
      <c r="G3528" s="5">
        <v>108</v>
      </c>
      <c r="H3528" s="6">
        <v>10623.9</v>
      </c>
      <c r="I3528" s="22">
        <v>6791.366</v>
      </c>
      <c r="J3528" s="24">
        <f t="shared" si="165"/>
        <v>4.705820313528873E-5</v>
      </c>
      <c r="K3528" s="25">
        <f t="shared" si="167"/>
        <v>0.96340461877118577</v>
      </c>
      <c r="L3528" s="26" t="s">
        <v>7518</v>
      </c>
      <c r="M3528" s="28"/>
      <c r="N3528" s="28"/>
      <c r="O3528" s="20">
        <v>8955.1110000000008</v>
      </c>
      <c r="P3528" s="27" t="str">
        <f t="shared" si="166"/>
        <v>verde</v>
      </c>
    </row>
    <row r="3529" spans="1:16" ht="25.5">
      <c r="A3529" s="3" t="s">
        <v>4</v>
      </c>
      <c r="B3529" s="3" t="s">
        <v>2571</v>
      </c>
      <c r="C3529" s="4">
        <v>267</v>
      </c>
      <c r="D3529" s="3" t="s">
        <v>125</v>
      </c>
      <c r="E3529" s="3" t="s">
        <v>16</v>
      </c>
      <c r="F3529" s="5">
        <v>0</v>
      </c>
      <c r="G3529" s="5">
        <v>102</v>
      </c>
      <c r="H3529" s="6">
        <v>0</v>
      </c>
      <c r="I3529" s="22">
        <v>6791.28</v>
      </c>
      <c r="J3529" s="24">
        <f t="shared" si="165"/>
        <v>4.7057607230802113E-5</v>
      </c>
      <c r="K3529" s="25">
        <f t="shared" si="167"/>
        <v>0.96345167637841655</v>
      </c>
      <c r="L3529" s="26" t="s">
        <v>7518</v>
      </c>
      <c r="M3529" s="28"/>
      <c r="N3529" s="28"/>
      <c r="O3529" s="20" t="s">
        <v>7530</v>
      </c>
      <c r="P3529" s="27" t="str">
        <f t="shared" si="166"/>
        <v>vermelho</v>
      </c>
    </row>
    <row r="3530" spans="1:16" ht="25.5">
      <c r="A3530" s="3" t="s">
        <v>4</v>
      </c>
      <c r="B3530" s="3" t="s">
        <v>2572</v>
      </c>
      <c r="C3530" s="4">
        <v>231</v>
      </c>
      <c r="D3530" s="3" t="s">
        <v>52</v>
      </c>
      <c r="E3530" s="3" t="s">
        <v>7</v>
      </c>
      <c r="F3530" s="5">
        <v>393</v>
      </c>
      <c r="G3530" s="5">
        <v>120</v>
      </c>
      <c r="H3530" s="6">
        <v>18029.37</v>
      </c>
      <c r="I3530" s="22">
        <v>6791.04</v>
      </c>
      <c r="J3530" s="24">
        <f t="shared" si="165"/>
        <v>4.7055944241537149E-5</v>
      </c>
      <c r="K3530" s="25">
        <f t="shared" si="167"/>
        <v>0.96349873232265815</v>
      </c>
      <c r="L3530" s="26" t="s">
        <v>7518</v>
      </c>
      <c r="M3530" s="28">
        <v>-4.6180343252581642E-3</v>
      </c>
      <c r="N3530" s="28"/>
      <c r="O3530" s="20">
        <v>2316.96</v>
      </c>
      <c r="P3530" s="27" t="str">
        <f t="shared" si="166"/>
        <v>amarelo</v>
      </c>
    </row>
    <row r="3531" spans="1:16" ht="25.5">
      <c r="A3531" s="3" t="s">
        <v>4</v>
      </c>
      <c r="B3531" s="3" t="s">
        <v>2573</v>
      </c>
      <c r="C3531" s="4">
        <v>187</v>
      </c>
      <c r="D3531" s="3" t="s">
        <v>96</v>
      </c>
      <c r="E3531" s="3" t="s">
        <v>7</v>
      </c>
      <c r="F3531" s="5">
        <v>0</v>
      </c>
      <c r="G3531" s="5">
        <v>108</v>
      </c>
      <c r="H3531" s="6">
        <v>0</v>
      </c>
      <c r="I3531" s="22">
        <v>6780.48</v>
      </c>
      <c r="J3531" s="24">
        <f t="shared" si="165"/>
        <v>4.6982772713878545E-5</v>
      </c>
      <c r="K3531" s="25">
        <f t="shared" si="167"/>
        <v>0.96354571509537201</v>
      </c>
      <c r="L3531" s="26" t="s">
        <v>7518</v>
      </c>
      <c r="M3531" s="28"/>
      <c r="N3531" s="28"/>
      <c r="O3531" s="20" t="s">
        <v>7530</v>
      </c>
      <c r="P3531" s="27" t="str">
        <f t="shared" si="166"/>
        <v>vermelho</v>
      </c>
    </row>
    <row r="3532" spans="1:16" ht="38.25">
      <c r="A3532" s="3" t="s">
        <v>4</v>
      </c>
      <c r="B3532" s="3" t="s">
        <v>2574</v>
      </c>
      <c r="C3532" s="4">
        <v>45</v>
      </c>
      <c r="D3532" s="3" t="s">
        <v>23</v>
      </c>
      <c r="E3532" s="3" t="s">
        <v>7</v>
      </c>
      <c r="F3532" s="5">
        <v>141</v>
      </c>
      <c r="G3532" s="5">
        <v>114</v>
      </c>
      <c r="H3532" s="6">
        <v>6951.27</v>
      </c>
      <c r="I3532" s="22">
        <v>6778.86</v>
      </c>
      <c r="J3532" s="24">
        <f t="shared" si="165"/>
        <v>4.6971547536340013E-5</v>
      </c>
      <c r="K3532" s="25">
        <f t="shared" si="167"/>
        <v>0.96359268664290831</v>
      </c>
      <c r="L3532" s="26" t="s">
        <v>7518</v>
      </c>
      <c r="M3532" s="28"/>
      <c r="N3532" s="28"/>
      <c r="O3532" s="20">
        <v>6177.6</v>
      </c>
      <c r="P3532" s="27" t="str">
        <f t="shared" si="166"/>
        <v>laranja</v>
      </c>
    </row>
    <row r="3533" spans="1:16" ht="25.5">
      <c r="A3533" s="3" t="s">
        <v>4</v>
      </c>
      <c r="B3533" s="3" t="s">
        <v>2575</v>
      </c>
      <c r="C3533" s="4">
        <v>231</v>
      </c>
      <c r="D3533" s="3" t="s">
        <v>52</v>
      </c>
      <c r="E3533" s="3" t="s">
        <v>7</v>
      </c>
      <c r="F3533" s="5">
        <v>0</v>
      </c>
      <c r="G3533" s="5">
        <v>114</v>
      </c>
      <c r="H3533" s="6">
        <v>0</v>
      </c>
      <c r="I3533" s="22">
        <v>6777.81</v>
      </c>
      <c r="J3533" s="24">
        <f t="shared" si="165"/>
        <v>4.6964271958305783E-5</v>
      </c>
      <c r="K3533" s="25">
        <f t="shared" si="167"/>
        <v>0.96363965091486659</v>
      </c>
      <c r="L3533" s="26" t="s">
        <v>7518</v>
      </c>
      <c r="M3533" s="28"/>
      <c r="N3533" s="28"/>
      <c r="O3533" s="20" t="s">
        <v>7530</v>
      </c>
      <c r="P3533" s="27" t="str">
        <f t="shared" si="166"/>
        <v>vermelho</v>
      </c>
    </row>
    <row r="3534" spans="1:16" ht="25.5">
      <c r="A3534" s="3" t="s">
        <v>4</v>
      </c>
      <c r="B3534" s="3" t="s">
        <v>2576</v>
      </c>
      <c r="C3534" s="4">
        <v>41</v>
      </c>
      <c r="D3534" s="3" t="s">
        <v>178</v>
      </c>
      <c r="E3534" s="3" t="s">
        <v>41</v>
      </c>
      <c r="F3534" s="5">
        <v>108</v>
      </c>
      <c r="G3534" s="5">
        <v>102</v>
      </c>
      <c r="H3534" s="6">
        <v>5153.76</v>
      </c>
      <c r="I3534" s="22">
        <v>6764.52</v>
      </c>
      <c r="J3534" s="24">
        <f t="shared" si="165"/>
        <v>4.6872183927758177E-5</v>
      </c>
      <c r="K3534" s="25">
        <f t="shared" si="167"/>
        <v>0.96368652309879432</v>
      </c>
      <c r="L3534" s="26" t="s">
        <v>7518</v>
      </c>
      <c r="M3534" s="28">
        <v>-3.008802287013234E-3</v>
      </c>
      <c r="N3534" s="28"/>
      <c r="O3534" s="20" t="s">
        <v>7530</v>
      </c>
      <c r="P3534" s="27" t="str">
        <f t="shared" si="166"/>
        <v>vermelho</v>
      </c>
    </row>
    <row r="3535" spans="1:16" ht="25.5">
      <c r="A3535" s="3" t="s">
        <v>6887</v>
      </c>
      <c r="B3535" s="3" t="s">
        <v>6888</v>
      </c>
      <c r="C3535" s="4">
        <v>337</v>
      </c>
      <c r="D3535" s="3" t="s">
        <v>202</v>
      </c>
      <c r="E3535" s="3" t="s">
        <v>16</v>
      </c>
      <c r="F3535" s="5">
        <v>120</v>
      </c>
      <c r="G3535" s="5">
        <v>108</v>
      </c>
      <c r="H3535" s="6">
        <v>6925.68</v>
      </c>
      <c r="I3535" s="22">
        <v>6764.52</v>
      </c>
      <c r="J3535" s="24">
        <f t="shared" si="165"/>
        <v>4.6872183927758177E-5</v>
      </c>
      <c r="K3535" s="25">
        <f t="shared" si="167"/>
        <v>0.96373339528272206</v>
      </c>
      <c r="L3535" s="26" t="s">
        <v>7518</v>
      </c>
      <c r="M3535" s="28"/>
      <c r="N3535" s="28"/>
      <c r="O3535" s="20" t="s">
        <v>7530</v>
      </c>
      <c r="P3535" s="27" t="str">
        <f t="shared" si="166"/>
        <v>vermelho</v>
      </c>
    </row>
    <row r="3536" spans="1:16" ht="25.5">
      <c r="A3536" s="3" t="s">
        <v>4</v>
      </c>
      <c r="B3536" s="3" t="s">
        <v>2577</v>
      </c>
      <c r="C3536" s="4">
        <v>328</v>
      </c>
      <c r="D3536" s="3" t="s">
        <v>215</v>
      </c>
      <c r="E3536" s="3" t="s">
        <v>41</v>
      </c>
      <c r="F3536" s="5">
        <v>354</v>
      </c>
      <c r="G3536" s="5">
        <v>105</v>
      </c>
      <c r="H3536" s="6">
        <v>17598.612000000001</v>
      </c>
      <c r="I3536" s="22">
        <v>6763.95</v>
      </c>
      <c r="J3536" s="24">
        <f t="shared" si="165"/>
        <v>4.6868234328253869E-5</v>
      </c>
      <c r="K3536" s="25">
        <f t="shared" si="167"/>
        <v>0.96378026351705026</v>
      </c>
      <c r="L3536" s="26" t="s">
        <v>7518</v>
      </c>
      <c r="M3536" s="28"/>
      <c r="N3536" s="28"/>
      <c r="O3536" s="20" t="s">
        <v>7530</v>
      </c>
      <c r="P3536" s="27" t="str">
        <f t="shared" si="166"/>
        <v>vermelho</v>
      </c>
    </row>
    <row r="3537" spans="1:16" ht="38.25">
      <c r="A3537" s="3" t="s">
        <v>4</v>
      </c>
      <c r="B3537" s="3" t="s">
        <v>2578</v>
      </c>
      <c r="C3537" s="4">
        <v>45</v>
      </c>
      <c r="D3537" s="3" t="s">
        <v>23</v>
      </c>
      <c r="E3537" s="3" t="s">
        <v>7</v>
      </c>
      <c r="F3537" s="5">
        <v>45</v>
      </c>
      <c r="G3537" s="5">
        <v>114</v>
      </c>
      <c r="H3537" s="6">
        <v>2925.75</v>
      </c>
      <c r="I3537" s="22">
        <v>6763.14</v>
      </c>
      <c r="J3537" s="24">
        <f t="shared" si="165"/>
        <v>4.686262173948461E-5</v>
      </c>
      <c r="K3537" s="25">
        <f t="shared" si="167"/>
        <v>0.96382712613878974</v>
      </c>
      <c r="L3537" s="26" t="s">
        <v>7518</v>
      </c>
      <c r="M3537" s="28"/>
      <c r="N3537" s="28"/>
      <c r="O3537" s="20" t="s">
        <v>7530</v>
      </c>
      <c r="P3537" s="27" t="str">
        <f t="shared" si="166"/>
        <v>vermelho</v>
      </c>
    </row>
    <row r="3538" spans="1:16" ht="38.25">
      <c r="A3538" s="3" t="s">
        <v>4</v>
      </c>
      <c r="B3538" s="3" t="s">
        <v>2579</v>
      </c>
      <c r="C3538" s="4">
        <v>45</v>
      </c>
      <c r="D3538" s="3" t="s">
        <v>23</v>
      </c>
      <c r="E3538" s="3" t="s">
        <v>7</v>
      </c>
      <c r="F3538" s="5">
        <v>360</v>
      </c>
      <c r="G3538" s="5">
        <v>93</v>
      </c>
      <c r="H3538" s="6">
        <v>19689.864000000001</v>
      </c>
      <c r="I3538" s="22">
        <v>6761.07</v>
      </c>
      <c r="J3538" s="24">
        <f t="shared" si="165"/>
        <v>4.6848278457074255E-5</v>
      </c>
      <c r="K3538" s="25">
        <f t="shared" si="167"/>
        <v>0.96387397441724676</v>
      </c>
      <c r="L3538" s="26" t="s">
        <v>7518</v>
      </c>
      <c r="M3538" s="28"/>
      <c r="N3538" s="28"/>
      <c r="O3538" s="20" t="s">
        <v>7530</v>
      </c>
      <c r="P3538" s="27" t="str">
        <f t="shared" si="166"/>
        <v>vermelho</v>
      </c>
    </row>
    <row r="3539" spans="1:16" ht="25.5">
      <c r="A3539" s="3" t="s">
        <v>4</v>
      </c>
      <c r="B3539" s="3" t="s">
        <v>2580</v>
      </c>
      <c r="C3539" s="4">
        <v>187</v>
      </c>
      <c r="D3539" s="3" t="s">
        <v>96</v>
      </c>
      <c r="E3539" s="3" t="s">
        <v>7</v>
      </c>
      <c r="F3539" s="5">
        <v>183</v>
      </c>
      <c r="G3539" s="5">
        <v>102</v>
      </c>
      <c r="H3539" s="6">
        <v>10851.15</v>
      </c>
      <c r="I3539" s="22">
        <v>6742.6980000000003</v>
      </c>
      <c r="J3539" s="24">
        <f t="shared" si="165"/>
        <v>4.6720976628840949E-5</v>
      </c>
      <c r="K3539" s="25">
        <f t="shared" si="167"/>
        <v>0.96392069539387559</v>
      </c>
      <c r="L3539" s="26" t="s">
        <v>7518</v>
      </c>
      <c r="M3539" s="28"/>
      <c r="N3539" s="28"/>
      <c r="O3539" s="20">
        <v>5671.5940000000001</v>
      </c>
      <c r="P3539" s="27" t="str">
        <f t="shared" si="166"/>
        <v>laranja</v>
      </c>
    </row>
    <row r="3540" spans="1:16" ht="25.5">
      <c r="A3540" s="3" t="s">
        <v>4</v>
      </c>
      <c r="B3540" s="3" t="s">
        <v>2581</v>
      </c>
      <c r="C3540" s="4">
        <v>53</v>
      </c>
      <c r="D3540" s="3" t="s">
        <v>34</v>
      </c>
      <c r="E3540" s="3" t="s">
        <v>16</v>
      </c>
      <c r="F3540" s="5">
        <v>228</v>
      </c>
      <c r="G3540" s="5">
        <v>132</v>
      </c>
      <c r="H3540" s="6">
        <v>14942.76</v>
      </c>
      <c r="I3540" s="22">
        <v>6742.68</v>
      </c>
      <c r="J3540" s="24">
        <f t="shared" si="165"/>
        <v>4.6720851904646076E-5</v>
      </c>
      <c r="K3540" s="25">
        <f t="shared" si="167"/>
        <v>0.9639674162457802</v>
      </c>
      <c r="L3540" s="26" t="s">
        <v>7518</v>
      </c>
      <c r="M3540" s="28"/>
      <c r="N3540" s="28"/>
      <c r="O3540" s="20" t="s">
        <v>7530</v>
      </c>
      <c r="P3540" s="27" t="str">
        <f t="shared" si="166"/>
        <v>vermelho</v>
      </c>
    </row>
    <row r="3541" spans="1:16" ht="25.5">
      <c r="A3541" s="3" t="s">
        <v>4</v>
      </c>
      <c r="B3541" s="3" t="s">
        <v>2582</v>
      </c>
      <c r="C3541" s="4">
        <v>328</v>
      </c>
      <c r="D3541" s="3" t="s">
        <v>215</v>
      </c>
      <c r="E3541" s="3" t="s">
        <v>41</v>
      </c>
      <c r="F3541" s="5">
        <v>0</v>
      </c>
      <c r="G3541" s="5">
        <v>117</v>
      </c>
      <c r="H3541" s="6">
        <v>0</v>
      </c>
      <c r="I3541" s="22">
        <v>6740.46</v>
      </c>
      <c r="J3541" s="24">
        <f t="shared" si="165"/>
        <v>4.6705469253945123E-5</v>
      </c>
      <c r="K3541" s="25">
        <f t="shared" si="167"/>
        <v>0.96401412171503409</v>
      </c>
      <c r="L3541" s="26" t="s">
        <v>7518</v>
      </c>
      <c r="M3541" s="28"/>
      <c r="N3541" s="28"/>
      <c r="O3541" s="20" t="s">
        <v>7530</v>
      </c>
      <c r="P3541" s="27" t="str">
        <f t="shared" si="166"/>
        <v>vermelho</v>
      </c>
    </row>
    <row r="3542" spans="1:16">
      <c r="A3542" s="3" t="s">
        <v>4</v>
      </c>
      <c r="B3542" s="3" t="s">
        <v>2583</v>
      </c>
      <c r="C3542" s="4">
        <v>217</v>
      </c>
      <c r="D3542" s="3" t="s">
        <v>91</v>
      </c>
      <c r="E3542" s="3" t="s">
        <v>16</v>
      </c>
      <c r="F3542" s="5">
        <v>0</v>
      </c>
      <c r="G3542" s="5">
        <v>117</v>
      </c>
      <c r="H3542" s="6">
        <v>0</v>
      </c>
      <c r="I3542" s="22">
        <v>6737.79</v>
      </c>
      <c r="J3542" s="24">
        <f t="shared" si="165"/>
        <v>4.6686968498372347E-5</v>
      </c>
      <c r="K3542" s="25">
        <f t="shared" si="167"/>
        <v>0.9640608086835325</v>
      </c>
      <c r="L3542" s="26" t="s">
        <v>7518</v>
      </c>
      <c r="M3542" s="28"/>
      <c r="N3542" s="28"/>
      <c r="O3542" s="20" t="s">
        <v>7530</v>
      </c>
      <c r="P3542" s="27" t="str">
        <f t="shared" si="166"/>
        <v>vermelho</v>
      </c>
    </row>
    <row r="3543" spans="1:16" ht="25.5">
      <c r="A3543" s="3" t="s">
        <v>4</v>
      </c>
      <c r="B3543" s="3" t="s">
        <v>2584</v>
      </c>
      <c r="C3543" s="4">
        <v>194</v>
      </c>
      <c r="D3543" s="3" t="s">
        <v>145</v>
      </c>
      <c r="E3543" s="3" t="s">
        <v>16</v>
      </c>
      <c r="F3543" s="5">
        <v>144</v>
      </c>
      <c r="G3543" s="5">
        <v>114</v>
      </c>
      <c r="H3543" s="6">
        <v>7572.84</v>
      </c>
      <c r="I3543" s="22">
        <v>6736.8</v>
      </c>
      <c r="J3543" s="24">
        <f t="shared" si="165"/>
        <v>4.6680108667654357E-5</v>
      </c>
      <c r="K3543" s="25">
        <f t="shared" si="167"/>
        <v>0.96410748879220021</v>
      </c>
      <c r="L3543" s="26" t="s">
        <v>7518</v>
      </c>
      <c r="M3543" s="28"/>
      <c r="N3543" s="28"/>
      <c r="O3543" s="20">
        <v>10093.44</v>
      </c>
      <c r="P3543" s="27" t="str">
        <f t="shared" si="166"/>
        <v>verde</v>
      </c>
    </row>
    <row r="3544" spans="1:16" ht="25.5">
      <c r="A3544" s="3" t="s">
        <v>6889</v>
      </c>
      <c r="B3544" s="3" t="s">
        <v>6890</v>
      </c>
      <c r="C3544" s="4">
        <v>194</v>
      </c>
      <c r="D3544" s="3" t="s">
        <v>145</v>
      </c>
      <c r="E3544" s="3" t="s">
        <v>16</v>
      </c>
      <c r="F3544" s="5">
        <v>234</v>
      </c>
      <c r="G3544" s="5">
        <v>108</v>
      </c>
      <c r="H3544" s="6">
        <v>12624.72</v>
      </c>
      <c r="I3544" s="22">
        <v>6733.68</v>
      </c>
      <c r="J3544" s="24">
        <f t="shared" si="165"/>
        <v>4.6658489807209772E-5</v>
      </c>
      <c r="K3544" s="25">
        <f t="shared" si="167"/>
        <v>0.96415414728200743</v>
      </c>
      <c r="L3544" s="26" t="s">
        <v>7518</v>
      </c>
      <c r="M3544" s="28"/>
      <c r="N3544" s="28"/>
      <c r="O3544" s="20" t="s">
        <v>7530</v>
      </c>
      <c r="P3544" s="27" t="str">
        <f t="shared" si="166"/>
        <v>vermelho</v>
      </c>
    </row>
    <row r="3545" spans="1:16" ht="25.5">
      <c r="A3545" s="3" t="s">
        <v>4</v>
      </c>
      <c r="B3545" s="3" t="s">
        <v>2585</v>
      </c>
      <c r="C3545" s="4">
        <v>61</v>
      </c>
      <c r="D3545" s="3" t="s">
        <v>48</v>
      </c>
      <c r="E3545" s="3" t="s">
        <v>49</v>
      </c>
      <c r="F3545" s="5">
        <v>0</v>
      </c>
      <c r="G3545" s="5">
        <v>108</v>
      </c>
      <c r="H3545" s="6">
        <v>0</v>
      </c>
      <c r="I3545" s="22">
        <v>6733.56</v>
      </c>
      <c r="J3545" s="24">
        <f t="shared" si="165"/>
        <v>4.6657658312577293E-5</v>
      </c>
      <c r="K3545" s="25">
        <f t="shared" si="167"/>
        <v>0.96420080494032001</v>
      </c>
      <c r="L3545" s="26" t="s">
        <v>7518</v>
      </c>
      <c r="M3545" s="28"/>
      <c r="N3545" s="28"/>
      <c r="O3545" s="20" t="s">
        <v>7530</v>
      </c>
      <c r="P3545" s="27" t="str">
        <f t="shared" si="166"/>
        <v>vermelho</v>
      </c>
    </row>
    <row r="3546" spans="1:16" ht="25.5">
      <c r="A3546" s="3" t="s">
        <v>4</v>
      </c>
      <c r="B3546" s="3" t="s">
        <v>2586</v>
      </c>
      <c r="C3546" s="4">
        <v>178</v>
      </c>
      <c r="D3546" s="3" t="s">
        <v>74</v>
      </c>
      <c r="E3546" s="3" t="s">
        <v>7</v>
      </c>
      <c r="F3546" s="5">
        <v>0</v>
      </c>
      <c r="G3546" s="5">
        <v>93</v>
      </c>
      <c r="H3546" s="6">
        <v>0</v>
      </c>
      <c r="I3546" s="22">
        <v>6724.74</v>
      </c>
      <c r="J3546" s="24">
        <f t="shared" si="165"/>
        <v>4.6596543457089706E-5</v>
      </c>
      <c r="K3546" s="25">
        <f t="shared" si="167"/>
        <v>0.96424740148377708</v>
      </c>
      <c r="L3546" s="26" t="s">
        <v>7518</v>
      </c>
      <c r="M3546" s="28"/>
      <c r="N3546" s="28"/>
      <c r="O3546" s="20" t="s">
        <v>7530</v>
      </c>
      <c r="P3546" s="27" t="str">
        <f t="shared" si="166"/>
        <v>vermelho</v>
      </c>
    </row>
    <row r="3547" spans="1:16" ht="25.5">
      <c r="A3547" s="3" t="s">
        <v>4</v>
      </c>
      <c r="B3547" s="3" t="s">
        <v>2587</v>
      </c>
      <c r="C3547" s="4">
        <v>335</v>
      </c>
      <c r="D3547" s="3" t="s">
        <v>36</v>
      </c>
      <c r="E3547" s="3" t="s">
        <v>7</v>
      </c>
      <c r="F3547" s="5">
        <v>0</v>
      </c>
      <c r="G3547" s="5">
        <v>108</v>
      </c>
      <c r="H3547" s="6">
        <v>0</v>
      </c>
      <c r="I3547" s="22">
        <v>6723.78</v>
      </c>
      <c r="J3547" s="24">
        <f t="shared" si="165"/>
        <v>4.6589891500029835E-5</v>
      </c>
      <c r="K3547" s="25">
        <f t="shared" si="167"/>
        <v>0.96429399137527716</v>
      </c>
      <c r="L3547" s="26" t="s">
        <v>7518</v>
      </c>
      <c r="M3547" s="28"/>
      <c r="N3547" s="28"/>
      <c r="O3547" s="20">
        <v>6723.78</v>
      </c>
      <c r="P3547" s="27" t="str">
        <f t="shared" si="166"/>
        <v>verde</v>
      </c>
    </row>
    <row r="3548" spans="1:16" ht="25.5">
      <c r="A3548" s="3" t="s">
        <v>6891</v>
      </c>
      <c r="B3548" s="3" t="s">
        <v>6892</v>
      </c>
      <c r="C3548" s="4">
        <v>187</v>
      </c>
      <c r="D3548" s="3" t="s">
        <v>96</v>
      </c>
      <c r="E3548" s="3" t="s">
        <v>7</v>
      </c>
      <c r="F3548" s="5">
        <v>99</v>
      </c>
      <c r="G3548" s="5">
        <v>126</v>
      </c>
      <c r="H3548" s="6">
        <v>6744.33</v>
      </c>
      <c r="I3548" s="22">
        <v>6709.74</v>
      </c>
      <c r="J3548" s="24">
        <f t="shared" si="165"/>
        <v>4.6492606628029203E-5</v>
      </c>
      <c r="K3548" s="25">
        <f t="shared" si="167"/>
        <v>0.96434048398190519</v>
      </c>
      <c r="L3548" s="26" t="s">
        <v>7518</v>
      </c>
      <c r="M3548" s="28"/>
      <c r="N3548" s="28"/>
      <c r="O3548" s="20" t="s">
        <v>7530</v>
      </c>
      <c r="P3548" s="27" t="str">
        <f t="shared" si="166"/>
        <v>vermelho</v>
      </c>
    </row>
    <row r="3549" spans="1:16" ht="25.5">
      <c r="A3549" s="3" t="s">
        <v>4</v>
      </c>
      <c r="B3549" s="3" t="s">
        <v>2588</v>
      </c>
      <c r="C3549" s="4">
        <v>320</v>
      </c>
      <c r="D3549" s="3" t="s">
        <v>218</v>
      </c>
      <c r="E3549" s="3" t="s">
        <v>49</v>
      </c>
      <c r="F3549" s="5">
        <v>0</v>
      </c>
      <c r="G3549" s="5">
        <v>96</v>
      </c>
      <c r="H3549" s="6">
        <v>0</v>
      </c>
      <c r="I3549" s="22">
        <v>6695.04</v>
      </c>
      <c r="J3549" s="24">
        <f t="shared" si="165"/>
        <v>4.6390748535549911E-5</v>
      </c>
      <c r="K3549" s="25">
        <f t="shared" si="167"/>
        <v>0.96438687473044071</v>
      </c>
      <c r="L3549" s="26" t="s">
        <v>7518</v>
      </c>
      <c r="M3549" s="28"/>
      <c r="N3549" s="28"/>
      <c r="O3549" s="20" t="s">
        <v>7530</v>
      </c>
      <c r="P3549" s="27" t="str">
        <f t="shared" si="166"/>
        <v>vermelho</v>
      </c>
    </row>
    <row r="3550" spans="1:16" ht="38.25">
      <c r="A3550" s="3" t="s">
        <v>4</v>
      </c>
      <c r="B3550" s="3" t="s">
        <v>2589</v>
      </c>
      <c r="C3550" s="4">
        <v>316</v>
      </c>
      <c r="D3550" s="3" t="s">
        <v>247</v>
      </c>
      <c r="E3550" s="3" t="s">
        <v>10</v>
      </c>
      <c r="F3550" s="5">
        <v>0</v>
      </c>
      <c r="G3550" s="5">
        <v>132</v>
      </c>
      <c r="H3550" s="6">
        <v>0</v>
      </c>
      <c r="I3550" s="22">
        <v>6686.76</v>
      </c>
      <c r="J3550" s="24">
        <f t="shared" si="165"/>
        <v>4.6333375405908513E-5</v>
      </c>
      <c r="K3550" s="25">
        <f t="shared" si="167"/>
        <v>0.96443320810584665</v>
      </c>
      <c r="L3550" s="26" t="s">
        <v>7518</v>
      </c>
      <c r="M3550" s="28"/>
      <c r="N3550" s="28"/>
      <c r="O3550" s="20" t="s">
        <v>7530</v>
      </c>
      <c r="P3550" s="27" t="str">
        <f t="shared" si="166"/>
        <v>vermelho</v>
      </c>
    </row>
    <row r="3551" spans="1:16" ht="25.5">
      <c r="A3551" s="3" t="s">
        <v>4</v>
      </c>
      <c r="B3551" s="3" t="s">
        <v>2590</v>
      </c>
      <c r="C3551" s="4">
        <v>320</v>
      </c>
      <c r="D3551" s="3" t="s">
        <v>218</v>
      </c>
      <c r="E3551" s="3" t="s">
        <v>49</v>
      </c>
      <c r="F3551" s="5">
        <v>60</v>
      </c>
      <c r="G3551" s="5">
        <v>132</v>
      </c>
      <c r="H3551" s="6">
        <v>2585.2800000000002</v>
      </c>
      <c r="I3551" s="22">
        <v>6682.68</v>
      </c>
      <c r="J3551" s="24">
        <f t="shared" si="165"/>
        <v>4.6305104588404057E-5</v>
      </c>
      <c r="K3551" s="25">
        <f t="shared" si="167"/>
        <v>0.96447951321043501</v>
      </c>
      <c r="L3551" s="26" t="s">
        <v>7518</v>
      </c>
      <c r="M3551" s="28"/>
      <c r="N3551" s="28"/>
      <c r="O3551" s="20" t="s">
        <v>7530</v>
      </c>
      <c r="P3551" s="27" t="str">
        <f t="shared" si="166"/>
        <v>vermelho</v>
      </c>
    </row>
    <row r="3552" spans="1:16">
      <c r="A3552" s="3" t="s">
        <v>4</v>
      </c>
      <c r="B3552" s="3" t="s">
        <v>2591</v>
      </c>
      <c r="C3552" s="4">
        <v>240</v>
      </c>
      <c r="D3552" s="3" t="s">
        <v>69</v>
      </c>
      <c r="E3552" s="3" t="s">
        <v>16</v>
      </c>
      <c r="F3552" s="5">
        <v>72</v>
      </c>
      <c r="G3552" s="5">
        <v>108</v>
      </c>
      <c r="H3552" s="6">
        <v>3675.24</v>
      </c>
      <c r="I3552" s="22">
        <v>6682.41</v>
      </c>
      <c r="J3552" s="24">
        <f t="shared" si="165"/>
        <v>4.6303233725480959E-5</v>
      </c>
      <c r="K3552" s="25">
        <f t="shared" si="167"/>
        <v>0.96452581644416047</v>
      </c>
      <c r="L3552" s="26" t="s">
        <v>7518</v>
      </c>
      <c r="M3552" s="28"/>
      <c r="N3552" s="28"/>
      <c r="O3552" s="20" t="s">
        <v>7530</v>
      </c>
      <c r="P3552" s="27" t="str">
        <f t="shared" si="166"/>
        <v>vermelho</v>
      </c>
    </row>
    <row r="3553" spans="1:16" ht="25.5">
      <c r="A3553" s="3" t="s">
        <v>4</v>
      </c>
      <c r="B3553" s="3" t="s">
        <v>2592</v>
      </c>
      <c r="C3553" s="4">
        <v>273</v>
      </c>
      <c r="D3553" s="3" t="s">
        <v>149</v>
      </c>
      <c r="E3553" s="3" t="s">
        <v>16</v>
      </c>
      <c r="F3553" s="5">
        <v>0</v>
      </c>
      <c r="G3553" s="5">
        <v>108</v>
      </c>
      <c r="H3553" s="6">
        <v>0</v>
      </c>
      <c r="I3553" s="22">
        <v>6681.5119999999997</v>
      </c>
      <c r="J3553" s="24">
        <f t="shared" si="165"/>
        <v>4.6297011373981205E-5</v>
      </c>
      <c r="K3553" s="25">
        <f t="shared" si="167"/>
        <v>0.9645721134555344</v>
      </c>
      <c r="L3553" s="26" t="s">
        <v>7518</v>
      </c>
      <c r="M3553" s="28"/>
      <c r="N3553" s="28"/>
      <c r="O3553" s="20" t="s">
        <v>7530</v>
      </c>
      <c r="P3553" s="27" t="str">
        <f t="shared" si="166"/>
        <v>vermelho</v>
      </c>
    </row>
    <row r="3554" spans="1:16" ht="38.25">
      <c r="A3554" s="3" t="s">
        <v>6893</v>
      </c>
      <c r="B3554" s="3" t="s">
        <v>6894</v>
      </c>
      <c r="C3554" s="4">
        <v>371</v>
      </c>
      <c r="D3554" s="3" t="s">
        <v>82</v>
      </c>
      <c r="E3554" s="3" t="s">
        <v>49</v>
      </c>
      <c r="F3554" s="5">
        <v>312</v>
      </c>
      <c r="G3554" s="5">
        <v>132</v>
      </c>
      <c r="H3554" s="6">
        <v>13274.675999999999</v>
      </c>
      <c r="I3554" s="22">
        <v>6663</v>
      </c>
      <c r="J3554" s="24">
        <f t="shared" si="165"/>
        <v>4.6168739468676669E-5</v>
      </c>
      <c r="K3554" s="25">
        <f t="shared" si="167"/>
        <v>0.96461828219500312</v>
      </c>
      <c r="L3554" s="26" t="s">
        <v>7518</v>
      </c>
      <c r="M3554" s="28"/>
      <c r="N3554" s="28"/>
      <c r="O3554" s="20">
        <v>4306.68</v>
      </c>
      <c r="P3554" s="27" t="str">
        <f t="shared" si="166"/>
        <v>laranja</v>
      </c>
    </row>
    <row r="3555" spans="1:16">
      <c r="A3555" s="3" t="s">
        <v>6895</v>
      </c>
      <c r="B3555" s="3" t="s">
        <v>6896</v>
      </c>
      <c r="C3555" s="4">
        <v>315</v>
      </c>
      <c r="D3555" s="3" t="s">
        <v>63</v>
      </c>
      <c r="E3555" s="3" t="s">
        <v>7</v>
      </c>
      <c r="F3555" s="5">
        <v>60</v>
      </c>
      <c r="G3555" s="5">
        <v>117</v>
      </c>
      <c r="H3555" s="6">
        <v>3491.4</v>
      </c>
      <c r="I3555" s="22">
        <v>6660.87</v>
      </c>
      <c r="J3555" s="24">
        <f t="shared" si="165"/>
        <v>4.6153980438950076E-5</v>
      </c>
      <c r="K3555" s="25">
        <f t="shared" si="167"/>
        <v>0.96466443617544206</v>
      </c>
      <c r="L3555" s="26" t="s">
        <v>7518</v>
      </c>
      <c r="M3555" s="28"/>
      <c r="N3555" s="28"/>
      <c r="O3555" s="20" t="s">
        <v>7530</v>
      </c>
      <c r="P3555" s="27" t="str">
        <f t="shared" si="166"/>
        <v>vermelho</v>
      </c>
    </row>
    <row r="3556" spans="1:16" ht="25.5">
      <c r="A3556" s="3" t="s">
        <v>4</v>
      </c>
      <c r="B3556" s="3" t="s">
        <v>2593</v>
      </c>
      <c r="C3556" s="4">
        <v>321</v>
      </c>
      <c r="D3556" s="3" t="s">
        <v>136</v>
      </c>
      <c r="E3556" s="3" t="s">
        <v>41</v>
      </c>
      <c r="F3556" s="5">
        <v>60</v>
      </c>
      <c r="G3556" s="5">
        <v>96</v>
      </c>
      <c r="H3556" s="6">
        <v>3983.4</v>
      </c>
      <c r="I3556" s="22">
        <v>6658.08</v>
      </c>
      <c r="J3556" s="24">
        <f t="shared" si="165"/>
        <v>4.6134648188744821E-5</v>
      </c>
      <c r="K3556" s="25">
        <f t="shared" si="167"/>
        <v>0.96471057082363076</v>
      </c>
      <c r="L3556" s="26" t="s">
        <v>7518</v>
      </c>
      <c r="M3556" s="28"/>
      <c r="N3556" s="28"/>
      <c r="O3556" s="20" t="s">
        <v>7530</v>
      </c>
      <c r="P3556" s="27" t="str">
        <f t="shared" si="166"/>
        <v>vermelho</v>
      </c>
    </row>
    <row r="3557" spans="1:16" ht="25.5">
      <c r="A3557" s="3" t="s">
        <v>4</v>
      </c>
      <c r="B3557" s="3" t="s">
        <v>2594</v>
      </c>
      <c r="C3557" s="4">
        <v>53</v>
      </c>
      <c r="D3557" s="3" t="s">
        <v>34</v>
      </c>
      <c r="E3557" s="3" t="s">
        <v>16</v>
      </c>
      <c r="F3557" s="5">
        <v>0</v>
      </c>
      <c r="G3557" s="5">
        <v>120</v>
      </c>
      <c r="H3557" s="6">
        <v>0</v>
      </c>
      <c r="I3557" s="22">
        <v>6657.84</v>
      </c>
      <c r="J3557" s="24">
        <f t="shared" si="165"/>
        <v>4.6132985199479857E-5</v>
      </c>
      <c r="K3557" s="25">
        <f t="shared" si="167"/>
        <v>0.96475670380883027</v>
      </c>
      <c r="L3557" s="26" t="s">
        <v>7518</v>
      </c>
      <c r="M3557" s="28"/>
      <c r="N3557" s="28"/>
      <c r="O3557" s="20" t="s">
        <v>7530</v>
      </c>
      <c r="P3557" s="27" t="str">
        <f t="shared" si="166"/>
        <v>vermelho</v>
      </c>
    </row>
    <row r="3558" spans="1:16" ht="25.5">
      <c r="A3558" s="3" t="s">
        <v>4</v>
      </c>
      <c r="B3558" s="3" t="s">
        <v>2595</v>
      </c>
      <c r="C3558" s="4">
        <v>53</v>
      </c>
      <c r="D3558" s="3" t="s">
        <v>34</v>
      </c>
      <c r="E3558" s="3" t="s">
        <v>16</v>
      </c>
      <c r="F3558" s="5">
        <v>0</v>
      </c>
      <c r="G3558" s="5">
        <v>120</v>
      </c>
      <c r="H3558" s="6">
        <v>0</v>
      </c>
      <c r="I3558" s="22">
        <v>6657.84</v>
      </c>
      <c r="J3558" s="24">
        <f t="shared" si="165"/>
        <v>4.6132985199479857E-5</v>
      </c>
      <c r="K3558" s="25">
        <f t="shared" si="167"/>
        <v>0.96480283679402978</v>
      </c>
      <c r="L3558" s="26" t="s">
        <v>7518</v>
      </c>
      <c r="M3558" s="28"/>
      <c r="N3558" s="28"/>
      <c r="O3558" s="20" t="s">
        <v>7530</v>
      </c>
      <c r="P3558" s="27" t="str">
        <f t="shared" si="166"/>
        <v>vermelho</v>
      </c>
    </row>
    <row r="3559" spans="1:16" ht="25.5">
      <c r="A3559" s="3" t="s">
        <v>4</v>
      </c>
      <c r="B3559" s="3" t="s">
        <v>2596</v>
      </c>
      <c r="C3559" s="4">
        <v>53</v>
      </c>
      <c r="D3559" s="3" t="s">
        <v>34</v>
      </c>
      <c r="E3559" s="3" t="s">
        <v>16</v>
      </c>
      <c r="F3559" s="5">
        <v>0</v>
      </c>
      <c r="G3559" s="5">
        <v>120</v>
      </c>
      <c r="H3559" s="6">
        <v>0</v>
      </c>
      <c r="I3559" s="22">
        <v>6657.84</v>
      </c>
      <c r="J3559" s="24">
        <f t="shared" si="165"/>
        <v>4.6132985199479857E-5</v>
      </c>
      <c r="K3559" s="25">
        <f t="shared" si="167"/>
        <v>0.96484896977922929</v>
      </c>
      <c r="L3559" s="26" t="s">
        <v>7518</v>
      </c>
      <c r="M3559" s="28"/>
      <c r="N3559" s="28"/>
      <c r="O3559" s="20" t="s">
        <v>7530</v>
      </c>
      <c r="P3559" s="27" t="str">
        <f t="shared" si="166"/>
        <v>vermelho</v>
      </c>
    </row>
    <row r="3560" spans="1:16" ht="25.5">
      <c r="A3560" s="3" t="s">
        <v>4</v>
      </c>
      <c r="B3560" s="3" t="s">
        <v>2597</v>
      </c>
      <c r="C3560" s="4">
        <v>208</v>
      </c>
      <c r="D3560" s="3" t="s">
        <v>15</v>
      </c>
      <c r="E3560" s="3" t="s">
        <v>16</v>
      </c>
      <c r="F3560" s="5">
        <v>0</v>
      </c>
      <c r="G3560" s="5">
        <v>144</v>
      </c>
      <c r="H3560" s="6">
        <v>0</v>
      </c>
      <c r="I3560" s="22">
        <v>6655.68</v>
      </c>
      <c r="J3560" s="24">
        <f t="shared" si="165"/>
        <v>4.6118018296095143E-5</v>
      </c>
      <c r="K3560" s="25">
        <f t="shared" si="167"/>
        <v>0.96489508779752542</v>
      </c>
      <c r="L3560" s="26" t="s">
        <v>7518</v>
      </c>
      <c r="M3560" s="28"/>
      <c r="N3560" s="28"/>
      <c r="O3560" s="20" t="s">
        <v>7530</v>
      </c>
      <c r="P3560" s="27" t="str">
        <f t="shared" si="166"/>
        <v>vermelho</v>
      </c>
    </row>
    <row r="3561" spans="1:16" ht="38.25">
      <c r="A3561" s="3" t="s">
        <v>4</v>
      </c>
      <c r="B3561" s="3" t="s">
        <v>2598</v>
      </c>
      <c r="C3561" s="4">
        <v>167</v>
      </c>
      <c r="D3561" s="3" t="s">
        <v>251</v>
      </c>
      <c r="E3561" s="3" t="s">
        <v>49</v>
      </c>
      <c r="F3561" s="5">
        <v>207</v>
      </c>
      <c r="G3561" s="5">
        <v>129</v>
      </c>
      <c r="H3561" s="6">
        <v>10321.89</v>
      </c>
      <c r="I3561" s="22">
        <v>6650.01</v>
      </c>
      <c r="J3561" s="24">
        <f t="shared" si="165"/>
        <v>4.6078730174710275E-5</v>
      </c>
      <c r="K3561" s="25">
        <f t="shared" si="167"/>
        <v>0.96494116652770012</v>
      </c>
      <c r="L3561" s="26" t="s">
        <v>7518</v>
      </c>
      <c r="M3561" s="28"/>
      <c r="N3561" s="28"/>
      <c r="O3561" s="20" t="s">
        <v>7530</v>
      </c>
      <c r="P3561" s="27" t="str">
        <f t="shared" si="166"/>
        <v>vermelho</v>
      </c>
    </row>
    <row r="3562" spans="1:16" ht="25.5">
      <c r="A3562" s="3" t="s">
        <v>4</v>
      </c>
      <c r="B3562" s="3" t="s">
        <v>2599</v>
      </c>
      <c r="C3562" s="4">
        <v>273</v>
      </c>
      <c r="D3562" s="3" t="s">
        <v>149</v>
      </c>
      <c r="E3562" s="3" t="s">
        <v>16</v>
      </c>
      <c r="F3562" s="5">
        <v>102</v>
      </c>
      <c r="G3562" s="5">
        <v>120</v>
      </c>
      <c r="H3562" s="6">
        <v>5602.62</v>
      </c>
      <c r="I3562" s="22">
        <v>6631.74</v>
      </c>
      <c r="J3562" s="24">
        <f t="shared" si="165"/>
        <v>4.5952135116914574E-5</v>
      </c>
      <c r="K3562" s="25">
        <f t="shared" si="167"/>
        <v>0.96498711866281706</v>
      </c>
      <c r="L3562" s="26" t="s">
        <v>7518</v>
      </c>
      <c r="M3562" s="28"/>
      <c r="N3562" s="28"/>
      <c r="O3562" s="20" t="s">
        <v>7530</v>
      </c>
      <c r="P3562" s="27" t="str">
        <f t="shared" si="166"/>
        <v>vermelho</v>
      </c>
    </row>
    <row r="3563" spans="1:16" ht="38.25">
      <c r="A3563" s="3" t="s">
        <v>4</v>
      </c>
      <c r="B3563" s="3" t="s">
        <v>2600</v>
      </c>
      <c r="C3563" s="4">
        <v>34</v>
      </c>
      <c r="D3563" s="3" t="s">
        <v>54</v>
      </c>
      <c r="E3563" s="3" t="s">
        <v>49</v>
      </c>
      <c r="F3563" s="5">
        <v>192</v>
      </c>
      <c r="G3563" s="5">
        <v>102</v>
      </c>
      <c r="H3563" s="6">
        <v>9817.44</v>
      </c>
      <c r="I3563" s="22">
        <v>6631.32</v>
      </c>
      <c r="J3563" s="24">
        <f t="shared" si="165"/>
        <v>4.5949224885700878E-5</v>
      </c>
      <c r="K3563" s="25">
        <f t="shared" si="167"/>
        <v>0.96503306788770271</v>
      </c>
      <c r="L3563" s="26" t="s">
        <v>7518</v>
      </c>
      <c r="M3563" s="28"/>
      <c r="N3563" s="28"/>
      <c r="O3563" s="20" t="s">
        <v>7530</v>
      </c>
      <c r="P3563" s="27" t="str">
        <f t="shared" si="166"/>
        <v>vermelho</v>
      </c>
    </row>
    <row r="3564" spans="1:16" ht="25.5">
      <c r="A3564" s="3" t="s">
        <v>4</v>
      </c>
      <c r="B3564" s="3" t="s">
        <v>2601</v>
      </c>
      <c r="C3564" s="4">
        <v>328</v>
      </c>
      <c r="D3564" s="3" t="s">
        <v>215</v>
      </c>
      <c r="E3564" s="3" t="s">
        <v>41</v>
      </c>
      <c r="F3564" s="5">
        <v>0</v>
      </c>
      <c r="G3564" s="5">
        <v>123</v>
      </c>
      <c r="H3564" s="6">
        <v>0</v>
      </c>
      <c r="I3564" s="22">
        <v>6628.74</v>
      </c>
      <c r="J3564" s="24">
        <f t="shared" si="165"/>
        <v>4.5931347751102475E-5</v>
      </c>
      <c r="K3564" s="25">
        <f t="shared" si="167"/>
        <v>0.96507899923545382</v>
      </c>
      <c r="L3564" s="26" t="s">
        <v>7518</v>
      </c>
      <c r="M3564" s="28"/>
      <c r="N3564" s="28"/>
      <c r="O3564" s="20" t="s">
        <v>7530</v>
      </c>
      <c r="P3564" s="27" t="str">
        <f t="shared" si="166"/>
        <v>vermelho</v>
      </c>
    </row>
    <row r="3565" spans="1:16">
      <c r="A3565" s="3" t="s">
        <v>4</v>
      </c>
      <c r="B3565" s="3" t="s">
        <v>2602</v>
      </c>
      <c r="C3565" s="4">
        <v>240</v>
      </c>
      <c r="D3565" s="3" t="s">
        <v>69</v>
      </c>
      <c r="E3565" s="3" t="s">
        <v>16</v>
      </c>
      <c r="F3565" s="5">
        <v>84</v>
      </c>
      <c r="G3565" s="5">
        <v>144</v>
      </c>
      <c r="H3565" s="6">
        <v>3651.48</v>
      </c>
      <c r="I3565" s="22">
        <v>6624.96</v>
      </c>
      <c r="J3565" s="24">
        <f t="shared" si="165"/>
        <v>4.5905155670179223E-5</v>
      </c>
      <c r="K3565" s="25">
        <f t="shared" si="167"/>
        <v>0.96512490439112397</v>
      </c>
      <c r="L3565" s="26" t="s">
        <v>7518</v>
      </c>
      <c r="M3565" s="28"/>
      <c r="N3565" s="28">
        <v>7.4081472806301368E-2</v>
      </c>
      <c r="O3565" s="20">
        <v>6286.8</v>
      </c>
      <c r="P3565" s="27" t="str">
        <f t="shared" si="166"/>
        <v>laranja</v>
      </c>
    </row>
    <row r="3566" spans="1:16">
      <c r="A3566" s="3" t="s">
        <v>4</v>
      </c>
      <c r="B3566" s="3" t="s">
        <v>2603</v>
      </c>
      <c r="C3566" s="4">
        <v>334</v>
      </c>
      <c r="D3566" s="3" t="s">
        <v>531</v>
      </c>
      <c r="E3566" s="3" t="s">
        <v>7</v>
      </c>
      <c r="F3566" s="5">
        <v>0</v>
      </c>
      <c r="G3566" s="5">
        <v>120</v>
      </c>
      <c r="H3566" s="6">
        <v>0</v>
      </c>
      <c r="I3566" s="22">
        <v>6624.9459999999999</v>
      </c>
      <c r="J3566" s="24">
        <f t="shared" si="165"/>
        <v>4.5905058662472105E-5</v>
      </c>
      <c r="K3566" s="25">
        <f t="shared" si="167"/>
        <v>0.96517080944978639</v>
      </c>
      <c r="L3566" s="26" t="s">
        <v>7518</v>
      </c>
      <c r="M3566" s="28"/>
      <c r="N3566" s="28"/>
      <c r="O3566" s="20" t="s">
        <v>7530</v>
      </c>
      <c r="P3566" s="27" t="str">
        <f t="shared" si="166"/>
        <v>vermelho</v>
      </c>
    </row>
    <row r="3567" spans="1:16" ht="25.5">
      <c r="A3567" s="3" t="s">
        <v>4</v>
      </c>
      <c r="B3567" s="3" t="s">
        <v>2604</v>
      </c>
      <c r="C3567" s="4">
        <v>194</v>
      </c>
      <c r="D3567" s="3" t="s">
        <v>145</v>
      </c>
      <c r="E3567" s="3" t="s">
        <v>16</v>
      </c>
      <c r="F3567" s="5">
        <v>174</v>
      </c>
      <c r="G3567" s="5">
        <v>126</v>
      </c>
      <c r="H3567" s="6">
        <v>8361.9599999999991</v>
      </c>
      <c r="I3567" s="22">
        <v>6620.58</v>
      </c>
      <c r="J3567" s="24">
        <f t="shared" si="165"/>
        <v>4.5874806116093556E-5</v>
      </c>
      <c r="K3567" s="25">
        <f t="shared" si="167"/>
        <v>0.96521668425590246</v>
      </c>
      <c r="L3567" s="26" t="s">
        <v>7518</v>
      </c>
      <c r="M3567" s="28"/>
      <c r="N3567" s="28"/>
      <c r="O3567" s="20">
        <v>5349.12</v>
      </c>
      <c r="P3567" s="27" t="str">
        <f t="shared" si="166"/>
        <v>laranja</v>
      </c>
    </row>
    <row r="3568" spans="1:16">
      <c r="A3568" s="3" t="s">
        <v>4</v>
      </c>
      <c r="B3568" s="3" t="s">
        <v>2605</v>
      </c>
      <c r="C3568" s="4">
        <v>232</v>
      </c>
      <c r="D3568" s="3" t="s">
        <v>174</v>
      </c>
      <c r="E3568" s="3" t="s">
        <v>16</v>
      </c>
      <c r="F3568" s="5">
        <v>168</v>
      </c>
      <c r="G3568" s="5">
        <v>138</v>
      </c>
      <c r="H3568" s="6">
        <v>7103.88</v>
      </c>
      <c r="I3568" s="22">
        <v>6619.14</v>
      </c>
      <c r="J3568" s="24">
        <f t="shared" si="165"/>
        <v>4.5864828180503749E-5</v>
      </c>
      <c r="K3568" s="25">
        <f t="shared" si="167"/>
        <v>0.96526254908408293</v>
      </c>
      <c r="L3568" s="26" t="s">
        <v>7518</v>
      </c>
      <c r="M3568" s="28"/>
      <c r="N3568" s="28"/>
      <c r="O3568" s="20">
        <v>4237.2</v>
      </c>
      <c r="P3568" s="27" t="str">
        <f t="shared" si="166"/>
        <v>laranja</v>
      </c>
    </row>
    <row r="3569" spans="1:16" ht="25.5">
      <c r="A3569" s="3" t="s">
        <v>6897</v>
      </c>
      <c r="B3569" s="3" t="s">
        <v>6562</v>
      </c>
      <c r="C3569" s="4">
        <v>299</v>
      </c>
      <c r="D3569" s="3" t="s">
        <v>111</v>
      </c>
      <c r="E3569" s="3" t="s">
        <v>49</v>
      </c>
      <c r="F3569" s="5">
        <v>0</v>
      </c>
      <c r="G3569" s="5">
        <v>168</v>
      </c>
      <c r="H3569" s="6">
        <v>0</v>
      </c>
      <c r="I3569" s="22">
        <v>6615.54</v>
      </c>
      <c r="J3569" s="24">
        <f t="shared" si="165"/>
        <v>4.5839883341529229E-5</v>
      </c>
      <c r="K3569" s="25">
        <f t="shared" si="167"/>
        <v>0.96530838896742444</v>
      </c>
      <c r="L3569" s="26" t="s">
        <v>7518</v>
      </c>
      <c r="M3569" s="28"/>
      <c r="N3569" s="28"/>
      <c r="O3569" s="20" t="s">
        <v>7530</v>
      </c>
      <c r="P3569" s="27" t="str">
        <f t="shared" si="166"/>
        <v>vermelho</v>
      </c>
    </row>
    <row r="3570" spans="1:16" ht="51">
      <c r="A3570" s="3" t="s">
        <v>4</v>
      </c>
      <c r="B3570" s="3" t="s">
        <v>2606</v>
      </c>
      <c r="C3570" s="4">
        <v>282</v>
      </c>
      <c r="D3570" s="3" t="s">
        <v>12</v>
      </c>
      <c r="E3570" s="3" t="s">
        <v>13</v>
      </c>
      <c r="F3570" s="5">
        <v>0</v>
      </c>
      <c r="G3570" s="5">
        <v>120</v>
      </c>
      <c r="H3570" s="6">
        <v>0</v>
      </c>
      <c r="I3570" s="22">
        <v>6615.1679999999997</v>
      </c>
      <c r="J3570" s="24">
        <f t="shared" si="165"/>
        <v>4.5837305708168526E-5</v>
      </c>
      <c r="K3570" s="25">
        <f t="shared" si="167"/>
        <v>0.96535422627313261</v>
      </c>
      <c r="L3570" s="26" t="s">
        <v>7518</v>
      </c>
      <c r="M3570" s="28"/>
      <c r="N3570" s="28"/>
      <c r="O3570" s="20" t="s">
        <v>7530</v>
      </c>
      <c r="P3570" s="27" t="str">
        <f t="shared" si="166"/>
        <v>vermelho</v>
      </c>
    </row>
    <row r="3571" spans="1:16">
      <c r="A3571" s="3" t="s">
        <v>4</v>
      </c>
      <c r="B3571" s="3" t="s">
        <v>2607</v>
      </c>
      <c r="C3571" s="4">
        <v>240</v>
      </c>
      <c r="D3571" s="3" t="s">
        <v>69</v>
      </c>
      <c r="E3571" s="3" t="s">
        <v>16</v>
      </c>
      <c r="F3571" s="5">
        <v>216</v>
      </c>
      <c r="G3571" s="5">
        <v>96</v>
      </c>
      <c r="H3571" s="6">
        <v>13189.23</v>
      </c>
      <c r="I3571" s="22">
        <v>6614.49</v>
      </c>
      <c r="J3571" s="24">
        <f t="shared" si="165"/>
        <v>4.5832607763494992E-5</v>
      </c>
      <c r="K3571" s="25">
        <f t="shared" si="167"/>
        <v>0.96540005888089608</v>
      </c>
      <c r="L3571" s="26" t="s">
        <v>7518</v>
      </c>
      <c r="M3571" s="28"/>
      <c r="N3571" s="28"/>
      <c r="O3571" s="20" t="s">
        <v>7530</v>
      </c>
      <c r="P3571" s="27" t="str">
        <f t="shared" si="166"/>
        <v>vermelho</v>
      </c>
    </row>
    <row r="3572" spans="1:16" ht="25.5">
      <c r="A3572" s="3" t="s">
        <v>4</v>
      </c>
      <c r="B3572" s="3" t="s">
        <v>2608</v>
      </c>
      <c r="C3572" s="4">
        <v>261</v>
      </c>
      <c r="D3572" s="3" t="s">
        <v>9</v>
      </c>
      <c r="E3572" s="3" t="s">
        <v>10</v>
      </c>
      <c r="F3572" s="5">
        <v>243</v>
      </c>
      <c r="G3572" s="5">
        <v>114</v>
      </c>
      <c r="H3572" s="6">
        <v>13549.92</v>
      </c>
      <c r="I3572" s="22">
        <v>6613.86</v>
      </c>
      <c r="J3572" s="24">
        <f t="shared" si="165"/>
        <v>4.5828242416674451E-5</v>
      </c>
      <c r="K3572" s="25">
        <f t="shared" si="167"/>
        <v>0.96544588712331281</v>
      </c>
      <c r="L3572" s="26" t="s">
        <v>7518</v>
      </c>
      <c r="M3572" s="28"/>
      <c r="N3572" s="28"/>
      <c r="O3572" s="20" t="s">
        <v>7530</v>
      </c>
      <c r="P3572" s="27" t="str">
        <f t="shared" si="166"/>
        <v>vermelho</v>
      </c>
    </row>
    <row r="3573" spans="1:16" ht="25.5">
      <c r="A3573" s="3" t="s">
        <v>4</v>
      </c>
      <c r="B3573" s="3" t="s">
        <v>2609</v>
      </c>
      <c r="C3573" s="4">
        <v>194</v>
      </c>
      <c r="D3573" s="3" t="s">
        <v>145</v>
      </c>
      <c r="E3573" s="3" t="s">
        <v>16</v>
      </c>
      <c r="F3573" s="5">
        <v>0</v>
      </c>
      <c r="G3573" s="5">
        <v>108</v>
      </c>
      <c r="H3573" s="6">
        <v>0</v>
      </c>
      <c r="I3573" s="22">
        <v>6608.52</v>
      </c>
      <c r="J3573" s="24">
        <f t="shared" si="165"/>
        <v>4.5791240905528913E-5</v>
      </c>
      <c r="K3573" s="25">
        <f t="shared" si="167"/>
        <v>0.96549167836421834</v>
      </c>
      <c r="L3573" s="26" t="s">
        <v>7518</v>
      </c>
      <c r="M3573" s="28"/>
      <c r="N3573" s="28"/>
      <c r="O3573" s="20">
        <v>8713.11</v>
      </c>
      <c r="P3573" s="27" t="str">
        <f t="shared" si="166"/>
        <v>verde</v>
      </c>
    </row>
    <row r="3574" spans="1:16">
      <c r="A3574" s="3" t="s">
        <v>6898</v>
      </c>
      <c r="B3574" s="3" t="s">
        <v>6899</v>
      </c>
      <c r="C3574" s="4">
        <v>315</v>
      </c>
      <c r="D3574" s="3" t="s">
        <v>63</v>
      </c>
      <c r="E3574" s="3" t="s">
        <v>7</v>
      </c>
      <c r="F3574" s="5">
        <v>0</v>
      </c>
      <c r="G3574" s="5">
        <v>120</v>
      </c>
      <c r="H3574" s="6">
        <v>0</v>
      </c>
      <c r="I3574" s="22">
        <v>6605.07</v>
      </c>
      <c r="J3574" s="24">
        <f t="shared" si="165"/>
        <v>4.5767335434844991E-5</v>
      </c>
      <c r="K3574" s="25">
        <f t="shared" si="167"/>
        <v>0.96553744569965316</v>
      </c>
      <c r="L3574" s="26" t="s">
        <v>7518</v>
      </c>
      <c r="M3574" s="28"/>
      <c r="N3574" s="28"/>
      <c r="O3574" s="20">
        <v>10711.755999999999</v>
      </c>
      <c r="P3574" s="27" t="str">
        <f t="shared" si="166"/>
        <v>verde</v>
      </c>
    </row>
    <row r="3575" spans="1:16" ht="25.5">
      <c r="A3575" s="3" t="s">
        <v>4</v>
      </c>
      <c r="B3575" s="3" t="s">
        <v>2610</v>
      </c>
      <c r="C3575" s="4">
        <v>167</v>
      </c>
      <c r="D3575" s="3" t="s">
        <v>251</v>
      </c>
      <c r="E3575" s="3" t="s">
        <v>49</v>
      </c>
      <c r="F3575" s="5">
        <v>183</v>
      </c>
      <c r="G3575" s="5">
        <v>144</v>
      </c>
      <c r="H3575" s="6">
        <v>8141.97</v>
      </c>
      <c r="I3575" s="22">
        <v>6592.8</v>
      </c>
      <c r="J3575" s="24">
        <f t="shared" si="165"/>
        <v>4.5682315108673503E-5</v>
      </c>
      <c r="K3575" s="25">
        <f t="shared" si="167"/>
        <v>0.96558312801476187</v>
      </c>
      <c r="L3575" s="26" t="s">
        <v>7518</v>
      </c>
      <c r="M3575" s="28"/>
      <c r="N3575" s="28"/>
      <c r="O3575" s="20">
        <v>2179.6799999999998</v>
      </c>
      <c r="P3575" s="27" t="str">
        <f t="shared" si="166"/>
        <v>amarelo</v>
      </c>
    </row>
    <row r="3576" spans="1:16" ht="38.25">
      <c r="A3576" s="3" t="s">
        <v>4</v>
      </c>
      <c r="B3576" s="3" t="s">
        <v>2611</v>
      </c>
      <c r="C3576" s="4">
        <v>194</v>
      </c>
      <c r="D3576" s="3" t="s">
        <v>145</v>
      </c>
      <c r="E3576" s="3" t="s">
        <v>16</v>
      </c>
      <c r="F3576" s="5">
        <v>0</v>
      </c>
      <c r="G3576" s="5">
        <v>108</v>
      </c>
      <c r="H3576" s="6">
        <v>0</v>
      </c>
      <c r="I3576" s="22">
        <v>6591.66</v>
      </c>
      <c r="J3576" s="24">
        <f t="shared" si="165"/>
        <v>4.56744159096649E-5</v>
      </c>
      <c r="K3576" s="25">
        <f t="shared" si="167"/>
        <v>0.96562880243067151</v>
      </c>
      <c r="L3576" s="26" t="s">
        <v>7518</v>
      </c>
      <c r="M3576" s="28"/>
      <c r="N3576" s="28"/>
      <c r="O3576" s="20">
        <v>15503.28</v>
      </c>
      <c r="P3576" s="27" t="str">
        <f t="shared" si="166"/>
        <v>verde</v>
      </c>
    </row>
    <row r="3577" spans="1:16" ht="38.25">
      <c r="A3577" s="3" t="s">
        <v>4</v>
      </c>
      <c r="B3577" s="3" t="s">
        <v>2612</v>
      </c>
      <c r="C3577" s="4">
        <v>34</v>
      </c>
      <c r="D3577" s="3" t="s">
        <v>54</v>
      </c>
      <c r="E3577" s="3" t="s">
        <v>49</v>
      </c>
      <c r="F3577" s="5">
        <v>282</v>
      </c>
      <c r="G3577" s="5">
        <v>102</v>
      </c>
      <c r="H3577" s="6">
        <v>14637.294</v>
      </c>
      <c r="I3577" s="22">
        <v>6586.98</v>
      </c>
      <c r="J3577" s="24">
        <f t="shared" si="165"/>
        <v>4.5641987618998023E-5</v>
      </c>
      <c r="K3577" s="25">
        <f t="shared" si="167"/>
        <v>0.96567444441829053</v>
      </c>
      <c r="L3577" s="26" t="s">
        <v>7518</v>
      </c>
      <c r="M3577" s="28"/>
      <c r="N3577" s="28"/>
      <c r="O3577" s="20" t="s">
        <v>7530</v>
      </c>
      <c r="P3577" s="27" t="str">
        <f t="shared" si="166"/>
        <v>vermelho</v>
      </c>
    </row>
    <row r="3578" spans="1:16" ht="25.5">
      <c r="A3578" s="3" t="s">
        <v>4</v>
      </c>
      <c r="B3578" s="3" t="s">
        <v>2613</v>
      </c>
      <c r="C3578" s="4">
        <v>270</v>
      </c>
      <c r="D3578" s="3" t="s">
        <v>266</v>
      </c>
      <c r="E3578" s="3" t="s">
        <v>49</v>
      </c>
      <c r="F3578" s="5">
        <v>0</v>
      </c>
      <c r="G3578" s="5">
        <v>128</v>
      </c>
      <c r="H3578" s="6">
        <v>0</v>
      </c>
      <c r="I3578" s="22">
        <v>6584.53</v>
      </c>
      <c r="J3578" s="24">
        <f t="shared" si="165"/>
        <v>4.5625011270251474E-5</v>
      </c>
      <c r="K3578" s="25">
        <f t="shared" si="167"/>
        <v>0.96572006942956079</v>
      </c>
      <c r="L3578" s="26" t="s">
        <v>7518</v>
      </c>
      <c r="M3578" s="28"/>
      <c r="N3578" s="28"/>
      <c r="O3578" s="20" t="s">
        <v>7530</v>
      </c>
      <c r="P3578" s="27" t="str">
        <f t="shared" si="166"/>
        <v>vermelho</v>
      </c>
    </row>
    <row r="3579" spans="1:16" ht="38.25">
      <c r="A3579" s="3" t="s">
        <v>4</v>
      </c>
      <c r="B3579" s="3" t="s">
        <v>2614</v>
      </c>
      <c r="C3579" s="4">
        <v>371</v>
      </c>
      <c r="D3579" s="3" t="s">
        <v>82</v>
      </c>
      <c r="E3579" s="3" t="s">
        <v>49</v>
      </c>
      <c r="F3579" s="5">
        <v>126</v>
      </c>
      <c r="G3579" s="5">
        <v>126</v>
      </c>
      <c r="H3579" s="6">
        <v>6173.64</v>
      </c>
      <c r="I3579" s="22">
        <v>6584.3280000000004</v>
      </c>
      <c r="J3579" s="24">
        <f t="shared" si="165"/>
        <v>4.5623611587620133E-5</v>
      </c>
      <c r="K3579" s="25">
        <f t="shared" si="167"/>
        <v>0.96576569304114845</v>
      </c>
      <c r="L3579" s="26" t="s">
        <v>7518</v>
      </c>
      <c r="M3579" s="28"/>
      <c r="N3579" s="28"/>
      <c r="O3579" s="20" t="s">
        <v>7530</v>
      </c>
      <c r="P3579" s="27" t="str">
        <f t="shared" si="166"/>
        <v>vermelho</v>
      </c>
    </row>
    <row r="3580" spans="1:16" ht="25.5">
      <c r="A3580" s="3" t="s">
        <v>4</v>
      </c>
      <c r="B3580" s="3" t="s">
        <v>2615</v>
      </c>
      <c r="C3580" s="4">
        <v>194</v>
      </c>
      <c r="D3580" s="3" t="s">
        <v>145</v>
      </c>
      <c r="E3580" s="3" t="s">
        <v>16</v>
      </c>
      <c r="F3580" s="5">
        <v>48</v>
      </c>
      <c r="G3580" s="5">
        <v>125</v>
      </c>
      <c r="H3580" s="6">
        <v>3070.32</v>
      </c>
      <c r="I3580" s="22">
        <v>6572.59</v>
      </c>
      <c r="J3580" s="24">
        <f t="shared" si="165"/>
        <v>4.5542277554319316E-5</v>
      </c>
      <c r="K3580" s="25">
        <f t="shared" si="167"/>
        <v>0.96581123531870272</v>
      </c>
      <c r="L3580" s="26" t="s">
        <v>7518</v>
      </c>
      <c r="M3580" s="28"/>
      <c r="N3580" s="28"/>
      <c r="O3580" s="20">
        <v>3585.78</v>
      </c>
      <c r="P3580" s="27" t="str">
        <f t="shared" si="166"/>
        <v>laranja</v>
      </c>
    </row>
    <row r="3581" spans="1:16" ht="25.5">
      <c r="A3581" s="3" t="s">
        <v>6900</v>
      </c>
      <c r="B3581" s="3" t="s">
        <v>6901</v>
      </c>
      <c r="C3581" s="4">
        <v>320</v>
      </c>
      <c r="D3581" s="3" t="s">
        <v>218</v>
      </c>
      <c r="E3581" s="3" t="s">
        <v>49</v>
      </c>
      <c r="F3581" s="5">
        <v>72</v>
      </c>
      <c r="G3581" s="5">
        <v>96</v>
      </c>
      <c r="H3581" s="6">
        <v>3575.28</v>
      </c>
      <c r="I3581" s="22">
        <v>6551.52</v>
      </c>
      <c r="J3581" s="24">
        <f t="shared" si="165"/>
        <v>4.5396280955098993E-5</v>
      </c>
      <c r="K3581" s="25">
        <f t="shared" si="167"/>
        <v>0.96585663159965784</v>
      </c>
      <c r="L3581" s="26" t="s">
        <v>7518</v>
      </c>
      <c r="M3581" s="28"/>
      <c r="N3581" s="28"/>
      <c r="O3581" s="20" t="s">
        <v>7530</v>
      </c>
      <c r="P3581" s="27" t="str">
        <f t="shared" si="166"/>
        <v>vermelho</v>
      </c>
    </row>
    <row r="3582" spans="1:16" ht="25.5">
      <c r="A3582" s="3" t="s">
        <v>4</v>
      </c>
      <c r="B3582" s="3" t="s">
        <v>2616</v>
      </c>
      <c r="C3582" s="4">
        <v>267</v>
      </c>
      <c r="D3582" s="3" t="s">
        <v>125</v>
      </c>
      <c r="E3582" s="3" t="s">
        <v>16</v>
      </c>
      <c r="F3582" s="5">
        <v>96</v>
      </c>
      <c r="G3582" s="5">
        <v>108</v>
      </c>
      <c r="H3582" s="6">
        <v>4943.04</v>
      </c>
      <c r="I3582" s="22">
        <v>6551.28</v>
      </c>
      <c r="J3582" s="24">
        <f t="shared" si="165"/>
        <v>4.5394617965834021E-5</v>
      </c>
      <c r="K3582" s="25">
        <f t="shared" si="167"/>
        <v>0.96590202621762367</v>
      </c>
      <c r="L3582" s="26" t="s">
        <v>7518</v>
      </c>
      <c r="M3582" s="28"/>
      <c r="N3582" s="28"/>
      <c r="O3582" s="20">
        <v>3941.64</v>
      </c>
      <c r="P3582" s="27" t="str">
        <f t="shared" si="166"/>
        <v>laranja</v>
      </c>
    </row>
    <row r="3583" spans="1:16">
      <c r="A3583" s="3" t="s">
        <v>4</v>
      </c>
      <c r="B3583" s="3" t="s">
        <v>2617</v>
      </c>
      <c r="C3583" s="4">
        <v>240</v>
      </c>
      <c r="D3583" s="3" t="s">
        <v>69</v>
      </c>
      <c r="E3583" s="3" t="s">
        <v>16</v>
      </c>
      <c r="F3583" s="5">
        <v>126</v>
      </c>
      <c r="G3583" s="5">
        <v>126</v>
      </c>
      <c r="H3583" s="6">
        <v>7461.6</v>
      </c>
      <c r="I3583" s="22">
        <v>6545.22</v>
      </c>
      <c r="J3583" s="24">
        <f t="shared" si="165"/>
        <v>4.5352627486893577E-5</v>
      </c>
      <c r="K3583" s="25">
        <f t="shared" si="167"/>
        <v>0.9659473788451105</v>
      </c>
      <c r="L3583" s="26" t="s">
        <v>7518</v>
      </c>
      <c r="M3583" s="28"/>
      <c r="N3583" s="28"/>
      <c r="O3583" s="20" t="s">
        <v>7530</v>
      </c>
      <c r="P3583" s="27" t="str">
        <f t="shared" si="166"/>
        <v>vermelho</v>
      </c>
    </row>
    <row r="3584" spans="1:16" ht="25.5">
      <c r="A3584" s="3" t="s">
        <v>4</v>
      </c>
      <c r="B3584" s="3" t="s">
        <v>2618</v>
      </c>
      <c r="C3584" s="4">
        <v>217</v>
      </c>
      <c r="D3584" s="3" t="s">
        <v>91</v>
      </c>
      <c r="E3584" s="3" t="s">
        <v>16</v>
      </c>
      <c r="F3584" s="5">
        <v>135</v>
      </c>
      <c r="G3584" s="5">
        <v>123</v>
      </c>
      <c r="H3584" s="6">
        <v>7568.22</v>
      </c>
      <c r="I3584" s="22">
        <v>6536.37</v>
      </c>
      <c r="J3584" s="24">
        <f t="shared" si="165"/>
        <v>4.5291304757747877E-5</v>
      </c>
      <c r="K3584" s="25">
        <f t="shared" si="167"/>
        <v>0.96599267014986823</v>
      </c>
      <c r="L3584" s="26" t="s">
        <v>7518</v>
      </c>
      <c r="M3584" s="28"/>
      <c r="N3584" s="28"/>
      <c r="O3584" s="20" t="s">
        <v>7530</v>
      </c>
      <c r="P3584" s="27" t="str">
        <f t="shared" si="166"/>
        <v>vermelho</v>
      </c>
    </row>
    <row r="3585" spans="1:16" ht="25.5">
      <c r="A3585" s="3" t="s">
        <v>4</v>
      </c>
      <c r="B3585" s="3" t="s">
        <v>2619</v>
      </c>
      <c r="C3585" s="4">
        <v>266</v>
      </c>
      <c r="D3585" s="3" t="s">
        <v>80</v>
      </c>
      <c r="E3585" s="3" t="s">
        <v>10</v>
      </c>
      <c r="F3585" s="5">
        <v>84</v>
      </c>
      <c r="G3585" s="5">
        <v>123</v>
      </c>
      <c r="H3585" s="6">
        <v>4285.4399999999996</v>
      </c>
      <c r="I3585" s="22">
        <v>6525.75</v>
      </c>
      <c r="J3585" s="24">
        <f t="shared" si="165"/>
        <v>4.5217717482773041E-5</v>
      </c>
      <c r="K3585" s="25">
        <f t="shared" si="167"/>
        <v>0.96603788786735101</v>
      </c>
      <c r="L3585" s="26" t="s">
        <v>7518</v>
      </c>
      <c r="M3585" s="28"/>
      <c r="N3585" s="28"/>
      <c r="O3585" s="20" t="s">
        <v>7530</v>
      </c>
      <c r="P3585" s="27" t="str">
        <f t="shared" si="166"/>
        <v>vermelho</v>
      </c>
    </row>
    <row r="3586" spans="1:16" ht="25.5">
      <c r="A3586" s="3" t="s">
        <v>4</v>
      </c>
      <c r="B3586" s="3" t="s">
        <v>2620</v>
      </c>
      <c r="C3586" s="4">
        <v>299</v>
      </c>
      <c r="D3586" s="3" t="s">
        <v>111</v>
      </c>
      <c r="E3586" s="3" t="s">
        <v>49</v>
      </c>
      <c r="F3586" s="5">
        <v>0</v>
      </c>
      <c r="G3586" s="5">
        <v>120</v>
      </c>
      <c r="H3586" s="6">
        <v>0</v>
      </c>
      <c r="I3586" s="22">
        <v>6519.6</v>
      </c>
      <c r="J3586" s="24">
        <f t="shared" si="165"/>
        <v>4.5175103382858237E-5</v>
      </c>
      <c r="K3586" s="25">
        <f t="shared" si="167"/>
        <v>0.96608306297073387</v>
      </c>
      <c r="L3586" s="26" t="s">
        <v>7518</v>
      </c>
      <c r="M3586" s="28"/>
      <c r="N3586" s="28"/>
      <c r="O3586" s="20" t="s">
        <v>7530</v>
      </c>
      <c r="P3586" s="27" t="str">
        <f t="shared" si="166"/>
        <v>vermelho</v>
      </c>
    </row>
    <row r="3587" spans="1:16" ht="25.5">
      <c r="A3587" s="3" t="s">
        <v>4</v>
      </c>
      <c r="B3587" s="3" t="s">
        <v>2621</v>
      </c>
      <c r="C3587" s="4">
        <v>266</v>
      </c>
      <c r="D3587" s="3" t="s">
        <v>80</v>
      </c>
      <c r="E3587" s="3" t="s">
        <v>10</v>
      </c>
      <c r="F3587" s="5">
        <v>645</v>
      </c>
      <c r="G3587" s="5">
        <v>90</v>
      </c>
      <c r="H3587" s="6">
        <v>32634.78</v>
      </c>
      <c r="I3587" s="22">
        <v>6517.08</v>
      </c>
      <c r="J3587" s="24">
        <f t="shared" ref="J3587:J3650" si="168">I3587/$I$6364</f>
        <v>4.5157641995576067E-5</v>
      </c>
      <c r="K3587" s="25">
        <f t="shared" si="167"/>
        <v>0.9661282206127294</v>
      </c>
      <c r="L3587" s="26" t="s">
        <v>7518</v>
      </c>
      <c r="M3587" s="28"/>
      <c r="N3587" s="28"/>
      <c r="O3587" s="20" t="s">
        <v>7530</v>
      </c>
      <c r="P3587" s="27" t="str">
        <f t="shared" ref="P3587:P3650" si="169">IF(O3587&lt;=0,"vermelho",IFERROR(IF(O3587/I3587&lt;=0.5098,"amarelo",IF(O3587/I3587&lt;1,"laranja","verde")),"vermelho"))</f>
        <v>vermelho</v>
      </c>
    </row>
    <row r="3588" spans="1:16" ht="25.5">
      <c r="A3588" s="3" t="s">
        <v>6902</v>
      </c>
      <c r="B3588" s="3" t="s">
        <v>6903</v>
      </c>
      <c r="C3588" s="4">
        <v>74</v>
      </c>
      <c r="D3588" s="3" t="s">
        <v>6</v>
      </c>
      <c r="E3588" s="3" t="s">
        <v>7</v>
      </c>
      <c r="F3588" s="5">
        <v>0</v>
      </c>
      <c r="G3588" s="5">
        <v>120</v>
      </c>
      <c r="H3588" s="6">
        <v>0</v>
      </c>
      <c r="I3588" s="22">
        <v>6498.24</v>
      </c>
      <c r="J3588" s="24">
        <f t="shared" si="168"/>
        <v>4.5027097338276072E-5</v>
      </c>
      <c r="K3588" s="25">
        <f t="shared" ref="K3588:K3651" si="170">J3588+K3587</f>
        <v>0.96617324771006763</v>
      </c>
      <c r="L3588" s="26" t="s">
        <v>7518</v>
      </c>
      <c r="M3588" s="28"/>
      <c r="N3588" s="28"/>
      <c r="O3588" s="20" t="s">
        <v>7530</v>
      </c>
      <c r="P3588" s="27" t="str">
        <f t="shared" si="169"/>
        <v>vermelho</v>
      </c>
    </row>
    <row r="3589" spans="1:16" ht="25.5">
      <c r="A3589" s="3" t="s">
        <v>4</v>
      </c>
      <c r="B3589" s="3" t="s">
        <v>2622</v>
      </c>
      <c r="C3589" s="4">
        <v>296</v>
      </c>
      <c r="D3589" s="3" t="s">
        <v>282</v>
      </c>
      <c r="E3589" s="3" t="s">
        <v>10</v>
      </c>
      <c r="F3589" s="5">
        <v>0</v>
      </c>
      <c r="G3589" s="5">
        <v>123</v>
      </c>
      <c r="H3589" s="6">
        <v>0</v>
      </c>
      <c r="I3589" s="22">
        <v>6490.058</v>
      </c>
      <c r="J3589" s="24">
        <f t="shared" si="168"/>
        <v>4.4970403262584537E-5</v>
      </c>
      <c r="K3589" s="25">
        <f t="shared" si="170"/>
        <v>0.9662182181133302</v>
      </c>
      <c r="L3589" s="26" t="s">
        <v>7518</v>
      </c>
      <c r="M3589" s="28"/>
      <c r="N3589" s="28"/>
      <c r="O3589" s="20" t="s">
        <v>7530</v>
      </c>
      <c r="P3589" s="27" t="str">
        <f t="shared" si="169"/>
        <v>vermelho</v>
      </c>
    </row>
    <row r="3590" spans="1:16" ht="25.5">
      <c r="A3590" s="3" t="s">
        <v>4</v>
      </c>
      <c r="B3590" s="3" t="s">
        <v>2623</v>
      </c>
      <c r="C3590" s="4">
        <v>23</v>
      </c>
      <c r="D3590" s="3" t="s">
        <v>87</v>
      </c>
      <c r="E3590" s="3" t="s">
        <v>7</v>
      </c>
      <c r="F3590" s="5">
        <v>159</v>
      </c>
      <c r="G3590" s="5">
        <v>117</v>
      </c>
      <c r="H3590" s="6">
        <v>8556.2099999999991</v>
      </c>
      <c r="I3590" s="22">
        <v>6484.68</v>
      </c>
      <c r="J3590" s="24">
        <f t="shared" si="168"/>
        <v>4.4933138444805375E-5</v>
      </c>
      <c r="K3590" s="25">
        <f t="shared" si="170"/>
        <v>0.96626315125177498</v>
      </c>
      <c r="L3590" s="26" t="s">
        <v>7518</v>
      </c>
      <c r="M3590" s="28"/>
      <c r="N3590" s="28">
        <v>3.8247893815937739E-2</v>
      </c>
      <c r="O3590" s="20">
        <v>4502.6400000000003</v>
      </c>
      <c r="P3590" s="27" t="str">
        <f t="shared" si="169"/>
        <v>laranja</v>
      </c>
    </row>
    <row r="3591" spans="1:16" ht="38.25">
      <c r="A3591" s="3" t="s">
        <v>4</v>
      </c>
      <c r="B3591" s="3" t="s">
        <v>2624</v>
      </c>
      <c r="C3591" s="4">
        <v>38</v>
      </c>
      <c r="D3591" s="3" t="s">
        <v>184</v>
      </c>
      <c r="E3591" s="3" t="s">
        <v>49</v>
      </c>
      <c r="F3591" s="5">
        <v>0</v>
      </c>
      <c r="G3591" s="5">
        <v>132</v>
      </c>
      <c r="H3591" s="6">
        <v>0</v>
      </c>
      <c r="I3591" s="22">
        <v>6471.6</v>
      </c>
      <c r="J3591" s="24">
        <f t="shared" si="168"/>
        <v>4.4842505529864615E-5</v>
      </c>
      <c r="K3591" s="25">
        <f t="shared" si="170"/>
        <v>0.96630799375730481</v>
      </c>
      <c r="L3591" s="26" t="s">
        <v>7518</v>
      </c>
      <c r="M3591" s="28"/>
      <c r="N3591" s="28"/>
      <c r="O3591" s="20" t="s">
        <v>7530</v>
      </c>
      <c r="P3591" s="27" t="str">
        <f t="shared" si="169"/>
        <v>vermelho</v>
      </c>
    </row>
    <row r="3592" spans="1:16" ht="38.25">
      <c r="A3592" s="3" t="s">
        <v>4</v>
      </c>
      <c r="B3592" s="3" t="s">
        <v>2625</v>
      </c>
      <c r="C3592" s="4">
        <v>45</v>
      </c>
      <c r="D3592" s="3" t="s">
        <v>23</v>
      </c>
      <c r="E3592" s="3" t="s">
        <v>7</v>
      </c>
      <c r="F3592" s="5">
        <v>0</v>
      </c>
      <c r="G3592" s="5">
        <v>135</v>
      </c>
      <c r="H3592" s="6">
        <v>0</v>
      </c>
      <c r="I3592" s="22">
        <v>6471.54</v>
      </c>
      <c r="J3592" s="24">
        <f t="shared" si="168"/>
        <v>4.4842089782548375E-5</v>
      </c>
      <c r="K3592" s="25">
        <f t="shared" si="170"/>
        <v>0.96635283584708731</v>
      </c>
      <c r="L3592" s="26" t="s">
        <v>7518</v>
      </c>
      <c r="M3592" s="28"/>
      <c r="N3592" s="28"/>
      <c r="O3592" s="20" t="s">
        <v>7530</v>
      </c>
      <c r="P3592" s="27" t="str">
        <f t="shared" si="169"/>
        <v>vermelho</v>
      </c>
    </row>
    <row r="3593" spans="1:16" ht="25.5">
      <c r="A3593" s="3" t="s">
        <v>4</v>
      </c>
      <c r="B3593" s="3" t="s">
        <v>2626</v>
      </c>
      <c r="C3593" s="4">
        <v>273</v>
      </c>
      <c r="D3593" s="3" t="s">
        <v>149</v>
      </c>
      <c r="E3593" s="3" t="s">
        <v>16</v>
      </c>
      <c r="F3593" s="5">
        <v>120</v>
      </c>
      <c r="G3593" s="5">
        <v>120</v>
      </c>
      <c r="H3593" s="6">
        <v>6865.68</v>
      </c>
      <c r="I3593" s="22">
        <v>6467.46</v>
      </c>
      <c r="J3593" s="24">
        <f t="shared" si="168"/>
        <v>4.4813818965043912E-5</v>
      </c>
      <c r="K3593" s="25">
        <f t="shared" si="170"/>
        <v>0.96639764966605235</v>
      </c>
      <c r="L3593" s="26" t="s">
        <v>7518</v>
      </c>
      <c r="M3593" s="28"/>
      <c r="N3593" s="28"/>
      <c r="O3593" s="20" t="s">
        <v>7530</v>
      </c>
      <c r="P3593" s="27" t="str">
        <f t="shared" si="169"/>
        <v>vermelho</v>
      </c>
    </row>
    <row r="3594" spans="1:16" ht="25.5">
      <c r="A3594" s="3" t="s">
        <v>6904</v>
      </c>
      <c r="B3594" s="3" t="s">
        <v>6905</v>
      </c>
      <c r="C3594" s="4">
        <v>299</v>
      </c>
      <c r="D3594" s="3" t="s">
        <v>111</v>
      </c>
      <c r="E3594" s="3" t="s">
        <v>49</v>
      </c>
      <c r="F3594" s="5">
        <v>420</v>
      </c>
      <c r="G3594" s="5">
        <v>147</v>
      </c>
      <c r="H3594" s="6">
        <v>13944.6</v>
      </c>
      <c r="I3594" s="22">
        <v>6463.53</v>
      </c>
      <c r="J3594" s="24">
        <f t="shared" si="168"/>
        <v>4.4786587515830061E-5</v>
      </c>
      <c r="K3594" s="25">
        <f t="shared" si="170"/>
        <v>0.96644243625356818</v>
      </c>
      <c r="L3594" s="26" t="s">
        <v>7518</v>
      </c>
      <c r="M3594" s="28"/>
      <c r="N3594" s="28"/>
      <c r="O3594" s="20" t="s">
        <v>7530</v>
      </c>
      <c r="P3594" s="27" t="str">
        <f t="shared" si="169"/>
        <v>vermelho</v>
      </c>
    </row>
    <row r="3595" spans="1:16" ht="25.5">
      <c r="A3595" s="3" t="s">
        <v>4</v>
      </c>
      <c r="B3595" s="3" t="s">
        <v>2627</v>
      </c>
      <c r="C3595" s="4">
        <v>197</v>
      </c>
      <c r="D3595" s="3" t="s">
        <v>66</v>
      </c>
      <c r="E3595" s="3" t="s">
        <v>41</v>
      </c>
      <c r="F3595" s="5">
        <v>108</v>
      </c>
      <c r="G3595" s="5">
        <v>144</v>
      </c>
      <c r="H3595" s="6">
        <v>5421.24</v>
      </c>
      <c r="I3595" s="22">
        <v>6456.84</v>
      </c>
      <c r="J3595" s="24">
        <f t="shared" si="168"/>
        <v>4.4740231690069076E-5</v>
      </c>
      <c r="K3595" s="25">
        <f t="shared" si="170"/>
        <v>0.96648717648525828</v>
      </c>
      <c r="L3595" s="26" t="s">
        <v>7518</v>
      </c>
      <c r="M3595" s="28"/>
      <c r="N3595" s="28"/>
      <c r="O3595" s="20" t="s">
        <v>7530</v>
      </c>
      <c r="P3595" s="27" t="str">
        <f t="shared" si="169"/>
        <v>vermelho</v>
      </c>
    </row>
    <row r="3596" spans="1:16" ht="25.5">
      <c r="A3596" s="3" t="s">
        <v>4</v>
      </c>
      <c r="B3596" s="3" t="s">
        <v>2628</v>
      </c>
      <c r="C3596" s="4">
        <v>93</v>
      </c>
      <c r="D3596" s="3" t="s">
        <v>20</v>
      </c>
      <c r="E3596" s="3" t="s">
        <v>7</v>
      </c>
      <c r="F3596" s="5">
        <v>60</v>
      </c>
      <c r="G3596" s="5">
        <v>84</v>
      </c>
      <c r="H3596" s="6">
        <v>3515.4</v>
      </c>
      <c r="I3596" s="22">
        <v>6445.2</v>
      </c>
      <c r="J3596" s="24">
        <f t="shared" si="168"/>
        <v>4.4659576710718122E-5</v>
      </c>
      <c r="K3596" s="25">
        <f t="shared" si="170"/>
        <v>0.96653183606196902</v>
      </c>
      <c r="L3596" s="26" t="s">
        <v>7518</v>
      </c>
      <c r="M3596" s="28"/>
      <c r="N3596" s="28"/>
      <c r="O3596" s="20" t="s">
        <v>7530</v>
      </c>
      <c r="P3596" s="27" t="str">
        <f t="shared" si="169"/>
        <v>vermelho</v>
      </c>
    </row>
    <row r="3597" spans="1:16" ht="25.5">
      <c r="A3597" s="3" t="s">
        <v>4</v>
      </c>
      <c r="B3597" s="3" t="s">
        <v>2629</v>
      </c>
      <c r="C3597" s="4">
        <v>93</v>
      </c>
      <c r="D3597" s="3" t="s">
        <v>20</v>
      </c>
      <c r="E3597" s="3" t="s">
        <v>7</v>
      </c>
      <c r="F3597" s="5">
        <v>54</v>
      </c>
      <c r="G3597" s="5">
        <v>96</v>
      </c>
      <c r="H3597" s="6">
        <v>3377.46</v>
      </c>
      <c r="I3597" s="22">
        <v>6444.96</v>
      </c>
      <c r="J3597" s="24">
        <f t="shared" si="168"/>
        <v>4.4657913721453157E-5</v>
      </c>
      <c r="K3597" s="25">
        <f t="shared" si="170"/>
        <v>0.96657649397569045</v>
      </c>
      <c r="L3597" s="26" t="s">
        <v>7518</v>
      </c>
      <c r="M3597" s="28"/>
      <c r="N3597" s="28"/>
      <c r="O3597" s="20" t="s">
        <v>7530</v>
      </c>
      <c r="P3597" s="27" t="str">
        <f t="shared" si="169"/>
        <v>vermelho</v>
      </c>
    </row>
    <row r="3598" spans="1:16" ht="25.5">
      <c r="A3598" s="3" t="s">
        <v>4</v>
      </c>
      <c r="B3598" s="3" t="s">
        <v>2630</v>
      </c>
      <c r="C3598" s="4">
        <v>23</v>
      </c>
      <c r="D3598" s="3" t="s">
        <v>87</v>
      </c>
      <c r="E3598" s="3" t="s">
        <v>7</v>
      </c>
      <c r="F3598" s="5">
        <v>0</v>
      </c>
      <c r="G3598" s="5">
        <v>120</v>
      </c>
      <c r="H3598" s="6">
        <v>0</v>
      </c>
      <c r="I3598" s="22">
        <v>6442.44</v>
      </c>
      <c r="J3598" s="24">
        <f t="shared" si="168"/>
        <v>4.4640452334170987E-5</v>
      </c>
      <c r="K3598" s="25">
        <f t="shared" si="170"/>
        <v>0.96662113442802466</v>
      </c>
      <c r="L3598" s="26" t="s">
        <v>7518</v>
      </c>
      <c r="M3598" s="28"/>
      <c r="N3598" s="28"/>
      <c r="O3598" s="20">
        <v>3023.52</v>
      </c>
      <c r="P3598" s="27" t="str">
        <f t="shared" si="169"/>
        <v>amarelo</v>
      </c>
    </row>
    <row r="3599" spans="1:16" ht="25.5">
      <c r="A3599" s="3" t="s">
        <v>4</v>
      </c>
      <c r="B3599" s="3" t="s">
        <v>2631</v>
      </c>
      <c r="C3599" s="4">
        <v>299</v>
      </c>
      <c r="D3599" s="3" t="s">
        <v>111</v>
      </c>
      <c r="E3599" s="3" t="s">
        <v>49</v>
      </c>
      <c r="F3599" s="5">
        <v>276</v>
      </c>
      <c r="G3599" s="5">
        <v>126</v>
      </c>
      <c r="H3599" s="6">
        <v>14201.832</v>
      </c>
      <c r="I3599" s="22">
        <v>6437.88</v>
      </c>
      <c r="J3599" s="24">
        <f t="shared" si="168"/>
        <v>4.4608855538136595E-5</v>
      </c>
      <c r="K3599" s="25">
        <f t="shared" si="170"/>
        <v>0.96666574328356281</v>
      </c>
      <c r="L3599" s="26" t="s">
        <v>7518</v>
      </c>
      <c r="M3599" s="28"/>
      <c r="N3599" s="28"/>
      <c r="O3599" s="20" t="s">
        <v>7530</v>
      </c>
      <c r="P3599" s="27" t="str">
        <f t="shared" si="169"/>
        <v>vermelho</v>
      </c>
    </row>
    <row r="3600" spans="1:16" ht="25.5">
      <c r="A3600" s="3" t="s">
        <v>4</v>
      </c>
      <c r="B3600" s="3" t="s">
        <v>2632</v>
      </c>
      <c r="C3600" s="4">
        <v>31</v>
      </c>
      <c r="D3600" s="3" t="s">
        <v>194</v>
      </c>
      <c r="E3600" s="3" t="s">
        <v>16</v>
      </c>
      <c r="F3600" s="5">
        <v>63</v>
      </c>
      <c r="G3600" s="5">
        <v>132</v>
      </c>
      <c r="H3600" s="6">
        <v>2894.85</v>
      </c>
      <c r="I3600" s="22">
        <v>6427.08</v>
      </c>
      <c r="J3600" s="24">
        <f t="shared" si="168"/>
        <v>4.4534021021213034E-5</v>
      </c>
      <c r="K3600" s="25">
        <f t="shared" si="170"/>
        <v>0.96671027730458403</v>
      </c>
      <c r="L3600" s="26" t="s">
        <v>7518</v>
      </c>
      <c r="M3600" s="28">
        <v>-2.5330141881855861E-3</v>
      </c>
      <c r="N3600" s="28"/>
      <c r="O3600" s="20">
        <v>7062.48</v>
      </c>
      <c r="P3600" s="27" t="str">
        <f t="shared" si="169"/>
        <v>verde</v>
      </c>
    </row>
    <row r="3601" spans="1:16" ht="25.5">
      <c r="A3601" s="3" t="s">
        <v>4</v>
      </c>
      <c r="B3601" s="3" t="s">
        <v>2633</v>
      </c>
      <c r="C3601" s="4">
        <v>23</v>
      </c>
      <c r="D3601" s="3" t="s">
        <v>87</v>
      </c>
      <c r="E3601" s="3" t="s">
        <v>7</v>
      </c>
      <c r="F3601" s="5">
        <v>189</v>
      </c>
      <c r="G3601" s="5">
        <v>108</v>
      </c>
      <c r="H3601" s="6">
        <v>10494.03</v>
      </c>
      <c r="I3601" s="22">
        <v>6426.36</v>
      </c>
      <c r="J3601" s="24">
        <f t="shared" si="168"/>
        <v>4.4529032053418127E-5</v>
      </c>
      <c r="K3601" s="25">
        <f t="shared" si="170"/>
        <v>0.96675480633663746</v>
      </c>
      <c r="L3601" s="26" t="s">
        <v>7518</v>
      </c>
      <c r="M3601" s="28"/>
      <c r="N3601" s="28"/>
      <c r="O3601" s="20">
        <v>3763.38</v>
      </c>
      <c r="P3601" s="27" t="str">
        <f t="shared" si="169"/>
        <v>laranja</v>
      </c>
    </row>
    <row r="3602" spans="1:16" ht="25.5">
      <c r="A3602" s="3" t="s">
        <v>4</v>
      </c>
      <c r="B3602" s="3" t="s">
        <v>2634</v>
      </c>
      <c r="C3602" s="4">
        <v>240</v>
      </c>
      <c r="D3602" s="3" t="s">
        <v>69</v>
      </c>
      <c r="E3602" s="3" t="s">
        <v>16</v>
      </c>
      <c r="F3602" s="5">
        <v>0</v>
      </c>
      <c r="G3602" s="5">
        <v>96</v>
      </c>
      <c r="H3602" s="6">
        <v>0</v>
      </c>
      <c r="I3602" s="22">
        <v>6416.4</v>
      </c>
      <c r="J3602" s="24">
        <f t="shared" si="168"/>
        <v>4.4460017998921951E-5</v>
      </c>
      <c r="K3602" s="25">
        <f t="shared" si="170"/>
        <v>0.96679926635463642</v>
      </c>
      <c r="L3602" s="26" t="s">
        <v>7518</v>
      </c>
      <c r="M3602" s="28"/>
      <c r="N3602" s="28"/>
      <c r="O3602" s="20" t="s">
        <v>7530</v>
      </c>
      <c r="P3602" s="27" t="str">
        <f t="shared" si="169"/>
        <v>vermelho</v>
      </c>
    </row>
    <row r="3603" spans="1:16" ht="38.25">
      <c r="A3603" s="3" t="s">
        <v>4</v>
      </c>
      <c r="B3603" s="3" t="s">
        <v>2635</v>
      </c>
      <c r="C3603" s="4">
        <v>371</v>
      </c>
      <c r="D3603" s="3" t="s">
        <v>82</v>
      </c>
      <c r="E3603" s="3" t="s">
        <v>49</v>
      </c>
      <c r="F3603" s="5">
        <v>0</v>
      </c>
      <c r="G3603" s="5">
        <v>132</v>
      </c>
      <c r="H3603" s="6">
        <v>0</v>
      </c>
      <c r="I3603" s="22">
        <v>6416.28</v>
      </c>
      <c r="J3603" s="24">
        <f t="shared" si="168"/>
        <v>4.4459186504289466E-5</v>
      </c>
      <c r="K3603" s="25">
        <f t="shared" si="170"/>
        <v>0.96684372554114073</v>
      </c>
      <c r="L3603" s="26" t="s">
        <v>7518</v>
      </c>
      <c r="M3603" s="28"/>
      <c r="N3603" s="28"/>
      <c r="O3603" s="20">
        <v>2343.84</v>
      </c>
      <c r="P3603" s="27" t="str">
        <f t="shared" si="169"/>
        <v>amarelo</v>
      </c>
    </row>
    <row r="3604" spans="1:16" ht="25.5">
      <c r="A3604" s="3" t="s">
        <v>4</v>
      </c>
      <c r="B3604" s="3" t="s">
        <v>1495</v>
      </c>
      <c r="C3604" s="4">
        <v>296</v>
      </c>
      <c r="D3604" s="3" t="s">
        <v>282</v>
      </c>
      <c r="E3604" s="3" t="s">
        <v>10</v>
      </c>
      <c r="F3604" s="5">
        <v>0</v>
      </c>
      <c r="G3604" s="5">
        <v>120</v>
      </c>
      <c r="H3604" s="6">
        <v>0</v>
      </c>
      <c r="I3604" s="22">
        <v>6414.3320000000003</v>
      </c>
      <c r="J3604" s="24">
        <f t="shared" si="168"/>
        <v>4.4445688574755481E-5</v>
      </c>
      <c r="K3604" s="25">
        <f t="shared" si="170"/>
        <v>0.96688817122971549</v>
      </c>
      <c r="L3604" s="26" t="s">
        <v>7518</v>
      </c>
      <c r="M3604" s="28"/>
      <c r="N3604" s="28"/>
      <c r="O3604" s="20" t="s">
        <v>7530</v>
      </c>
      <c r="P3604" s="27" t="str">
        <f t="shared" si="169"/>
        <v>vermelho</v>
      </c>
    </row>
    <row r="3605" spans="1:16" ht="25.5">
      <c r="A3605" s="3" t="s">
        <v>4</v>
      </c>
      <c r="B3605" s="3" t="s">
        <v>2636</v>
      </c>
      <c r="C3605" s="4">
        <v>320</v>
      </c>
      <c r="D3605" s="3" t="s">
        <v>218</v>
      </c>
      <c r="E3605" s="3" t="s">
        <v>49</v>
      </c>
      <c r="F3605" s="5">
        <v>198</v>
      </c>
      <c r="G3605" s="5">
        <v>84</v>
      </c>
      <c r="H3605" s="6">
        <v>10117.02</v>
      </c>
      <c r="I3605" s="22">
        <v>6407.16</v>
      </c>
      <c r="J3605" s="24">
        <f t="shared" si="168"/>
        <v>4.4395992912220682E-5</v>
      </c>
      <c r="K3605" s="25">
        <f t="shared" si="170"/>
        <v>0.96693256722262766</v>
      </c>
      <c r="L3605" s="26" t="s">
        <v>7518</v>
      </c>
      <c r="M3605" s="28"/>
      <c r="N3605" s="28"/>
      <c r="O3605" s="20" t="s">
        <v>7530</v>
      </c>
      <c r="P3605" s="27" t="str">
        <f t="shared" si="169"/>
        <v>vermelho</v>
      </c>
    </row>
    <row r="3606" spans="1:16" ht="25.5">
      <c r="A3606" s="3" t="s">
        <v>4</v>
      </c>
      <c r="B3606" s="3" t="s">
        <v>2637</v>
      </c>
      <c r="C3606" s="4">
        <v>321</v>
      </c>
      <c r="D3606" s="3" t="s">
        <v>136</v>
      </c>
      <c r="E3606" s="3" t="s">
        <v>41</v>
      </c>
      <c r="F3606" s="5">
        <v>36</v>
      </c>
      <c r="G3606" s="5">
        <v>99</v>
      </c>
      <c r="H3606" s="6">
        <v>2447.88</v>
      </c>
      <c r="I3606" s="22">
        <v>6407.01</v>
      </c>
      <c r="J3606" s="24">
        <f t="shared" si="168"/>
        <v>4.4394953543930077E-5</v>
      </c>
      <c r="K3606" s="25">
        <f t="shared" si="170"/>
        <v>0.96697696217617157</v>
      </c>
      <c r="L3606" s="26" t="s">
        <v>7518</v>
      </c>
      <c r="M3606" s="28"/>
      <c r="N3606" s="28"/>
      <c r="O3606" s="20" t="s">
        <v>7530</v>
      </c>
      <c r="P3606" s="27" t="str">
        <f t="shared" si="169"/>
        <v>vermelho</v>
      </c>
    </row>
    <row r="3607" spans="1:16" ht="25.5">
      <c r="A3607" s="3" t="s">
        <v>4</v>
      </c>
      <c r="B3607" s="3" t="s">
        <v>2638</v>
      </c>
      <c r="C3607" s="4">
        <v>39</v>
      </c>
      <c r="D3607" s="3" t="s">
        <v>26</v>
      </c>
      <c r="E3607" s="3" t="s">
        <v>13</v>
      </c>
      <c r="F3607" s="5">
        <v>72</v>
      </c>
      <c r="G3607" s="5">
        <v>150</v>
      </c>
      <c r="H3607" s="6">
        <v>2805.84</v>
      </c>
      <c r="I3607" s="22">
        <v>6400.5</v>
      </c>
      <c r="J3607" s="24">
        <f t="shared" si="168"/>
        <v>4.4349844960117816E-5</v>
      </c>
      <c r="K3607" s="25">
        <f t="shared" si="170"/>
        <v>0.96702131202113173</v>
      </c>
      <c r="L3607" s="26" t="s">
        <v>7518</v>
      </c>
      <c r="M3607" s="28"/>
      <c r="N3607" s="28"/>
      <c r="O3607" s="20">
        <v>4874.6400000000003</v>
      </c>
      <c r="P3607" s="27" t="str">
        <f t="shared" si="169"/>
        <v>laranja</v>
      </c>
    </row>
    <row r="3608" spans="1:16" ht="25.5">
      <c r="A3608" s="3" t="s">
        <v>4</v>
      </c>
      <c r="B3608" s="3" t="s">
        <v>2639</v>
      </c>
      <c r="C3608" s="4">
        <v>299</v>
      </c>
      <c r="D3608" s="3" t="s">
        <v>111</v>
      </c>
      <c r="E3608" s="3" t="s">
        <v>49</v>
      </c>
      <c r="F3608" s="5">
        <v>384</v>
      </c>
      <c r="G3608" s="5">
        <v>114</v>
      </c>
      <c r="H3608" s="6">
        <v>22092.51</v>
      </c>
      <c r="I3608" s="22">
        <v>6399.54</v>
      </c>
      <c r="J3608" s="24">
        <f t="shared" si="168"/>
        <v>4.4343193003057945E-5</v>
      </c>
      <c r="K3608" s="25">
        <f t="shared" si="170"/>
        <v>0.96706565521413479</v>
      </c>
      <c r="L3608" s="26" t="s">
        <v>7518</v>
      </c>
      <c r="M3608" s="28"/>
      <c r="N3608" s="28"/>
      <c r="O3608" s="20" t="s">
        <v>7530</v>
      </c>
      <c r="P3608" s="27" t="str">
        <f t="shared" si="169"/>
        <v>vermelho</v>
      </c>
    </row>
    <row r="3609" spans="1:16" ht="25.5">
      <c r="A3609" s="3" t="s">
        <v>4</v>
      </c>
      <c r="B3609" s="3" t="s">
        <v>2640</v>
      </c>
      <c r="C3609" s="4">
        <v>178</v>
      </c>
      <c r="D3609" s="3" t="s">
        <v>74</v>
      </c>
      <c r="E3609" s="3" t="s">
        <v>7</v>
      </c>
      <c r="F3609" s="5">
        <v>48</v>
      </c>
      <c r="G3609" s="5">
        <v>108</v>
      </c>
      <c r="H3609" s="6">
        <v>3035.04</v>
      </c>
      <c r="I3609" s="22">
        <v>6395.94</v>
      </c>
      <c r="J3609" s="24">
        <f t="shared" si="168"/>
        <v>4.4318248164083418E-5</v>
      </c>
      <c r="K3609" s="25">
        <f t="shared" si="170"/>
        <v>0.96710997346229888</v>
      </c>
      <c r="L3609" s="26" t="s">
        <v>7518</v>
      </c>
      <c r="M3609" s="28"/>
      <c r="N3609" s="28"/>
      <c r="O3609" s="20" t="s">
        <v>7530</v>
      </c>
      <c r="P3609" s="27" t="str">
        <f t="shared" si="169"/>
        <v>vermelho</v>
      </c>
    </row>
    <row r="3610" spans="1:16" ht="25.5">
      <c r="A3610" s="3" t="s">
        <v>4</v>
      </c>
      <c r="B3610" s="3" t="s">
        <v>2641</v>
      </c>
      <c r="C3610" s="4">
        <v>317</v>
      </c>
      <c r="D3610" s="3" t="s">
        <v>78</v>
      </c>
      <c r="E3610" s="3" t="s">
        <v>10</v>
      </c>
      <c r="F3610" s="5">
        <v>0</v>
      </c>
      <c r="G3610" s="5">
        <v>102</v>
      </c>
      <c r="H3610" s="6">
        <v>0</v>
      </c>
      <c r="I3610" s="22">
        <v>6394.62</v>
      </c>
      <c r="J3610" s="24">
        <f t="shared" si="168"/>
        <v>4.4309101723126096E-5</v>
      </c>
      <c r="K3610" s="25">
        <f t="shared" si="170"/>
        <v>0.96715428256402203</v>
      </c>
      <c r="L3610" s="26" t="s">
        <v>7518</v>
      </c>
      <c r="M3610" s="28"/>
      <c r="N3610" s="28"/>
      <c r="O3610" s="20">
        <v>7304.46</v>
      </c>
      <c r="P3610" s="27" t="str">
        <f t="shared" si="169"/>
        <v>verde</v>
      </c>
    </row>
    <row r="3611" spans="1:16" ht="25.5">
      <c r="A3611" s="3" t="s">
        <v>6906</v>
      </c>
      <c r="B3611" s="3" t="s">
        <v>6907</v>
      </c>
      <c r="C3611" s="4">
        <v>218</v>
      </c>
      <c r="D3611" s="3" t="s">
        <v>104</v>
      </c>
      <c r="E3611" s="3" t="s">
        <v>16</v>
      </c>
      <c r="F3611" s="5">
        <v>0</v>
      </c>
      <c r="G3611" s="5">
        <v>108</v>
      </c>
      <c r="H3611" s="6">
        <v>0</v>
      </c>
      <c r="I3611" s="22">
        <v>6391.68</v>
      </c>
      <c r="J3611" s="24">
        <f t="shared" si="168"/>
        <v>4.4288730104630243E-5</v>
      </c>
      <c r="K3611" s="25">
        <f t="shared" si="170"/>
        <v>0.96719857129412667</v>
      </c>
      <c r="L3611" s="26" t="s">
        <v>7518</v>
      </c>
      <c r="M3611" s="28"/>
      <c r="N3611" s="28"/>
      <c r="O3611" s="20" t="s">
        <v>7530</v>
      </c>
      <c r="P3611" s="27" t="str">
        <f t="shared" si="169"/>
        <v>vermelho</v>
      </c>
    </row>
    <row r="3612" spans="1:16" ht="25.5">
      <c r="A3612" s="3" t="s">
        <v>4</v>
      </c>
      <c r="B3612" s="3" t="s">
        <v>2642</v>
      </c>
      <c r="C3612" s="4">
        <v>267</v>
      </c>
      <c r="D3612" s="3" t="s">
        <v>125</v>
      </c>
      <c r="E3612" s="3" t="s">
        <v>16</v>
      </c>
      <c r="F3612" s="5">
        <v>210</v>
      </c>
      <c r="G3612" s="5">
        <v>96</v>
      </c>
      <c r="H3612" s="6">
        <v>12207.3</v>
      </c>
      <c r="I3612" s="22">
        <v>6383.7</v>
      </c>
      <c r="J3612" s="24">
        <f t="shared" si="168"/>
        <v>4.4233435711570049E-5</v>
      </c>
      <c r="K3612" s="25">
        <f t="shared" si="170"/>
        <v>0.96724280472983826</v>
      </c>
      <c r="L3612" s="26" t="s">
        <v>7518</v>
      </c>
      <c r="M3612" s="28"/>
      <c r="N3612" s="28"/>
      <c r="O3612" s="20" t="s">
        <v>7530</v>
      </c>
      <c r="P3612" s="27" t="str">
        <f t="shared" si="169"/>
        <v>vermelho</v>
      </c>
    </row>
    <row r="3613" spans="1:16" ht="38.25">
      <c r="A3613" s="3" t="s">
        <v>4</v>
      </c>
      <c r="B3613" s="3" t="s">
        <v>2643</v>
      </c>
      <c r="C3613" s="4">
        <v>301</v>
      </c>
      <c r="D3613" s="3" t="s">
        <v>519</v>
      </c>
      <c r="E3613" s="3" t="s">
        <v>16</v>
      </c>
      <c r="F3613" s="5">
        <v>66</v>
      </c>
      <c r="G3613" s="5">
        <v>114</v>
      </c>
      <c r="H3613" s="6">
        <v>3233.58</v>
      </c>
      <c r="I3613" s="22">
        <v>6383.58</v>
      </c>
      <c r="J3613" s="24">
        <f t="shared" si="168"/>
        <v>4.4232604216937564E-5</v>
      </c>
      <c r="K3613" s="25">
        <f t="shared" si="170"/>
        <v>0.96728703733405519</v>
      </c>
      <c r="L3613" s="26" t="s">
        <v>7518</v>
      </c>
      <c r="M3613" s="28"/>
      <c r="N3613" s="28"/>
      <c r="O3613" s="20" t="s">
        <v>7530</v>
      </c>
      <c r="P3613" s="27" t="str">
        <f t="shared" si="169"/>
        <v>vermelho</v>
      </c>
    </row>
    <row r="3614" spans="1:16">
      <c r="A3614" s="3" t="s">
        <v>6908</v>
      </c>
      <c r="B3614" s="3" t="s">
        <v>6909</v>
      </c>
      <c r="C3614" s="4">
        <v>264</v>
      </c>
      <c r="D3614" s="3" t="s">
        <v>40</v>
      </c>
      <c r="E3614" s="3" t="s">
        <v>41</v>
      </c>
      <c r="F3614" s="5">
        <v>0</v>
      </c>
      <c r="G3614" s="5">
        <v>126</v>
      </c>
      <c r="H3614" s="6">
        <v>0</v>
      </c>
      <c r="I3614" s="22">
        <v>6382.576</v>
      </c>
      <c r="J3614" s="24">
        <f t="shared" si="168"/>
        <v>4.4225647378512448E-5</v>
      </c>
      <c r="K3614" s="25">
        <f t="shared" si="170"/>
        <v>0.96733126298143368</v>
      </c>
      <c r="L3614" s="26" t="s">
        <v>7518</v>
      </c>
      <c r="M3614" s="28"/>
      <c r="N3614" s="28"/>
      <c r="O3614" s="20">
        <v>1963.44</v>
      </c>
      <c r="P3614" s="27" t="str">
        <f t="shared" si="169"/>
        <v>amarelo</v>
      </c>
    </row>
    <row r="3615" spans="1:16" ht="38.25">
      <c r="A3615" s="3" t="s">
        <v>6910</v>
      </c>
      <c r="B3615" s="3" t="s">
        <v>6911</v>
      </c>
      <c r="C3615" s="4">
        <v>11</v>
      </c>
      <c r="D3615" s="3" t="s">
        <v>61</v>
      </c>
      <c r="E3615" s="3" t="s">
        <v>10</v>
      </c>
      <c r="F3615" s="5">
        <v>300</v>
      </c>
      <c r="G3615" s="5">
        <v>96</v>
      </c>
      <c r="H3615" s="6">
        <v>17144.490000000002</v>
      </c>
      <c r="I3615" s="22">
        <v>6377.04</v>
      </c>
      <c r="J3615" s="24">
        <f t="shared" si="168"/>
        <v>4.4187287759467183E-5</v>
      </c>
      <c r="K3615" s="25">
        <f t="shared" si="170"/>
        <v>0.96737545026919314</v>
      </c>
      <c r="L3615" s="26" t="s">
        <v>7518</v>
      </c>
      <c r="M3615" s="28"/>
      <c r="N3615" s="28"/>
      <c r="O3615" s="20" t="s">
        <v>7530</v>
      </c>
      <c r="P3615" s="27" t="str">
        <f t="shared" si="169"/>
        <v>vermelho</v>
      </c>
    </row>
    <row r="3616" spans="1:16">
      <c r="A3616" s="3" t="s">
        <v>4</v>
      </c>
      <c r="B3616" s="3" t="s">
        <v>2644</v>
      </c>
      <c r="C3616" s="4">
        <v>232</v>
      </c>
      <c r="D3616" s="3" t="s">
        <v>174</v>
      </c>
      <c r="E3616" s="3" t="s">
        <v>16</v>
      </c>
      <c r="F3616" s="5">
        <v>186</v>
      </c>
      <c r="G3616" s="5">
        <v>96</v>
      </c>
      <c r="H3616" s="6">
        <v>9453.18</v>
      </c>
      <c r="I3616" s="22">
        <v>6376.08</v>
      </c>
      <c r="J3616" s="24">
        <f t="shared" si="168"/>
        <v>4.4180635802407312E-5</v>
      </c>
      <c r="K3616" s="25">
        <f t="shared" si="170"/>
        <v>0.9674196309049955</v>
      </c>
      <c r="L3616" s="26" t="s">
        <v>7518</v>
      </c>
      <c r="M3616" s="28"/>
      <c r="N3616" s="28"/>
      <c r="O3616" s="20" t="s">
        <v>7530</v>
      </c>
      <c r="P3616" s="27" t="str">
        <f t="shared" si="169"/>
        <v>vermelho</v>
      </c>
    </row>
    <row r="3617" spans="1:16" ht="25.5">
      <c r="A3617" s="3" t="s">
        <v>4</v>
      </c>
      <c r="B3617" s="3" t="s">
        <v>2645</v>
      </c>
      <c r="C3617" s="4">
        <v>217</v>
      </c>
      <c r="D3617" s="3" t="s">
        <v>91</v>
      </c>
      <c r="E3617" s="3" t="s">
        <v>16</v>
      </c>
      <c r="F3617" s="5">
        <v>192</v>
      </c>
      <c r="G3617" s="5">
        <v>120</v>
      </c>
      <c r="H3617" s="6">
        <v>10528.92</v>
      </c>
      <c r="I3617" s="22">
        <v>6368.16</v>
      </c>
      <c r="J3617" s="24">
        <f t="shared" si="168"/>
        <v>4.4125757156663364E-5</v>
      </c>
      <c r="K3617" s="25">
        <f t="shared" si="170"/>
        <v>0.96746375666215212</v>
      </c>
      <c r="L3617" s="26" t="s">
        <v>7518</v>
      </c>
      <c r="M3617" s="28"/>
      <c r="N3617" s="28"/>
      <c r="O3617" s="20" t="s">
        <v>7530</v>
      </c>
      <c r="P3617" s="27" t="str">
        <f t="shared" si="169"/>
        <v>vermelho</v>
      </c>
    </row>
    <row r="3618" spans="1:16" ht="25.5">
      <c r="A3618" s="3" t="s">
        <v>4</v>
      </c>
      <c r="B3618" s="3" t="s">
        <v>2646</v>
      </c>
      <c r="C3618" s="4">
        <v>218</v>
      </c>
      <c r="D3618" s="3" t="s">
        <v>104</v>
      </c>
      <c r="E3618" s="3" t="s">
        <v>16</v>
      </c>
      <c r="F3618" s="5">
        <v>171</v>
      </c>
      <c r="G3618" s="5">
        <v>105</v>
      </c>
      <c r="H3618" s="6">
        <v>9475.2000000000007</v>
      </c>
      <c r="I3618" s="22">
        <v>6365.1</v>
      </c>
      <c r="J3618" s="24">
        <f t="shared" si="168"/>
        <v>4.4104554043535026E-5</v>
      </c>
      <c r="K3618" s="25">
        <f t="shared" si="170"/>
        <v>0.9675078612161957</v>
      </c>
      <c r="L3618" s="26" t="s">
        <v>7518</v>
      </c>
      <c r="M3618" s="28"/>
      <c r="N3618" s="28"/>
      <c r="O3618" s="20" t="s">
        <v>7530</v>
      </c>
      <c r="P3618" s="27" t="str">
        <f t="shared" si="169"/>
        <v>vermelho</v>
      </c>
    </row>
    <row r="3619" spans="1:16" ht="25.5">
      <c r="A3619" s="3" t="s">
        <v>4</v>
      </c>
      <c r="B3619" s="3" t="s">
        <v>2647</v>
      </c>
      <c r="C3619" s="4">
        <v>197</v>
      </c>
      <c r="D3619" s="3" t="s">
        <v>66</v>
      </c>
      <c r="E3619" s="3" t="s">
        <v>41</v>
      </c>
      <c r="F3619" s="5">
        <v>168</v>
      </c>
      <c r="G3619" s="5">
        <v>99</v>
      </c>
      <c r="H3619" s="6">
        <v>9294.32</v>
      </c>
      <c r="I3619" s="22">
        <v>6362.01</v>
      </c>
      <c r="J3619" s="24">
        <f t="shared" si="168"/>
        <v>4.408314305674856E-5</v>
      </c>
      <c r="K3619" s="25">
        <f t="shared" si="170"/>
        <v>0.9675519443592524</v>
      </c>
      <c r="L3619" s="26" t="s">
        <v>7518</v>
      </c>
      <c r="M3619" s="28"/>
      <c r="N3619" s="28"/>
      <c r="O3619" s="20" t="s">
        <v>7530</v>
      </c>
      <c r="P3619" s="27" t="str">
        <f t="shared" si="169"/>
        <v>vermelho</v>
      </c>
    </row>
    <row r="3620" spans="1:16">
      <c r="A3620" s="3" t="s">
        <v>4</v>
      </c>
      <c r="B3620" s="3" t="s">
        <v>2648</v>
      </c>
      <c r="C3620" s="4">
        <v>167</v>
      </c>
      <c r="D3620" s="3" t="s">
        <v>251</v>
      </c>
      <c r="E3620" s="3" t="s">
        <v>49</v>
      </c>
      <c r="F3620" s="5">
        <v>354</v>
      </c>
      <c r="G3620" s="5">
        <v>105</v>
      </c>
      <c r="H3620" s="6">
        <v>18950.16</v>
      </c>
      <c r="I3620" s="22">
        <v>6348.48</v>
      </c>
      <c r="J3620" s="24">
        <f t="shared" si="168"/>
        <v>4.3989392036935977E-5</v>
      </c>
      <c r="K3620" s="25">
        <f t="shared" si="170"/>
        <v>0.96759593375128938</v>
      </c>
      <c r="L3620" s="26" t="s">
        <v>7518</v>
      </c>
      <c r="M3620" s="28"/>
      <c r="N3620" s="28"/>
      <c r="O3620" s="20">
        <v>10131.030000000001</v>
      </c>
      <c r="P3620" s="27" t="str">
        <f t="shared" si="169"/>
        <v>verde</v>
      </c>
    </row>
    <row r="3621" spans="1:16" ht="25.5">
      <c r="A3621" s="3" t="s">
        <v>4</v>
      </c>
      <c r="B3621" s="3" t="s">
        <v>2649</v>
      </c>
      <c r="C3621" s="4">
        <v>261</v>
      </c>
      <c r="D3621" s="3" t="s">
        <v>9</v>
      </c>
      <c r="E3621" s="3" t="s">
        <v>10</v>
      </c>
      <c r="F3621" s="5">
        <v>279</v>
      </c>
      <c r="G3621" s="5">
        <v>102</v>
      </c>
      <c r="H3621" s="6">
        <v>14745.21</v>
      </c>
      <c r="I3621" s="22">
        <v>6346.98</v>
      </c>
      <c r="J3621" s="24">
        <f t="shared" si="168"/>
        <v>4.3978998354029931E-5</v>
      </c>
      <c r="K3621" s="25">
        <f t="shared" si="170"/>
        <v>0.96763991274964345</v>
      </c>
      <c r="L3621" s="26" t="s">
        <v>7518</v>
      </c>
      <c r="M3621" s="28"/>
      <c r="N3621" s="28"/>
      <c r="O3621" s="20">
        <v>4005.57</v>
      </c>
      <c r="P3621" s="27" t="str">
        <f t="shared" si="169"/>
        <v>laranja</v>
      </c>
    </row>
    <row r="3622" spans="1:16" ht="25.5">
      <c r="A3622" s="3" t="s">
        <v>4</v>
      </c>
      <c r="B3622" s="3" t="s">
        <v>2650</v>
      </c>
      <c r="C3622" s="4">
        <v>197</v>
      </c>
      <c r="D3622" s="3" t="s">
        <v>66</v>
      </c>
      <c r="E3622" s="3" t="s">
        <v>41</v>
      </c>
      <c r="F3622" s="5">
        <v>81</v>
      </c>
      <c r="G3622" s="5">
        <v>108</v>
      </c>
      <c r="H3622" s="6">
        <v>5217.24</v>
      </c>
      <c r="I3622" s="22">
        <v>6345.36</v>
      </c>
      <c r="J3622" s="24">
        <f t="shared" si="168"/>
        <v>4.3967773176491399E-5</v>
      </c>
      <c r="K3622" s="25">
        <f t="shared" si="170"/>
        <v>0.96768388052281995</v>
      </c>
      <c r="L3622" s="26" t="s">
        <v>7518</v>
      </c>
      <c r="M3622" s="28"/>
      <c r="N3622" s="28"/>
      <c r="O3622" s="20" t="s">
        <v>7530</v>
      </c>
      <c r="P3622" s="27" t="str">
        <f t="shared" si="169"/>
        <v>vermelho</v>
      </c>
    </row>
    <row r="3623" spans="1:16">
      <c r="A3623" s="3" t="s">
        <v>4</v>
      </c>
      <c r="B3623" s="3" t="s">
        <v>2651</v>
      </c>
      <c r="C3623" s="4">
        <v>315</v>
      </c>
      <c r="D3623" s="3" t="s">
        <v>63</v>
      </c>
      <c r="E3623" s="3" t="s">
        <v>7</v>
      </c>
      <c r="F3623" s="5">
        <v>394</v>
      </c>
      <c r="G3623" s="5">
        <v>105</v>
      </c>
      <c r="H3623" s="6">
        <v>20891.98</v>
      </c>
      <c r="I3623" s="22">
        <v>6343.95</v>
      </c>
      <c r="J3623" s="24">
        <f t="shared" si="168"/>
        <v>4.3958003114559712E-5</v>
      </c>
      <c r="K3623" s="25">
        <f t="shared" si="170"/>
        <v>0.96772783852593447</v>
      </c>
      <c r="L3623" s="26" t="s">
        <v>7518</v>
      </c>
      <c r="M3623" s="28"/>
      <c r="N3623" s="28"/>
      <c r="O3623" s="20">
        <v>10733.46</v>
      </c>
      <c r="P3623" s="27" t="str">
        <f t="shared" si="169"/>
        <v>verde</v>
      </c>
    </row>
    <row r="3624" spans="1:16" ht="51">
      <c r="A3624" s="3" t="s">
        <v>4</v>
      </c>
      <c r="B3624" s="3" t="s">
        <v>2652</v>
      </c>
      <c r="C3624" s="4">
        <v>282</v>
      </c>
      <c r="D3624" s="3" t="s">
        <v>12</v>
      </c>
      <c r="E3624" s="3" t="s">
        <v>13</v>
      </c>
      <c r="F3624" s="5">
        <v>0</v>
      </c>
      <c r="G3624" s="5">
        <v>114</v>
      </c>
      <c r="H3624" s="6">
        <v>0</v>
      </c>
      <c r="I3624" s="22">
        <v>6339.72</v>
      </c>
      <c r="J3624" s="24">
        <f t="shared" si="168"/>
        <v>4.392869292876465E-5</v>
      </c>
      <c r="K3624" s="25">
        <f t="shared" si="170"/>
        <v>0.96777176721886327</v>
      </c>
      <c r="L3624" s="26" t="s">
        <v>7518</v>
      </c>
      <c r="M3624" s="28"/>
      <c r="N3624" s="28"/>
      <c r="O3624" s="20" t="s">
        <v>7530</v>
      </c>
      <c r="P3624" s="27" t="str">
        <f t="shared" si="169"/>
        <v>vermelho</v>
      </c>
    </row>
    <row r="3625" spans="1:16" ht="25.5">
      <c r="A3625" s="3" t="s">
        <v>4</v>
      </c>
      <c r="B3625" s="3" t="s">
        <v>2653</v>
      </c>
      <c r="C3625" s="4">
        <v>178</v>
      </c>
      <c r="D3625" s="3" t="s">
        <v>74</v>
      </c>
      <c r="E3625" s="3" t="s">
        <v>7</v>
      </c>
      <c r="F3625" s="5">
        <v>0</v>
      </c>
      <c r="G3625" s="5">
        <v>120</v>
      </c>
      <c r="H3625" s="6">
        <v>0</v>
      </c>
      <c r="I3625" s="22">
        <v>6338.4</v>
      </c>
      <c r="J3625" s="24">
        <f t="shared" si="168"/>
        <v>4.3919546487807322E-5</v>
      </c>
      <c r="K3625" s="25">
        <f t="shared" si="170"/>
        <v>0.96781568676535112</v>
      </c>
      <c r="L3625" s="26" t="s">
        <v>7518</v>
      </c>
      <c r="M3625" s="28"/>
      <c r="N3625" s="28"/>
      <c r="O3625" s="20" t="s">
        <v>7530</v>
      </c>
      <c r="P3625" s="27" t="str">
        <f t="shared" si="169"/>
        <v>vermelho</v>
      </c>
    </row>
    <row r="3626" spans="1:16" ht="25.5">
      <c r="A3626" s="3" t="s">
        <v>4</v>
      </c>
      <c r="B3626" s="3" t="s">
        <v>2654</v>
      </c>
      <c r="C3626" s="4">
        <v>317</v>
      </c>
      <c r="D3626" s="3" t="s">
        <v>78</v>
      </c>
      <c r="E3626" s="3" t="s">
        <v>10</v>
      </c>
      <c r="F3626" s="5">
        <v>294</v>
      </c>
      <c r="G3626" s="5">
        <v>111</v>
      </c>
      <c r="H3626" s="6">
        <v>17377.86</v>
      </c>
      <c r="I3626" s="22">
        <v>6334.77</v>
      </c>
      <c r="J3626" s="24">
        <f t="shared" si="168"/>
        <v>4.3894393775174682E-5</v>
      </c>
      <c r="K3626" s="25">
        <f t="shared" si="170"/>
        <v>0.96785958115912629</v>
      </c>
      <c r="L3626" s="26" t="s">
        <v>7518</v>
      </c>
      <c r="M3626" s="28"/>
      <c r="N3626" s="28"/>
      <c r="O3626" s="20" t="s">
        <v>7530</v>
      </c>
      <c r="P3626" s="27" t="str">
        <f t="shared" si="169"/>
        <v>vermelho</v>
      </c>
    </row>
    <row r="3627" spans="1:16" ht="51">
      <c r="A3627" s="3" t="s">
        <v>4</v>
      </c>
      <c r="B3627" s="3" t="s">
        <v>2655</v>
      </c>
      <c r="C3627" s="4">
        <v>282</v>
      </c>
      <c r="D3627" s="3" t="s">
        <v>12</v>
      </c>
      <c r="E3627" s="3" t="s">
        <v>13</v>
      </c>
      <c r="F3627" s="5">
        <v>102</v>
      </c>
      <c r="G3627" s="5">
        <v>96</v>
      </c>
      <c r="H3627" s="6">
        <v>6335.4359999999997</v>
      </c>
      <c r="I3627" s="22">
        <v>6325.17</v>
      </c>
      <c r="J3627" s="24">
        <f t="shared" si="168"/>
        <v>4.3827874204575956E-5</v>
      </c>
      <c r="K3627" s="25">
        <f t="shared" si="170"/>
        <v>0.96790340903333083</v>
      </c>
      <c r="L3627" s="26" t="s">
        <v>7518</v>
      </c>
      <c r="M3627" s="28"/>
      <c r="N3627" s="28"/>
      <c r="O3627" s="20">
        <v>5401.8050000000003</v>
      </c>
      <c r="P3627" s="27" t="str">
        <f t="shared" si="169"/>
        <v>laranja</v>
      </c>
    </row>
    <row r="3628" spans="1:16" ht="25.5">
      <c r="A3628" s="3" t="s">
        <v>4</v>
      </c>
      <c r="B3628" s="3" t="s">
        <v>2656</v>
      </c>
      <c r="C3628" s="4">
        <v>74</v>
      </c>
      <c r="D3628" s="3" t="s">
        <v>6</v>
      </c>
      <c r="E3628" s="3" t="s">
        <v>7</v>
      </c>
      <c r="F3628" s="5">
        <v>0</v>
      </c>
      <c r="G3628" s="5">
        <v>96</v>
      </c>
      <c r="H3628" s="6">
        <v>0</v>
      </c>
      <c r="I3628" s="22">
        <v>6323.04</v>
      </c>
      <c r="J3628" s="24">
        <f t="shared" si="168"/>
        <v>4.3813115174849362E-5</v>
      </c>
      <c r="K3628" s="25">
        <f t="shared" si="170"/>
        <v>0.9679472221485057</v>
      </c>
      <c r="L3628" s="26" t="s">
        <v>7518</v>
      </c>
      <c r="M3628" s="28"/>
      <c r="N3628" s="28"/>
      <c r="O3628" s="20" t="s">
        <v>7530</v>
      </c>
      <c r="P3628" s="27" t="str">
        <f t="shared" si="169"/>
        <v>vermelho</v>
      </c>
    </row>
    <row r="3629" spans="1:16" ht="25.5">
      <c r="A3629" s="3" t="s">
        <v>4</v>
      </c>
      <c r="B3629" s="3" t="s">
        <v>2657</v>
      </c>
      <c r="C3629" s="4">
        <v>74</v>
      </c>
      <c r="D3629" s="3" t="s">
        <v>6</v>
      </c>
      <c r="E3629" s="3" t="s">
        <v>7</v>
      </c>
      <c r="F3629" s="5">
        <v>78</v>
      </c>
      <c r="G3629" s="5">
        <v>96</v>
      </c>
      <c r="H3629" s="6">
        <v>3620.58</v>
      </c>
      <c r="I3629" s="22">
        <v>6321.36</v>
      </c>
      <c r="J3629" s="24">
        <f t="shared" si="168"/>
        <v>4.3801474249994584E-5</v>
      </c>
      <c r="K3629" s="25">
        <f t="shared" si="170"/>
        <v>0.96799102362275569</v>
      </c>
      <c r="L3629" s="26" t="s">
        <v>7518</v>
      </c>
      <c r="M3629" s="28"/>
      <c r="N3629" s="28"/>
      <c r="O3629" s="20">
        <v>6321.36</v>
      </c>
      <c r="P3629" s="27" t="str">
        <f t="shared" si="169"/>
        <v>verde</v>
      </c>
    </row>
    <row r="3630" spans="1:16">
      <c r="A3630" s="3" t="s">
        <v>4</v>
      </c>
      <c r="B3630" s="3" t="s">
        <v>2658</v>
      </c>
      <c r="C3630" s="4">
        <v>217</v>
      </c>
      <c r="D3630" s="3" t="s">
        <v>91</v>
      </c>
      <c r="E3630" s="3" t="s">
        <v>16</v>
      </c>
      <c r="F3630" s="5">
        <v>543</v>
      </c>
      <c r="G3630" s="5">
        <v>129</v>
      </c>
      <c r="H3630" s="6">
        <v>31939.74</v>
      </c>
      <c r="I3630" s="22">
        <v>6320.67</v>
      </c>
      <c r="J3630" s="24">
        <f t="shared" si="168"/>
        <v>4.3796693155857804E-5</v>
      </c>
      <c r="K3630" s="25">
        <f t="shared" si="170"/>
        <v>0.96803482031591159</v>
      </c>
      <c r="L3630" s="26" t="s">
        <v>7518</v>
      </c>
      <c r="M3630" s="28"/>
      <c r="N3630" s="28"/>
      <c r="O3630" s="20" t="s">
        <v>7530</v>
      </c>
      <c r="P3630" s="27" t="str">
        <f t="shared" si="169"/>
        <v>vermelho</v>
      </c>
    </row>
    <row r="3631" spans="1:16" ht="25.5">
      <c r="A3631" s="3" t="s">
        <v>6912</v>
      </c>
      <c r="B3631" s="3" t="s">
        <v>6913</v>
      </c>
      <c r="C3631" s="4">
        <v>218</v>
      </c>
      <c r="D3631" s="3" t="s">
        <v>104</v>
      </c>
      <c r="E3631" s="3" t="s">
        <v>16</v>
      </c>
      <c r="F3631" s="5">
        <v>84</v>
      </c>
      <c r="G3631" s="5">
        <v>120</v>
      </c>
      <c r="H3631" s="6">
        <v>5315.16</v>
      </c>
      <c r="I3631" s="22">
        <v>6319.56</v>
      </c>
      <c r="J3631" s="24">
        <f t="shared" si="168"/>
        <v>4.3789001830507334E-5</v>
      </c>
      <c r="K3631" s="25">
        <f t="shared" si="170"/>
        <v>0.96807860931774214</v>
      </c>
      <c r="L3631" s="26" t="s">
        <v>7518</v>
      </c>
      <c r="M3631" s="28"/>
      <c r="N3631" s="28"/>
      <c r="O3631" s="20" t="s">
        <v>7530</v>
      </c>
      <c r="P3631" s="27" t="str">
        <f t="shared" si="169"/>
        <v>vermelho</v>
      </c>
    </row>
    <row r="3632" spans="1:16" ht="25.5">
      <c r="A3632" s="3" t="s">
        <v>4</v>
      </c>
      <c r="B3632" s="3" t="s">
        <v>2659</v>
      </c>
      <c r="C3632" s="4">
        <v>327</v>
      </c>
      <c r="D3632" s="3" t="s">
        <v>100</v>
      </c>
      <c r="E3632" s="3" t="s">
        <v>7</v>
      </c>
      <c r="F3632" s="5">
        <v>0</v>
      </c>
      <c r="G3632" s="5">
        <v>102</v>
      </c>
      <c r="H3632" s="6">
        <v>0</v>
      </c>
      <c r="I3632" s="22">
        <v>6305.88</v>
      </c>
      <c r="J3632" s="24">
        <f t="shared" si="168"/>
        <v>4.3694211442404145E-5</v>
      </c>
      <c r="K3632" s="25">
        <f t="shared" si="170"/>
        <v>0.9681223035291846</v>
      </c>
      <c r="L3632" s="26" t="s">
        <v>7518</v>
      </c>
      <c r="M3632" s="28"/>
      <c r="N3632" s="28"/>
      <c r="O3632" s="20">
        <v>4339.74</v>
      </c>
      <c r="P3632" s="27" t="str">
        <f t="shared" si="169"/>
        <v>laranja</v>
      </c>
    </row>
    <row r="3633" spans="1:16" ht="25.5">
      <c r="A3633" s="3" t="s">
        <v>4</v>
      </c>
      <c r="B3633" s="3" t="s">
        <v>2660</v>
      </c>
      <c r="C3633" s="4">
        <v>194</v>
      </c>
      <c r="D3633" s="3" t="s">
        <v>145</v>
      </c>
      <c r="E3633" s="3" t="s">
        <v>16</v>
      </c>
      <c r="F3633" s="5">
        <v>180</v>
      </c>
      <c r="G3633" s="5">
        <v>108</v>
      </c>
      <c r="H3633" s="6">
        <v>10081.77</v>
      </c>
      <c r="I3633" s="22">
        <v>6305.16</v>
      </c>
      <c r="J3633" s="24">
        <f t="shared" si="168"/>
        <v>4.3689222474609239E-5</v>
      </c>
      <c r="K3633" s="25">
        <f t="shared" si="170"/>
        <v>0.96816599275165927</v>
      </c>
      <c r="L3633" s="26" t="s">
        <v>7518</v>
      </c>
      <c r="M3633" s="28"/>
      <c r="N3633" s="28">
        <v>1.9601424547310311E-2</v>
      </c>
      <c r="O3633" s="20">
        <v>3036.12</v>
      </c>
      <c r="P3633" s="27" t="str">
        <f t="shared" si="169"/>
        <v>amarelo</v>
      </c>
    </row>
    <row r="3634" spans="1:16" ht="25.5">
      <c r="A3634" s="3" t="s">
        <v>4</v>
      </c>
      <c r="B3634" s="3" t="s">
        <v>2661</v>
      </c>
      <c r="C3634" s="4">
        <v>194</v>
      </c>
      <c r="D3634" s="3" t="s">
        <v>145</v>
      </c>
      <c r="E3634" s="3" t="s">
        <v>16</v>
      </c>
      <c r="F3634" s="5">
        <v>84</v>
      </c>
      <c r="G3634" s="5">
        <v>108</v>
      </c>
      <c r="H3634" s="6">
        <v>4625.88</v>
      </c>
      <c r="I3634" s="22">
        <v>6302.52</v>
      </c>
      <c r="J3634" s="24">
        <f t="shared" si="168"/>
        <v>4.3670929592694596E-5</v>
      </c>
      <c r="K3634" s="25">
        <f t="shared" si="170"/>
        <v>0.96820966368125194</v>
      </c>
      <c r="L3634" s="26" t="s">
        <v>7518</v>
      </c>
      <c r="M3634" s="28"/>
      <c r="N3634" s="28"/>
      <c r="O3634" s="20">
        <v>5052.6000000000004</v>
      </c>
      <c r="P3634" s="27" t="str">
        <f t="shared" si="169"/>
        <v>laranja</v>
      </c>
    </row>
    <row r="3635" spans="1:16" ht="38.25">
      <c r="A3635" s="3" t="s">
        <v>4</v>
      </c>
      <c r="B3635" s="3" t="s">
        <v>2662</v>
      </c>
      <c r="C3635" s="4">
        <v>11</v>
      </c>
      <c r="D3635" s="3" t="s">
        <v>61</v>
      </c>
      <c r="E3635" s="3" t="s">
        <v>10</v>
      </c>
      <c r="F3635" s="5">
        <v>0</v>
      </c>
      <c r="G3635" s="5">
        <v>120</v>
      </c>
      <c r="H3635" s="6">
        <v>0</v>
      </c>
      <c r="I3635" s="22">
        <v>6302.04</v>
      </c>
      <c r="J3635" s="24">
        <f t="shared" si="168"/>
        <v>4.3667603614164661E-5</v>
      </c>
      <c r="K3635" s="25">
        <f t="shared" si="170"/>
        <v>0.96825333128486613</v>
      </c>
      <c r="L3635" s="26" t="s">
        <v>7518</v>
      </c>
      <c r="M3635" s="28"/>
      <c r="N3635" s="28"/>
      <c r="O3635" s="20" t="s">
        <v>7530</v>
      </c>
      <c r="P3635" s="27" t="str">
        <f t="shared" si="169"/>
        <v>vermelho</v>
      </c>
    </row>
    <row r="3636" spans="1:16" ht="51">
      <c r="A3636" s="3" t="s">
        <v>4</v>
      </c>
      <c r="B3636" s="3" t="s">
        <v>2663</v>
      </c>
      <c r="C3636" s="4">
        <v>282</v>
      </c>
      <c r="D3636" s="3" t="s">
        <v>12</v>
      </c>
      <c r="E3636" s="3" t="s">
        <v>13</v>
      </c>
      <c r="F3636" s="5">
        <v>0</v>
      </c>
      <c r="G3636" s="5">
        <v>90</v>
      </c>
      <c r="H3636" s="6">
        <v>0</v>
      </c>
      <c r="I3636" s="22">
        <v>6300.18</v>
      </c>
      <c r="J3636" s="24">
        <f t="shared" si="168"/>
        <v>4.3654715447361158E-5</v>
      </c>
      <c r="K3636" s="25">
        <f t="shared" si="170"/>
        <v>0.96829698600031344</v>
      </c>
      <c r="L3636" s="26" t="s">
        <v>7518</v>
      </c>
      <c r="M3636" s="28"/>
      <c r="N3636" s="28"/>
      <c r="O3636" s="20">
        <v>14170.945</v>
      </c>
      <c r="P3636" s="27" t="str">
        <f t="shared" si="169"/>
        <v>verde</v>
      </c>
    </row>
    <row r="3637" spans="1:16" ht="38.25">
      <c r="A3637" s="3" t="s">
        <v>4</v>
      </c>
      <c r="B3637" s="3" t="s">
        <v>2664</v>
      </c>
      <c r="C3637" s="4">
        <v>194</v>
      </c>
      <c r="D3637" s="3" t="s">
        <v>145</v>
      </c>
      <c r="E3637" s="3" t="s">
        <v>16</v>
      </c>
      <c r="F3637" s="5">
        <v>228</v>
      </c>
      <c r="G3637" s="5">
        <v>120</v>
      </c>
      <c r="H3637" s="6">
        <v>12846.12</v>
      </c>
      <c r="I3637" s="22">
        <v>6294.48</v>
      </c>
      <c r="J3637" s="24">
        <f t="shared" si="168"/>
        <v>4.3615219452318163E-5</v>
      </c>
      <c r="K3637" s="25">
        <f t="shared" si="170"/>
        <v>0.96834060121976573</v>
      </c>
      <c r="L3637" s="26" t="s">
        <v>7518</v>
      </c>
      <c r="M3637" s="28"/>
      <c r="N3637" s="28"/>
      <c r="O3637" s="20">
        <v>8028.12</v>
      </c>
      <c r="P3637" s="27" t="str">
        <f t="shared" si="169"/>
        <v>verde</v>
      </c>
    </row>
    <row r="3638" spans="1:16" ht="38.25">
      <c r="A3638" s="3" t="s">
        <v>4</v>
      </c>
      <c r="B3638" s="3" t="s">
        <v>2665</v>
      </c>
      <c r="C3638" s="4">
        <v>232</v>
      </c>
      <c r="D3638" s="3" t="s">
        <v>174</v>
      </c>
      <c r="E3638" s="3" t="s">
        <v>16</v>
      </c>
      <c r="F3638" s="5">
        <v>252</v>
      </c>
      <c r="G3638" s="5">
        <v>114</v>
      </c>
      <c r="H3638" s="6">
        <v>14914.14</v>
      </c>
      <c r="I3638" s="22">
        <v>6290.22</v>
      </c>
      <c r="J3638" s="24">
        <f t="shared" si="168"/>
        <v>4.3585701392864982E-5</v>
      </c>
      <c r="K3638" s="25">
        <f t="shared" si="170"/>
        <v>0.96838418692115857</v>
      </c>
      <c r="L3638" s="26" t="s">
        <v>7518</v>
      </c>
      <c r="M3638" s="28"/>
      <c r="N3638" s="28"/>
      <c r="O3638" s="20">
        <v>7116.84</v>
      </c>
      <c r="P3638" s="27" t="str">
        <f t="shared" si="169"/>
        <v>verde</v>
      </c>
    </row>
    <row r="3639" spans="1:16">
      <c r="A3639" s="3" t="s">
        <v>4</v>
      </c>
      <c r="B3639" s="3" t="s">
        <v>2666</v>
      </c>
      <c r="C3639" s="4">
        <v>232</v>
      </c>
      <c r="D3639" s="3" t="s">
        <v>174</v>
      </c>
      <c r="E3639" s="3" t="s">
        <v>16</v>
      </c>
      <c r="F3639" s="5">
        <v>246</v>
      </c>
      <c r="G3639" s="5">
        <v>132</v>
      </c>
      <c r="H3639" s="6">
        <v>12610.86</v>
      </c>
      <c r="I3639" s="22">
        <v>6290.04</v>
      </c>
      <c r="J3639" s="24">
        <f t="shared" si="168"/>
        <v>4.358445415091625E-5</v>
      </c>
      <c r="K3639" s="25">
        <f t="shared" si="170"/>
        <v>0.96842777137530944</v>
      </c>
      <c r="L3639" s="26" t="s">
        <v>7518</v>
      </c>
      <c r="M3639" s="28"/>
      <c r="N3639" s="28"/>
      <c r="O3639" s="20" t="s">
        <v>7530</v>
      </c>
      <c r="P3639" s="27" t="str">
        <f t="shared" si="169"/>
        <v>vermelho</v>
      </c>
    </row>
    <row r="3640" spans="1:16" ht="38.25">
      <c r="A3640" s="3" t="s">
        <v>4</v>
      </c>
      <c r="B3640" s="3" t="s">
        <v>2667</v>
      </c>
      <c r="C3640" s="4">
        <v>38</v>
      </c>
      <c r="D3640" s="3" t="s">
        <v>184</v>
      </c>
      <c r="E3640" s="3" t="s">
        <v>49</v>
      </c>
      <c r="F3640" s="5">
        <v>72</v>
      </c>
      <c r="G3640" s="5">
        <v>108</v>
      </c>
      <c r="H3640" s="6">
        <v>4007.28</v>
      </c>
      <c r="I3640" s="22">
        <v>6288.12</v>
      </c>
      <c r="J3640" s="24">
        <f t="shared" si="168"/>
        <v>4.3571150236796507E-5</v>
      </c>
      <c r="K3640" s="25">
        <f t="shared" si="170"/>
        <v>0.96847134252554623</v>
      </c>
      <c r="L3640" s="26" t="s">
        <v>7518</v>
      </c>
      <c r="M3640" s="28"/>
      <c r="N3640" s="28"/>
      <c r="O3640" s="20" t="s">
        <v>7530</v>
      </c>
      <c r="P3640" s="27" t="str">
        <f t="shared" si="169"/>
        <v>vermelho</v>
      </c>
    </row>
    <row r="3641" spans="1:16" ht="25.5">
      <c r="A3641" s="3" t="s">
        <v>4</v>
      </c>
      <c r="B3641" s="3" t="s">
        <v>2668</v>
      </c>
      <c r="C3641" s="4">
        <v>299</v>
      </c>
      <c r="D3641" s="3" t="s">
        <v>111</v>
      </c>
      <c r="E3641" s="3" t="s">
        <v>49</v>
      </c>
      <c r="F3641" s="5">
        <v>0</v>
      </c>
      <c r="G3641" s="5">
        <v>108</v>
      </c>
      <c r="H3641" s="6">
        <v>0</v>
      </c>
      <c r="I3641" s="22">
        <v>6285.96</v>
      </c>
      <c r="J3641" s="24">
        <f t="shared" si="168"/>
        <v>4.3556183333411794E-5</v>
      </c>
      <c r="K3641" s="25">
        <f t="shared" si="170"/>
        <v>0.96851489870887963</v>
      </c>
      <c r="L3641" s="26" t="s">
        <v>7518</v>
      </c>
      <c r="M3641" s="28"/>
      <c r="N3641" s="28"/>
      <c r="O3641" s="20" t="s">
        <v>7530</v>
      </c>
      <c r="P3641" s="27" t="str">
        <f t="shared" si="169"/>
        <v>vermelho</v>
      </c>
    </row>
    <row r="3642" spans="1:16" ht="25.5">
      <c r="A3642" s="3" t="s">
        <v>4</v>
      </c>
      <c r="B3642" s="3" t="s">
        <v>2669</v>
      </c>
      <c r="C3642" s="4">
        <v>261</v>
      </c>
      <c r="D3642" s="3" t="s">
        <v>9</v>
      </c>
      <c r="E3642" s="3" t="s">
        <v>10</v>
      </c>
      <c r="F3642" s="5">
        <v>252</v>
      </c>
      <c r="G3642" s="5">
        <v>114</v>
      </c>
      <c r="H3642" s="6">
        <v>12958.38</v>
      </c>
      <c r="I3642" s="22">
        <v>6285.12</v>
      </c>
      <c r="J3642" s="24">
        <f t="shared" si="168"/>
        <v>4.3550362870984408E-5</v>
      </c>
      <c r="K3642" s="25">
        <f t="shared" si="170"/>
        <v>0.96855844907175059</v>
      </c>
      <c r="L3642" s="26" t="s">
        <v>7518</v>
      </c>
      <c r="M3642" s="28"/>
      <c r="N3642" s="28"/>
      <c r="O3642" s="20">
        <v>17807.939999999999</v>
      </c>
      <c r="P3642" s="27" t="str">
        <f t="shared" si="169"/>
        <v>verde</v>
      </c>
    </row>
    <row r="3643" spans="1:16" ht="38.25">
      <c r="A3643" s="3" t="s">
        <v>4</v>
      </c>
      <c r="B3643" s="3" t="s">
        <v>2670</v>
      </c>
      <c r="C3643" s="4">
        <v>45</v>
      </c>
      <c r="D3643" s="3" t="s">
        <v>23</v>
      </c>
      <c r="E3643" s="3" t="s">
        <v>7</v>
      </c>
      <c r="F3643" s="5">
        <v>0</v>
      </c>
      <c r="G3643" s="5">
        <v>108</v>
      </c>
      <c r="H3643" s="6">
        <v>0</v>
      </c>
      <c r="I3643" s="22">
        <v>6279.84</v>
      </c>
      <c r="J3643" s="24">
        <f t="shared" si="168"/>
        <v>4.351377710715511E-5</v>
      </c>
      <c r="K3643" s="25">
        <f t="shared" si="170"/>
        <v>0.9686019628488578</v>
      </c>
      <c r="L3643" s="26" t="s">
        <v>7518</v>
      </c>
      <c r="M3643" s="28"/>
      <c r="N3643" s="28"/>
      <c r="O3643" s="20" t="s">
        <v>7530</v>
      </c>
      <c r="P3643" s="27" t="str">
        <f t="shared" si="169"/>
        <v>vermelho</v>
      </c>
    </row>
    <row r="3644" spans="1:16" ht="25.5">
      <c r="A3644" s="3" t="s">
        <v>4</v>
      </c>
      <c r="B3644" s="3" t="s">
        <v>2671</v>
      </c>
      <c r="C3644" s="4">
        <v>320</v>
      </c>
      <c r="D3644" s="3" t="s">
        <v>218</v>
      </c>
      <c r="E3644" s="3" t="s">
        <v>49</v>
      </c>
      <c r="F3644" s="5">
        <v>48</v>
      </c>
      <c r="G3644" s="5">
        <v>120</v>
      </c>
      <c r="H3644" s="6">
        <v>2992.32</v>
      </c>
      <c r="I3644" s="22">
        <v>6274.68</v>
      </c>
      <c r="J3644" s="24">
        <f t="shared" si="168"/>
        <v>4.3478022837958297E-5</v>
      </c>
      <c r="K3644" s="25">
        <f t="shared" si="170"/>
        <v>0.9686454408716958</v>
      </c>
      <c r="L3644" s="26" t="s">
        <v>7518</v>
      </c>
      <c r="M3644" s="28"/>
      <c r="N3644" s="28"/>
      <c r="O3644" s="20" t="s">
        <v>7530</v>
      </c>
      <c r="P3644" s="27" t="str">
        <f t="shared" si="169"/>
        <v>vermelho</v>
      </c>
    </row>
    <row r="3645" spans="1:16" ht="25.5">
      <c r="A3645" s="3" t="s">
        <v>4</v>
      </c>
      <c r="B3645" s="3" t="s">
        <v>2672</v>
      </c>
      <c r="C3645" s="4">
        <v>53</v>
      </c>
      <c r="D3645" s="3" t="s">
        <v>34</v>
      </c>
      <c r="E3645" s="3" t="s">
        <v>16</v>
      </c>
      <c r="F3645" s="5">
        <v>0</v>
      </c>
      <c r="G3645" s="5">
        <v>126</v>
      </c>
      <c r="H3645" s="6">
        <v>0</v>
      </c>
      <c r="I3645" s="22">
        <v>6272.1</v>
      </c>
      <c r="J3645" s="24">
        <f t="shared" si="168"/>
        <v>4.3460145703359894E-5</v>
      </c>
      <c r="K3645" s="25">
        <f t="shared" si="170"/>
        <v>0.96868890101739913</v>
      </c>
      <c r="L3645" s="26" t="s">
        <v>7518</v>
      </c>
      <c r="M3645" s="28"/>
      <c r="N3645" s="28"/>
      <c r="O3645" s="20" t="s">
        <v>7530</v>
      </c>
      <c r="P3645" s="27" t="str">
        <f t="shared" si="169"/>
        <v>vermelho</v>
      </c>
    </row>
    <row r="3646" spans="1:16" ht="51">
      <c r="A3646" s="3" t="s">
        <v>4</v>
      </c>
      <c r="B3646" s="3" t="s">
        <v>2673</v>
      </c>
      <c r="C3646" s="4">
        <v>282</v>
      </c>
      <c r="D3646" s="3" t="s">
        <v>12</v>
      </c>
      <c r="E3646" s="3" t="s">
        <v>13</v>
      </c>
      <c r="F3646" s="5">
        <v>396</v>
      </c>
      <c r="G3646" s="5">
        <v>96</v>
      </c>
      <c r="H3646" s="6">
        <v>18019.439999999999</v>
      </c>
      <c r="I3646" s="22">
        <v>6270.72</v>
      </c>
      <c r="J3646" s="24">
        <f t="shared" si="168"/>
        <v>4.3450583515086326E-5</v>
      </c>
      <c r="K3646" s="25">
        <f t="shared" si="170"/>
        <v>0.9687323516009142</v>
      </c>
      <c r="L3646" s="26" t="s">
        <v>7518</v>
      </c>
      <c r="M3646" s="28"/>
      <c r="N3646" s="28"/>
      <c r="O3646" s="20" t="s">
        <v>7530</v>
      </c>
      <c r="P3646" s="27" t="str">
        <f t="shared" si="169"/>
        <v>vermelho</v>
      </c>
    </row>
    <row r="3647" spans="1:16" ht="25.5">
      <c r="A3647" s="3" t="s">
        <v>4</v>
      </c>
      <c r="B3647" s="3" t="s">
        <v>2674</v>
      </c>
      <c r="C3647" s="4">
        <v>296</v>
      </c>
      <c r="D3647" s="3" t="s">
        <v>282</v>
      </c>
      <c r="E3647" s="3" t="s">
        <v>49</v>
      </c>
      <c r="F3647" s="5">
        <v>0</v>
      </c>
      <c r="G3647" s="5">
        <v>114</v>
      </c>
      <c r="H3647" s="6">
        <v>0</v>
      </c>
      <c r="I3647" s="22">
        <v>6265.0680000000002</v>
      </c>
      <c r="J3647" s="24">
        <f t="shared" si="168"/>
        <v>4.3411420117896324E-5</v>
      </c>
      <c r="K3647" s="25">
        <f t="shared" si="170"/>
        <v>0.96877576302103208</v>
      </c>
      <c r="L3647" s="26" t="s">
        <v>7518</v>
      </c>
      <c r="M3647" s="28"/>
      <c r="N3647" s="28"/>
      <c r="O3647" s="20">
        <v>2481.7339999999999</v>
      </c>
      <c r="P3647" s="27" t="str">
        <f t="shared" si="169"/>
        <v>amarelo</v>
      </c>
    </row>
    <row r="3648" spans="1:16" ht="25.5">
      <c r="A3648" s="3" t="s">
        <v>4</v>
      </c>
      <c r="B3648" s="3" t="s">
        <v>2675</v>
      </c>
      <c r="C3648" s="4">
        <v>231</v>
      </c>
      <c r="D3648" s="3" t="s">
        <v>52</v>
      </c>
      <c r="E3648" s="3" t="s">
        <v>7</v>
      </c>
      <c r="F3648" s="5">
        <v>108</v>
      </c>
      <c r="G3648" s="5">
        <v>90</v>
      </c>
      <c r="H3648" s="6">
        <v>6581.64</v>
      </c>
      <c r="I3648" s="22">
        <v>6261.39</v>
      </c>
      <c r="J3648" s="24">
        <f t="shared" si="168"/>
        <v>4.3385934807410691E-5</v>
      </c>
      <c r="K3648" s="25">
        <f t="shared" si="170"/>
        <v>0.96881914895583954</v>
      </c>
      <c r="L3648" s="26" t="s">
        <v>7518</v>
      </c>
      <c r="M3648" s="28"/>
      <c r="N3648" s="28"/>
      <c r="O3648" s="20" t="s">
        <v>7530</v>
      </c>
      <c r="P3648" s="27" t="str">
        <f t="shared" si="169"/>
        <v>vermelho</v>
      </c>
    </row>
    <row r="3649" spans="1:16" ht="25.5">
      <c r="A3649" s="3" t="s">
        <v>4</v>
      </c>
      <c r="B3649" s="3" t="s">
        <v>2676</v>
      </c>
      <c r="C3649" s="4">
        <v>217</v>
      </c>
      <c r="D3649" s="3" t="s">
        <v>91</v>
      </c>
      <c r="E3649" s="3" t="s">
        <v>16</v>
      </c>
      <c r="F3649" s="5">
        <v>261</v>
      </c>
      <c r="G3649" s="5">
        <v>102</v>
      </c>
      <c r="H3649" s="6">
        <v>14520.42</v>
      </c>
      <c r="I3649" s="22">
        <v>6261.18</v>
      </c>
      <c r="J3649" s="24">
        <f t="shared" si="168"/>
        <v>4.338447969180384E-5</v>
      </c>
      <c r="K3649" s="25">
        <f t="shared" si="170"/>
        <v>0.9688625334355313</v>
      </c>
      <c r="L3649" s="26" t="s">
        <v>7518</v>
      </c>
      <c r="M3649" s="28"/>
      <c r="N3649" s="28"/>
      <c r="O3649" s="20">
        <v>2662.08</v>
      </c>
      <c r="P3649" s="27" t="str">
        <f t="shared" si="169"/>
        <v>amarelo</v>
      </c>
    </row>
    <row r="3650" spans="1:16" ht="25.5">
      <c r="A3650" s="3" t="s">
        <v>4</v>
      </c>
      <c r="B3650" s="3" t="s">
        <v>2677</v>
      </c>
      <c r="C3650" s="4">
        <v>194</v>
      </c>
      <c r="D3650" s="3" t="s">
        <v>145</v>
      </c>
      <c r="E3650" s="3" t="s">
        <v>16</v>
      </c>
      <c r="F3650" s="5">
        <v>0</v>
      </c>
      <c r="G3650" s="5">
        <v>132</v>
      </c>
      <c r="H3650" s="6">
        <v>0</v>
      </c>
      <c r="I3650" s="22">
        <v>6259.44</v>
      </c>
      <c r="J3650" s="24">
        <f t="shared" si="168"/>
        <v>4.3372423019632816E-5</v>
      </c>
      <c r="K3650" s="25">
        <f t="shared" si="170"/>
        <v>0.96890590585855096</v>
      </c>
      <c r="L3650" s="26" t="s">
        <v>7518</v>
      </c>
      <c r="M3650" s="28"/>
      <c r="N3650" s="28"/>
      <c r="O3650" s="20">
        <v>9088.32</v>
      </c>
      <c r="P3650" s="27" t="str">
        <f t="shared" si="169"/>
        <v>verde</v>
      </c>
    </row>
    <row r="3651" spans="1:16">
      <c r="A3651" s="3" t="s">
        <v>4</v>
      </c>
      <c r="B3651" s="3" t="s">
        <v>2678</v>
      </c>
      <c r="C3651" s="4">
        <v>315</v>
      </c>
      <c r="D3651" s="3" t="s">
        <v>63</v>
      </c>
      <c r="E3651" s="3" t="s">
        <v>7</v>
      </c>
      <c r="F3651" s="5">
        <v>177</v>
      </c>
      <c r="G3651" s="5">
        <v>105</v>
      </c>
      <c r="H3651" s="6">
        <v>9716.25</v>
      </c>
      <c r="I3651" s="22">
        <v>6253.95</v>
      </c>
      <c r="J3651" s="24">
        <f t="shared" ref="J3651:J3714" si="171">I3651/$I$6364</f>
        <v>4.3334382140196672E-5</v>
      </c>
      <c r="K3651" s="25">
        <f t="shared" si="170"/>
        <v>0.96894924024069118</v>
      </c>
      <c r="L3651" s="26" t="s">
        <v>7518</v>
      </c>
      <c r="M3651" s="28"/>
      <c r="N3651" s="28"/>
      <c r="O3651" s="20" t="s">
        <v>7530</v>
      </c>
      <c r="P3651" s="27" t="str">
        <f t="shared" ref="P3651:P3714" si="172">IF(O3651&lt;=0,"vermelho",IFERROR(IF(O3651/I3651&lt;=0.5098,"amarelo",IF(O3651/I3651&lt;1,"laranja","verde")),"vermelho"))</f>
        <v>vermelho</v>
      </c>
    </row>
    <row r="3652" spans="1:16" ht="25.5">
      <c r="A3652" s="3" t="s">
        <v>4</v>
      </c>
      <c r="B3652" s="3" t="s">
        <v>2679</v>
      </c>
      <c r="C3652" s="4">
        <v>266</v>
      </c>
      <c r="D3652" s="3" t="s">
        <v>80</v>
      </c>
      <c r="E3652" s="3" t="s">
        <v>10</v>
      </c>
      <c r="F3652" s="5">
        <v>0</v>
      </c>
      <c r="G3652" s="5">
        <v>120</v>
      </c>
      <c r="H3652" s="6">
        <v>0</v>
      </c>
      <c r="I3652" s="22">
        <v>6250.71</v>
      </c>
      <c r="J3652" s="24">
        <f t="shared" si="171"/>
        <v>4.3311931785119609E-5</v>
      </c>
      <c r="K3652" s="25">
        <f t="shared" ref="K3652:K3715" si="173">J3652+K3651</f>
        <v>0.96899255217247626</v>
      </c>
      <c r="L3652" s="26" t="s">
        <v>7518</v>
      </c>
      <c r="M3652" s="28"/>
      <c r="N3652" s="28"/>
      <c r="O3652" s="20" t="s">
        <v>7530</v>
      </c>
      <c r="P3652" s="27" t="str">
        <f t="shared" si="172"/>
        <v>vermelho</v>
      </c>
    </row>
    <row r="3653" spans="1:16" ht="25.5">
      <c r="A3653" s="3" t="s">
        <v>4</v>
      </c>
      <c r="B3653" s="3" t="s">
        <v>2680</v>
      </c>
      <c r="C3653" s="4">
        <v>217</v>
      </c>
      <c r="D3653" s="3" t="s">
        <v>91</v>
      </c>
      <c r="E3653" s="3" t="s">
        <v>16</v>
      </c>
      <c r="F3653" s="5">
        <v>216</v>
      </c>
      <c r="G3653" s="5">
        <v>108</v>
      </c>
      <c r="H3653" s="6">
        <v>11213.4</v>
      </c>
      <c r="I3653" s="22">
        <v>6247.92</v>
      </c>
      <c r="J3653" s="24">
        <f t="shared" si="171"/>
        <v>4.3292599534914354E-5</v>
      </c>
      <c r="K3653" s="25">
        <f t="shared" si="173"/>
        <v>0.96903584477201121</v>
      </c>
      <c r="L3653" s="26" t="s">
        <v>7518</v>
      </c>
      <c r="M3653" s="28"/>
      <c r="N3653" s="28"/>
      <c r="O3653" s="20" t="s">
        <v>7530</v>
      </c>
      <c r="P3653" s="27" t="str">
        <f t="shared" si="172"/>
        <v>vermelho</v>
      </c>
    </row>
    <row r="3654" spans="1:16" ht="25.5">
      <c r="A3654" s="3" t="s">
        <v>4</v>
      </c>
      <c r="B3654" s="3" t="s">
        <v>2681</v>
      </c>
      <c r="C3654" s="4">
        <v>299</v>
      </c>
      <c r="D3654" s="3" t="s">
        <v>111</v>
      </c>
      <c r="E3654" s="3" t="s">
        <v>49</v>
      </c>
      <c r="F3654" s="5">
        <v>0</v>
      </c>
      <c r="G3654" s="5">
        <v>111</v>
      </c>
      <c r="H3654" s="6">
        <v>0</v>
      </c>
      <c r="I3654" s="22">
        <v>6245.46</v>
      </c>
      <c r="J3654" s="24">
        <f t="shared" si="171"/>
        <v>4.327555389494843E-5</v>
      </c>
      <c r="K3654" s="25">
        <f t="shared" si="173"/>
        <v>0.96907912032590615</v>
      </c>
      <c r="L3654" s="26" t="s">
        <v>7518</v>
      </c>
      <c r="M3654" s="28"/>
      <c r="N3654" s="28"/>
      <c r="O3654" s="20" t="s">
        <v>7530</v>
      </c>
      <c r="P3654" s="27" t="str">
        <f t="shared" si="172"/>
        <v>vermelho</v>
      </c>
    </row>
    <row r="3655" spans="1:16" ht="25.5">
      <c r="A3655" s="3" t="s">
        <v>4</v>
      </c>
      <c r="B3655" s="3" t="s">
        <v>2682</v>
      </c>
      <c r="C3655" s="4">
        <v>337</v>
      </c>
      <c r="D3655" s="3" t="s">
        <v>202</v>
      </c>
      <c r="E3655" s="3" t="s">
        <v>16</v>
      </c>
      <c r="F3655" s="5">
        <v>0</v>
      </c>
      <c r="G3655" s="5">
        <v>120</v>
      </c>
      <c r="H3655" s="6">
        <v>0</v>
      </c>
      <c r="I3655" s="22">
        <v>6243.27</v>
      </c>
      <c r="J3655" s="24">
        <f t="shared" si="171"/>
        <v>4.3260379117905596E-5</v>
      </c>
      <c r="K3655" s="25">
        <f t="shared" si="173"/>
        <v>0.9691223807050241</v>
      </c>
      <c r="L3655" s="26" t="s">
        <v>7518</v>
      </c>
      <c r="M3655" s="28"/>
      <c r="N3655" s="28"/>
      <c r="O3655" s="20">
        <v>2876.4</v>
      </c>
      <c r="P3655" s="27" t="str">
        <f t="shared" si="172"/>
        <v>amarelo</v>
      </c>
    </row>
    <row r="3656" spans="1:16" ht="25.5">
      <c r="A3656" s="3" t="s">
        <v>6914</v>
      </c>
      <c r="B3656" s="3" t="s">
        <v>6915</v>
      </c>
      <c r="C3656" s="4">
        <v>266</v>
      </c>
      <c r="D3656" s="3" t="s">
        <v>80</v>
      </c>
      <c r="E3656" s="3" t="s">
        <v>10</v>
      </c>
      <c r="F3656" s="5">
        <v>0</v>
      </c>
      <c r="G3656" s="5">
        <v>102</v>
      </c>
      <c r="H3656" s="6">
        <v>0</v>
      </c>
      <c r="I3656" s="22">
        <v>6240.6</v>
      </c>
      <c r="J3656" s="24">
        <f t="shared" si="171"/>
        <v>4.3241878362332827E-5</v>
      </c>
      <c r="K3656" s="25">
        <f t="shared" si="173"/>
        <v>0.96916562258338645</v>
      </c>
      <c r="L3656" s="26" t="s">
        <v>7518</v>
      </c>
      <c r="M3656" s="28"/>
      <c r="N3656" s="28"/>
      <c r="O3656" s="20" t="s">
        <v>7530</v>
      </c>
      <c r="P3656" s="27" t="str">
        <f t="shared" si="172"/>
        <v>vermelho</v>
      </c>
    </row>
    <row r="3657" spans="1:16" ht="25.5">
      <c r="A3657" s="3" t="s">
        <v>4</v>
      </c>
      <c r="B3657" s="3" t="s">
        <v>2683</v>
      </c>
      <c r="C3657" s="4">
        <v>39</v>
      </c>
      <c r="D3657" s="3" t="s">
        <v>26</v>
      </c>
      <c r="E3657" s="3" t="s">
        <v>13</v>
      </c>
      <c r="F3657" s="5">
        <v>36</v>
      </c>
      <c r="G3657" s="5">
        <v>96</v>
      </c>
      <c r="H3657" s="6">
        <v>1837.7280000000001</v>
      </c>
      <c r="I3657" s="22">
        <v>6233.82</v>
      </c>
      <c r="J3657" s="24">
        <f t="shared" si="171"/>
        <v>4.3194898915597476E-5</v>
      </c>
      <c r="K3657" s="25">
        <f t="shared" si="173"/>
        <v>0.96920881748230203</v>
      </c>
      <c r="L3657" s="26" t="s">
        <v>7518</v>
      </c>
      <c r="M3657" s="28"/>
      <c r="N3657" s="28"/>
      <c r="O3657" s="20" t="s">
        <v>7530</v>
      </c>
      <c r="P3657" s="27" t="str">
        <f t="shared" si="172"/>
        <v>vermelho</v>
      </c>
    </row>
    <row r="3658" spans="1:16" ht="25.5">
      <c r="A3658" s="3" t="s">
        <v>4</v>
      </c>
      <c r="B3658" s="3" t="s">
        <v>2684</v>
      </c>
      <c r="C3658" s="4">
        <v>218</v>
      </c>
      <c r="D3658" s="3" t="s">
        <v>104</v>
      </c>
      <c r="E3658" s="3" t="s">
        <v>16</v>
      </c>
      <c r="F3658" s="5">
        <v>72</v>
      </c>
      <c r="G3658" s="5">
        <v>126</v>
      </c>
      <c r="H3658" s="6">
        <v>3167.28</v>
      </c>
      <c r="I3658" s="22">
        <v>6232.32</v>
      </c>
      <c r="J3658" s="24">
        <f t="shared" si="171"/>
        <v>4.3184505232691423E-5</v>
      </c>
      <c r="K3658" s="25">
        <f t="shared" si="173"/>
        <v>0.96925200198753469</v>
      </c>
      <c r="L3658" s="26" t="s">
        <v>7518</v>
      </c>
      <c r="M3658" s="28"/>
      <c r="N3658" s="28"/>
      <c r="O3658" s="20" t="s">
        <v>7530</v>
      </c>
      <c r="P3658" s="27" t="str">
        <f t="shared" si="172"/>
        <v>vermelho</v>
      </c>
    </row>
    <row r="3659" spans="1:16" ht="25.5">
      <c r="A3659" s="3" t="s">
        <v>5876</v>
      </c>
      <c r="B3659" s="3" t="s">
        <v>5877</v>
      </c>
      <c r="C3659" s="4">
        <v>74</v>
      </c>
      <c r="D3659" s="3" t="s">
        <v>6</v>
      </c>
      <c r="E3659" s="3" t="s">
        <v>7</v>
      </c>
      <c r="F3659" s="5">
        <v>0</v>
      </c>
      <c r="G3659" s="5">
        <v>120</v>
      </c>
      <c r="H3659" s="6">
        <v>0</v>
      </c>
      <c r="I3659" s="22">
        <v>6231.84</v>
      </c>
      <c r="J3659" s="24">
        <f t="shared" si="171"/>
        <v>4.3181179254161494E-5</v>
      </c>
      <c r="K3659" s="25">
        <f t="shared" si="173"/>
        <v>0.96929518316678887</v>
      </c>
      <c r="L3659" s="26" t="s">
        <v>7518</v>
      </c>
      <c r="M3659" s="28"/>
      <c r="N3659" s="28"/>
      <c r="O3659" s="20">
        <v>27419.64</v>
      </c>
      <c r="P3659" s="27" t="str">
        <f t="shared" si="172"/>
        <v>verde</v>
      </c>
    </row>
    <row r="3660" spans="1:16" ht="25.5">
      <c r="A3660" s="3" t="s">
        <v>4</v>
      </c>
      <c r="B3660" s="3" t="s">
        <v>2685</v>
      </c>
      <c r="C3660" s="4">
        <v>93</v>
      </c>
      <c r="D3660" s="3" t="s">
        <v>20</v>
      </c>
      <c r="E3660" s="3" t="s">
        <v>7</v>
      </c>
      <c r="F3660" s="5">
        <v>0</v>
      </c>
      <c r="G3660" s="5">
        <v>126</v>
      </c>
      <c r="H3660" s="6">
        <v>0</v>
      </c>
      <c r="I3660" s="22">
        <v>6229.26</v>
      </c>
      <c r="J3660" s="24">
        <f t="shared" si="171"/>
        <v>4.3163302119563084E-5</v>
      </c>
      <c r="K3660" s="25">
        <f t="shared" si="173"/>
        <v>0.96933834646890837</v>
      </c>
      <c r="L3660" s="26" t="s">
        <v>7518</v>
      </c>
      <c r="M3660" s="28"/>
      <c r="N3660" s="28"/>
      <c r="O3660" s="20" t="s">
        <v>7530</v>
      </c>
      <c r="P3660" s="27" t="str">
        <f t="shared" si="172"/>
        <v>vermelho</v>
      </c>
    </row>
    <row r="3661" spans="1:16" ht="38.25">
      <c r="A3661" s="3" t="s">
        <v>4</v>
      </c>
      <c r="B3661" s="3" t="s">
        <v>2686</v>
      </c>
      <c r="C3661" s="4">
        <v>38</v>
      </c>
      <c r="D3661" s="3" t="s">
        <v>184</v>
      </c>
      <c r="E3661" s="3" t="s">
        <v>49</v>
      </c>
      <c r="F3661" s="5">
        <v>48</v>
      </c>
      <c r="G3661" s="5">
        <v>129</v>
      </c>
      <c r="H3661" s="6">
        <v>2165.7240000000002</v>
      </c>
      <c r="I3661" s="22">
        <v>6227.76</v>
      </c>
      <c r="J3661" s="24">
        <f t="shared" si="171"/>
        <v>4.3152908436657031E-5</v>
      </c>
      <c r="K3661" s="25">
        <f t="shared" si="173"/>
        <v>0.96938149937734508</v>
      </c>
      <c r="L3661" s="26" t="s">
        <v>7518</v>
      </c>
      <c r="M3661" s="28"/>
      <c r="N3661" s="28"/>
      <c r="O3661" s="20" t="s">
        <v>7530</v>
      </c>
      <c r="P3661" s="27" t="str">
        <f t="shared" si="172"/>
        <v>vermelho</v>
      </c>
    </row>
    <row r="3662" spans="1:16" ht="38.25">
      <c r="A3662" s="3" t="s">
        <v>4</v>
      </c>
      <c r="B3662" s="3" t="s">
        <v>2687</v>
      </c>
      <c r="C3662" s="4">
        <v>45</v>
      </c>
      <c r="D3662" s="3" t="s">
        <v>23</v>
      </c>
      <c r="E3662" s="3" t="s">
        <v>7</v>
      </c>
      <c r="F3662" s="5">
        <v>228</v>
      </c>
      <c r="G3662" s="5">
        <v>132</v>
      </c>
      <c r="H3662" s="6">
        <v>8939.6280000000006</v>
      </c>
      <c r="I3662" s="22">
        <v>6222.84</v>
      </c>
      <c r="J3662" s="24">
        <f t="shared" si="171"/>
        <v>4.3118817156725189E-5</v>
      </c>
      <c r="K3662" s="25">
        <f t="shared" si="173"/>
        <v>0.96942461819450176</v>
      </c>
      <c r="L3662" s="26" t="s">
        <v>7518</v>
      </c>
      <c r="M3662" s="28"/>
      <c r="N3662" s="28"/>
      <c r="O3662" s="20" t="s">
        <v>7530</v>
      </c>
      <c r="P3662" s="27" t="str">
        <f t="shared" si="172"/>
        <v>vermelho</v>
      </c>
    </row>
    <row r="3663" spans="1:16" ht="38.25">
      <c r="A3663" s="3" t="s">
        <v>4</v>
      </c>
      <c r="B3663" s="3" t="s">
        <v>2688</v>
      </c>
      <c r="C3663" s="4">
        <v>38</v>
      </c>
      <c r="D3663" s="3" t="s">
        <v>184</v>
      </c>
      <c r="E3663" s="3" t="s">
        <v>49</v>
      </c>
      <c r="F3663" s="5">
        <v>0</v>
      </c>
      <c r="G3663" s="5">
        <v>126</v>
      </c>
      <c r="H3663" s="6">
        <v>0</v>
      </c>
      <c r="I3663" s="22">
        <v>6219.54</v>
      </c>
      <c r="J3663" s="24">
        <f t="shared" si="171"/>
        <v>4.3095951054331873E-5</v>
      </c>
      <c r="K3663" s="25">
        <f t="shared" si="173"/>
        <v>0.9694677141455561</v>
      </c>
      <c r="L3663" s="26" t="s">
        <v>7518</v>
      </c>
      <c r="M3663" s="28"/>
      <c r="N3663" s="28"/>
      <c r="O3663" s="20" t="s">
        <v>7530</v>
      </c>
      <c r="P3663" s="27" t="str">
        <f t="shared" si="172"/>
        <v>vermelho</v>
      </c>
    </row>
    <row r="3664" spans="1:16" ht="25.5">
      <c r="A3664" s="3" t="s">
        <v>4</v>
      </c>
      <c r="B3664" s="3" t="s">
        <v>2689</v>
      </c>
      <c r="C3664" s="4">
        <v>240</v>
      </c>
      <c r="D3664" s="3" t="s">
        <v>69</v>
      </c>
      <c r="E3664" s="3" t="s">
        <v>16</v>
      </c>
      <c r="F3664" s="5">
        <v>72</v>
      </c>
      <c r="G3664" s="5">
        <v>132</v>
      </c>
      <c r="H3664" s="6">
        <v>3230.64</v>
      </c>
      <c r="I3664" s="22">
        <v>6219.24</v>
      </c>
      <c r="J3664" s="24">
        <f t="shared" si="171"/>
        <v>4.3093872317750662E-5</v>
      </c>
      <c r="K3664" s="25">
        <f t="shared" si="173"/>
        <v>0.96951080801787382</v>
      </c>
      <c r="L3664" s="26" t="s">
        <v>7518</v>
      </c>
      <c r="M3664" s="28"/>
      <c r="N3664" s="28"/>
      <c r="O3664" s="20" t="s">
        <v>7530</v>
      </c>
      <c r="P3664" s="27" t="str">
        <f t="shared" si="172"/>
        <v>vermelho</v>
      </c>
    </row>
    <row r="3665" spans="1:16" ht="25.5">
      <c r="A3665" s="3" t="s">
        <v>4</v>
      </c>
      <c r="B3665" s="3" t="s">
        <v>2690</v>
      </c>
      <c r="C3665" s="4">
        <v>273</v>
      </c>
      <c r="D3665" s="3" t="s">
        <v>149</v>
      </c>
      <c r="E3665" s="3" t="s">
        <v>16</v>
      </c>
      <c r="F3665" s="5">
        <v>0</v>
      </c>
      <c r="G3665" s="5">
        <v>123</v>
      </c>
      <c r="H3665" s="6">
        <v>0</v>
      </c>
      <c r="I3665" s="22">
        <v>6219.0410000000002</v>
      </c>
      <c r="J3665" s="24">
        <f t="shared" si="171"/>
        <v>4.3092493422485128E-5</v>
      </c>
      <c r="K3665" s="25">
        <f t="shared" si="173"/>
        <v>0.96955390051129631</v>
      </c>
      <c r="L3665" s="26" t="s">
        <v>7518</v>
      </c>
      <c r="M3665" s="28"/>
      <c r="N3665" s="28"/>
      <c r="O3665" s="20" t="s">
        <v>7530</v>
      </c>
      <c r="P3665" s="27" t="str">
        <f t="shared" si="172"/>
        <v>vermelho</v>
      </c>
    </row>
    <row r="3666" spans="1:16" ht="25.5">
      <c r="A3666" s="3" t="s">
        <v>4</v>
      </c>
      <c r="B3666" s="3" t="s">
        <v>2691</v>
      </c>
      <c r="C3666" s="4">
        <v>267</v>
      </c>
      <c r="D3666" s="3" t="s">
        <v>125</v>
      </c>
      <c r="E3666" s="3" t="s">
        <v>16</v>
      </c>
      <c r="F3666" s="5">
        <v>258</v>
      </c>
      <c r="G3666" s="5">
        <v>96</v>
      </c>
      <c r="H3666" s="6">
        <v>15418.08</v>
      </c>
      <c r="I3666" s="22">
        <v>6216.96</v>
      </c>
      <c r="J3666" s="24">
        <f t="shared" si="171"/>
        <v>4.307807391973347E-5</v>
      </c>
      <c r="K3666" s="25">
        <f t="shared" si="173"/>
        <v>0.9695969785852161</v>
      </c>
      <c r="L3666" s="26" t="s">
        <v>7518</v>
      </c>
      <c r="M3666" s="28"/>
      <c r="N3666" s="28"/>
      <c r="O3666" s="20" t="s">
        <v>7530</v>
      </c>
      <c r="P3666" s="27" t="str">
        <f t="shared" si="172"/>
        <v>vermelho</v>
      </c>
    </row>
    <row r="3667" spans="1:16">
      <c r="A3667" s="3" t="s">
        <v>4</v>
      </c>
      <c r="B3667" s="3" t="s">
        <v>2692</v>
      </c>
      <c r="C3667" s="4">
        <v>231</v>
      </c>
      <c r="D3667" s="3" t="s">
        <v>52</v>
      </c>
      <c r="E3667" s="3" t="s">
        <v>7</v>
      </c>
      <c r="F3667" s="5">
        <v>48</v>
      </c>
      <c r="G3667" s="5">
        <v>96</v>
      </c>
      <c r="H3667" s="6">
        <v>2015.52</v>
      </c>
      <c r="I3667" s="22">
        <v>6215.04</v>
      </c>
      <c r="J3667" s="24">
        <f t="shared" si="171"/>
        <v>4.306477000561372E-5</v>
      </c>
      <c r="K3667" s="25">
        <f t="shared" si="173"/>
        <v>0.96964004335522169</v>
      </c>
      <c r="L3667" s="26" t="s">
        <v>7518</v>
      </c>
      <c r="M3667" s="28"/>
      <c r="N3667" s="28"/>
      <c r="O3667" s="20" t="s">
        <v>7530</v>
      </c>
      <c r="P3667" s="27" t="str">
        <f t="shared" si="172"/>
        <v>vermelho</v>
      </c>
    </row>
    <row r="3668" spans="1:16" ht="25.5">
      <c r="A3668" s="3" t="s">
        <v>6916</v>
      </c>
      <c r="B3668" s="3" t="s">
        <v>6917</v>
      </c>
      <c r="C3668" s="4">
        <v>321</v>
      </c>
      <c r="D3668" s="3" t="s">
        <v>136</v>
      </c>
      <c r="E3668" s="3" t="s">
        <v>41</v>
      </c>
      <c r="F3668" s="5">
        <v>570</v>
      </c>
      <c r="G3668" s="5">
        <v>132</v>
      </c>
      <c r="H3668" s="6">
        <v>33422.339999999997</v>
      </c>
      <c r="I3668" s="22">
        <v>6214.2</v>
      </c>
      <c r="J3668" s="24">
        <f t="shared" si="171"/>
        <v>4.3058949543186335E-5</v>
      </c>
      <c r="K3668" s="25">
        <f t="shared" si="173"/>
        <v>0.96968310230476484</v>
      </c>
      <c r="L3668" s="26" t="s">
        <v>7518</v>
      </c>
      <c r="M3668" s="28"/>
      <c r="N3668" s="28"/>
      <c r="O3668" s="20" t="s">
        <v>7530</v>
      </c>
      <c r="P3668" s="27" t="str">
        <f t="shared" si="172"/>
        <v>vermelho</v>
      </c>
    </row>
    <row r="3669" spans="1:16" ht="25.5">
      <c r="A3669" s="3" t="s">
        <v>4</v>
      </c>
      <c r="B3669" s="3" t="s">
        <v>2693</v>
      </c>
      <c r="C3669" s="4">
        <v>317</v>
      </c>
      <c r="D3669" s="3" t="s">
        <v>78</v>
      </c>
      <c r="E3669" s="3" t="s">
        <v>10</v>
      </c>
      <c r="F3669" s="5">
        <v>120</v>
      </c>
      <c r="G3669" s="5">
        <v>84</v>
      </c>
      <c r="H3669" s="6">
        <v>8154.84</v>
      </c>
      <c r="I3669" s="22">
        <v>6211.8</v>
      </c>
      <c r="J3669" s="24">
        <f t="shared" si="171"/>
        <v>4.3042319650536657E-5</v>
      </c>
      <c r="K3669" s="25">
        <f t="shared" si="173"/>
        <v>0.96972614462441542</v>
      </c>
      <c r="L3669" s="26" t="s">
        <v>7518</v>
      </c>
      <c r="M3669" s="28"/>
      <c r="N3669" s="28"/>
      <c r="O3669" s="20" t="s">
        <v>7530</v>
      </c>
      <c r="P3669" s="27" t="str">
        <f t="shared" si="172"/>
        <v>vermelho</v>
      </c>
    </row>
    <row r="3670" spans="1:16" ht="25.5">
      <c r="A3670" s="3" t="s">
        <v>4</v>
      </c>
      <c r="B3670" s="3" t="s">
        <v>2694</v>
      </c>
      <c r="C3670" s="4">
        <v>337</v>
      </c>
      <c r="D3670" s="3" t="s">
        <v>202</v>
      </c>
      <c r="E3670" s="3" t="s">
        <v>16</v>
      </c>
      <c r="F3670" s="5">
        <v>0</v>
      </c>
      <c r="G3670" s="5">
        <v>108</v>
      </c>
      <c r="H3670" s="6">
        <v>0</v>
      </c>
      <c r="I3670" s="22">
        <v>6205.56</v>
      </c>
      <c r="J3670" s="24">
        <f t="shared" si="171"/>
        <v>4.2999081929647487E-5</v>
      </c>
      <c r="K3670" s="25">
        <f t="shared" si="173"/>
        <v>0.96976914370634504</v>
      </c>
      <c r="L3670" s="26" t="s">
        <v>7518</v>
      </c>
      <c r="M3670" s="28"/>
      <c r="N3670" s="28"/>
      <c r="O3670" s="20" t="s">
        <v>7530</v>
      </c>
      <c r="P3670" s="27" t="str">
        <f t="shared" si="172"/>
        <v>vermelho</v>
      </c>
    </row>
    <row r="3671" spans="1:16" ht="51">
      <c r="A3671" s="3" t="s">
        <v>4</v>
      </c>
      <c r="B3671" s="3" t="s">
        <v>2695</v>
      </c>
      <c r="C3671" s="4">
        <v>282</v>
      </c>
      <c r="D3671" s="3" t="s">
        <v>12</v>
      </c>
      <c r="E3671" s="3" t="s">
        <v>13</v>
      </c>
      <c r="F3671" s="5">
        <v>141</v>
      </c>
      <c r="G3671" s="5">
        <v>102</v>
      </c>
      <c r="H3671" s="6">
        <v>7460.97</v>
      </c>
      <c r="I3671" s="22">
        <v>6198.5219999999999</v>
      </c>
      <c r="J3671" s="24">
        <f t="shared" si="171"/>
        <v>4.2950314769452298E-5</v>
      </c>
      <c r="K3671" s="25">
        <f t="shared" si="173"/>
        <v>0.96981209402111446</v>
      </c>
      <c r="L3671" s="26" t="s">
        <v>7518</v>
      </c>
      <c r="M3671" s="28"/>
      <c r="N3671" s="28"/>
      <c r="O3671" s="20" t="s">
        <v>7530</v>
      </c>
      <c r="P3671" s="27" t="str">
        <f t="shared" si="172"/>
        <v>vermelho</v>
      </c>
    </row>
    <row r="3672" spans="1:16" ht="25.5">
      <c r="A3672" s="3" t="s">
        <v>4</v>
      </c>
      <c r="B3672" s="3" t="s">
        <v>2696</v>
      </c>
      <c r="C3672" s="4">
        <v>317</v>
      </c>
      <c r="D3672" s="3" t="s">
        <v>78</v>
      </c>
      <c r="E3672" s="3" t="s">
        <v>10</v>
      </c>
      <c r="F3672" s="5">
        <v>246</v>
      </c>
      <c r="G3672" s="5">
        <v>105</v>
      </c>
      <c r="H3672" s="6">
        <v>16003.62</v>
      </c>
      <c r="I3672" s="22">
        <v>6195.84</v>
      </c>
      <c r="J3672" s="24">
        <f t="shared" si="171"/>
        <v>4.2931730864416275E-5</v>
      </c>
      <c r="K3672" s="25">
        <f t="shared" si="173"/>
        <v>0.96985502575197891</v>
      </c>
      <c r="L3672" s="26" t="s">
        <v>7518</v>
      </c>
      <c r="M3672" s="28"/>
      <c r="N3672" s="28"/>
      <c r="O3672" s="20" t="s">
        <v>7530</v>
      </c>
      <c r="P3672" s="27" t="str">
        <f t="shared" si="172"/>
        <v>vermelho</v>
      </c>
    </row>
    <row r="3673" spans="1:16" ht="25.5">
      <c r="A3673" s="3" t="s">
        <v>4</v>
      </c>
      <c r="B3673" s="3" t="s">
        <v>2697</v>
      </c>
      <c r="C3673" s="4">
        <v>232</v>
      </c>
      <c r="D3673" s="3" t="s">
        <v>174</v>
      </c>
      <c r="E3673" s="3" t="s">
        <v>16</v>
      </c>
      <c r="F3673" s="5">
        <v>0</v>
      </c>
      <c r="G3673" s="5">
        <v>96</v>
      </c>
      <c r="H3673" s="6">
        <v>0</v>
      </c>
      <c r="I3673" s="22">
        <v>6193.2</v>
      </c>
      <c r="J3673" s="24">
        <f t="shared" si="171"/>
        <v>4.2913437982501626E-5</v>
      </c>
      <c r="K3673" s="25">
        <f t="shared" si="173"/>
        <v>0.96989793918996137</v>
      </c>
      <c r="L3673" s="26" t="s">
        <v>7518</v>
      </c>
      <c r="M3673" s="28"/>
      <c r="N3673" s="28"/>
      <c r="O3673" s="20" t="s">
        <v>7530</v>
      </c>
      <c r="P3673" s="27" t="str">
        <f t="shared" si="172"/>
        <v>vermelho</v>
      </c>
    </row>
    <row r="3674" spans="1:16" ht="38.25">
      <c r="A3674" s="3" t="s">
        <v>4</v>
      </c>
      <c r="B3674" s="3" t="s">
        <v>2698</v>
      </c>
      <c r="C3674" s="4">
        <v>371</v>
      </c>
      <c r="D3674" s="3" t="s">
        <v>82</v>
      </c>
      <c r="E3674" s="3" t="s">
        <v>49</v>
      </c>
      <c r="F3674" s="5">
        <v>0</v>
      </c>
      <c r="G3674" s="5">
        <v>117</v>
      </c>
      <c r="H3674" s="6">
        <v>0</v>
      </c>
      <c r="I3674" s="22">
        <v>6182.4</v>
      </c>
      <c r="J3674" s="24">
        <f t="shared" si="171"/>
        <v>4.2838603465578058E-5</v>
      </c>
      <c r="K3674" s="25">
        <f t="shared" si="173"/>
        <v>0.96994077779342691</v>
      </c>
      <c r="L3674" s="26" t="s">
        <v>7518</v>
      </c>
      <c r="M3674" s="28"/>
      <c r="N3674" s="28">
        <v>4.5387372983247638E-2</v>
      </c>
      <c r="O3674" s="20">
        <v>2290.6799999999998</v>
      </c>
      <c r="P3674" s="27" t="str">
        <f t="shared" si="172"/>
        <v>amarelo</v>
      </c>
    </row>
    <row r="3675" spans="1:16" ht="25.5">
      <c r="A3675" s="3" t="s">
        <v>4</v>
      </c>
      <c r="B3675" s="3" t="s">
        <v>2699</v>
      </c>
      <c r="C3675" s="4">
        <v>337</v>
      </c>
      <c r="D3675" s="3" t="s">
        <v>202</v>
      </c>
      <c r="E3675" s="3" t="s">
        <v>16</v>
      </c>
      <c r="F3675" s="5">
        <v>99</v>
      </c>
      <c r="G3675" s="5">
        <v>132</v>
      </c>
      <c r="H3675" s="6">
        <v>5317.74</v>
      </c>
      <c r="I3675" s="22">
        <v>6179.64</v>
      </c>
      <c r="J3675" s="24">
        <f t="shared" si="171"/>
        <v>4.281947908903093E-5</v>
      </c>
      <c r="K3675" s="25">
        <f t="shared" si="173"/>
        <v>0.96998359727251593</v>
      </c>
      <c r="L3675" s="26" t="s">
        <v>7518</v>
      </c>
      <c r="M3675" s="28"/>
      <c r="N3675" s="28"/>
      <c r="O3675" s="20">
        <v>7563.36</v>
      </c>
      <c r="P3675" s="27" t="str">
        <f t="shared" si="172"/>
        <v>verde</v>
      </c>
    </row>
    <row r="3676" spans="1:16" ht="25.5">
      <c r="A3676" s="3" t="s">
        <v>4</v>
      </c>
      <c r="B3676" s="3" t="s">
        <v>2700</v>
      </c>
      <c r="C3676" s="4">
        <v>208</v>
      </c>
      <c r="D3676" s="3" t="s">
        <v>15</v>
      </c>
      <c r="E3676" s="3" t="s">
        <v>16</v>
      </c>
      <c r="F3676" s="5">
        <v>282</v>
      </c>
      <c r="G3676" s="5">
        <v>108</v>
      </c>
      <c r="H3676" s="6">
        <v>15523.38</v>
      </c>
      <c r="I3676" s="22">
        <v>6178.74</v>
      </c>
      <c r="J3676" s="24">
        <f t="shared" si="171"/>
        <v>4.2813242879287298E-5</v>
      </c>
      <c r="K3676" s="25">
        <f t="shared" si="173"/>
        <v>0.97002641051539518</v>
      </c>
      <c r="L3676" s="26" t="s">
        <v>7518</v>
      </c>
      <c r="M3676" s="28"/>
      <c r="N3676" s="28"/>
      <c r="O3676" s="20" t="s">
        <v>7530</v>
      </c>
      <c r="P3676" s="27" t="str">
        <f t="shared" si="172"/>
        <v>vermelho</v>
      </c>
    </row>
    <row r="3677" spans="1:16" ht="25.5">
      <c r="A3677" s="3" t="s">
        <v>6918</v>
      </c>
      <c r="B3677" s="3" t="s">
        <v>6919</v>
      </c>
      <c r="C3677" s="4">
        <v>93</v>
      </c>
      <c r="D3677" s="3" t="s">
        <v>20</v>
      </c>
      <c r="E3677" s="3" t="s">
        <v>7</v>
      </c>
      <c r="F3677" s="5">
        <v>252</v>
      </c>
      <c r="G3677" s="5">
        <v>108</v>
      </c>
      <c r="H3677" s="6">
        <v>14317.44</v>
      </c>
      <c r="I3677" s="22">
        <v>6175.2</v>
      </c>
      <c r="J3677" s="24">
        <f t="shared" si="171"/>
        <v>4.2788713787629017E-5</v>
      </c>
      <c r="K3677" s="25">
        <f t="shared" si="173"/>
        <v>0.97006919922918278</v>
      </c>
      <c r="L3677" s="26" t="s">
        <v>7518</v>
      </c>
      <c r="M3677" s="28"/>
      <c r="N3677" s="28"/>
      <c r="O3677" s="20" t="s">
        <v>7530</v>
      </c>
      <c r="P3677" s="27" t="str">
        <f t="shared" si="172"/>
        <v>vermelho</v>
      </c>
    </row>
    <row r="3678" spans="1:16" ht="25.5">
      <c r="A3678" s="3" t="s">
        <v>4</v>
      </c>
      <c r="B3678" s="3" t="s">
        <v>2701</v>
      </c>
      <c r="C3678" s="4">
        <v>194</v>
      </c>
      <c r="D3678" s="3" t="s">
        <v>145</v>
      </c>
      <c r="E3678" s="3" t="s">
        <v>16</v>
      </c>
      <c r="F3678" s="5">
        <v>120</v>
      </c>
      <c r="G3678" s="5">
        <v>96</v>
      </c>
      <c r="H3678" s="6">
        <v>6110.04</v>
      </c>
      <c r="I3678" s="22">
        <v>6168</v>
      </c>
      <c r="J3678" s="24">
        <f t="shared" si="171"/>
        <v>4.2738824109679976E-5</v>
      </c>
      <c r="K3678" s="25">
        <f t="shared" si="173"/>
        <v>0.97011193805329243</v>
      </c>
      <c r="L3678" s="26" t="s">
        <v>7518</v>
      </c>
      <c r="M3678" s="28"/>
      <c r="N3678" s="28"/>
      <c r="O3678" s="20">
        <v>7173.96</v>
      </c>
      <c r="P3678" s="27" t="str">
        <f t="shared" si="172"/>
        <v>verde</v>
      </c>
    </row>
    <row r="3679" spans="1:16">
      <c r="A3679" s="3" t="s">
        <v>4</v>
      </c>
      <c r="B3679" s="3" t="s">
        <v>2702</v>
      </c>
      <c r="C3679" s="4">
        <v>167</v>
      </c>
      <c r="D3679" s="3" t="s">
        <v>251</v>
      </c>
      <c r="E3679" s="3" t="s">
        <v>49</v>
      </c>
      <c r="F3679" s="5">
        <v>0</v>
      </c>
      <c r="G3679" s="5">
        <v>114</v>
      </c>
      <c r="H3679" s="6">
        <v>0</v>
      </c>
      <c r="I3679" s="22">
        <v>6160.95</v>
      </c>
      <c r="J3679" s="24">
        <f t="shared" si="171"/>
        <v>4.268997380002154E-5</v>
      </c>
      <c r="K3679" s="25">
        <f t="shared" si="173"/>
        <v>0.9701546280270924</v>
      </c>
      <c r="L3679" s="26" t="s">
        <v>7518</v>
      </c>
      <c r="M3679" s="28"/>
      <c r="N3679" s="28"/>
      <c r="O3679" s="20">
        <v>2454.42</v>
      </c>
      <c r="P3679" s="27" t="str">
        <f t="shared" si="172"/>
        <v>amarelo</v>
      </c>
    </row>
    <row r="3680" spans="1:16" ht="38.25">
      <c r="A3680" s="3" t="s">
        <v>4</v>
      </c>
      <c r="B3680" s="3" t="s">
        <v>2703</v>
      </c>
      <c r="C3680" s="4">
        <v>292</v>
      </c>
      <c r="D3680" s="3" t="s">
        <v>57</v>
      </c>
      <c r="E3680" s="3" t="s">
        <v>49</v>
      </c>
      <c r="F3680" s="5">
        <v>150</v>
      </c>
      <c r="G3680" s="5">
        <v>102</v>
      </c>
      <c r="H3680" s="6">
        <v>7076.2039999999997</v>
      </c>
      <c r="I3680" s="22">
        <v>6159.48</v>
      </c>
      <c r="J3680" s="24">
        <f t="shared" si="171"/>
        <v>4.2679787990773607E-5</v>
      </c>
      <c r="K3680" s="25">
        <f t="shared" si="173"/>
        <v>0.97019730781508318</v>
      </c>
      <c r="L3680" s="26" t="s">
        <v>7518</v>
      </c>
      <c r="M3680" s="28"/>
      <c r="N3680" s="28"/>
      <c r="O3680" s="20" t="s">
        <v>7530</v>
      </c>
      <c r="P3680" s="27" t="str">
        <f t="shared" si="172"/>
        <v>vermelho</v>
      </c>
    </row>
    <row r="3681" spans="1:16" ht="38.25">
      <c r="A3681" s="3" t="s">
        <v>4</v>
      </c>
      <c r="B3681" s="3" t="s">
        <v>2704</v>
      </c>
      <c r="C3681" s="4">
        <v>11</v>
      </c>
      <c r="D3681" s="3" t="s">
        <v>61</v>
      </c>
      <c r="E3681" s="3" t="s">
        <v>10</v>
      </c>
      <c r="F3681" s="5">
        <v>0</v>
      </c>
      <c r="G3681" s="5">
        <v>96</v>
      </c>
      <c r="H3681" s="6">
        <v>0</v>
      </c>
      <c r="I3681" s="22">
        <v>6155.04</v>
      </c>
      <c r="J3681" s="24">
        <f t="shared" si="171"/>
        <v>4.2649022689371701E-5</v>
      </c>
      <c r="K3681" s="25">
        <f t="shared" si="173"/>
        <v>0.97023995683777253</v>
      </c>
      <c r="L3681" s="26" t="s">
        <v>7518</v>
      </c>
      <c r="M3681" s="28"/>
      <c r="N3681" s="28"/>
      <c r="O3681" s="20" t="s">
        <v>7530</v>
      </c>
      <c r="P3681" s="27" t="str">
        <f t="shared" si="172"/>
        <v>vermelho</v>
      </c>
    </row>
    <row r="3682" spans="1:16" ht="38.25">
      <c r="A3682" s="3" t="s">
        <v>4</v>
      </c>
      <c r="B3682" s="3" t="s">
        <v>2705</v>
      </c>
      <c r="C3682" s="4">
        <v>331</v>
      </c>
      <c r="D3682" s="3" t="s">
        <v>603</v>
      </c>
      <c r="E3682" s="3" t="s">
        <v>13</v>
      </c>
      <c r="F3682" s="5">
        <v>0</v>
      </c>
      <c r="G3682" s="5">
        <v>120</v>
      </c>
      <c r="H3682" s="6">
        <v>0</v>
      </c>
      <c r="I3682" s="22">
        <v>6153.72</v>
      </c>
      <c r="J3682" s="24">
        <f t="shared" si="171"/>
        <v>4.263987624841438E-5</v>
      </c>
      <c r="K3682" s="25">
        <f t="shared" si="173"/>
        <v>0.97028259671402095</v>
      </c>
      <c r="L3682" s="26" t="s">
        <v>7518</v>
      </c>
      <c r="M3682" s="28"/>
      <c r="N3682" s="28"/>
      <c r="O3682" s="20">
        <v>2946.1320000000001</v>
      </c>
      <c r="P3682" s="27" t="str">
        <f t="shared" si="172"/>
        <v>amarelo</v>
      </c>
    </row>
    <row r="3683" spans="1:16" ht="25.5">
      <c r="A3683" s="3" t="s">
        <v>4</v>
      </c>
      <c r="B3683" s="3" t="s">
        <v>2706</v>
      </c>
      <c r="C3683" s="4">
        <v>273</v>
      </c>
      <c r="D3683" s="3" t="s">
        <v>149</v>
      </c>
      <c r="E3683" s="3" t="s">
        <v>16</v>
      </c>
      <c r="F3683" s="5">
        <v>0</v>
      </c>
      <c r="G3683" s="5">
        <v>120</v>
      </c>
      <c r="H3683" s="6">
        <v>0</v>
      </c>
      <c r="I3683" s="22">
        <v>6152.64</v>
      </c>
      <c r="J3683" s="24">
        <f t="shared" si="171"/>
        <v>4.2632392796722023E-5</v>
      </c>
      <c r="K3683" s="25">
        <f t="shared" si="173"/>
        <v>0.97032522910681762</v>
      </c>
      <c r="L3683" s="26" t="s">
        <v>7518</v>
      </c>
      <c r="M3683" s="28"/>
      <c r="N3683" s="28"/>
      <c r="O3683" s="20" t="s">
        <v>7530</v>
      </c>
      <c r="P3683" s="27" t="str">
        <f t="shared" si="172"/>
        <v>vermelho</v>
      </c>
    </row>
    <row r="3684" spans="1:16" ht="25.5">
      <c r="A3684" s="3" t="s">
        <v>4</v>
      </c>
      <c r="B3684" s="3" t="s">
        <v>2707</v>
      </c>
      <c r="C3684" s="4">
        <v>218</v>
      </c>
      <c r="D3684" s="3" t="s">
        <v>104</v>
      </c>
      <c r="E3684" s="3" t="s">
        <v>16</v>
      </c>
      <c r="F3684" s="5">
        <v>144</v>
      </c>
      <c r="G3684" s="5">
        <v>126</v>
      </c>
      <c r="H3684" s="6">
        <v>7884.36</v>
      </c>
      <c r="I3684" s="22">
        <v>6152.34</v>
      </c>
      <c r="J3684" s="24">
        <f t="shared" si="171"/>
        <v>4.2630314060140812E-5</v>
      </c>
      <c r="K3684" s="25">
        <f t="shared" si="173"/>
        <v>0.97036785942087778</v>
      </c>
      <c r="L3684" s="26" t="s">
        <v>7518</v>
      </c>
      <c r="M3684" s="28"/>
      <c r="N3684" s="28"/>
      <c r="O3684" s="20" t="s">
        <v>7530</v>
      </c>
      <c r="P3684" s="27" t="str">
        <f t="shared" si="172"/>
        <v>vermelho</v>
      </c>
    </row>
    <row r="3685" spans="1:16" ht="25.5">
      <c r="A3685" s="3" t="s">
        <v>4</v>
      </c>
      <c r="B3685" s="3" t="s">
        <v>2708</v>
      </c>
      <c r="C3685" s="4">
        <v>273</v>
      </c>
      <c r="D3685" s="3" t="s">
        <v>149</v>
      </c>
      <c r="E3685" s="3" t="s">
        <v>16</v>
      </c>
      <c r="F3685" s="5">
        <v>0</v>
      </c>
      <c r="G3685" s="5">
        <v>120</v>
      </c>
      <c r="H3685" s="6">
        <v>0</v>
      </c>
      <c r="I3685" s="22">
        <v>6148.8339999999998</v>
      </c>
      <c r="J3685" s="24">
        <f t="shared" si="171"/>
        <v>4.26060205586284E-5</v>
      </c>
      <c r="K3685" s="25">
        <f t="shared" si="173"/>
        <v>0.97041046544143639</v>
      </c>
      <c r="L3685" s="26" t="s">
        <v>7518</v>
      </c>
      <c r="M3685" s="28"/>
      <c r="N3685" s="28"/>
      <c r="O3685" s="20" t="s">
        <v>7530</v>
      </c>
      <c r="P3685" s="27" t="str">
        <f t="shared" si="172"/>
        <v>vermelho</v>
      </c>
    </row>
    <row r="3686" spans="1:16" ht="25.5">
      <c r="A3686" s="3" t="s">
        <v>4</v>
      </c>
      <c r="B3686" s="3" t="s">
        <v>2709</v>
      </c>
      <c r="C3686" s="4">
        <v>31</v>
      </c>
      <c r="D3686" s="3" t="s">
        <v>194</v>
      </c>
      <c r="E3686" s="3" t="s">
        <v>16</v>
      </c>
      <c r="F3686" s="5">
        <v>354</v>
      </c>
      <c r="G3686" s="5">
        <v>120</v>
      </c>
      <c r="H3686" s="6">
        <v>18552.54</v>
      </c>
      <c r="I3686" s="22">
        <v>6140.04</v>
      </c>
      <c r="J3686" s="24">
        <f t="shared" si="171"/>
        <v>4.2545085860311198E-5</v>
      </c>
      <c r="K3686" s="25">
        <f t="shared" si="173"/>
        <v>0.97045301052729671</v>
      </c>
      <c r="L3686" s="26" t="s">
        <v>7518</v>
      </c>
      <c r="M3686" s="28"/>
      <c r="N3686" s="28"/>
      <c r="O3686" s="20">
        <v>12046.08</v>
      </c>
      <c r="P3686" s="27" t="str">
        <f t="shared" si="172"/>
        <v>verde</v>
      </c>
    </row>
    <row r="3687" spans="1:16">
      <c r="A3687" s="3" t="s">
        <v>4</v>
      </c>
      <c r="B3687" s="3" t="s">
        <v>2710</v>
      </c>
      <c r="C3687" s="4">
        <v>232</v>
      </c>
      <c r="D3687" s="3" t="s">
        <v>174</v>
      </c>
      <c r="E3687" s="3" t="s">
        <v>16</v>
      </c>
      <c r="F3687" s="5">
        <v>0</v>
      </c>
      <c r="G3687" s="5">
        <v>96</v>
      </c>
      <c r="H3687" s="6">
        <v>0</v>
      </c>
      <c r="I3687" s="22">
        <v>6131.28</v>
      </c>
      <c r="J3687" s="24">
        <f t="shared" si="171"/>
        <v>4.2484386752139857E-5</v>
      </c>
      <c r="K3687" s="25">
        <f t="shared" si="173"/>
        <v>0.97049549491404885</v>
      </c>
      <c r="L3687" s="26" t="s">
        <v>7518</v>
      </c>
      <c r="M3687" s="28"/>
      <c r="N3687" s="28"/>
      <c r="O3687" s="20" t="s">
        <v>7530</v>
      </c>
      <c r="P3687" s="27" t="str">
        <f t="shared" si="172"/>
        <v>vermelho</v>
      </c>
    </row>
    <row r="3688" spans="1:16" ht="25.5">
      <c r="A3688" s="3" t="s">
        <v>4</v>
      </c>
      <c r="B3688" s="3" t="s">
        <v>2711</v>
      </c>
      <c r="C3688" s="4">
        <v>321</v>
      </c>
      <c r="D3688" s="3" t="s">
        <v>136</v>
      </c>
      <c r="E3688" s="3" t="s">
        <v>41</v>
      </c>
      <c r="F3688" s="5">
        <v>216</v>
      </c>
      <c r="G3688" s="5">
        <v>102</v>
      </c>
      <c r="H3688" s="6">
        <v>12168.24</v>
      </c>
      <c r="I3688" s="22">
        <v>6125.4</v>
      </c>
      <c r="J3688" s="24">
        <f t="shared" si="171"/>
        <v>4.2443643515148138E-5</v>
      </c>
      <c r="K3688" s="25">
        <f t="shared" si="173"/>
        <v>0.97053793855756398</v>
      </c>
      <c r="L3688" s="26" t="s">
        <v>7518</v>
      </c>
      <c r="M3688" s="28"/>
      <c r="N3688" s="28"/>
      <c r="O3688" s="20" t="s">
        <v>7530</v>
      </c>
      <c r="P3688" s="27" t="str">
        <f t="shared" si="172"/>
        <v>vermelho</v>
      </c>
    </row>
    <row r="3689" spans="1:16" ht="25.5">
      <c r="A3689" s="3" t="s">
        <v>4</v>
      </c>
      <c r="B3689" s="3" t="s">
        <v>2712</v>
      </c>
      <c r="C3689" s="4">
        <v>266</v>
      </c>
      <c r="D3689" s="3" t="s">
        <v>80</v>
      </c>
      <c r="E3689" s="3" t="s">
        <v>10</v>
      </c>
      <c r="F3689" s="5">
        <v>48</v>
      </c>
      <c r="G3689" s="5">
        <v>102</v>
      </c>
      <c r="H3689" s="6">
        <v>2598.7199999999998</v>
      </c>
      <c r="I3689" s="22">
        <v>6118.14</v>
      </c>
      <c r="J3689" s="24">
        <f t="shared" si="171"/>
        <v>4.2393338089882857E-5</v>
      </c>
      <c r="K3689" s="25">
        <f t="shared" si="173"/>
        <v>0.97058033189565385</v>
      </c>
      <c r="L3689" s="26" t="s">
        <v>7518</v>
      </c>
      <c r="M3689" s="28"/>
      <c r="N3689" s="28"/>
      <c r="O3689" s="20" t="s">
        <v>7530</v>
      </c>
      <c r="P3689" s="27" t="str">
        <f t="shared" si="172"/>
        <v>vermelho</v>
      </c>
    </row>
    <row r="3690" spans="1:16">
      <c r="A3690" s="3" t="s">
        <v>4</v>
      </c>
      <c r="B3690" s="3" t="s">
        <v>2713</v>
      </c>
      <c r="C3690" s="4">
        <v>232</v>
      </c>
      <c r="D3690" s="3" t="s">
        <v>174</v>
      </c>
      <c r="E3690" s="3" t="s">
        <v>16</v>
      </c>
      <c r="F3690" s="5">
        <v>132</v>
      </c>
      <c r="G3690" s="5">
        <v>114</v>
      </c>
      <c r="H3690" s="6">
        <v>6619.08</v>
      </c>
      <c r="I3690" s="22">
        <v>6112.65</v>
      </c>
      <c r="J3690" s="24">
        <f t="shared" si="171"/>
        <v>4.2355297210446707E-5</v>
      </c>
      <c r="K3690" s="25">
        <f t="shared" si="173"/>
        <v>0.97062268719286426</v>
      </c>
      <c r="L3690" s="26" t="s">
        <v>7518</v>
      </c>
      <c r="M3690" s="28"/>
      <c r="N3690" s="28"/>
      <c r="O3690" s="20">
        <v>5813.4</v>
      </c>
      <c r="P3690" s="27" t="str">
        <f t="shared" si="172"/>
        <v>laranja</v>
      </c>
    </row>
    <row r="3691" spans="1:16">
      <c r="A3691" s="3" t="s">
        <v>4</v>
      </c>
      <c r="B3691" s="3" t="s">
        <v>2714</v>
      </c>
      <c r="C3691" s="4">
        <v>217</v>
      </c>
      <c r="D3691" s="3" t="s">
        <v>91</v>
      </c>
      <c r="E3691" s="3" t="s">
        <v>16</v>
      </c>
      <c r="F3691" s="5">
        <v>0</v>
      </c>
      <c r="G3691" s="5">
        <v>90</v>
      </c>
      <c r="H3691" s="6">
        <v>0</v>
      </c>
      <c r="I3691" s="22">
        <v>6112.26</v>
      </c>
      <c r="J3691" s="24">
        <f t="shared" si="171"/>
        <v>4.2352594852891138E-5</v>
      </c>
      <c r="K3691" s="25">
        <f t="shared" si="173"/>
        <v>0.97066503978771712</v>
      </c>
      <c r="L3691" s="26" t="s">
        <v>7518</v>
      </c>
      <c r="M3691" s="28"/>
      <c r="N3691" s="28"/>
      <c r="O3691" s="20" t="s">
        <v>7530</v>
      </c>
      <c r="P3691" s="27" t="str">
        <f t="shared" si="172"/>
        <v>vermelho</v>
      </c>
    </row>
    <row r="3692" spans="1:16" ht="25.5">
      <c r="A3692" s="3" t="s">
        <v>4</v>
      </c>
      <c r="B3692" s="3" t="s">
        <v>2715</v>
      </c>
      <c r="C3692" s="4">
        <v>23</v>
      </c>
      <c r="D3692" s="3" t="s">
        <v>87</v>
      </c>
      <c r="E3692" s="3" t="s">
        <v>7</v>
      </c>
      <c r="F3692" s="5">
        <v>0</v>
      </c>
      <c r="G3692" s="5">
        <v>99</v>
      </c>
      <c r="H3692" s="6">
        <v>0</v>
      </c>
      <c r="I3692" s="22">
        <v>6110.57</v>
      </c>
      <c r="J3692" s="24">
        <f t="shared" si="171"/>
        <v>4.2340884636816984E-5</v>
      </c>
      <c r="K3692" s="25">
        <f t="shared" si="173"/>
        <v>0.97070738067235396</v>
      </c>
      <c r="L3692" s="26" t="s">
        <v>7518</v>
      </c>
      <c r="M3692" s="28"/>
      <c r="N3692" s="28"/>
      <c r="O3692" s="20">
        <v>1597.92</v>
      </c>
      <c r="P3692" s="27" t="str">
        <f t="shared" si="172"/>
        <v>amarelo</v>
      </c>
    </row>
    <row r="3693" spans="1:16" ht="25.5">
      <c r="A3693" s="3" t="s">
        <v>4</v>
      </c>
      <c r="B3693" s="3" t="s">
        <v>2716</v>
      </c>
      <c r="C3693" s="4">
        <v>299</v>
      </c>
      <c r="D3693" s="3" t="s">
        <v>111</v>
      </c>
      <c r="E3693" s="3" t="s">
        <v>49</v>
      </c>
      <c r="F3693" s="5">
        <v>260</v>
      </c>
      <c r="G3693" s="5">
        <v>114</v>
      </c>
      <c r="H3693" s="6">
        <v>9316.52</v>
      </c>
      <c r="I3693" s="22">
        <v>6099.87</v>
      </c>
      <c r="J3693" s="24">
        <f t="shared" si="171"/>
        <v>4.2266743032087157E-5</v>
      </c>
      <c r="K3693" s="25">
        <f t="shared" si="173"/>
        <v>0.97074964741538605</v>
      </c>
      <c r="L3693" s="26" t="s">
        <v>7518</v>
      </c>
      <c r="M3693" s="28"/>
      <c r="N3693" s="28"/>
      <c r="O3693" s="20" t="s">
        <v>7530</v>
      </c>
      <c r="P3693" s="27" t="str">
        <f t="shared" si="172"/>
        <v>vermelho</v>
      </c>
    </row>
    <row r="3694" spans="1:16" ht="25.5">
      <c r="A3694" s="3" t="s">
        <v>6920</v>
      </c>
      <c r="B3694" s="3" t="s">
        <v>6921</v>
      </c>
      <c r="C3694" s="4">
        <v>217</v>
      </c>
      <c r="D3694" s="3" t="s">
        <v>91</v>
      </c>
      <c r="E3694" s="3" t="s">
        <v>16</v>
      </c>
      <c r="F3694" s="5">
        <v>60</v>
      </c>
      <c r="G3694" s="5">
        <v>87</v>
      </c>
      <c r="H3694" s="6">
        <v>2692.2</v>
      </c>
      <c r="I3694" s="22">
        <v>6098.43</v>
      </c>
      <c r="J3694" s="24">
        <f t="shared" si="171"/>
        <v>4.2256765096497357E-5</v>
      </c>
      <c r="K3694" s="25">
        <f t="shared" si="173"/>
        <v>0.97079190418048256</v>
      </c>
      <c r="L3694" s="26" t="s">
        <v>7518</v>
      </c>
      <c r="M3694" s="28"/>
      <c r="N3694" s="28"/>
      <c r="O3694" s="20" t="s">
        <v>7530</v>
      </c>
      <c r="P3694" s="27" t="str">
        <f t="shared" si="172"/>
        <v>vermelho</v>
      </c>
    </row>
    <row r="3695" spans="1:16" ht="25.5">
      <c r="A3695" s="3" t="s">
        <v>4</v>
      </c>
      <c r="B3695" s="3" t="s">
        <v>2717</v>
      </c>
      <c r="C3695" s="4">
        <v>321</v>
      </c>
      <c r="D3695" s="3" t="s">
        <v>136</v>
      </c>
      <c r="E3695" s="3" t="s">
        <v>41</v>
      </c>
      <c r="F3695" s="5">
        <v>96</v>
      </c>
      <c r="G3695" s="5">
        <v>93</v>
      </c>
      <c r="H3695" s="6">
        <v>5519.28</v>
      </c>
      <c r="I3695" s="22">
        <v>6097.65</v>
      </c>
      <c r="J3695" s="24">
        <f t="shared" si="171"/>
        <v>4.2251360381386204E-5</v>
      </c>
      <c r="K3695" s="25">
        <f t="shared" si="173"/>
        <v>0.97083415554086394</v>
      </c>
      <c r="L3695" s="26" t="s">
        <v>7518</v>
      </c>
      <c r="M3695" s="28"/>
      <c r="N3695" s="28"/>
      <c r="O3695" s="20" t="s">
        <v>7530</v>
      </c>
      <c r="P3695" s="27" t="str">
        <f t="shared" si="172"/>
        <v>vermelho</v>
      </c>
    </row>
    <row r="3696" spans="1:16" ht="25.5">
      <c r="A3696" s="3" t="s">
        <v>4</v>
      </c>
      <c r="B3696" s="3" t="s">
        <v>2718</v>
      </c>
      <c r="C3696" s="4">
        <v>317</v>
      </c>
      <c r="D3696" s="3" t="s">
        <v>78</v>
      </c>
      <c r="E3696" s="3" t="s">
        <v>10</v>
      </c>
      <c r="F3696" s="5">
        <v>0</v>
      </c>
      <c r="G3696" s="5">
        <v>126</v>
      </c>
      <c r="H3696" s="6">
        <v>0</v>
      </c>
      <c r="I3696" s="22">
        <v>6093.36</v>
      </c>
      <c r="J3696" s="24">
        <f t="shared" si="171"/>
        <v>4.2221634448274896E-5</v>
      </c>
      <c r="K3696" s="25">
        <f t="shared" si="173"/>
        <v>0.97087637717531217</v>
      </c>
      <c r="L3696" s="26" t="s">
        <v>7518</v>
      </c>
      <c r="M3696" s="28"/>
      <c r="N3696" s="28"/>
      <c r="O3696" s="20" t="s">
        <v>7530</v>
      </c>
      <c r="P3696" s="27" t="str">
        <f t="shared" si="172"/>
        <v>vermelho</v>
      </c>
    </row>
    <row r="3697" spans="1:16" ht="25.5">
      <c r="A3697" s="3" t="s">
        <v>4</v>
      </c>
      <c r="B3697" s="3" t="s">
        <v>2719</v>
      </c>
      <c r="C3697" s="4">
        <v>218</v>
      </c>
      <c r="D3697" s="3" t="s">
        <v>104</v>
      </c>
      <c r="E3697" s="3" t="s">
        <v>16</v>
      </c>
      <c r="F3697" s="5">
        <v>84</v>
      </c>
      <c r="G3697" s="5">
        <v>117</v>
      </c>
      <c r="H3697" s="6">
        <v>4139.88</v>
      </c>
      <c r="I3697" s="22">
        <v>6091.53</v>
      </c>
      <c r="J3697" s="24">
        <f t="shared" si="171"/>
        <v>4.220895415512952E-5</v>
      </c>
      <c r="K3697" s="25">
        <f t="shared" si="173"/>
        <v>0.97091858612946724</v>
      </c>
      <c r="L3697" s="26" t="s">
        <v>7518</v>
      </c>
      <c r="M3697" s="28"/>
      <c r="N3697" s="28"/>
      <c r="O3697" s="20">
        <v>3408.72</v>
      </c>
      <c r="P3697" s="27" t="str">
        <f t="shared" si="172"/>
        <v>laranja</v>
      </c>
    </row>
    <row r="3698" spans="1:16" ht="25.5">
      <c r="A3698" s="3" t="s">
        <v>4</v>
      </c>
      <c r="B3698" s="3" t="s">
        <v>2720</v>
      </c>
      <c r="C3698" s="4">
        <v>231</v>
      </c>
      <c r="D3698" s="3" t="s">
        <v>52</v>
      </c>
      <c r="E3698" s="3" t="s">
        <v>7</v>
      </c>
      <c r="F3698" s="5">
        <v>39</v>
      </c>
      <c r="G3698" s="5">
        <v>99</v>
      </c>
      <c r="H3698" s="6">
        <v>2321.61</v>
      </c>
      <c r="I3698" s="22">
        <v>6088.29</v>
      </c>
      <c r="J3698" s="24">
        <f t="shared" si="171"/>
        <v>4.2186503800052449E-5</v>
      </c>
      <c r="K3698" s="25">
        <f t="shared" si="173"/>
        <v>0.9709607726332673</v>
      </c>
      <c r="L3698" s="26" t="s">
        <v>7518</v>
      </c>
      <c r="M3698" s="28"/>
      <c r="N3698" s="28"/>
      <c r="O3698" s="20" t="s">
        <v>7530</v>
      </c>
      <c r="P3698" s="27" t="str">
        <f t="shared" si="172"/>
        <v>vermelho</v>
      </c>
    </row>
    <row r="3699" spans="1:16" ht="25.5">
      <c r="A3699" s="3" t="s">
        <v>4</v>
      </c>
      <c r="B3699" s="3" t="s">
        <v>2721</v>
      </c>
      <c r="C3699" s="4">
        <v>297</v>
      </c>
      <c r="D3699" s="3" t="s">
        <v>115</v>
      </c>
      <c r="E3699" s="3" t="s">
        <v>41</v>
      </c>
      <c r="F3699" s="5">
        <v>0</v>
      </c>
      <c r="G3699" s="5">
        <v>108</v>
      </c>
      <c r="H3699" s="6">
        <v>0</v>
      </c>
      <c r="I3699" s="22">
        <v>6088.2</v>
      </c>
      <c r="J3699" s="24">
        <f t="shared" si="171"/>
        <v>4.2185880179078084E-5</v>
      </c>
      <c r="K3699" s="25">
        <f t="shared" si="173"/>
        <v>0.97100295851344642</v>
      </c>
      <c r="L3699" s="26" t="s">
        <v>7518</v>
      </c>
      <c r="M3699" s="28"/>
      <c r="N3699" s="28"/>
      <c r="O3699" s="20" t="s">
        <v>7530</v>
      </c>
      <c r="P3699" s="27" t="str">
        <f t="shared" si="172"/>
        <v>vermelho</v>
      </c>
    </row>
    <row r="3700" spans="1:16" ht="25.5">
      <c r="A3700" s="3" t="s">
        <v>4</v>
      </c>
      <c r="B3700" s="3" t="s">
        <v>2722</v>
      </c>
      <c r="C3700" s="4">
        <v>273</v>
      </c>
      <c r="D3700" s="3" t="s">
        <v>149</v>
      </c>
      <c r="E3700" s="3" t="s">
        <v>16</v>
      </c>
      <c r="F3700" s="5">
        <v>0</v>
      </c>
      <c r="G3700" s="5">
        <v>114</v>
      </c>
      <c r="H3700" s="6">
        <v>0</v>
      </c>
      <c r="I3700" s="22">
        <v>6087.9579999999996</v>
      </c>
      <c r="J3700" s="24">
        <f t="shared" si="171"/>
        <v>4.2184203331569241E-5</v>
      </c>
      <c r="K3700" s="25">
        <f t="shared" si="173"/>
        <v>0.971045142716778</v>
      </c>
      <c r="L3700" s="26" t="s">
        <v>7518</v>
      </c>
      <c r="M3700" s="28"/>
      <c r="N3700" s="28"/>
      <c r="O3700" s="20" t="s">
        <v>7530</v>
      </c>
      <c r="P3700" s="27" t="str">
        <f t="shared" si="172"/>
        <v>vermelho</v>
      </c>
    </row>
    <row r="3701" spans="1:16" ht="25.5">
      <c r="A3701" s="3" t="s">
        <v>6452</v>
      </c>
      <c r="B3701" s="3" t="s">
        <v>6453</v>
      </c>
      <c r="C3701" s="4">
        <v>317</v>
      </c>
      <c r="D3701" s="3" t="s">
        <v>78</v>
      </c>
      <c r="E3701" s="3" t="s">
        <v>10</v>
      </c>
      <c r="F3701" s="5">
        <v>1272</v>
      </c>
      <c r="G3701" s="5">
        <v>120</v>
      </c>
      <c r="H3701" s="6">
        <v>74293.98</v>
      </c>
      <c r="I3701" s="22">
        <v>6087.84</v>
      </c>
      <c r="J3701" s="24">
        <f t="shared" si="171"/>
        <v>4.2183385695180633E-5</v>
      </c>
      <c r="K3701" s="25">
        <f t="shared" si="173"/>
        <v>0.97108732610247317</v>
      </c>
      <c r="L3701" s="26" t="s">
        <v>7518</v>
      </c>
      <c r="M3701" s="28"/>
      <c r="N3701" s="28"/>
      <c r="O3701" s="20" t="s">
        <v>7530</v>
      </c>
      <c r="P3701" s="27" t="str">
        <f t="shared" si="172"/>
        <v>vermelho</v>
      </c>
    </row>
    <row r="3702" spans="1:16" ht="38.25">
      <c r="A3702" s="3" t="s">
        <v>4</v>
      </c>
      <c r="B3702" s="3" t="s">
        <v>2723</v>
      </c>
      <c r="C3702" s="4">
        <v>38</v>
      </c>
      <c r="D3702" s="3" t="s">
        <v>184</v>
      </c>
      <c r="E3702" s="3" t="s">
        <v>49</v>
      </c>
      <c r="F3702" s="5">
        <v>0</v>
      </c>
      <c r="G3702" s="5">
        <v>120</v>
      </c>
      <c r="H3702" s="6">
        <v>0</v>
      </c>
      <c r="I3702" s="22">
        <v>6080.34</v>
      </c>
      <c r="J3702" s="24">
        <f t="shared" si="171"/>
        <v>4.2131417280650382E-5</v>
      </c>
      <c r="K3702" s="25">
        <f t="shared" si="173"/>
        <v>0.97112945751975377</v>
      </c>
      <c r="L3702" s="26" t="s">
        <v>7518</v>
      </c>
      <c r="M3702" s="28"/>
      <c r="N3702" s="28"/>
      <c r="O3702" s="20" t="s">
        <v>7530</v>
      </c>
      <c r="P3702" s="27" t="str">
        <f t="shared" si="172"/>
        <v>vermelho</v>
      </c>
    </row>
    <row r="3703" spans="1:16" ht="25.5">
      <c r="A3703" s="3" t="s">
        <v>4</v>
      </c>
      <c r="B3703" s="3" t="s">
        <v>2724</v>
      </c>
      <c r="C3703" s="4">
        <v>317</v>
      </c>
      <c r="D3703" s="3" t="s">
        <v>78</v>
      </c>
      <c r="E3703" s="3" t="s">
        <v>10</v>
      </c>
      <c r="F3703" s="5">
        <v>0</v>
      </c>
      <c r="G3703" s="5">
        <v>69</v>
      </c>
      <c r="H3703" s="6">
        <v>0</v>
      </c>
      <c r="I3703" s="22">
        <v>6079.53</v>
      </c>
      <c r="J3703" s="24">
        <f t="shared" si="171"/>
        <v>4.2125804691881116E-5</v>
      </c>
      <c r="K3703" s="25">
        <f t="shared" si="173"/>
        <v>0.97117158332444564</v>
      </c>
      <c r="L3703" s="26" t="s">
        <v>7518</v>
      </c>
      <c r="M3703" s="28"/>
      <c r="N3703" s="28"/>
      <c r="O3703" s="20" t="s">
        <v>7530</v>
      </c>
      <c r="P3703" s="27" t="str">
        <f t="shared" si="172"/>
        <v>vermelho</v>
      </c>
    </row>
    <row r="3704" spans="1:16" ht="25.5">
      <c r="A3704" s="3" t="s">
        <v>4</v>
      </c>
      <c r="B3704" s="3" t="s">
        <v>2725</v>
      </c>
      <c r="C3704" s="4">
        <v>53</v>
      </c>
      <c r="D3704" s="3" t="s">
        <v>34</v>
      </c>
      <c r="E3704" s="3" t="s">
        <v>16</v>
      </c>
      <c r="F3704" s="5">
        <v>180</v>
      </c>
      <c r="G3704" s="5">
        <v>120</v>
      </c>
      <c r="H3704" s="6">
        <v>8062.2</v>
      </c>
      <c r="I3704" s="22">
        <v>6072.48</v>
      </c>
      <c r="J3704" s="24">
        <f t="shared" si="171"/>
        <v>4.2076954382222674E-5</v>
      </c>
      <c r="K3704" s="25">
        <f t="shared" si="173"/>
        <v>0.97121366027882783</v>
      </c>
      <c r="L3704" s="26" t="s">
        <v>7518</v>
      </c>
      <c r="M3704" s="28"/>
      <c r="N3704" s="28"/>
      <c r="O3704" s="20" t="s">
        <v>7530</v>
      </c>
      <c r="P3704" s="27" t="str">
        <f t="shared" si="172"/>
        <v>vermelho</v>
      </c>
    </row>
    <row r="3705" spans="1:16" ht="51">
      <c r="A3705" s="3" t="s">
        <v>4</v>
      </c>
      <c r="B3705" s="3" t="s">
        <v>2726</v>
      </c>
      <c r="C3705" s="4">
        <v>282</v>
      </c>
      <c r="D3705" s="3" t="s">
        <v>12</v>
      </c>
      <c r="E3705" s="3" t="s">
        <v>13</v>
      </c>
      <c r="F3705" s="5">
        <v>0</v>
      </c>
      <c r="G3705" s="5">
        <v>120</v>
      </c>
      <c r="H3705" s="6">
        <v>0</v>
      </c>
      <c r="I3705" s="22">
        <v>6072.24</v>
      </c>
      <c r="J3705" s="24">
        <f t="shared" si="171"/>
        <v>4.2075291392957709E-5</v>
      </c>
      <c r="K3705" s="25">
        <f t="shared" si="173"/>
        <v>0.97125573557022082</v>
      </c>
      <c r="L3705" s="26" t="s">
        <v>7518</v>
      </c>
      <c r="M3705" s="28"/>
      <c r="N3705" s="28"/>
      <c r="O3705" s="20" t="s">
        <v>7530</v>
      </c>
      <c r="P3705" s="27" t="str">
        <f t="shared" si="172"/>
        <v>vermelho</v>
      </c>
    </row>
    <row r="3706" spans="1:16" ht="38.25">
      <c r="A3706" s="3" t="s">
        <v>4</v>
      </c>
      <c r="B3706" s="3" t="s">
        <v>2727</v>
      </c>
      <c r="C3706" s="4">
        <v>328</v>
      </c>
      <c r="D3706" s="3" t="s">
        <v>215</v>
      </c>
      <c r="E3706" s="3" t="s">
        <v>41</v>
      </c>
      <c r="F3706" s="5">
        <v>186</v>
      </c>
      <c r="G3706" s="5">
        <v>96</v>
      </c>
      <c r="H3706" s="6">
        <v>8975.8259999999991</v>
      </c>
      <c r="I3706" s="22">
        <v>6071.04</v>
      </c>
      <c r="J3706" s="24">
        <f t="shared" si="171"/>
        <v>4.2066976446632867E-5</v>
      </c>
      <c r="K3706" s="25">
        <f t="shared" si="173"/>
        <v>0.97129780254666742</v>
      </c>
      <c r="L3706" s="26" t="s">
        <v>7518</v>
      </c>
      <c r="M3706" s="28"/>
      <c r="N3706" s="28"/>
      <c r="O3706" s="20" t="s">
        <v>7530</v>
      </c>
      <c r="P3706" s="27" t="str">
        <f t="shared" si="172"/>
        <v>vermelho</v>
      </c>
    </row>
    <row r="3707" spans="1:16" ht="25.5">
      <c r="A3707" s="3" t="s">
        <v>4</v>
      </c>
      <c r="B3707" s="3" t="s">
        <v>2728</v>
      </c>
      <c r="C3707" s="4">
        <v>23</v>
      </c>
      <c r="D3707" s="3" t="s">
        <v>87</v>
      </c>
      <c r="E3707" s="3" t="s">
        <v>7</v>
      </c>
      <c r="F3707" s="5">
        <v>150</v>
      </c>
      <c r="G3707" s="5">
        <v>114</v>
      </c>
      <c r="H3707" s="6">
        <v>8288.94</v>
      </c>
      <c r="I3707" s="22">
        <v>6065.94</v>
      </c>
      <c r="J3707" s="24">
        <f t="shared" si="171"/>
        <v>4.2031637924752293E-5</v>
      </c>
      <c r="K3707" s="25">
        <f t="shared" si="173"/>
        <v>0.97133983418459213</v>
      </c>
      <c r="L3707" s="26" t="s">
        <v>7518</v>
      </c>
      <c r="M3707" s="28"/>
      <c r="N3707" s="28"/>
      <c r="O3707" s="20" t="s">
        <v>7530</v>
      </c>
      <c r="P3707" s="27" t="str">
        <f t="shared" si="172"/>
        <v>vermelho</v>
      </c>
    </row>
    <row r="3708" spans="1:16" ht="25.5">
      <c r="A3708" s="3" t="s">
        <v>4</v>
      </c>
      <c r="B3708" s="3" t="s">
        <v>2729</v>
      </c>
      <c r="C3708" s="4">
        <v>317</v>
      </c>
      <c r="D3708" s="3" t="s">
        <v>78</v>
      </c>
      <c r="E3708" s="3" t="s">
        <v>10</v>
      </c>
      <c r="F3708" s="5">
        <v>0</v>
      </c>
      <c r="G3708" s="5">
        <v>132</v>
      </c>
      <c r="H3708" s="6">
        <v>0</v>
      </c>
      <c r="I3708" s="22">
        <v>6058.83</v>
      </c>
      <c r="J3708" s="24">
        <f t="shared" si="171"/>
        <v>4.1982371867777618E-5</v>
      </c>
      <c r="K3708" s="25">
        <f t="shared" si="173"/>
        <v>0.97138181655645994</v>
      </c>
      <c r="L3708" s="26" t="s">
        <v>7518</v>
      </c>
      <c r="M3708" s="28"/>
      <c r="N3708" s="28"/>
      <c r="O3708" s="20" t="s">
        <v>7530</v>
      </c>
      <c r="P3708" s="27" t="str">
        <f t="shared" si="172"/>
        <v>vermelho</v>
      </c>
    </row>
    <row r="3709" spans="1:16" ht="25.5">
      <c r="A3709" s="3" t="s">
        <v>4</v>
      </c>
      <c r="B3709" s="3" t="s">
        <v>2730</v>
      </c>
      <c r="C3709" s="4">
        <v>327</v>
      </c>
      <c r="D3709" s="3" t="s">
        <v>100</v>
      </c>
      <c r="E3709" s="3" t="s">
        <v>7</v>
      </c>
      <c r="F3709" s="5">
        <v>0</v>
      </c>
      <c r="G3709" s="5">
        <v>108</v>
      </c>
      <c r="H3709" s="6">
        <v>0</v>
      </c>
      <c r="I3709" s="22">
        <v>6052.2</v>
      </c>
      <c r="J3709" s="24">
        <f t="shared" si="171"/>
        <v>4.1936431789332872E-5</v>
      </c>
      <c r="K3709" s="25">
        <f t="shared" si="173"/>
        <v>0.97142375298824923</v>
      </c>
      <c r="L3709" s="26" t="s">
        <v>7518</v>
      </c>
      <c r="M3709" s="28"/>
      <c r="N3709" s="28"/>
      <c r="O3709" s="20">
        <v>15346.56</v>
      </c>
      <c r="P3709" s="27" t="str">
        <f t="shared" si="172"/>
        <v>verde</v>
      </c>
    </row>
    <row r="3710" spans="1:16" ht="38.25">
      <c r="A3710" s="3" t="s">
        <v>4</v>
      </c>
      <c r="B3710" s="3" t="s">
        <v>2731</v>
      </c>
      <c r="C3710" s="4">
        <v>45</v>
      </c>
      <c r="D3710" s="3" t="s">
        <v>23</v>
      </c>
      <c r="E3710" s="3" t="s">
        <v>7</v>
      </c>
      <c r="F3710" s="5">
        <v>0</v>
      </c>
      <c r="G3710" s="5">
        <v>105</v>
      </c>
      <c r="H3710" s="6">
        <v>0</v>
      </c>
      <c r="I3710" s="22">
        <v>6052.2</v>
      </c>
      <c r="J3710" s="24">
        <f t="shared" si="171"/>
        <v>4.1936431789332872E-5</v>
      </c>
      <c r="K3710" s="25">
        <f t="shared" si="173"/>
        <v>0.97146568942003853</v>
      </c>
      <c r="L3710" s="26" t="s">
        <v>7518</v>
      </c>
      <c r="M3710" s="28"/>
      <c r="N3710" s="28"/>
      <c r="O3710" s="20">
        <v>7949.34</v>
      </c>
      <c r="P3710" s="27" t="str">
        <f t="shared" si="172"/>
        <v>verde</v>
      </c>
    </row>
    <row r="3711" spans="1:16" ht="25.5">
      <c r="A3711" s="3" t="s">
        <v>4</v>
      </c>
      <c r="B3711" s="3" t="s">
        <v>2732</v>
      </c>
      <c r="C3711" s="4">
        <v>218</v>
      </c>
      <c r="D3711" s="3" t="s">
        <v>104</v>
      </c>
      <c r="E3711" s="3" t="s">
        <v>16</v>
      </c>
      <c r="F3711" s="5">
        <v>0</v>
      </c>
      <c r="G3711" s="5">
        <v>126</v>
      </c>
      <c r="H3711" s="6">
        <v>0</v>
      </c>
      <c r="I3711" s="22">
        <v>6046.02</v>
      </c>
      <c r="J3711" s="24">
        <f t="shared" si="171"/>
        <v>4.1893609815759948E-5</v>
      </c>
      <c r="K3711" s="25">
        <f t="shared" si="173"/>
        <v>0.97150758302985429</v>
      </c>
      <c r="L3711" s="26" t="s">
        <v>7518</v>
      </c>
      <c r="M3711" s="28"/>
      <c r="N3711" s="28"/>
      <c r="O3711" s="20" t="s">
        <v>7530</v>
      </c>
      <c r="P3711" s="27" t="str">
        <f t="shared" si="172"/>
        <v>vermelho</v>
      </c>
    </row>
    <row r="3712" spans="1:16" ht="25.5">
      <c r="A3712" s="3" t="s">
        <v>4</v>
      </c>
      <c r="B3712" s="3" t="s">
        <v>2733</v>
      </c>
      <c r="C3712" s="4">
        <v>337</v>
      </c>
      <c r="D3712" s="3" t="s">
        <v>202</v>
      </c>
      <c r="E3712" s="3" t="s">
        <v>16</v>
      </c>
      <c r="F3712" s="5">
        <v>0</v>
      </c>
      <c r="G3712" s="5">
        <v>108</v>
      </c>
      <c r="H3712" s="6">
        <v>0</v>
      </c>
      <c r="I3712" s="22">
        <v>6045.48</v>
      </c>
      <c r="J3712" s="24">
        <f t="shared" si="171"/>
        <v>4.1889868089913766E-5</v>
      </c>
      <c r="K3712" s="25">
        <f t="shared" si="173"/>
        <v>0.97154947289794424</v>
      </c>
      <c r="L3712" s="26" t="s">
        <v>7518</v>
      </c>
      <c r="M3712" s="28"/>
      <c r="N3712" s="28"/>
      <c r="O3712" s="20" t="s">
        <v>7530</v>
      </c>
      <c r="P3712" s="27" t="str">
        <f t="shared" si="172"/>
        <v>vermelho</v>
      </c>
    </row>
    <row r="3713" spans="1:16" ht="25.5">
      <c r="A3713" s="3" t="s">
        <v>4</v>
      </c>
      <c r="B3713" s="3" t="s">
        <v>2734</v>
      </c>
      <c r="C3713" s="4">
        <v>23</v>
      </c>
      <c r="D3713" s="3" t="s">
        <v>87</v>
      </c>
      <c r="E3713" s="3" t="s">
        <v>7</v>
      </c>
      <c r="F3713" s="5">
        <v>93</v>
      </c>
      <c r="G3713" s="5">
        <v>99</v>
      </c>
      <c r="H3713" s="6">
        <v>5569.7520000000004</v>
      </c>
      <c r="I3713" s="22">
        <v>6028.0020000000004</v>
      </c>
      <c r="J3713" s="24">
        <f t="shared" si="171"/>
        <v>4.1768760896692466E-5</v>
      </c>
      <c r="K3713" s="25">
        <f t="shared" si="173"/>
        <v>0.97159124165884092</v>
      </c>
      <c r="L3713" s="26" t="s">
        <v>7518</v>
      </c>
      <c r="M3713" s="28"/>
      <c r="N3713" s="28"/>
      <c r="O3713" s="20">
        <v>8195.8799999999992</v>
      </c>
      <c r="P3713" s="27" t="str">
        <f t="shared" si="172"/>
        <v>verde</v>
      </c>
    </row>
    <row r="3714" spans="1:16" ht="25.5">
      <c r="A3714" s="3" t="s">
        <v>4</v>
      </c>
      <c r="B3714" s="3" t="s">
        <v>2735</v>
      </c>
      <c r="C3714" s="4">
        <v>232</v>
      </c>
      <c r="D3714" s="3" t="s">
        <v>174</v>
      </c>
      <c r="E3714" s="3" t="s">
        <v>16</v>
      </c>
      <c r="F3714" s="5">
        <v>165</v>
      </c>
      <c r="G3714" s="5">
        <v>75</v>
      </c>
      <c r="H3714" s="6">
        <v>8805.0300000000007</v>
      </c>
      <c r="I3714" s="22">
        <v>6027.45</v>
      </c>
      <c r="J3714" s="24">
        <f t="shared" si="171"/>
        <v>4.1764936021383037E-5</v>
      </c>
      <c r="K3714" s="25">
        <f t="shared" si="173"/>
        <v>0.97163300659486229</v>
      </c>
      <c r="L3714" s="26" t="s">
        <v>7518</v>
      </c>
      <c r="M3714" s="28"/>
      <c r="N3714" s="28"/>
      <c r="O3714" s="20">
        <v>2607.96</v>
      </c>
      <c r="P3714" s="27" t="str">
        <f t="shared" si="172"/>
        <v>amarelo</v>
      </c>
    </row>
    <row r="3715" spans="1:16" ht="38.25">
      <c r="A3715" s="3" t="s">
        <v>4</v>
      </c>
      <c r="B3715" s="3" t="s">
        <v>2736</v>
      </c>
      <c r="C3715" s="4">
        <v>11</v>
      </c>
      <c r="D3715" s="3" t="s">
        <v>61</v>
      </c>
      <c r="E3715" s="3" t="s">
        <v>10</v>
      </c>
      <c r="F3715" s="5">
        <v>0</v>
      </c>
      <c r="G3715" s="5">
        <v>96</v>
      </c>
      <c r="H3715" s="6">
        <v>0</v>
      </c>
      <c r="I3715" s="22">
        <v>6023.04</v>
      </c>
      <c r="J3715" s="24">
        <f t="shared" ref="J3715:J3778" si="174">I3715/$I$6364</f>
        <v>4.1734378593639251E-5</v>
      </c>
      <c r="K3715" s="25">
        <f t="shared" si="173"/>
        <v>0.97167474097345596</v>
      </c>
      <c r="L3715" s="26" t="s">
        <v>7518</v>
      </c>
      <c r="M3715" s="28"/>
      <c r="N3715" s="28"/>
      <c r="O3715" s="20">
        <v>11265.96</v>
      </c>
      <c r="P3715" s="27" t="str">
        <f t="shared" ref="P3715:P3778" si="175">IF(O3715&lt;=0,"vermelho",IFERROR(IF(O3715/I3715&lt;=0.5098,"amarelo",IF(O3715/I3715&lt;1,"laranja","verde")),"vermelho"))</f>
        <v>verde</v>
      </c>
    </row>
    <row r="3716" spans="1:16" ht="25.5">
      <c r="A3716" s="3" t="s">
        <v>4</v>
      </c>
      <c r="B3716" s="3" t="s">
        <v>2737</v>
      </c>
      <c r="C3716" s="4">
        <v>194</v>
      </c>
      <c r="D3716" s="3" t="s">
        <v>145</v>
      </c>
      <c r="E3716" s="3" t="s">
        <v>16</v>
      </c>
      <c r="F3716" s="5">
        <v>108</v>
      </c>
      <c r="G3716" s="5">
        <v>96</v>
      </c>
      <c r="H3716" s="6">
        <v>6176.4</v>
      </c>
      <c r="I3716" s="22">
        <v>6021.12</v>
      </c>
      <c r="J3716" s="24">
        <f t="shared" si="174"/>
        <v>4.1721074679519502E-5</v>
      </c>
      <c r="K3716" s="25">
        <f t="shared" ref="K3716:K3779" si="176">J3716+K3715</f>
        <v>0.97171646204813544</v>
      </c>
      <c r="L3716" s="26" t="s">
        <v>7518</v>
      </c>
      <c r="M3716" s="28"/>
      <c r="N3716" s="28"/>
      <c r="O3716" s="20" t="s">
        <v>7530</v>
      </c>
      <c r="P3716" s="27" t="str">
        <f t="shared" si="175"/>
        <v>vermelho</v>
      </c>
    </row>
    <row r="3717" spans="1:16">
      <c r="A3717" s="3" t="s">
        <v>4</v>
      </c>
      <c r="B3717" s="3" t="s">
        <v>2738</v>
      </c>
      <c r="C3717" s="4">
        <v>315</v>
      </c>
      <c r="D3717" s="3" t="s">
        <v>63</v>
      </c>
      <c r="E3717" s="3" t="s">
        <v>7</v>
      </c>
      <c r="F3717" s="5">
        <v>0</v>
      </c>
      <c r="G3717" s="5">
        <v>96</v>
      </c>
      <c r="H3717" s="6">
        <v>0</v>
      </c>
      <c r="I3717" s="22">
        <v>6018.884</v>
      </c>
      <c r="J3717" s="24">
        <f t="shared" si="174"/>
        <v>4.1705581162867553E-5</v>
      </c>
      <c r="K3717" s="25">
        <f t="shared" si="176"/>
        <v>0.97175816762929834</v>
      </c>
      <c r="L3717" s="26" t="s">
        <v>7518</v>
      </c>
      <c r="M3717" s="28"/>
      <c r="N3717" s="28"/>
      <c r="O3717" s="20">
        <v>6018.884</v>
      </c>
      <c r="P3717" s="27" t="str">
        <f t="shared" si="175"/>
        <v>verde</v>
      </c>
    </row>
    <row r="3718" spans="1:16" ht="38.25">
      <c r="A3718" s="3" t="s">
        <v>6922</v>
      </c>
      <c r="B3718" s="3" t="s">
        <v>6923</v>
      </c>
      <c r="C3718" s="4">
        <v>292</v>
      </c>
      <c r="D3718" s="3" t="s">
        <v>57</v>
      </c>
      <c r="E3718" s="3" t="s">
        <v>49</v>
      </c>
      <c r="F3718" s="5">
        <v>132</v>
      </c>
      <c r="G3718" s="5">
        <v>108</v>
      </c>
      <c r="H3718" s="6">
        <v>5956.335</v>
      </c>
      <c r="I3718" s="22">
        <v>6016.2</v>
      </c>
      <c r="J3718" s="24">
        <f t="shared" si="174"/>
        <v>4.168698339958766E-5</v>
      </c>
      <c r="K3718" s="25">
        <f t="shared" si="176"/>
        <v>0.97179985461269791</v>
      </c>
      <c r="L3718" s="26" t="s">
        <v>7518</v>
      </c>
      <c r="M3718" s="28"/>
      <c r="N3718" s="28"/>
      <c r="O3718" s="20" t="s">
        <v>7530</v>
      </c>
      <c r="P3718" s="27" t="str">
        <f t="shared" si="175"/>
        <v>vermelho</v>
      </c>
    </row>
    <row r="3719" spans="1:16" ht="25.5">
      <c r="A3719" s="3" t="s">
        <v>4</v>
      </c>
      <c r="B3719" s="3" t="s">
        <v>2739</v>
      </c>
      <c r="C3719" s="4">
        <v>273</v>
      </c>
      <c r="D3719" s="3" t="s">
        <v>149</v>
      </c>
      <c r="E3719" s="3" t="s">
        <v>16</v>
      </c>
      <c r="F3719" s="5">
        <v>0</v>
      </c>
      <c r="G3719" s="5">
        <v>126</v>
      </c>
      <c r="H3719" s="6">
        <v>0</v>
      </c>
      <c r="I3719" s="22">
        <v>6008.16</v>
      </c>
      <c r="J3719" s="24">
        <f t="shared" si="174"/>
        <v>4.1631273259211227E-5</v>
      </c>
      <c r="K3719" s="25">
        <f t="shared" si="176"/>
        <v>0.97184148588595709</v>
      </c>
      <c r="L3719" s="26" t="s">
        <v>7518</v>
      </c>
      <c r="M3719" s="28"/>
      <c r="N3719" s="28"/>
      <c r="O3719" s="20" t="s">
        <v>7530</v>
      </c>
      <c r="P3719" s="27" t="str">
        <f t="shared" si="175"/>
        <v>vermelho</v>
      </c>
    </row>
    <row r="3720" spans="1:16" ht="25.5">
      <c r="A3720" s="3" t="s">
        <v>4</v>
      </c>
      <c r="B3720" s="3" t="s">
        <v>2740</v>
      </c>
      <c r="C3720" s="4">
        <v>187</v>
      </c>
      <c r="D3720" s="3" t="s">
        <v>96</v>
      </c>
      <c r="E3720" s="3" t="s">
        <v>7</v>
      </c>
      <c r="F3720" s="5">
        <v>0</v>
      </c>
      <c r="G3720" s="5">
        <v>90</v>
      </c>
      <c r="H3720" s="6">
        <v>0</v>
      </c>
      <c r="I3720" s="22">
        <v>6008.1</v>
      </c>
      <c r="J3720" s="24">
        <f t="shared" si="174"/>
        <v>4.1630857511894987E-5</v>
      </c>
      <c r="K3720" s="25">
        <f t="shared" si="176"/>
        <v>0.97188311674346894</v>
      </c>
      <c r="L3720" s="26" t="s">
        <v>7518</v>
      </c>
      <c r="M3720" s="28"/>
      <c r="N3720" s="28"/>
      <c r="O3720" s="20">
        <v>4787.91</v>
      </c>
      <c r="P3720" s="27" t="str">
        <f t="shared" si="175"/>
        <v>laranja</v>
      </c>
    </row>
    <row r="3721" spans="1:16" ht="25.5">
      <c r="A3721" s="3" t="s">
        <v>5123</v>
      </c>
      <c r="B3721" s="3" t="s">
        <v>5124</v>
      </c>
      <c r="C3721" s="4">
        <v>53</v>
      </c>
      <c r="D3721" s="3" t="s">
        <v>34</v>
      </c>
      <c r="E3721" s="3" t="s">
        <v>16</v>
      </c>
      <c r="F3721" s="5">
        <v>0</v>
      </c>
      <c r="G3721" s="5">
        <v>120</v>
      </c>
      <c r="H3721" s="6">
        <v>0</v>
      </c>
      <c r="I3721" s="22">
        <v>5998.25</v>
      </c>
      <c r="J3721" s="24">
        <f t="shared" si="174"/>
        <v>4.1562605660811921E-5</v>
      </c>
      <c r="K3721" s="25">
        <f t="shared" si="176"/>
        <v>0.97192467934912974</v>
      </c>
      <c r="L3721" s="26" t="s">
        <v>7518</v>
      </c>
      <c r="M3721" s="28"/>
      <c r="N3721" s="28"/>
      <c r="O3721" s="20">
        <v>26313.093000000001</v>
      </c>
      <c r="P3721" s="27" t="str">
        <f t="shared" si="175"/>
        <v>verde</v>
      </c>
    </row>
    <row r="3722" spans="1:16" ht="25.5">
      <c r="A3722" s="3" t="s">
        <v>4</v>
      </c>
      <c r="B3722" s="3" t="s">
        <v>2741</v>
      </c>
      <c r="C3722" s="4">
        <v>194</v>
      </c>
      <c r="D3722" s="3" t="s">
        <v>145</v>
      </c>
      <c r="E3722" s="3" t="s">
        <v>16</v>
      </c>
      <c r="F3722" s="5">
        <v>492</v>
      </c>
      <c r="G3722" s="5">
        <v>96</v>
      </c>
      <c r="H3722" s="6">
        <v>29033.040000000001</v>
      </c>
      <c r="I3722" s="22">
        <v>5987.04</v>
      </c>
      <c r="J3722" s="24">
        <f t="shared" si="174"/>
        <v>4.1484930203894033E-5</v>
      </c>
      <c r="K3722" s="25">
        <f t="shared" si="176"/>
        <v>0.97196616427933358</v>
      </c>
      <c r="L3722" s="26" t="s">
        <v>7518</v>
      </c>
      <c r="M3722" s="28"/>
      <c r="N3722" s="28"/>
      <c r="O3722" s="20" t="s">
        <v>7530</v>
      </c>
      <c r="P3722" s="27" t="str">
        <f t="shared" si="175"/>
        <v>vermelho</v>
      </c>
    </row>
    <row r="3723" spans="1:16" ht="25.5">
      <c r="A3723" s="3" t="s">
        <v>6924</v>
      </c>
      <c r="B3723" s="3" t="s">
        <v>6925</v>
      </c>
      <c r="C3723" s="4">
        <v>270</v>
      </c>
      <c r="D3723" s="3" t="s">
        <v>266</v>
      </c>
      <c r="E3723" s="3" t="s">
        <v>49</v>
      </c>
      <c r="F3723" s="5">
        <v>228</v>
      </c>
      <c r="G3723" s="5">
        <v>96</v>
      </c>
      <c r="H3723" s="6">
        <v>12242.52</v>
      </c>
      <c r="I3723" s="22">
        <v>5987.04</v>
      </c>
      <c r="J3723" s="24">
        <f t="shared" si="174"/>
        <v>4.1484930203894033E-5</v>
      </c>
      <c r="K3723" s="25">
        <f t="shared" si="176"/>
        <v>0.97200764920953742</v>
      </c>
      <c r="L3723" s="26" t="s">
        <v>7518</v>
      </c>
      <c r="M3723" s="28"/>
      <c r="N3723" s="28"/>
      <c r="O3723" s="20">
        <v>4199.6400000000003</v>
      </c>
      <c r="P3723" s="27" t="str">
        <f t="shared" si="175"/>
        <v>laranja</v>
      </c>
    </row>
    <row r="3724" spans="1:16" ht="38.25">
      <c r="A3724" s="3" t="s">
        <v>4</v>
      </c>
      <c r="B3724" s="3" t="s">
        <v>2742</v>
      </c>
      <c r="C3724" s="4">
        <v>371</v>
      </c>
      <c r="D3724" s="3" t="s">
        <v>82</v>
      </c>
      <c r="E3724" s="3" t="s">
        <v>49</v>
      </c>
      <c r="F3724" s="5">
        <v>282</v>
      </c>
      <c r="G3724" s="5">
        <v>108</v>
      </c>
      <c r="H3724" s="6">
        <v>13747.98</v>
      </c>
      <c r="I3724" s="22">
        <v>5974.86</v>
      </c>
      <c r="J3724" s="24">
        <f t="shared" si="174"/>
        <v>4.1400533498696904E-5</v>
      </c>
      <c r="K3724" s="25">
        <f t="shared" si="176"/>
        <v>0.97204904974303608</v>
      </c>
      <c r="L3724" s="26" t="s">
        <v>7518</v>
      </c>
      <c r="M3724" s="28"/>
      <c r="N3724" s="28"/>
      <c r="O3724" s="20" t="s">
        <v>7530</v>
      </c>
      <c r="P3724" s="27" t="str">
        <f t="shared" si="175"/>
        <v>vermelho</v>
      </c>
    </row>
    <row r="3725" spans="1:16" ht="25.5">
      <c r="A3725" s="3" t="s">
        <v>4</v>
      </c>
      <c r="B3725" s="3" t="s">
        <v>2743</v>
      </c>
      <c r="C3725" s="4">
        <v>273</v>
      </c>
      <c r="D3725" s="3" t="s">
        <v>149</v>
      </c>
      <c r="E3725" s="3" t="s">
        <v>16</v>
      </c>
      <c r="F3725" s="5">
        <v>60</v>
      </c>
      <c r="G3725" s="5">
        <v>108</v>
      </c>
      <c r="H3725" s="6">
        <v>3554.28</v>
      </c>
      <c r="I3725" s="22">
        <v>5973.72</v>
      </c>
      <c r="J3725" s="24">
        <f t="shared" si="174"/>
        <v>4.1392634299688307E-5</v>
      </c>
      <c r="K3725" s="25">
        <f t="shared" si="176"/>
        <v>0.97209044237733577</v>
      </c>
      <c r="L3725" s="26" t="s">
        <v>7518</v>
      </c>
      <c r="M3725" s="28"/>
      <c r="N3725" s="28"/>
      <c r="O3725" s="20">
        <v>3170.7</v>
      </c>
      <c r="P3725" s="27" t="str">
        <f t="shared" si="175"/>
        <v>laranja</v>
      </c>
    </row>
    <row r="3726" spans="1:16" ht="25.5">
      <c r="A3726" s="3" t="s">
        <v>4</v>
      </c>
      <c r="B3726" s="3" t="s">
        <v>2744</v>
      </c>
      <c r="C3726" s="4">
        <v>273</v>
      </c>
      <c r="D3726" s="3" t="s">
        <v>149</v>
      </c>
      <c r="E3726" s="3" t="s">
        <v>16</v>
      </c>
      <c r="F3726" s="5">
        <v>0</v>
      </c>
      <c r="G3726" s="5">
        <v>75</v>
      </c>
      <c r="H3726" s="6">
        <v>0</v>
      </c>
      <c r="I3726" s="22">
        <v>5972.67</v>
      </c>
      <c r="J3726" s="24">
        <f t="shared" si="174"/>
        <v>4.138535872165407E-5</v>
      </c>
      <c r="K3726" s="25">
        <f t="shared" si="176"/>
        <v>0.97213182773605744</v>
      </c>
      <c r="L3726" s="26" t="s">
        <v>7518</v>
      </c>
      <c r="M3726" s="28"/>
      <c r="N3726" s="28"/>
      <c r="O3726" s="20" t="s">
        <v>7530</v>
      </c>
      <c r="P3726" s="27" t="str">
        <f t="shared" si="175"/>
        <v>vermelho</v>
      </c>
    </row>
    <row r="3727" spans="1:16" ht="25.5">
      <c r="A3727" s="3" t="s">
        <v>4</v>
      </c>
      <c r="B3727" s="3" t="s">
        <v>2745</v>
      </c>
      <c r="C3727" s="4">
        <v>217</v>
      </c>
      <c r="D3727" s="3" t="s">
        <v>91</v>
      </c>
      <c r="E3727" s="3" t="s">
        <v>16</v>
      </c>
      <c r="F3727" s="5">
        <v>336</v>
      </c>
      <c r="G3727" s="5">
        <v>120</v>
      </c>
      <c r="H3727" s="6">
        <v>14828.88</v>
      </c>
      <c r="I3727" s="22">
        <v>5969.64</v>
      </c>
      <c r="J3727" s="24">
        <f t="shared" si="174"/>
        <v>4.1364363482183851E-5</v>
      </c>
      <c r="K3727" s="25">
        <f t="shared" si="176"/>
        <v>0.97217319209953967</v>
      </c>
      <c r="L3727" s="26" t="s">
        <v>7518</v>
      </c>
      <c r="M3727" s="28"/>
      <c r="N3727" s="28"/>
      <c r="O3727" s="20">
        <v>5369.16</v>
      </c>
      <c r="P3727" s="27" t="str">
        <f t="shared" si="175"/>
        <v>laranja</v>
      </c>
    </row>
    <row r="3728" spans="1:16" ht="25.5">
      <c r="A3728" s="3" t="s">
        <v>4</v>
      </c>
      <c r="B3728" s="3" t="s">
        <v>2746</v>
      </c>
      <c r="C3728" s="4">
        <v>261</v>
      </c>
      <c r="D3728" s="3" t="s">
        <v>9</v>
      </c>
      <c r="E3728" s="3" t="s">
        <v>10</v>
      </c>
      <c r="F3728" s="5">
        <v>48</v>
      </c>
      <c r="G3728" s="5">
        <v>84</v>
      </c>
      <c r="H3728" s="6">
        <v>3055.8</v>
      </c>
      <c r="I3728" s="22">
        <v>5965.8</v>
      </c>
      <c r="J3728" s="24">
        <f t="shared" si="174"/>
        <v>4.133775565394436E-5</v>
      </c>
      <c r="K3728" s="25">
        <f t="shared" si="176"/>
        <v>0.97221452985519363</v>
      </c>
      <c r="L3728" s="26" t="s">
        <v>7518</v>
      </c>
      <c r="M3728" s="28">
        <v>-5.5867122062971831E-3</v>
      </c>
      <c r="N3728" s="28"/>
      <c r="O3728" s="20">
        <v>5965.8</v>
      </c>
      <c r="P3728" s="27" t="str">
        <f t="shared" si="175"/>
        <v>verde</v>
      </c>
    </row>
    <row r="3729" spans="1:16" ht="25.5">
      <c r="A3729" s="3" t="s">
        <v>4</v>
      </c>
      <c r="B3729" s="3" t="s">
        <v>2747</v>
      </c>
      <c r="C3729" s="4">
        <v>267</v>
      </c>
      <c r="D3729" s="3" t="s">
        <v>125</v>
      </c>
      <c r="E3729" s="3" t="s">
        <v>16</v>
      </c>
      <c r="F3729" s="5">
        <v>135</v>
      </c>
      <c r="G3729" s="5">
        <v>90</v>
      </c>
      <c r="H3729" s="6">
        <v>6334.05</v>
      </c>
      <c r="I3729" s="22">
        <v>5965.56</v>
      </c>
      <c r="J3729" s="24">
        <f t="shared" si="174"/>
        <v>4.1336092664679395E-5</v>
      </c>
      <c r="K3729" s="25">
        <f t="shared" si="176"/>
        <v>0.97225586594785829</v>
      </c>
      <c r="L3729" s="26" t="s">
        <v>7518</v>
      </c>
      <c r="M3729" s="28">
        <v>4.8324314287516802E-2</v>
      </c>
      <c r="N3729" s="28"/>
      <c r="O3729" s="20" t="s">
        <v>7530</v>
      </c>
      <c r="P3729" s="27" t="str">
        <f t="shared" si="175"/>
        <v>vermelho</v>
      </c>
    </row>
    <row r="3730" spans="1:16" ht="25.5">
      <c r="A3730" s="3" t="s">
        <v>4</v>
      </c>
      <c r="B3730" s="3" t="s">
        <v>2748</v>
      </c>
      <c r="C3730" s="4">
        <v>208</v>
      </c>
      <c r="D3730" s="3" t="s">
        <v>15</v>
      </c>
      <c r="E3730" s="3" t="s">
        <v>16</v>
      </c>
      <c r="F3730" s="5">
        <v>588</v>
      </c>
      <c r="G3730" s="5">
        <v>144</v>
      </c>
      <c r="H3730" s="6">
        <v>23804.52</v>
      </c>
      <c r="I3730" s="22">
        <v>5964.96</v>
      </c>
      <c r="J3730" s="24">
        <f t="shared" si="174"/>
        <v>4.1331935191516974E-5</v>
      </c>
      <c r="K3730" s="25">
        <f t="shared" si="176"/>
        <v>0.9722971978830498</v>
      </c>
      <c r="L3730" s="26" t="s">
        <v>7518</v>
      </c>
      <c r="M3730" s="28">
        <v>-1.2580396558827317E-2</v>
      </c>
      <c r="N3730" s="28"/>
      <c r="O3730" s="20" t="s">
        <v>7530</v>
      </c>
      <c r="P3730" s="27" t="str">
        <f t="shared" si="175"/>
        <v>vermelho</v>
      </c>
    </row>
    <row r="3731" spans="1:16" ht="25.5">
      <c r="A3731" s="3" t="s">
        <v>4</v>
      </c>
      <c r="B3731" s="3" t="s">
        <v>2749</v>
      </c>
      <c r="C3731" s="4">
        <v>61</v>
      </c>
      <c r="D3731" s="3" t="s">
        <v>48</v>
      </c>
      <c r="E3731" s="3" t="s">
        <v>49</v>
      </c>
      <c r="F3731" s="5">
        <v>0</v>
      </c>
      <c r="G3731" s="5">
        <v>96</v>
      </c>
      <c r="H3731" s="6">
        <v>0</v>
      </c>
      <c r="I3731" s="22">
        <v>5963.04</v>
      </c>
      <c r="J3731" s="24">
        <f t="shared" si="174"/>
        <v>4.1318631277397225E-5</v>
      </c>
      <c r="K3731" s="25">
        <f t="shared" si="176"/>
        <v>0.97233851651432723</v>
      </c>
      <c r="L3731" s="26" t="s">
        <v>7518</v>
      </c>
      <c r="M3731" s="28"/>
      <c r="N3731" s="28"/>
      <c r="O3731" s="20" t="s">
        <v>7530</v>
      </c>
      <c r="P3731" s="27" t="str">
        <f t="shared" si="175"/>
        <v>vermelho</v>
      </c>
    </row>
    <row r="3732" spans="1:16" ht="25.5">
      <c r="A3732" s="3" t="s">
        <v>4</v>
      </c>
      <c r="B3732" s="3" t="s">
        <v>2750</v>
      </c>
      <c r="C3732" s="4">
        <v>297</v>
      </c>
      <c r="D3732" s="3" t="s">
        <v>115</v>
      </c>
      <c r="E3732" s="3" t="s">
        <v>41</v>
      </c>
      <c r="F3732" s="5">
        <v>0</v>
      </c>
      <c r="G3732" s="5">
        <v>96</v>
      </c>
      <c r="H3732" s="6">
        <v>0</v>
      </c>
      <c r="I3732" s="22">
        <v>5962.2</v>
      </c>
      <c r="J3732" s="24">
        <f t="shared" si="174"/>
        <v>4.1312810814969839E-5</v>
      </c>
      <c r="K3732" s="25">
        <f t="shared" si="176"/>
        <v>0.97237982932514222</v>
      </c>
      <c r="L3732" s="26" t="s">
        <v>7518</v>
      </c>
      <c r="M3732" s="28"/>
      <c r="N3732" s="28"/>
      <c r="O3732" s="20" t="s">
        <v>7530</v>
      </c>
      <c r="P3732" s="27" t="str">
        <f t="shared" si="175"/>
        <v>vermelho</v>
      </c>
    </row>
    <row r="3733" spans="1:16" ht="25.5">
      <c r="A3733" s="3" t="s">
        <v>4</v>
      </c>
      <c r="B3733" s="3" t="s">
        <v>2751</v>
      </c>
      <c r="C3733" s="4">
        <v>194</v>
      </c>
      <c r="D3733" s="3" t="s">
        <v>145</v>
      </c>
      <c r="E3733" s="3" t="s">
        <v>16</v>
      </c>
      <c r="F3733" s="5">
        <v>192</v>
      </c>
      <c r="G3733" s="5">
        <v>108</v>
      </c>
      <c r="H3733" s="6">
        <v>10830</v>
      </c>
      <c r="I3733" s="22">
        <v>5959.8</v>
      </c>
      <c r="J3733" s="24">
        <f t="shared" si="174"/>
        <v>4.1296180922320161E-5</v>
      </c>
      <c r="K3733" s="25">
        <f t="shared" si="176"/>
        <v>0.97242112550606452</v>
      </c>
      <c r="L3733" s="26" t="s">
        <v>7518</v>
      </c>
      <c r="M3733" s="28"/>
      <c r="N3733" s="28"/>
      <c r="O3733" s="20">
        <v>6519.36</v>
      </c>
      <c r="P3733" s="27" t="str">
        <f t="shared" si="175"/>
        <v>verde</v>
      </c>
    </row>
    <row r="3734" spans="1:16" ht="25.5">
      <c r="A3734" s="3" t="s">
        <v>6926</v>
      </c>
      <c r="B3734" s="3" t="s">
        <v>6927</v>
      </c>
      <c r="C3734" s="4">
        <v>197</v>
      </c>
      <c r="D3734" s="3" t="s">
        <v>66</v>
      </c>
      <c r="E3734" s="3" t="s">
        <v>41</v>
      </c>
      <c r="F3734" s="5">
        <v>540</v>
      </c>
      <c r="G3734" s="5">
        <v>108</v>
      </c>
      <c r="H3734" s="6">
        <v>23206.2</v>
      </c>
      <c r="I3734" s="22">
        <v>5944.2</v>
      </c>
      <c r="J3734" s="24">
        <f t="shared" si="174"/>
        <v>4.118808662009723E-5</v>
      </c>
      <c r="K3734" s="25">
        <f t="shared" si="176"/>
        <v>0.97246231359268465</v>
      </c>
      <c r="L3734" s="26" t="s">
        <v>7518</v>
      </c>
      <c r="M3734" s="28"/>
      <c r="N3734" s="28"/>
      <c r="O3734" s="20" t="s">
        <v>7530</v>
      </c>
      <c r="P3734" s="27" t="str">
        <f t="shared" si="175"/>
        <v>vermelho</v>
      </c>
    </row>
    <row r="3735" spans="1:16" ht="38.25">
      <c r="A3735" s="3" t="s">
        <v>6928</v>
      </c>
      <c r="B3735" s="3" t="s">
        <v>6929</v>
      </c>
      <c r="C3735" s="4">
        <v>371</v>
      </c>
      <c r="D3735" s="3" t="s">
        <v>82</v>
      </c>
      <c r="E3735" s="3" t="s">
        <v>49</v>
      </c>
      <c r="F3735" s="5">
        <v>984</v>
      </c>
      <c r="G3735" s="5">
        <v>135</v>
      </c>
      <c r="H3735" s="6">
        <v>50284.044000000002</v>
      </c>
      <c r="I3735" s="22">
        <v>5938.65</v>
      </c>
      <c r="J3735" s="24">
        <f t="shared" si="174"/>
        <v>4.114962999334484E-5</v>
      </c>
      <c r="K3735" s="25">
        <f t="shared" si="176"/>
        <v>0.972503463222678</v>
      </c>
      <c r="L3735" s="26" t="s">
        <v>7518</v>
      </c>
      <c r="M3735" s="28"/>
      <c r="N3735" s="28"/>
      <c r="O3735" s="20" t="s">
        <v>7530</v>
      </c>
      <c r="P3735" s="27" t="str">
        <f t="shared" si="175"/>
        <v>vermelho</v>
      </c>
    </row>
    <row r="3736" spans="1:16" ht="25.5">
      <c r="A3736" s="3" t="s">
        <v>4</v>
      </c>
      <c r="B3736" s="3" t="s">
        <v>2752</v>
      </c>
      <c r="C3736" s="4">
        <v>23</v>
      </c>
      <c r="D3736" s="3" t="s">
        <v>87</v>
      </c>
      <c r="E3736" s="3" t="s">
        <v>7</v>
      </c>
      <c r="F3736" s="5">
        <v>54</v>
      </c>
      <c r="G3736" s="5">
        <v>102</v>
      </c>
      <c r="H3736" s="6">
        <v>3100.74</v>
      </c>
      <c r="I3736" s="22">
        <v>5937.36</v>
      </c>
      <c r="J3736" s="24">
        <f t="shared" si="174"/>
        <v>4.1140691426045639E-5</v>
      </c>
      <c r="K3736" s="25">
        <f t="shared" si="176"/>
        <v>0.97254460391410402</v>
      </c>
      <c r="L3736" s="26" t="s">
        <v>7518</v>
      </c>
      <c r="M3736" s="28"/>
      <c r="N3736" s="28"/>
      <c r="O3736" s="20">
        <v>3463.38</v>
      </c>
      <c r="P3736" s="27" t="str">
        <f t="shared" si="175"/>
        <v>laranja</v>
      </c>
    </row>
    <row r="3737" spans="1:16" ht="25.5">
      <c r="A3737" s="3" t="s">
        <v>6930</v>
      </c>
      <c r="B3737" s="3" t="s">
        <v>6931</v>
      </c>
      <c r="C3737" s="4">
        <v>41</v>
      </c>
      <c r="D3737" s="3" t="s">
        <v>178</v>
      </c>
      <c r="E3737" s="3" t="s">
        <v>41</v>
      </c>
      <c r="F3737" s="5">
        <v>168</v>
      </c>
      <c r="G3737" s="5">
        <v>174</v>
      </c>
      <c r="H3737" s="6">
        <v>7707.1440000000002</v>
      </c>
      <c r="I3737" s="22">
        <v>5935.57</v>
      </c>
      <c r="J3737" s="24">
        <f t="shared" si="174"/>
        <v>4.1128288297777751E-5</v>
      </c>
      <c r="K3737" s="25">
        <f t="shared" si="176"/>
        <v>0.97258573220240185</v>
      </c>
      <c r="L3737" s="26" t="s">
        <v>7518</v>
      </c>
      <c r="M3737" s="28"/>
      <c r="N3737" s="28"/>
      <c r="O3737" s="20">
        <v>2212.2800000000002</v>
      </c>
      <c r="P3737" s="27" t="str">
        <f t="shared" si="175"/>
        <v>amarelo</v>
      </c>
    </row>
    <row r="3738" spans="1:16" ht="38.25">
      <c r="A3738" s="3" t="s">
        <v>4</v>
      </c>
      <c r="B3738" s="3" t="s">
        <v>2108</v>
      </c>
      <c r="C3738" s="4">
        <v>45</v>
      </c>
      <c r="D3738" s="3" t="s">
        <v>23</v>
      </c>
      <c r="E3738" s="3" t="s">
        <v>7</v>
      </c>
      <c r="F3738" s="5">
        <v>0</v>
      </c>
      <c r="G3738" s="5">
        <v>84</v>
      </c>
      <c r="H3738" s="6">
        <v>0</v>
      </c>
      <c r="I3738" s="22">
        <v>5927.16</v>
      </c>
      <c r="J3738" s="24">
        <f t="shared" si="174"/>
        <v>4.1070014382284499E-5</v>
      </c>
      <c r="K3738" s="25">
        <f t="shared" si="176"/>
        <v>0.9726268022167841</v>
      </c>
      <c r="L3738" s="26" t="s">
        <v>7518</v>
      </c>
      <c r="M3738" s="28"/>
      <c r="N3738" s="28"/>
      <c r="O3738" s="20" t="s">
        <v>7530</v>
      </c>
      <c r="P3738" s="27" t="str">
        <f t="shared" si="175"/>
        <v>vermelho</v>
      </c>
    </row>
    <row r="3739" spans="1:16" ht="25.5">
      <c r="A3739" s="3" t="s">
        <v>4</v>
      </c>
      <c r="B3739" s="3" t="s">
        <v>2753</v>
      </c>
      <c r="C3739" s="4">
        <v>19</v>
      </c>
      <c r="D3739" s="3" t="s">
        <v>72</v>
      </c>
      <c r="E3739" s="3" t="s">
        <v>41</v>
      </c>
      <c r="F3739" s="5">
        <v>0</v>
      </c>
      <c r="G3739" s="5">
        <v>96</v>
      </c>
      <c r="H3739" s="6">
        <v>0</v>
      </c>
      <c r="I3739" s="22">
        <v>5924.04</v>
      </c>
      <c r="J3739" s="24">
        <f t="shared" si="174"/>
        <v>4.1048395521839914E-5</v>
      </c>
      <c r="K3739" s="25">
        <f t="shared" si="176"/>
        <v>0.97266785061230598</v>
      </c>
      <c r="L3739" s="26" t="s">
        <v>7518</v>
      </c>
      <c r="M3739" s="28"/>
      <c r="N3739" s="28"/>
      <c r="O3739" s="20" t="s">
        <v>7530</v>
      </c>
      <c r="P3739" s="27" t="str">
        <f t="shared" si="175"/>
        <v>vermelho</v>
      </c>
    </row>
    <row r="3740" spans="1:16" ht="25.5">
      <c r="A3740" s="3" t="s">
        <v>4</v>
      </c>
      <c r="B3740" s="3" t="s">
        <v>2754</v>
      </c>
      <c r="C3740" s="4">
        <v>296</v>
      </c>
      <c r="D3740" s="3" t="s">
        <v>282</v>
      </c>
      <c r="E3740" s="3" t="s">
        <v>10</v>
      </c>
      <c r="F3740" s="5">
        <v>0</v>
      </c>
      <c r="G3740" s="5">
        <v>108</v>
      </c>
      <c r="H3740" s="6">
        <v>0</v>
      </c>
      <c r="I3740" s="22">
        <v>5916</v>
      </c>
      <c r="J3740" s="24">
        <f t="shared" si="174"/>
        <v>4.099268538146348E-5</v>
      </c>
      <c r="K3740" s="25">
        <f t="shared" si="176"/>
        <v>0.97270884329768748</v>
      </c>
      <c r="L3740" s="26" t="s">
        <v>7518</v>
      </c>
      <c r="M3740" s="28"/>
      <c r="N3740" s="28"/>
      <c r="O3740" s="20" t="s">
        <v>7530</v>
      </c>
      <c r="P3740" s="27" t="str">
        <f t="shared" si="175"/>
        <v>vermelho</v>
      </c>
    </row>
    <row r="3741" spans="1:16" ht="25.5">
      <c r="A3741" s="3" t="s">
        <v>4</v>
      </c>
      <c r="B3741" s="3" t="s">
        <v>2755</v>
      </c>
      <c r="C3741" s="4">
        <v>334</v>
      </c>
      <c r="D3741" s="3" t="s">
        <v>531</v>
      </c>
      <c r="E3741" s="3" t="s">
        <v>7</v>
      </c>
      <c r="F3741" s="5">
        <v>0</v>
      </c>
      <c r="G3741" s="5">
        <v>96</v>
      </c>
      <c r="H3741" s="6">
        <v>0</v>
      </c>
      <c r="I3741" s="22">
        <v>5912.4679999999998</v>
      </c>
      <c r="J3741" s="24">
        <f t="shared" si="174"/>
        <v>4.0968211722780697E-5</v>
      </c>
      <c r="K3741" s="25">
        <f t="shared" si="176"/>
        <v>0.97274981150941031</v>
      </c>
      <c r="L3741" s="26" t="s">
        <v>7518</v>
      </c>
      <c r="M3741" s="28"/>
      <c r="N3741" s="28"/>
      <c r="O3741" s="20" t="s">
        <v>7530</v>
      </c>
      <c r="P3741" s="27" t="str">
        <f t="shared" si="175"/>
        <v>vermelho</v>
      </c>
    </row>
    <row r="3742" spans="1:16" ht="25.5">
      <c r="A3742" s="3" t="s">
        <v>4</v>
      </c>
      <c r="B3742" s="3" t="s">
        <v>2756</v>
      </c>
      <c r="C3742" s="4">
        <v>273</v>
      </c>
      <c r="D3742" s="3" t="s">
        <v>149</v>
      </c>
      <c r="E3742" s="3" t="s">
        <v>16</v>
      </c>
      <c r="F3742" s="5">
        <v>72</v>
      </c>
      <c r="G3742" s="5">
        <v>117</v>
      </c>
      <c r="H3742" s="6">
        <v>3062.52</v>
      </c>
      <c r="I3742" s="22">
        <v>5910.88</v>
      </c>
      <c r="J3742" s="24">
        <f t="shared" si="174"/>
        <v>4.0957208277144163E-5</v>
      </c>
      <c r="K3742" s="25">
        <f t="shared" si="176"/>
        <v>0.97279076871768744</v>
      </c>
      <c r="L3742" s="26" t="s">
        <v>7518</v>
      </c>
      <c r="M3742" s="28"/>
      <c r="N3742" s="28"/>
      <c r="O3742" s="20" t="s">
        <v>7530</v>
      </c>
      <c r="P3742" s="27" t="str">
        <f t="shared" si="175"/>
        <v>vermelho</v>
      </c>
    </row>
    <row r="3743" spans="1:16" ht="25.5">
      <c r="A3743" s="3" t="s">
        <v>4</v>
      </c>
      <c r="B3743" s="3" t="s">
        <v>2757</v>
      </c>
      <c r="C3743" s="4">
        <v>261</v>
      </c>
      <c r="D3743" s="3" t="s">
        <v>9</v>
      </c>
      <c r="E3743" s="3" t="s">
        <v>10</v>
      </c>
      <c r="F3743" s="5">
        <v>300</v>
      </c>
      <c r="G3743" s="5">
        <v>90</v>
      </c>
      <c r="H3743" s="6">
        <v>16086.18</v>
      </c>
      <c r="I3743" s="22">
        <v>5890.08</v>
      </c>
      <c r="J3743" s="24">
        <f t="shared" si="174"/>
        <v>4.0813082540846923E-5</v>
      </c>
      <c r="K3743" s="25">
        <f t="shared" si="176"/>
        <v>0.97283158180022833</v>
      </c>
      <c r="L3743" s="26" t="s">
        <v>7518</v>
      </c>
      <c r="M3743" s="28"/>
      <c r="N3743" s="28"/>
      <c r="O3743" s="20" t="s">
        <v>7530</v>
      </c>
      <c r="P3743" s="27" t="str">
        <f t="shared" si="175"/>
        <v>vermelho</v>
      </c>
    </row>
    <row r="3744" spans="1:16" ht="38.25">
      <c r="A3744" s="3" t="s">
        <v>4</v>
      </c>
      <c r="B3744" s="3" t="s">
        <v>2758</v>
      </c>
      <c r="C3744" s="4">
        <v>371</v>
      </c>
      <c r="D3744" s="3" t="s">
        <v>82</v>
      </c>
      <c r="E3744" s="3" t="s">
        <v>49</v>
      </c>
      <c r="F3744" s="5">
        <v>180</v>
      </c>
      <c r="G3744" s="5">
        <v>138</v>
      </c>
      <c r="H3744" s="6">
        <v>8943.84</v>
      </c>
      <c r="I3744" s="22">
        <v>5884.6139999999996</v>
      </c>
      <c r="J3744" s="24">
        <f t="shared" si="174"/>
        <v>4.0775207960337273E-5</v>
      </c>
      <c r="K3744" s="25">
        <f t="shared" si="176"/>
        <v>0.97287235700818864</v>
      </c>
      <c r="L3744" s="26" t="s">
        <v>7518</v>
      </c>
      <c r="M3744" s="28"/>
      <c r="N3744" s="28"/>
      <c r="O3744" s="20" t="s">
        <v>7530</v>
      </c>
      <c r="P3744" s="27" t="str">
        <f t="shared" si="175"/>
        <v>vermelho</v>
      </c>
    </row>
    <row r="3745" spans="1:16" ht="38.25">
      <c r="A3745" s="3" t="s">
        <v>4</v>
      </c>
      <c r="B3745" s="3" t="s">
        <v>2759</v>
      </c>
      <c r="C3745" s="4">
        <v>45</v>
      </c>
      <c r="D3745" s="3" t="s">
        <v>23</v>
      </c>
      <c r="E3745" s="3" t="s">
        <v>7</v>
      </c>
      <c r="F3745" s="5">
        <v>189</v>
      </c>
      <c r="G3745" s="5">
        <v>84</v>
      </c>
      <c r="H3745" s="6">
        <v>9821.8979999999992</v>
      </c>
      <c r="I3745" s="22">
        <v>5879.16</v>
      </c>
      <c r="J3745" s="24">
        <f t="shared" si="174"/>
        <v>4.0737416529290876E-5</v>
      </c>
      <c r="K3745" s="25">
        <f t="shared" si="176"/>
        <v>0.97291309442471796</v>
      </c>
      <c r="L3745" s="26" t="s">
        <v>7518</v>
      </c>
      <c r="M3745" s="28"/>
      <c r="N3745" s="28">
        <v>3.7982029059778558E-2</v>
      </c>
      <c r="O3745" s="20">
        <v>8994.48</v>
      </c>
      <c r="P3745" s="27" t="str">
        <f t="shared" si="175"/>
        <v>verde</v>
      </c>
    </row>
    <row r="3746" spans="1:16" ht="25.5">
      <c r="A3746" s="3" t="s">
        <v>4</v>
      </c>
      <c r="B3746" s="3" t="s">
        <v>2760</v>
      </c>
      <c r="C3746" s="4">
        <v>23</v>
      </c>
      <c r="D3746" s="3" t="s">
        <v>87</v>
      </c>
      <c r="E3746" s="3" t="s">
        <v>7</v>
      </c>
      <c r="F3746" s="5">
        <v>0</v>
      </c>
      <c r="G3746" s="5">
        <v>90</v>
      </c>
      <c r="H3746" s="6">
        <v>0</v>
      </c>
      <c r="I3746" s="22">
        <v>5879.1</v>
      </c>
      <c r="J3746" s="24">
        <f t="shared" si="174"/>
        <v>4.0737000781974637E-5</v>
      </c>
      <c r="K3746" s="25">
        <f t="shared" si="176"/>
        <v>0.97295383142549996</v>
      </c>
      <c r="L3746" s="26" t="s">
        <v>7518</v>
      </c>
      <c r="M3746" s="28"/>
      <c r="N3746" s="28"/>
      <c r="O3746" s="20" t="s">
        <v>7530</v>
      </c>
      <c r="P3746" s="27" t="str">
        <f t="shared" si="175"/>
        <v>vermelho</v>
      </c>
    </row>
    <row r="3747" spans="1:16" ht="25.5">
      <c r="A3747" s="3" t="s">
        <v>4</v>
      </c>
      <c r="B3747" s="3" t="s">
        <v>2761</v>
      </c>
      <c r="C3747" s="4">
        <v>31</v>
      </c>
      <c r="D3747" s="3" t="s">
        <v>194</v>
      </c>
      <c r="E3747" s="3" t="s">
        <v>16</v>
      </c>
      <c r="F3747" s="5">
        <v>0</v>
      </c>
      <c r="G3747" s="5">
        <v>90</v>
      </c>
      <c r="H3747" s="6">
        <v>0</v>
      </c>
      <c r="I3747" s="22">
        <v>5872.07</v>
      </c>
      <c r="J3747" s="24">
        <f t="shared" si="174"/>
        <v>4.0688289054754945E-5</v>
      </c>
      <c r="K3747" s="25">
        <f t="shared" si="176"/>
        <v>0.97299451971455475</v>
      </c>
      <c r="L3747" s="26" t="s">
        <v>7518</v>
      </c>
      <c r="M3747" s="28"/>
      <c r="N3747" s="28"/>
      <c r="O3747" s="20">
        <v>5872.07</v>
      </c>
      <c r="P3747" s="27" t="str">
        <f t="shared" si="175"/>
        <v>verde</v>
      </c>
    </row>
    <row r="3748" spans="1:16" ht="38.25">
      <c r="A3748" s="3" t="s">
        <v>4</v>
      </c>
      <c r="B3748" s="3" t="s">
        <v>2762</v>
      </c>
      <c r="C3748" s="4">
        <v>38</v>
      </c>
      <c r="D3748" s="3" t="s">
        <v>184</v>
      </c>
      <c r="E3748" s="3" t="s">
        <v>49</v>
      </c>
      <c r="F3748" s="5">
        <v>147</v>
      </c>
      <c r="G3748" s="5">
        <v>105</v>
      </c>
      <c r="H3748" s="6">
        <v>8010.8779999999997</v>
      </c>
      <c r="I3748" s="22">
        <v>5869.56</v>
      </c>
      <c r="J3748" s="24">
        <f t="shared" si="174"/>
        <v>4.0670896958692157E-5</v>
      </c>
      <c r="K3748" s="25">
        <f t="shared" si="176"/>
        <v>0.97303519061151345</v>
      </c>
      <c r="L3748" s="26" t="s">
        <v>7518</v>
      </c>
      <c r="M3748" s="28"/>
      <c r="N3748" s="28"/>
      <c r="O3748" s="20" t="s">
        <v>7530</v>
      </c>
      <c r="P3748" s="27" t="str">
        <f t="shared" si="175"/>
        <v>vermelho</v>
      </c>
    </row>
    <row r="3749" spans="1:16" ht="25.5">
      <c r="A3749" s="3" t="s">
        <v>4</v>
      </c>
      <c r="B3749" s="3" t="s">
        <v>2763</v>
      </c>
      <c r="C3749" s="4">
        <v>232</v>
      </c>
      <c r="D3749" s="3" t="s">
        <v>174</v>
      </c>
      <c r="E3749" s="3" t="s">
        <v>16</v>
      </c>
      <c r="F3749" s="5">
        <v>411</v>
      </c>
      <c r="G3749" s="5">
        <v>120</v>
      </c>
      <c r="H3749" s="6">
        <v>22511.91</v>
      </c>
      <c r="I3749" s="22">
        <v>5868.48</v>
      </c>
      <c r="J3749" s="24">
        <f t="shared" si="174"/>
        <v>4.0663413506999793E-5</v>
      </c>
      <c r="K3749" s="25">
        <f t="shared" si="176"/>
        <v>0.97307585402502039</v>
      </c>
      <c r="L3749" s="26" t="s">
        <v>7518</v>
      </c>
      <c r="M3749" s="28"/>
      <c r="N3749" s="28"/>
      <c r="O3749" s="20" t="s">
        <v>7530</v>
      </c>
      <c r="P3749" s="27" t="str">
        <f t="shared" si="175"/>
        <v>vermelho</v>
      </c>
    </row>
    <row r="3750" spans="1:16" ht="25.5">
      <c r="A3750" s="3" t="s">
        <v>4</v>
      </c>
      <c r="B3750" s="3" t="s">
        <v>2764</v>
      </c>
      <c r="C3750" s="4">
        <v>31</v>
      </c>
      <c r="D3750" s="3" t="s">
        <v>194</v>
      </c>
      <c r="E3750" s="3" t="s">
        <v>16</v>
      </c>
      <c r="F3750" s="5">
        <v>84</v>
      </c>
      <c r="G3750" s="5">
        <v>120</v>
      </c>
      <c r="H3750" s="6">
        <v>3695.16</v>
      </c>
      <c r="I3750" s="22">
        <v>5859.6</v>
      </c>
      <c r="J3750" s="24">
        <f t="shared" si="174"/>
        <v>4.0601882904195981E-5</v>
      </c>
      <c r="K3750" s="25">
        <f t="shared" si="176"/>
        <v>0.97311645590792462</v>
      </c>
      <c r="L3750" s="26" t="s">
        <v>7518</v>
      </c>
      <c r="M3750" s="28"/>
      <c r="N3750" s="28"/>
      <c r="O3750" s="20">
        <v>2929.8</v>
      </c>
      <c r="P3750" s="27" t="str">
        <f t="shared" si="175"/>
        <v>amarelo</v>
      </c>
    </row>
    <row r="3751" spans="1:16" ht="25.5">
      <c r="A3751" s="3" t="s">
        <v>4</v>
      </c>
      <c r="B3751" s="3" t="s">
        <v>2765</v>
      </c>
      <c r="C3751" s="4">
        <v>31</v>
      </c>
      <c r="D3751" s="3" t="s">
        <v>194</v>
      </c>
      <c r="E3751" s="3" t="s">
        <v>16</v>
      </c>
      <c r="F3751" s="5">
        <v>72</v>
      </c>
      <c r="G3751" s="5">
        <v>120</v>
      </c>
      <c r="H3751" s="6">
        <v>3129.84</v>
      </c>
      <c r="I3751" s="22">
        <v>5859.6</v>
      </c>
      <c r="J3751" s="24">
        <f t="shared" si="174"/>
        <v>4.0601882904195981E-5</v>
      </c>
      <c r="K3751" s="25">
        <f t="shared" si="176"/>
        <v>0.97315705779082884</v>
      </c>
      <c r="L3751" s="26" t="s">
        <v>7518</v>
      </c>
      <c r="M3751" s="28"/>
      <c r="N3751" s="28"/>
      <c r="O3751" s="20" t="s">
        <v>7530</v>
      </c>
      <c r="P3751" s="27" t="str">
        <f t="shared" si="175"/>
        <v>vermelho</v>
      </c>
    </row>
    <row r="3752" spans="1:16" ht="25.5">
      <c r="A3752" s="3" t="s">
        <v>4</v>
      </c>
      <c r="B3752" s="3" t="s">
        <v>2766</v>
      </c>
      <c r="C3752" s="4">
        <v>273</v>
      </c>
      <c r="D3752" s="3" t="s">
        <v>149</v>
      </c>
      <c r="E3752" s="3" t="s">
        <v>16</v>
      </c>
      <c r="F3752" s="5">
        <v>0</v>
      </c>
      <c r="G3752" s="5">
        <v>120</v>
      </c>
      <c r="H3752" s="6">
        <v>0</v>
      </c>
      <c r="I3752" s="22">
        <v>5859.1779999999999</v>
      </c>
      <c r="J3752" s="24">
        <f t="shared" si="174"/>
        <v>4.0598958814738407E-5</v>
      </c>
      <c r="K3752" s="25">
        <f t="shared" si="176"/>
        <v>0.97319765674964354</v>
      </c>
      <c r="L3752" s="26" t="s">
        <v>7518</v>
      </c>
      <c r="M3752" s="28"/>
      <c r="N3752" s="28">
        <v>2.4643825785510727E-2</v>
      </c>
      <c r="O3752" s="20">
        <v>7609.92</v>
      </c>
      <c r="P3752" s="27" t="str">
        <f t="shared" si="175"/>
        <v>verde</v>
      </c>
    </row>
    <row r="3753" spans="1:16" ht="25.5">
      <c r="A3753" s="3" t="s">
        <v>4</v>
      </c>
      <c r="B3753" s="3" t="s">
        <v>2767</v>
      </c>
      <c r="C3753" s="4">
        <v>297</v>
      </c>
      <c r="D3753" s="3" t="s">
        <v>115</v>
      </c>
      <c r="E3753" s="3" t="s">
        <v>41</v>
      </c>
      <c r="F3753" s="5">
        <v>0</v>
      </c>
      <c r="G3753" s="5">
        <v>108</v>
      </c>
      <c r="H3753" s="6">
        <v>0</v>
      </c>
      <c r="I3753" s="22">
        <v>5859</v>
      </c>
      <c r="J3753" s="24">
        <f t="shared" si="174"/>
        <v>4.059772543103356E-5</v>
      </c>
      <c r="K3753" s="25">
        <f t="shared" si="176"/>
        <v>0.97323825447507462</v>
      </c>
      <c r="L3753" s="26" t="s">
        <v>7518</v>
      </c>
      <c r="M3753" s="28"/>
      <c r="N3753" s="28"/>
      <c r="O3753" s="20" t="s">
        <v>7530</v>
      </c>
      <c r="P3753" s="27" t="str">
        <f t="shared" si="175"/>
        <v>vermelho</v>
      </c>
    </row>
    <row r="3754" spans="1:16" ht="38.25">
      <c r="A3754" s="3" t="s">
        <v>4</v>
      </c>
      <c r="B3754" s="3" t="s">
        <v>2768</v>
      </c>
      <c r="C3754" s="4">
        <v>34</v>
      </c>
      <c r="D3754" s="3" t="s">
        <v>54</v>
      </c>
      <c r="E3754" s="3" t="s">
        <v>49</v>
      </c>
      <c r="F3754" s="5">
        <v>249</v>
      </c>
      <c r="G3754" s="5">
        <v>105</v>
      </c>
      <c r="H3754" s="6">
        <v>12378.69</v>
      </c>
      <c r="I3754" s="22">
        <v>5857.95</v>
      </c>
      <c r="J3754" s="24">
        <f t="shared" si="174"/>
        <v>4.0590449852999323E-5</v>
      </c>
      <c r="K3754" s="25">
        <f t="shared" si="176"/>
        <v>0.97327884492492767</v>
      </c>
      <c r="L3754" s="26" t="s">
        <v>7518</v>
      </c>
      <c r="M3754" s="28"/>
      <c r="N3754" s="28"/>
      <c r="O3754" s="20" t="s">
        <v>7530</v>
      </c>
      <c r="P3754" s="27" t="str">
        <f t="shared" si="175"/>
        <v>vermelho</v>
      </c>
    </row>
    <row r="3755" spans="1:16" ht="38.25">
      <c r="A3755" s="3" t="s">
        <v>4</v>
      </c>
      <c r="B3755" s="3" t="s">
        <v>2769</v>
      </c>
      <c r="C3755" s="4">
        <v>34</v>
      </c>
      <c r="D3755" s="3" t="s">
        <v>54</v>
      </c>
      <c r="E3755" s="3" t="s">
        <v>49</v>
      </c>
      <c r="F3755" s="5">
        <v>36</v>
      </c>
      <c r="G3755" s="5">
        <v>96</v>
      </c>
      <c r="H3755" s="6">
        <v>2231.64</v>
      </c>
      <c r="I3755" s="22">
        <v>5849.76</v>
      </c>
      <c r="J3755" s="24">
        <f t="shared" si="174"/>
        <v>4.0533700344332291E-5</v>
      </c>
      <c r="K3755" s="25">
        <f t="shared" si="176"/>
        <v>0.97331937862527196</v>
      </c>
      <c r="L3755" s="26" t="s">
        <v>7518</v>
      </c>
      <c r="M3755" s="28"/>
      <c r="N3755" s="28"/>
      <c r="O3755" s="20" t="s">
        <v>7530</v>
      </c>
      <c r="P3755" s="27" t="str">
        <f t="shared" si="175"/>
        <v>vermelho</v>
      </c>
    </row>
    <row r="3756" spans="1:16" ht="25.5">
      <c r="A3756" s="3" t="s">
        <v>4</v>
      </c>
      <c r="B3756" s="3" t="s">
        <v>2770</v>
      </c>
      <c r="C3756" s="4">
        <v>240</v>
      </c>
      <c r="D3756" s="3" t="s">
        <v>69</v>
      </c>
      <c r="E3756" s="3" t="s">
        <v>16</v>
      </c>
      <c r="F3756" s="5">
        <v>0</v>
      </c>
      <c r="G3756" s="5">
        <v>96</v>
      </c>
      <c r="H3756" s="6">
        <v>0</v>
      </c>
      <c r="I3756" s="22">
        <v>5849.76</v>
      </c>
      <c r="J3756" s="24">
        <f t="shared" si="174"/>
        <v>4.0533700344332291E-5</v>
      </c>
      <c r="K3756" s="25">
        <f t="shared" si="176"/>
        <v>0.97335991232561625</v>
      </c>
      <c r="L3756" s="26" t="s">
        <v>7518</v>
      </c>
      <c r="M3756" s="28"/>
      <c r="N3756" s="28"/>
      <c r="O3756" s="20" t="s">
        <v>7530</v>
      </c>
      <c r="P3756" s="27" t="str">
        <f t="shared" si="175"/>
        <v>vermelho</v>
      </c>
    </row>
    <row r="3757" spans="1:16" ht="25.5">
      <c r="A3757" s="3" t="s">
        <v>4</v>
      </c>
      <c r="B3757" s="3" t="s">
        <v>2771</v>
      </c>
      <c r="C3757" s="4">
        <v>273</v>
      </c>
      <c r="D3757" s="3" t="s">
        <v>149</v>
      </c>
      <c r="E3757" s="3" t="s">
        <v>16</v>
      </c>
      <c r="F3757" s="5">
        <v>0</v>
      </c>
      <c r="G3757" s="5">
        <v>120</v>
      </c>
      <c r="H3757" s="6">
        <v>0</v>
      </c>
      <c r="I3757" s="22">
        <v>5846.9489999999996</v>
      </c>
      <c r="J3757" s="24">
        <f t="shared" si="174"/>
        <v>4.0514222582566343E-5</v>
      </c>
      <c r="K3757" s="25">
        <f t="shared" si="176"/>
        <v>0.9734004265481988</v>
      </c>
      <c r="L3757" s="26" t="s">
        <v>7518</v>
      </c>
      <c r="M3757" s="28"/>
      <c r="N3757" s="28"/>
      <c r="O3757" s="20" t="s">
        <v>7530</v>
      </c>
      <c r="P3757" s="27" t="str">
        <f t="shared" si="175"/>
        <v>vermelho</v>
      </c>
    </row>
    <row r="3758" spans="1:16" ht="25.5">
      <c r="A3758" s="3" t="s">
        <v>4</v>
      </c>
      <c r="B3758" s="3" t="s">
        <v>2772</v>
      </c>
      <c r="C3758" s="4">
        <v>266</v>
      </c>
      <c r="D3758" s="3" t="s">
        <v>80</v>
      </c>
      <c r="E3758" s="3" t="s">
        <v>10</v>
      </c>
      <c r="F3758" s="5">
        <v>0</v>
      </c>
      <c r="G3758" s="5">
        <v>96</v>
      </c>
      <c r="H3758" s="6">
        <v>0</v>
      </c>
      <c r="I3758" s="22">
        <v>5845.28</v>
      </c>
      <c r="J3758" s="24">
        <f t="shared" si="174"/>
        <v>4.0502657878052883E-5</v>
      </c>
      <c r="K3758" s="25">
        <f t="shared" si="176"/>
        <v>0.97344092920607683</v>
      </c>
      <c r="L3758" s="26" t="s">
        <v>7518</v>
      </c>
      <c r="M3758" s="28"/>
      <c r="N3758" s="28"/>
      <c r="O3758" s="20" t="s">
        <v>7530</v>
      </c>
      <c r="P3758" s="27" t="str">
        <f t="shared" si="175"/>
        <v>vermelho</v>
      </c>
    </row>
    <row r="3759" spans="1:16" ht="38.25">
      <c r="A3759" s="3" t="s">
        <v>4</v>
      </c>
      <c r="B3759" s="3" t="s">
        <v>2773</v>
      </c>
      <c r="C3759" s="4">
        <v>231</v>
      </c>
      <c r="D3759" s="3" t="s">
        <v>52</v>
      </c>
      <c r="E3759" s="3" t="s">
        <v>7</v>
      </c>
      <c r="F3759" s="5">
        <v>96</v>
      </c>
      <c r="G3759" s="5">
        <v>84</v>
      </c>
      <c r="H3759" s="6">
        <v>5735.04</v>
      </c>
      <c r="I3759" s="22">
        <v>5831.16</v>
      </c>
      <c r="J3759" s="24">
        <f t="shared" si="174"/>
        <v>4.040481867629726E-5</v>
      </c>
      <c r="K3759" s="25">
        <f t="shared" si="176"/>
        <v>0.97348133402475312</v>
      </c>
      <c r="L3759" s="26" t="s">
        <v>7518</v>
      </c>
      <c r="M3759" s="28"/>
      <c r="N3759" s="28"/>
      <c r="O3759" s="20" t="s">
        <v>7530</v>
      </c>
      <c r="P3759" s="27" t="str">
        <f t="shared" si="175"/>
        <v>vermelho</v>
      </c>
    </row>
    <row r="3760" spans="1:16" ht="25.5">
      <c r="A3760" s="3" t="s">
        <v>4</v>
      </c>
      <c r="B3760" s="3" t="s">
        <v>2774</v>
      </c>
      <c r="C3760" s="4">
        <v>61</v>
      </c>
      <c r="D3760" s="3" t="s">
        <v>48</v>
      </c>
      <c r="E3760" s="3" t="s">
        <v>49</v>
      </c>
      <c r="F3760" s="5">
        <v>0</v>
      </c>
      <c r="G3760" s="5">
        <v>84</v>
      </c>
      <c r="H3760" s="6">
        <v>0</v>
      </c>
      <c r="I3760" s="22">
        <v>5831.16</v>
      </c>
      <c r="J3760" s="24">
        <f t="shared" si="174"/>
        <v>4.040481867629726E-5</v>
      </c>
      <c r="K3760" s="25">
        <f t="shared" si="176"/>
        <v>0.97352173884342941</v>
      </c>
      <c r="L3760" s="26" t="s">
        <v>7518</v>
      </c>
      <c r="M3760" s="28"/>
      <c r="N3760" s="28"/>
      <c r="O3760" s="20" t="s">
        <v>7530</v>
      </c>
      <c r="P3760" s="27" t="str">
        <f t="shared" si="175"/>
        <v>vermelho</v>
      </c>
    </row>
    <row r="3761" spans="1:16" ht="25.5">
      <c r="A3761" s="3" t="s">
        <v>4</v>
      </c>
      <c r="B3761" s="3" t="s">
        <v>2775</v>
      </c>
      <c r="C3761" s="4">
        <v>264</v>
      </c>
      <c r="D3761" s="3" t="s">
        <v>40</v>
      </c>
      <c r="E3761" s="3" t="s">
        <v>41</v>
      </c>
      <c r="F3761" s="5">
        <v>0</v>
      </c>
      <c r="G3761" s="5">
        <v>90</v>
      </c>
      <c r="H3761" s="6">
        <v>0</v>
      </c>
      <c r="I3761" s="22">
        <v>5826.9669999999996</v>
      </c>
      <c r="J3761" s="24">
        <f t="shared" si="174"/>
        <v>4.0375764868013874E-5</v>
      </c>
      <c r="K3761" s="25">
        <f t="shared" si="176"/>
        <v>0.97356211460829745</v>
      </c>
      <c r="L3761" s="26" t="s">
        <v>7518</v>
      </c>
      <c r="M3761" s="28"/>
      <c r="N3761" s="28"/>
      <c r="O3761" s="20" t="s">
        <v>7530</v>
      </c>
      <c r="P3761" s="27" t="str">
        <f t="shared" si="175"/>
        <v>vermelho</v>
      </c>
    </row>
    <row r="3762" spans="1:16" ht="25.5">
      <c r="A3762" s="3" t="s">
        <v>4</v>
      </c>
      <c r="B3762" s="3" t="s">
        <v>2776</v>
      </c>
      <c r="C3762" s="4">
        <v>240</v>
      </c>
      <c r="D3762" s="3" t="s">
        <v>69</v>
      </c>
      <c r="E3762" s="3" t="s">
        <v>16</v>
      </c>
      <c r="F3762" s="5">
        <v>0</v>
      </c>
      <c r="G3762" s="5">
        <v>96</v>
      </c>
      <c r="H3762" s="6">
        <v>0</v>
      </c>
      <c r="I3762" s="22">
        <v>5825.28</v>
      </c>
      <c r="J3762" s="24">
        <f t="shared" si="174"/>
        <v>4.0364075439305541E-5</v>
      </c>
      <c r="K3762" s="25">
        <f t="shared" si="176"/>
        <v>0.97360247868373673</v>
      </c>
      <c r="L3762" s="26" t="s">
        <v>7518</v>
      </c>
      <c r="M3762" s="28"/>
      <c r="N3762" s="28"/>
      <c r="O3762" s="20" t="s">
        <v>7530</v>
      </c>
      <c r="P3762" s="27" t="str">
        <f t="shared" si="175"/>
        <v>vermelho</v>
      </c>
    </row>
    <row r="3763" spans="1:16" ht="25.5">
      <c r="A3763" s="3" t="s">
        <v>4</v>
      </c>
      <c r="B3763" s="3" t="s">
        <v>2777</v>
      </c>
      <c r="C3763" s="4">
        <v>61</v>
      </c>
      <c r="D3763" s="3" t="s">
        <v>48</v>
      </c>
      <c r="E3763" s="3" t="s">
        <v>49</v>
      </c>
      <c r="F3763" s="5">
        <v>156</v>
      </c>
      <c r="G3763" s="5">
        <v>108</v>
      </c>
      <c r="H3763" s="6">
        <v>7521.5280000000002</v>
      </c>
      <c r="I3763" s="22">
        <v>5819.4</v>
      </c>
      <c r="J3763" s="24">
        <f t="shared" si="174"/>
        <v>4.0323332202313821E-5</v>
      </c>
      <c r="K3763" s="25">
        <f t="shared" si="176"/>
        <v>0.973642802015939</v>
      </c>
      <c r="L3763" s="26" t="s">
        <v>7518</v>
      </c>
      <c r="M3763" s="28"/>
      <c r="N3763" s="28"/>
      <c r="O3763" s="20" t="s">
        <v>7530</v>
      </c>
      <c r="P3763" s="27" t="str">
        <f t="shared" si="175"/>
        <v>vermelho</v>
      </c>
    </row>
    <row r="3764" spans="1:16" ht="25.5">
      <c r="A3764" s="3" t="s">
        <v>4</v>
      </c>
      <c r="B3764" s="3" t="s">
        <v>2778</v>
      </c>
      <c r="C3764" s="4">
        <v>197</v>
      </c>
      <c r="D3764" s="3" t="s">
        <v>66</v>
      </c>
      <c r="E3764" s="3" t="s">
        <v>41</v>
      </c>
      <c r="F3764" s="5">
        <v>240</v>
      </c>
      <c r="G3764" s="5">
        <v>114</v>
      </c>
      <c r="H3764" s="6">
        <v>12789.03</v>
      </c>
      <c r="I3764" s="22">
        <v>5817.05</v>
      </c>
      <c r="J3764" s="24">
        <f t="shared" si="174"/>
        <v>4.0307048765761014E-5</v>
      </c>
      <c r="K3764" s="25">
        <f t="shared" si="176"/>
        <v>0.97368310906470479</v>
      </c>
      <c r="L3764" s="26" t="s">
        <v>7518</v>
      </c>
      <c r="M3764" s="28"/>
      <c r="N3764" s="28"/>
      <c r="O3764" s="20" t="s">
        <v>7530</v>
      </c>
      <c r="P3764" s="27" t="str">
        <f t="shared" si="175"/>
        <v>vermelho</v>
      </c>
    </row>
    <row r="3765" spans="1:16" ht="25.5">
      <c r="A3765" s="3" t="s">
        <v>4</v>
      </c>
      <c r="B3765" s="3" t="s">
        <v>2779</v>
      </c>
      <c r="C3765" s="4">
        <v>232</v>
      </c>
      <c r="D3765" s="3" t="s">
        <v>174</v>
      </c>
      <c r="E3765" s="3" t="s">
        <v>16</v>
      </c>
      <c r="F3765" s="5">
        <v>168</v>
      </c>
      <c r="G3765" s="5">
        <v>96</v>
      </c>
      <c r="H3765" s="6">
        <v>8877.6</v>
      </c>
      <c r="I3765" s="22">
        <v>5813.04</v>
      </c>
      <c r="J3765" s="24">
        <f t="shared" si="174"/>
        <v>4.0279262986792166E-5</v>
      </c>
      <c r="K3765" s="25">
        <f t="shared" si="176"/>
        <v>0.97372338832769156</v>
      </c>
      <c r="L3765" s="26" t="s">
        <v>7518</v>
      </c>
      <c r="M3765" s="28"/>
      <c r="N3765" s="28"/>
      <c r="O3765" s="20">
        <v>7439.37</v>
      </c>
      <c r="P3765" s="27" t="str">
        <f t="shared" si="175"/>
        <v>verde</v>
      </c>
    </row>
    <row r="3766" spans="1:16" ht="25.5">
      <c r="A3766" s="3" t="s">
        <v>4</v>
      </c>
      <c r="B3766" s="3" t="s">
        <v>2106</v>
      </c>
      <c r="C3766" s="4">
        <v>264</v>
      </c>
      <c r="D3766" s="3" t="s">
        <v>40</v>
      </c>
      <c r="E3766" s="3" t="s">
        <v>41</v>
      </c>
      <c r="F3766" s="5">
        <v>0</v>
      </c>
      <c r="G3766" s="5">
        <v>108</v>
      </c>
      <c r="H3766" s="6">
        <v>0</v>
      </c>
      <c r="I3766" s="22">
        <v>5812.44</v>
      </c>
      <c r="J3766" s="24">
        <f t="shared" si="174"/>
        <v>4.0275105513629744E-5</v>
      </c>
      <c r="K3766" s="25">
        <f t="shared" si="176"/>
        <v>0.9737636634332052</v>
      </c>
      <c r="L3766" s="26" t="s">
        <v>7518</v>
      </c>
      <c r="M3766" s="28"/>
      <c r="N3766" s="28"/>
      <c r="O3766" s="20" t="s">
        <v>7530</v>
      </c>
      <c r="P3766" s="27" t="str">
        <f t="shared" si="175"/>
        <v>vermelho</v>
      </c>
    </row>
    <row r="3767" spans="1:16" ht="38.25">
      <c r="A3767" s="3" t="s">
        <v>4</v>
      </c>
      <c r="B3767" s="3" t="s">
        <v>2780</v>
      </c>
      <c r="C3767" s="4">
        <v>45</v>
      </c>
      <c r="D3767" s="3" t="s">
        <v>23</v>
      </c>
      <c r="E3767" s="3" t="s">
        <v>7</v>
      </c>
      <c r="F3767" s="5">
        <v>0</v>
      </c>
      <c r="G3767" s="5">
        <v>99</v>
      </c>
      <c r="H3767" s="6">
        <v>0</v>
      </c>
      <c r="I3767" s="22">
        <v>5805.24</v>
      </c>
      <c r="J3767" s="24">
        <f t="shared" si="174"/>
        <v>4.0225215835680703E-5</v>
      </c>
      <c r="K3767" s="25">
        <f t="shared" si="176"/>
        <v>0.97380388864904088</v>
      </c>
      <c r="L3767" s="26" t="s">
        <v>7518</v>
      </c>
      <c r="M3767" s="28"/>
      <c r="N3767" s="28"/>
      <c r="O3767" s="20" t="s">
        <v>7530</v>
      </c>
      <c r="P3767" s="27" t="str">
        <f t="shared" si="175"/>
        <v>vermelho</v>
      </c>
    </row>
    <row r="3768" spans="1:16" ht="38.25">
      <c r="A3768" s="3" t="s">
        <v>4</v>
      </c>
      <c r="B3768" s="3" t="s">
        <v>2781</v>
      </c>
      <c r="C3768" s="4">
        <v>371</v>
      </c>
      <c r="D3768" s="3" t="s">
        <v>82</v>
      </c>
      <c r="E3768" s="3" t="s">
        <v>49</v>
      </c>
      <c r="F3768" s="5">
        <v>0</v>
      </c>
      <c r="G3768" s="5">
        <v>132</v>
      </c>
      <c r="H3768" s="6">
        <v>0</v>
      </c>
      <c r="I3768" s="22">
        <v>5804.28</v>
      </c>
      <c r="J3768" s="24">
        <f t="shared" si="174"/>
        <v>4.0218563878620832E-5</v>
      </c>
      <c r="K3768" s="25">
        <f t="shared" si="176"/>
        <v>0.97384410721291947</v>
      </c>
      <c r="L3768" s="26" t="s">
        <v>7518</v>
      </c>
      <c r="M3768" s="28"/>
      <c r="N3768" s="28"/>
      <c r="O3768" s="20">
        <v>8814.18</v>
      </c>
      <c r="P3768" s="27" t="str">
        <f t="shared" si="175"/>
        <v>verde</v>
      </c>
    </row>
    <row r="3769" spans="1:16" ht="38.25">
      <c r="A3769" s="3" t="s">
        <v>4</v>
      </c>
      <c r="B3769" s="3" t="s">
        <v>2782</v>
      </c>
      <c r="C3769" s="4">
        <v>331</v>
      </c>
      <c r="D3769" s="3" t="s">
        <v>603</v>
      </c>
      <c r="E3769" s="3" t="s">
        <v>13</v>
      </c>
      <c r="F3769" s="5">
        <v>0</v>
      </c>
      <c r="G3769" s="5">
        <v>120</v>
      </c>
      <c r="H3769" s="6">
        <v>0</v>
      </c>
      <c r="I3769" s="22">
        <v>5800.3559999999998</v>
      </c>
      <c r="J3769" s="24">
        <f t="shared" si="174"/>
        <v>4.0191374004138601E-5</v>
      </c>
      <c r="K3769" s="25">
        <f t="shared" si="176"/>
        <v>0.9738842985869236</v>
      </c>
      <c r="L3769" s="26" t="s">
        <v>7518</v>
      </c>
      <c r="M3769" s="28"/>
      <c r="N3769" s="28"/>
      <c r="O3769" s="20" t="s">
        <v>7530</v>
      </c>
      <c r="P3769" s="27" t="str">
        <f t="shared" si="175"/>
        <v>vermelho</v>
      </c>
    </row>
    <row r="3770" spans="1:16" ht="38.25">
      <c r="A3770" s="3" t="s">
        <v>4</v>
      </c>
      <c r="B3770" s="3" t="s">
        <v>2783</v>
      </c>
      <c r="C3770" s="4">
        <v>331</v>
      </c>
      <c r="D3770" s="3" t="s">
        <v>603</v>
      </c>
      <c r="E3770" s="3" t="s">
        <v>13</v>
      </c>
      <c r="F3770" s="5">
        <v>0</v>
      </c>
      <c r="G3770" s="5">
        <v>120</v>
      </c>
      <c r="H3770" s="6">
        <v>0</v>
      </c>
      <c r="I3770" s="22">
        <v>5800.3559999999998</v>
      </c>
      <c r="J3770" s="24">
        <f t="shared" si="174"/>
        <v>4.0191374004138601E-5</v>
      </c>
      <c r="K3770" s="25">
        <f t="shared" si="176"/>
        <v>0.97392448996092773</v>
      </c>
      <c r="L3770" s="26" t="s">
        <v>7518</v>
      </c>
      <c r="M3770" s="28"/>
      <c r="N3770" s="28"/>
      <c r="O3770" s="20" t="s">
        <v>7530</v>
      </c>
      <c r="P3770" s="27" t="str">
        <f t="shared" si="175"/>
        <v>vermelho</v>
      </c>
    </row>
    <row r="3771" spans="1:16" ht="38.25">
      <c r="A3771" s="3" t="s">
        <v>4</v>
      </c>
      <c r="B3771" s="3" t="s">
        <v>2784</v>
      </c>
      <c r="C3771" s="4">
        <v>45</v>
      </c>
      <c r="D3771" s="3" t="s">
        <v>23</v>
      </c>
      <c r="E3771" s="3" t="s">
        <v>7</v>
      </c>
      <c r="F3771" s="5">
        <v>0</v>
      </c>
      <c r="G3771" s="5">
        <v>108</v>
      </c>
      <c r="H3771" s="6">
        <v>0</v>
      </c>
      <c r="I3771" s="22">
        <v>5782.32</v>
      </c>
      <c r="J3771" s="24">
        <f t="shared" si="174"/>
        <v>4.0066400360876252E-5</v>
      </c>
      <c r="K3771" s="25">
        <f t="shared" si="176"/>
        <v>0.97396455636128865</v>
      </c>
      <c r="L3771" s="26" t="s">
        <v>7518</v>
      </c>
      <c r="M3771" s="28"/>
      <c r="N3771" s="28"/>
      <c r="O3771" s="20" t="s">
        <v>7530</v>
      </c>
      <c r="P3771" s="27" t="str">
        <f t="shared" si="175"/>
        <v>vermelho</v>
      </c>
    </row>
    <row r="3772" spans="1:16" ht="25.5">
      <c r="A3772" s="3" t="s">
        <v>4</v>
      </c>
      <c r="B3772" s="3" t="s">
        <v>2785</v>
      </c>
      <c r="C3772" s="4">
        <v>93</v>
      </c>
      <c r="D3772" s="3" t="s">
        <v>20</v>
      </c>
      <c r="E3772" s="3" t="s">
        <v>7</v>
      </c>
      <c r="F3772" s="5">
        <v>0</v>
      </c>
      <c r="G3772" s="5">
        <v>90</v>
      </c>
      <c r="H3772" s="6">
        <v>0</v>
      </c>
      <c r="I3772" s="22">
        <v>5777.1</v>
      </c>
      <c r="J3772" s="24">
        <f t="shared" si="174"/>
        <v>4.00302303443632E-5</v>
      </c>
      <c r="K3772" s="25">
        <f t="shared" si="176"/>
        <v>0.97400458659163303</v>
      </c>
      <c r="L3772" s="26" t="s">
        <v>7518</v>
      </c>
      <c r="M3772" s="28"/>
      <c r="N3772" s="28"/>
      <c r="O3772" s="20" t="s">
        <v>7530</v>
      </c>
      <c r="P3772" s="27" t="str">
        <f t="shared" si="175"/>
        <v>vermelho</v>
      </c>
    </row>
    <row r="3773" spans="1:16" ht="25.5">
      <c r="A3773" s="3" t="s">
        <v>4</v>
      </c>
      <c r="B3773" s="3" t="s">
        <v>2786</v>
      </c>
      <c r="C3773" s="4">
        <v>23</v>
      </c>
      <c r="D3773" s="3" t="s">
        <v>87</v>
      </c>
      <c r="E3773" s="3" t="s">
        <v>7</v>
      </c>
      <c r="F3773" s="5">
        <v>573</v>
      </c>
      <c r="G3773" s="5">
        <v>102</v>
      </c>
      <c r="H3773" s="6">
        <v>35545.29</v>
      </c>
      <c r="I3773" s="22">
        <v>5774.46</v>
      </c>
      <c r="J3773" s="24">
        <f t="shared" si="174"/>
        <v>4.0011937462448551E-5</v>
      </c>
      <c r="K3773" s="25">
        <f t="shared" si="176"/>
        <v>0.97404459852909553</v>
      </c>
      <c r="L3773" s="26" t="s">
        <v>7518</v>
      </c>
      <c r="M3773" s="28"/>
      <c r="N3773" s="28"/>
      <c r="O3773" s="20">
        <v>21129.72</v>
      </c>
      <c r="P3773" s="27" t="str">
        <f t="shared" si="175"/>
        <v>verde</v>
      </c>
    </row>
    <row r="3774" spans="1:16" ht="38.25">
      <c r="A3774" s="3" t="s">
        <v>4</v>
      </c>
      <c r="B3774" s="3" t="s">
        <v>2787</v>
      </c>
      <c r="C3774" s="4">
        <v>315</v>
      </c>
      <c r="D3774" s="3" t="s">
        <v>63</v>
      </c>
      <c r="E3774" s="3" t="s">
        <v>7</v>
      </c>
      <c r="F3774" s="5">
        <v>0</v>
      </c>
      <c r="G3774" s="5">
        <v>108</v>
      </c>
      <c r="H3774" s="6">
        <v>0</v>
      </c>
      <c r="I3774" s="22">
        <v>5766.12</v>
      </c>
      <c r="J3774" s="24">
        <f t="shared" si="174"/>
        <v>3.9954148585490907E-5</v>
      </c>
      <c r="K3774" s="25">
        <f t="shared" si="176"/>
        <v>0.97408455267768101</v>
      </c>
      <c r="L3774" s="26" t="s">
        <v>7518</v>
      </c>
      <c r="M3774" s="28"/>
      <c r="N3774" s="28"/>
      <c r="O3774" s="20" t="s">
        <v>7530</v>
      </c>
      <c r="P3774" s="27" t="str">
        <f t="shared" si="175"/>
        <v>vermelho</v>
      </c>
    </row>
    <row r="3775" spans="1:16">
      <c r="A3775" s="3" t="s">
        <v>4</v>
      </c>
      <c r="B3775" s="3" t="s">
        <v>2788</v>
      </c>
      <c r="C3775" s="4">
        <v>315</v>
      </c>
      <c r="D3775" s="3" t="s">
        <v>63</v>
      </c>
      <c r="E3775" s="3" t="s">
        <v>7</v>
      </c>
      <c r="F3775" s="5">
        <v>0</v>
      </c>
      <c r="G3775" s="5">
        <v>108</v>
      </c>
      <c r="H3775" s="6">
        <v>0</v>
      </c>
      <c r="I3775" s="22">
        <v>5766.12</v>
      </c>
      <c r="J3775" s="24">
        <f t="shared" si="174"/>
        <v>3.9954148585490907E-5</v>
      </c>
      <c r="K3775" s="25">
        <f t="shared" si="176"/>
        <v>0.9741245068262665</v>
      </c>
      <c r="L3775" s="26" t="s">
        <v>7518</v>
      </c>
      <c r="M3775" s="28"/>
      <c r="N3775" s="28"/>
      <c r="O3775" s="20" t="s">
        <v>7530</v>
      </c>
      <c r="P3775" s="27" t="str">
        <f t="shared" si="175"/>
        <v>vermelho</v>
      </c>
    </row>
    <row r="3776" spans="1:16">
      <c r="A3776" s="3" t="s">
        <v>4</v>
      </c>
      <c r="B3776" s="3" t="s">
        <v>2789</v>
      </c>
      <c r="C3776" s="4">
        <v>315</v>
      </c>
      <c r="D3776" s="3" t="s">
        <v>63</v>
      </c>
      <c r="E3776" s="3" t="s">
        <v>7</v>
      </c>
      <c r="F3776" s="5">
        <v>0</v>
      </c>
      <c r="G3776" s="5">
        <v>108</v>
      </c>
      <c r="H3776" s="6">
        <v>0</v>
      </c>
      <c r="I3776" s="22">
        <v>5766.12</v>
      </c>
      <c r="J3776" s="24">
        <f t="shared" si="174"/>
        <v>3.9954148585490907E-5</v>
      </c>
      <c r="K3776" s="25">
        <f t="shared" si="176"/>
        <v>0.97416446097485199</v>
      </c>
      <c r="L3776" s="26" t="s">
        <v>7518</v>
      </c>
      <c r="M3776" s="28"/>
      <c r="N3776" s="28"/>
      <c r="O3776" s="20" t="s">
        <v>7530</v>
      </c>
      <c r="P3776" s="27" t="str">
        <f t="shared" si="175"/>
        <v>vermelho</v>
      </c>
    </row>
    <row r="3777" spans="1:16">
      <c r="A3777" s="3" t="s">
        <v>4</v>
      </c>
      <c r="B3777" s="3" t="s">
        <v>2790</v>
      </c>
      <c r="C3777" s="4">
        <v>232</v>
      </c>
      <c r="D3777" s="3" t="s">
        <v>174</v>
      </c>
      <c r="E3777" s="3" t="s">
        <v>16</v>
      </c>
      <c r="F3777" s="5">
        <v>0</v>
      </c>
      <c r="G3777" s="5">
        <v>96</v>
      </c>
      <c r="H3777" s="6">
        <v>0</v>
      </c>
      <c r="I3777" s="22">
        <v>5759.16</v>
      </c>
      <c r="J3777" s="24">
        <f t="shared" si="174"/>
        <v>3.990592189680683E-5</v>
      </c>
      <c r="K3777" s="25">
        <f t="shared" si="176"/>
        <v>0.97420436689674883</v>
      </c>
      <c r="L3777" s="26" t="s">
        <v>7518</v>
      </c>
      <c r="M3777" s="28"/>
      <c r="N3777" s="28"/>
      <c r="O3777" s="20" t="s">
        <v>7530</v>
      </c>
      <c r="P3777" s="27" t="str">
        <f t="shared" si="175"/>
        <v>vermelho</v>
      </c>
    </row>
    <row r="3778" spans="1:16" ht="25.5">
      <c r="A3778" s="3" t="s">
        <v>4</v>
      </c>
      <c r="B3778" s="3" t="s">
        <v>2791</v>
      </c>
      <c r="C3778" s="4">
        <v>217</v>
      </c>
      <c r="D3778" s="3" t="s">
        <v>91</v>
      </c>
      <c r="E3778" s="3" t="s">
        <v>16</v>
      </c>
      <c r="F3778" s="5">
        <v>228</v>
      </c>
      <c r="G3778" s="5">
        <v>90</v>
      </c>
      <c r="H3778" s="6">
        <v>12290.16</v>
      </c>
      <c r="I3778" s="22">
        <v>5758.92</v>
      </c>
      <c r="J3778" s="24">
        <f t="shared" si="174"/>
        <v>3.9904258907541866E-5</v>
      </c>
      <c r="K3778" s="25">
        <f t="shared" si="176"/>
        <v>0.97424427115565637</v>
      </c>
      <c r="L3778" s="26" t="s">
        <v>7518</v>
      </c>
      <c r="M3778" s="28"/>
      <c r="N3778" s="28"/>
      <c r="O3778" s="20" t="s">
        <v>7530</v>
      </c>
      <c r="P3778" s="27" t="str">
        <f t="shared" si="175"/>
        <v>vermelho</v>
      </c>
    </row>
    <row r="3779" spans="1:16" ht="25.5">
      <c r="A3779" s="3" t="s">
        <v>6932</v>
      </c>
      <c r="B3779" s="3" t="s">
        <v>6933</v>
      </c>
      <c r="C3779" s="4">
        <v>217</v>
      </c>
      <c r="D3779" s="3" t="s">
        <v>91</v>
      </c>
      <c r="E3779" s="3" t="s">
        <v>16</v>
      </c>
      <c r="F3779" s="5">
        <v>1062</v>
      </c>
      <c r="G3779" s="5">
        <v>120</v>
      </c>
      <c r="H3779" s="6">
        <v>53664.959999999999</v>
      </c>
      <c r="I3779" s="22">
        <v>5758.8</v>
      </c>
      <c r="J3779" s="24">
        <f t="shared" ref="J3779:J3842" si="177">I3779/$I$6364</f>
        <v>3.990342741290938E-5</v>
      </c>
      <c r="K3779" s="25">
        <f t="shared" si="176"/>
        <v>0.97428417458306926</v>
      </c>
      <c r="L3779" s="26" t="s">
        <v>7518</v>
      </c>
      <c r="M3779" s="28"/>
      <c r="N3779" s="28"/>
      <c r="O3779" s="20">
        <v>13635.72</v>
      </c>
      <c r="P3779" s="27" t="str">
        <f t="shared" ref="P3779:P3842" si="178">IF(O3779&lt;=0,"vermelho",IFERROR(IF(O3779/I3779&lt;=0.5098,"amarelo",IF(O3779/I3779&lt;1,"laranja","verde")),"vermelho"))</f>
        <v>verde</v>
      </c>
    </row>
    <row r="3780" spans="1:16" ht="25.5">
      <c r="A3780" s="3" t="s">
        <v>4</v>
      </c>
      <c r="B3780" s="3" t="s">
        <v>2792</v>
      </c>
      <c r="C3780" s="4">
        <v>178</v>
      </c>
      <c r="D3780" s="3" t="s">
        <v>74</v>
      </c>
      <c r="E3780" s="3" t="s">
        <v>7</v>
      </c>
      <c r="F3780" s="5">
        <v>180</v>
      </c>
      <c r="G3780" s="5">
        <v>84</v>
      </c>
      <c r="H3780" s="6">
        <v>10215.24</v>
      </c>
      <c r="I3780" s="22">
        <v>5752.56</v>
      </c>
      <c r="J3780" s="24">
        <f t="shared" si="177"/>
        <v>3.986018969202021E-5</v>
      </c>
      <c r="K3780" s="25">
        <f t="shared" ref="K3780:K3843" si="179">J3780+K3779</f>
        <v>0.9743240347727613</v>
      </c>
      <c r="L3780" s="26" t="s">
        <v>7518</v>
      </c>
      <c r="M3780" s="28"/>
      <c r="N3780" s="28"/>
      <c r="O3780" s="20" t="s">
        <v>7530</v>
      </c>
      <c r="P3780" s="27" t="str">
        <f t="shared" si="178"/>
        <v>vermelho</v>
      </c>
    </row>
    <row r="3781" spans="1:16">
      <c r="A3781" s="3" t="s">
        <v>4</v>
      </c>
      <c r="B3781" s="3" t="s">
        <v>2793</v>
      </c>
      <c r="C3781" s="4">
        <v>232</v>
      </c>
      <c r="D3781" s="3" t="s">
        <v>174</v>
      </c>
      <c r="E3781" s="3" t="s">
        <v>16</v>
      </c>
      <c r="F3781" s="5">
        <v>54</v>
      </c>
      <c r="G3781" s="5">
        <v>111</v>
      </c>
      <c r="H3781" s="6">
        <v>3065.58</v>
      </c>
      <c r="I3781" s="22">
        <v>5745.87</v>
      </c>
      <c r="J3781" s="24">
        <f t="shared" si="177"/>
        <v>3.9813833866259225E-5</v>
      </c>
      <c r="K3781" s="25">
        <f t="shared" si="179"/>
        <v>0.97436384860662761</v>
      </c>
      <c r="L3781" s="26" t="s">
        <v>7518</v>
      </c>
      <c r="M3781" s="28"/>
      <c r="N3781" s="28"/>
      <c r="O3781" s="20" t="s">
        <v>7530</v>
      </c>
      <c r="P3781" s="27" t="str">
        <f t="shared" si="178"/>
        <v>vermelho</v>
      </c>
    </row>
    <row r="3782" spans="1:16" ht="25.5">
      <c r="A3782" s="3" t="s">
        <v>4</v>
      </c>
      <c r="B3782" s="3" t="s">
        <v>2794</v>
      </c>
      <c r="C3782" s="4">
        <v>197</v>
      </c>
      <c r="D3782" s="3" t="s">
        <v>66</v>
      </c>
      <c r="E3782" s="3" t="s">
        <v>41</v>
      </c>
      <c r="F3782" s="5">
        <v>0</v>
      </c>
      <c r="G3782" s="5">
        <v>117</v>
      </c>
      <c r="H3782" s="6">
        <v>0</v>
      </c>
      <c r="I3782" s="22">
        <v>5743.83</v>
      </c>
      <c r="J3782" s="24">
        <f t="shared" si="177"/>
        <v>3.9799698457506997E-5</v>
      </c>
      <c r="K3782" s="25">
        <f t="shared" si="179"/>
        <v>0.97440364830508508</v>
      </c>
      <c r="L3782" s="26" t="s">
        <v>7518</v>
      </c>
      <c r="M3782" s="28"/>
      <c r="N3782" s="28"/>
      <c r="O3782" s="20" t="s">
        <v>7530</v>
      </c>
      <c r="P3782" s="27" t="str">
        <f t="shared" si="178"/>
        <v>vermelho</v>
      </c>
    </row>
    <row r="3783" spans="1:16" ht="38.25">
      <c r="A3783" s="3" t="s">
        <v>4</v>
      </c>
      <c r="B3783" s="3" t="s">
        <v>2795</v>
      </c>
      <c r="C3783" s="4">
        <v>316</v>
      </c>
      <c r="D3783" s="3" t="s">
        <v>247</v>
      </c>
      <c r="E3783" s="3" t="s">
        <v>10</v>
      </c>
      <c r="F3783" s="5">
        <v>0</v>
      </c>
      <c r="G3783" s="5">
        <v>114</v>
      </c>
      <c r="H3783" s="6">
        <v>0</v>
      </c>
      <c r="I3783" s="22">
        <v>5728.74</v>
      </c>
      <c r="J3783" s="24">
        <f t="shared" si="177"/>
        <v>3.9695138007472128E-5</v>
      </c>
      <c r="K3783" s="25">
        <f t="shared" si="179"/>
        <v>0.97444334344309258</v>
      </c>
      <c r="L3783" s="26" t="s">
        <v>7518</v>
      </c>
      <c r="M3783" s="28"/>
      <c r="N3783" s="28"/>
      <c r="O3783" s="20" t="s">
        <v>7530</v>
      </c>
      <c r="P3783" s="27" t="str">
        <f t="shared" si="178"/>
        <v>vermelho</v>
      </c>
    </row>
    <row r="3784" spans="1:16" ht="38.25">
      <c r="A3784" s="3" t="s">
        <v>4</v>
      </c>
      <c r="B3784" s="3" t="s">
        <v>2796</v>
      </c>
      <c r="C3784" s="4">
        <v>38</v>
      </c>
      <c r="D3784" s="3" t="s">
        <v>184</v>
      </c>
      <c r="E3784" s="3" t="s">
        <v>49</v>
      </c>
      <c r="F3784" s="5">
        <v>108</v>
      </c>
      <c r="G3784" s="5">
        <v>93</v>
      </c>
      <c r="H3784" s="6">
        <v>4277.5200000000004</v>
      </c>
      <c r="I3784" s="22">
        <v>5723.07</v>
      </c>
      <c r="J3784" s="24">
        <f t="shared" si="177"/>
        <v>3.9655849886087253E-5</v>
      </c>
      <c r="K3784" s="25">
        <f t="shared" si="179"/>
        <v>0.97448299929297866</v>
      </c>
      <c r="L3784" s="26" t="s">
        <v>7518</v>
      </c>
      <c r="M3784" s="28"/>
      <c r="N3784" s="28"/>
      <c r="O3784" s="20" t="s">
        <v>7530</v>
      </c>
      <c r="P3784" s="27" t="str">
        <f t="shared" si="178"/>
        <v>vermelho</v>
      </c>
    </row>
    <row r="3785" spans="1:16" ht="25.5">
      <c r="A3785" s="3" t="s">
        <v>6934</v>
      </c>
      <c r="B3785" s="3" t="s">
        <v>6935</v>
      </c>
      <c r="C3785" s="4">
        <v>197</v>
      </c>
      <c r="D3785" s="3" t="s">
        <v>66</v>
      </c>
      <c r="E3785" s="3" t="s">
        <v>41</v>
      </c>
      <c r="F3785" s="5">
        <v>144</v>
      </c>
      <c r="G3785" s="5">
        <v>84</v>
      </c>
      <c r="H3785" s="6">
        <v>8605.8529999999992</v>
      </c>
      <c r="I3785" s="22">
        <v>5721.56</v>
      </c>
      <c r="J3785" s="24">
        <f t="shared" si="177"/>
        <v>3.9645386911961831E-5</v>
      </c>
      <c r="K3785" s="25">
        <f t="shared" si="179"/>
        <v>0.97452264467989058</v>
      </c>
      <c r="L3785" s="26" t="s">
        <v>7518</v>
      </c>
      <c r="M3785" s="28"/>
      <c r="N3785" s="28"/>
      <c r="O3785" s="20">
        <v>3727.8</v>
      </c>
      <c r="P3785" s="27" t="str">
        <f t="shared" si="178"/>
        <v>laranja</v>
      </c>
    </row>
    <row r="3786" spans="1:16" ht="25.5">
      <c r="A3786" s="3" t="s">
        <v>4</v>
      </c>
      <c r="B3786" s="3" t="s">
        <v>2797</v>
      </c>
      <c r="C3786" s="4">
        <v>297</v>
      </c>
      <c r="D3786" s="3" t="s">
        <v>115</v>
      </c>
      <c r="E3786" s="3" t="s">
        <v>41</v>
      </c>
      <c r="F3786" s="5">
        <v>0</v>
      </c>
      <c r="G3786" s="5">
        <v>99</v>
      </c>
      <c r="H3786" s="6">
        <v>0</v>
      </c>
      <c r="I3786" s="22">
        <v>5705.49</v>
      </c>
      <c r="J3786" s="24">
        <f t="shared" si="177"/>
        <v>3.953403592242834E-5</v>
      </c>
      <c r="K3786" s="25">
        <f t="shared" si="179"/>
        <v>0.97456217871581297</v>
      </c>
      <c r="L3786" s="26" t="s">
        <v>7518</v>
      </c>
      <c r="M3786" s="28"/>
      <c r="N3786" s="28"/>
      <c r="O3786" s="20" t="s">
        <v>7530</v>
      </c>
      <c r="P3786" s="27" t="str">
        <f t="shared" si="178"/>
        <v>vermelho</v>
      </c>
    </row>
    <row r="3787" spans="1:16" ht="25.5">
      <c r="A3787" s="3" t="s">
        <v>4</v>
      </c>
      <c r="B3787" s="3" t="s">
        <v>2798</v>
      </c>
      <c r="C3787" s="4">
        <v>335</v>
      </c>
      <c r="D3787" s="3" t="s">
        <v>36</v>
      </c>
      <c r="E3787" s="3" t="s">
        <v>7</v>
      </c>
      <c r="F3787" s="5">
        <v>48</v>
      </c>
      <c r="G3787" s="5">
        <v>84</v>
      </c>
      <c r="H3787" s="6">
        <v>2831.52</v>
      </c>
      <c r="I3787" s="22">
        <v>5699.28</v>
      </c>
      <c r="J3787" s="24">
        <f t="shared" si="177"/>
        <v>3.949100607519729E-5</v>
      </c>
      <c r="K3787" s="25">
        <f t="shared" si="179"/>
        <v>0.97460166972188811</v>
      </c>
      <c r="L3787" s="26" t="s">
        <v>7518</v>
      </c>
      <c r="M3787" s="28"/>
      <c r="N3787" s="28"/>
      <c r="O3787" s="20" t="s">
        <v>7530</v>
      </c>
      <c r="P3787" s="27" t="str">
        <f t="shared" si="178"/>
        <v>vermelho</v>
      </c>
    </row>
    <row r="3788" spans="1:16">
      <c r="A3788" s="3" t="s">
        <v>4</v>
      </c>
      <c r="B3788" s="3" t="s">
        <v>2799</v>
      </c>
      <c r="C3788" s="4">
        <v>232</v>
      </c>
      <c r="D3788" s="3" t="s">
        <v>174</v>
      </c>
      <c r="E3788" s="3" t="s">
        <v>16</v>
      </c>
      <c r="F3788" s="5">
        <v>0</v>
      </c>
      <c r="G3788" s="5">
        <v>108</v>
      </c>
      <c r="H3788" s="6">
        <v>0</v>
      </c>
      <c r="I3788" s="22">
        <v>5696.64</v>
      </c>
      <c r="J3788" s="24">
        <f t="shared" si="177"/>
        <v>3.9472713193282647E-5</v>
      </c>
      <c r="K3788" s="25">
        <f t="shared" si="179"/>
        <v>0.97464114243508138</v>
      </c>
      <c r="L3788" s="26" t="s">
        <v>7518</v>
      </c>
      <c r="M3788" s="28"/>
      <c r="N3788" s="28"/>
      <c r="O3788" s="20" t="s">
        <v>7530</v>
      </c>
      <c r="P3788" s="27" t="str">
        <f t="shared" si="178"/>
        <v>vermelho</v>
      </c>
    </row>
    <row r="3789" spans="1:16" ht="38.25">
      <c r="A3789" s="3" t="s">
        <v>4</v>
      </c>
      <c r="B3789" s="3" t="s">
        <v>2800</v>
      </c>
      <c r="C3789" s="4">
        <v>11</v>
      </c>
      <c r="D3789" s="3" t="s">
        <v>61</v>
      </c>
      <c r="E3789" s="3" t="s">
        <v>10</v>
      </c>
      <c r="F3789" s="5">
        <v>240</v>
      </c>
      <c r="G3789" s="5">
        <v>96</v>
      </c>
      <c r="H3789" s="6">
        <v>13225.56</v>
      </c>
      <c r="I3789" s="22">
        <v>5687.04</v>
      </c>
      <c r="J3789" s="24">
        <f t="shared" si="177"/>
        <v>3.9406193622683921E-5</v>
      </c>
      <c r="K3789" s="25">
        <f t="shared" si="179"/>
        <v>0.97468054862870401</v>
      </c>
      <c r="L3789" s="26" t="s">
        <v>7518</v>
      </c>
      <c r="M3789" s="28"/>
      <c r="N3789" s="28"/>
      <c r="O3789" s="20" t="s">
        <v>7530</v>
      </c>
      <c r="P3789" s="27" t="str">
        <f t="shared" si="178"/>
        <v>vermelho</v>
      </c>
    </row>
    <row r="3790" spans="1:16" ht="25.5">
      <c r="A3790" s="3" t="s">
        <v>4</v>
      </c>
      <c r="B3790" s="3" t="s">
        <v>2801</v>
      </c>
      <c r="C3790" s="4">
        <v>232</v>
      </c>
      <c r="D3790" s="3" t="s">
        <v>174</v>
      </c>
      <c r="E3790" s="3" t="s">
        <v>16</v>
      </c>
      <c r="F3790" s="5">
        <v>0</v>
      </c>
      <c r="G3790" s="5">
        <v>90</v>
      </c>
      <c r="H3790" s="6">
        <v>0</v>
      </c>
      <c r="I3790" s="22">
        <v>5677.56</v>
      </c>
      <c r="J3790" s="24">
        <f t="shared" si="177"/>
        <v>3.9340505546717681E-5</v>
      </c>
      <c r="K3790" s="25">
        <f t="shared" si="179"/>
        <v>0.97471988913425078</v>
      </c>
      <c r="L3790" s="26" t="s">
        <v>7518</v>
      </c>
      <c r="M3790" s="28"/>
      <c r="N3790" s="28"/>
      <c r="O3790" s="20">
        <v>2855.04</v>
      </c>
      <c r="P3790" s="27" t="str">
        <f t="shared" si="178"/>
        <v>amarelo</v>
      </c>
    </row>
    <row r="3791" spans="1:16" ht="38.25">
      <c r="A3791" s="3" t="s">
        <v>4</v>
      </c>
      <c r="B3791" s="3" t="s">
        <v>2802</v>
      </c>
      <c r="C3791" s="4">
        <v>194</v>
      </c>
      <c r="D3791" s="3" t="s">
        <v>145</v>
      </c>
      <c r="E3791" s="3" t="s">
        <v>16</v>
      </c>
      <c r="F3791" s="5">
        <v>72</v>
      </c>
      <c r="G3791" s="5">
        <v>84</v>
      </c>
      <c r="H3791" s="6">
        <v>5079</v>
      </c>
      <c r="I3791" s="22">
        <v>5663.16</v>
      </c>
      <c r="J3791" s="24">
        <f t="shared" si="177"/>
        <v>3.9240726190819592E-5</v>
      </c>
      <c r="K3791" s="25">
        <f t="shared" si="179"/>
        <v>0.97475912986044155</v>
      </c>
      <c r="L3791" s="26" t="s">
        <v>7518</v>
      </c>
      <c r="M3791" s="28"/>
      <c r="N3791" s="28"/>
      <c r="O3791" s="20">
        <v>8750.8799999999992</v>
      </c>
      <c r="P3791" s="27" t="str">
        <f t="shared" si="178"/>
        <v>verde</v>
      </c>
    </row>
    <row r="3792" spans="1:16" ht="38.25">
      <c r="A3792" s="3" t="s">
        <v>4</v>
      </c>
      <c r="B3792" s="3" t="s">
        <v>2803</v>
      </c>
      <c r="C3792" s="4">
        <v>34</v>
      </c>
      <c r="D3792" s="3" t="s">
        <v>54</v>
      </c>
      <c r="E3792" s="3" t="s">
        <v>49</v>
      </c>
      <c r="F3792" s="5">
        <v>0</v>
      </c>
      <c r="G3792" s="5">
        <v>96</v>
      </c>
      <c r="H3792" s="6">
        <v>0</v>
      </c>
      <c r="I3792" s="22">
        <v>5662.04</v>
      </c>
      <c r="J3792" s="24">
        <f t="shared" si="177"/>
        <v>3.9232965574249747E-5</v>
      </c>
      <c r="K3792" s="25">
        <f t="shared" si="179"/>
        <v>0.97479836282601584</v>
      </c>
      <c r="L3792" s="26" t="s">
        <v>7518</v>
      </c>
      <c r="M3792" s="28"/>
      <c r="N3792" s="28"/>
      <c r="O3792" s="20">
        <v>18607.259999999998</v>
      </c>
      <c r="P3792" s="27" t="str">
        <f t="shared" si="178"/>
        <v>verde</v>
      </c>
    </row>
    <row r="3793" spans="1:16" ht="25.5">
      <c r="A3793" s="3" t="s">
        <v>4</v>
      </c>
      <c r="B3793" s="3" t="s">
        <v>2804</v>
      </c>
      <c r="C3793" s="4">
        <v>320</v>
      </c>
      <c r="D3793" s="3" t="s">
        <v>218</v>
      </c>
      <c r="E3793" s="3" t="s">
        <v>49</v>
      </c>
      <c r="F3793" s="5">
        <v>0</v>
      </c>
      <c r="G3793" s="5">
        <v>120</v>
      </c>
      <c r="H3793" s="6">
        <v>0</v>
      </c>
      <c r="I3793" s="22">
        <v>5659.8</v>
      </c>
      <c r="J3793" s="24">
        <f t="shared" si="177"/>
        <v>3.9217444341110043E-5</v>
      </c>
      <c r="K3793" s="25">
        <f t="shared" si="179"/>
        <v>0.97483758027035694</v>
      </c>
      <c r="L3793" s="26" t="s">
        <v>7518</v>
      </c>
      <c r="M3793" s="28"/>
      <c r="N3793" s="28"/>
      <c r="O3793" s="20" t="s">
        <v>7530</v>
      </c>
      <c r="P3793" s="27" t="str">
        <f t="shared" si="178"/>
        <v>vermelho</v>
      </c>
    </row>
    <row r="3794" spans="1:16" ht="25.5">
      <c r="A3794" s="3" t="s">
        <v>4</v>
      </c>
      <c r="B3794" s="3" t="s">
        <v>2805</v>
      </c>
      <c r="C3794" s="4">
        <v>299</v>
      </c>
      <c r="D3794" s="3" t="s">
        <v>111</v>
      </c>
      <c r="E3794" s="3" t="s">
        <v>49</v>
      </c>
      <c r="F3794" s="5">
        <v>0</v>
      </c>
      <c r="G3794" s="5">
        <v>114</v>
      </c>
      <c r="H3794" s="6">
        <v>0</v>
      </c>
      <c r="I3794" s="22">
        <v>5658.06</v>
      </c>
      <c r="J3794" s="24">
        <f t="shared" si="177"/>
        <v>3.9205387668939025E-5</v>
      </c>
      <c r="K3794" s="25">
        <f t="shared" si="179"/>
        <v>0.97487678565802582</v>
      </c>
      <c r="L3794" s="26" t="s">
        <v>7518</v>
      </c>
      <c r="M3794" s="28"/>
      <c r="N3794" s="28"/>
      <c r="O3794" s="20" t="s">
        <v>7530</v>
      </c>
      <c r="P3794" s="27" t="str">
        <f t="shared" si="178"/>
        <v>vermelho</v>
      </c>
    </row>
    <row r="3795" spans="1:16" ht="25.5">
      <c r="A3795" s="3" t="s">
        <v>4</v>
      </c>
      <c r="B3795" s="3" t="s">
        <v>2806</v>
      </c>
      <c r="C3795" s="4">
        <v>217</v>
      </c>
      <c r="D3795" s="3" t="s">
        <v>91</v>
      </c>
      <c r="E3795" s="3" t="s">
        <v>16</v>
      </c>
      <c r="F3795" s="5">
        <v>0</v>
      </c>
      <c r="G3795" s="5">
        <v>120</v>
      </c>
      <c r="H3795" s="6">
        <v>0</v>
      </c>
      <c r="I3795" s="22">
        <v>5653.68</v>
      </c>
      <c r="J3795" s="24">
        <f t="shared" si="177"/>
        <v>3.9175038114853359E-5</v>
      </c>
      <c r="K3795" s="25">
        <f t="shared" si="179"/>
        <v>0.97491596069614073</v>
      </c>
      <c r="L3795" s="26" t="s">
        <v>7518</v>
      </c>
      <c r="M3795" s="28"/>
      <c r="N3795" s="28"/>
      <c r="O3795" s="20" t="s">
        <v>7530</v>
      </c>
      <c r="P3795" s="27" t="str">
        <f t="shared" si="178"/>
        <v>vermelho</v>
      </c>
    </row>
    <row r="3796" spans="1:16" ht="25.5">
      <c r="A3796" s="3" t="s">
        <v>4</v>
      </c>
      <c r="B3796" s="3" t="s">
        <v>2807</v>
      </c>
      <c r="C3796" s="4">
        <v>315</v>
      </c>
      <c r="D3796" s="3" t="s">
        <v>63</v>
      </c>
      <c r="E3796" s="3" t="s">
        <v>7</v>
      </c>
      <c r="F3796" s="5">
        <v>0</v>
      </c>
      <c r="G3796" s="5">
        <v>108</v>
      </c>
      <c r="H3796" s="6">
        <v>0</v>
      </c>
      <c r="I3796" s="22">
        <v>5650.08</v>
      </c>
      <c r="J3796" s="24">
        <f t="shared" si="177"/>
        <v>3.9150093275878831E-5</v>
      </c>
      <c r="K3796" s="25">
        <f t="shared" si="179"/>
        <v>0.97495511078941666</v>
      </c>
      <c r="L3796" s="26" t="s">
        <v>7518</v>
      </c>
      <c r="M3796" s="28"/>
      <c r="N3796" s="28"/>
      <c r="O3796" s="20" t="s">
        <v>7530</v>
      </c>
      <c r="P3796" s="27" t="str">
        <f t="shared" si="178"/>
        <v>vermelho</v>
      </c>
    </row>
    <row r="3797" spans="1:16" ht="25.5">
      <c r="A3797" s="3" t="s">
        <v>6936</v>
      </c>
      <c r="B3797" s="3" t="s">
        <v>6937</v>
      </c>
      <c r="C3797" s="4">
        <v>74</v>
      </c>
      <c r="D3797" s="3" t="s">
        <v>6</v>
      </c>
      <c r="E3797" s="3" t="s">
        <v>7</v>
      </c>
      <c r="F3797" s="5">
        <v>87</v>
      </c>
      <c r="G3797" s="5">
        <v>96</v>
      </c>
      <c r="H3797" s="6">
        <v>6051.81</v>
      </c>
      <c r="I3797" s="22">
        <v>5646.96</v>
      </c>
      <c r="J3797" s="24">
        <f t="shared" si="177"/>
        <v>3.9128474415434247E-5</v>
      </c>
      <c r="K3797" s="25">
        <f t="shared" si="179"/>
        <v>0.97499423926383211</v>
      </c>
      <c r="L3797" s="26" t="s">
        <v>7518</v>
      </c>
      <c r="M3797" s="28"/>
      <c r="N3797" s="28"/>
      <c r="O3797" s="20" t="s">
        <v>7530</v>
      </c>
      <c r="P3797" s="27" t="str">
        <f t="shared" si="178"/>
        <v>vermelho</v>
      </c>
    </row>
    <row r="3798" spans="1:16" ht="25.5">
      <c r="A3798" s="3" t="s">
        <v>4</v>
      </c>
      <c r="B3798" s="3" t="s">
        <v>2808</v>
      </c>
      <c r="C3798" s="4">
        <v>218</v>
      </c>
      <c r="D3798" s="3" t="s">
        <v>104</v>
      </c>
      <c r="E3798" s="3" t="s">
        <v>16</v>
      </c>
      <c r="F3798" s="5">
        <v>0</v>
      </c>
      <c r="G3798" s="5">
        <v>108</v>
      </c>
      <c r="H3798" s="6">
        <v>0</v>
      </c>
      <c r="I3798" s="22">
        <v>5646.12</v>
      </c>
      <c r="J3798" s="24">
        <f t="shared" si="177"/>
        <v>3.9122653953006861E-5</v>
      </c>
      <c r="K3798" s="25">
        <f t="shared" si="179"/>
        <v>0.97503336191778511</v>
      </c>
      <c r="L3798" s="26" t="s">
        <v>7518</v>
      </c>
      <c r="M3798" s="28"/>
      <c r="N3798" s="28"/>
      <c r="O3798" s="20" t="s">
        <v>7530</v>
      </c>
      <c r="P3798" s="27" t="str">
        <f t="shared" si="178"/>
        <v>vermelho</v>
      </c>
    </row>
    <row r="3799" spans="1:16" ht="25.5">
      <c r="A3799" s="3" t="s">
        <v>4</v>
      </c>
      <c r="B3799" s="3" t="s">
        <v>2809</v>
      </c>
      <c r="C3799" s="4">
        <v>23</v>
      </c>
      <c r="D3799" s="3" t="s">
        <v>87</v>
      </c>
      <c r="E3799" s="3" t="s">
        <v>7</v>
      </c>
      <c r="F3799" s="5">
        <v>138</v>
      </c>
      <c r="G3799" s="5">
        <v>84</v>
      </c>
      <c r="H3799" s="6">
        <v>7991.58</v>
      </c>
      <c r="I3799" s="22">
        <v>5646.12</v>
      </c>
      <c r="J3799" s="24">
        <f t="shared" si="177"/>
        <v>3.9122653953006861E-5</v>
      </c>
      <c r="K3799" s="25">
        <f t="shared" si="179"/>
        <v>0.97507248457173812</v>
      </c>
      <c r="L3799" s="26" t="s">
        <v>7518</v>
      </c>
      <c r="M3799" s="28"/>
      <c r="N3799" s="28">
        <v>6.3360858782108037E-2</v>
      </c>
      <c r="O3799" s="20">
        <v>4549.92</v>
      </c>
      <c r="P3799" s="27" t="str">
        <f t="shared" si="178"/>
        <v>laranja</v>
      </c>
    </row>
    <row r="3800" spans="1:16" ht="25.5">
      <c r="A3800" s="3" t="s">
        <v>4</v>
      </c>
      <c r="B3800" s="3" t="s">
        <v>2810</v>
      </c>
      <c r="C3800" s="4">
        <v>327</v>
      </c>
      <c r="D3800" s="3" t="s">
        <v>100</v>
      </c>
      <c r="E3800" s="3" t="s">
        <v>7</v>
      </c>
      <c r="F3800" s="5">
        <v>0</v>
      </c>
      <c r="G3800" s="5">
        <v>84</v>
      </c>
      <c r="H3800" s="6">
        <v>0</v>
      </c>
      <c r="I3800" s="22">
        <v>5646.06</v>
      </c>
      <c r="J3800" s="24">
        <f t="shared" si="177"/>
        <v>3.9122238205690622E-5</v>
      </c>
      <c r="K3800" s="25">
        <f t="shared" si="179"/>
        <v>0.9751116068099438</v>
      </c>
      <c r="L3800" s="26" t="s">
        <v>7518</v>
      </c>
      <c r="M3800" s="28"/>
      <c r="N3800" s="28">
        <v>4.9329736442851102E-2</v>
      </c>
      <c r="O3800" s="20">
        <v>3245.28</v>
      </c>
      <c r="P3800" s="27" t="str">
        <f t="shared" si="178"/>
        <v>laranja</v>
      </c>
    </row>
    <row r="3801" spans="1:16" ht="25.5">
      <c r="A3801" s="3" t="s">
        <v>4</v>
      </c>
      <c r="B3801" s="3" t="s">
        <v>2811</v>
      </c>
      <c r="C3801" s="4">
        <v>31</v>
      </c>
      <c r="D3801" s="3" t="s">
        <v>194</v>
      </c>
      <c r="E3801" s="3" t="s">
        <v>16</v>
      </c>
      <c r="F3801" s="5">
        <v>0</v>
      </c>
      <c r="G3801" s="5">
        <v>84</v>
      </c>
      <c r="H3801" s="6">
        <v>0</v>
      </c>
      <c r="I3801" s="22">
        <v>5646</v>
      </c>
      <c r="J3801" s="24">
        <f t="shared" si="177"/>
        <v>3.9121822458374375E-5</v>
      </c>
      <c r="K3801" s="25">
        <f t="shared" si="179"/>
        <v>0.97515072863240215</v>
      </c>
      <c r="L3801" s="26" t="s">
        <v>7518</v>
      </c>
      <c r="M3801" s="28"/>
      <c r="N3801" s="28"/>
      <c r="O3801" s="20" t="s">
        <v>7530</v>
      </c>
      <c r="P3801" s="27" t="str">
        <f t="shared" si="178"/>
        <v>vermelho</v>
      </c>
    </row>
    <row r="3802" spans="1:16" ht="25.5">
      <c r="A3802" s="3" t="s">
        <v>4</v>
      </c>
      <c r="B3802" s="3" t="s">
        <v>2812</v>
      </c>
      <c r="C3802" s="4">
        <v>317</v>
      </c>
      <c r="D3802" s="3" t="s">
        <v>78</v>
      </c>
      <c r="E3802" s="3" t="s">
        <v>10</v>
      </c>
      <c r="F3802" s="5">
        <v>0</v>
      </c>
      <c r="G3802" s="5">
        <v>90</v>
      </c>
      <c r="H3802" s="6">
        <v>0</v>
      </c>
      <c r="I3802" s="22">
        <v>5644.8</v>
      </c>
      <c r="J3802" s="24">
        <f t="shared" si="177"/>
        <v>3.911350751204954E-5</v>
      </c>
      <c r="K3802" s="25">
        <f t="shared" si="179"/>
        <v>0.97518984213991422</v>
      </c>
      <c r="L3802" s="26" t="s">
        <v>7518</v>
      </c>
      <c r="M3802" s="28"/>
      <c r="N3802" s="28"/>
      <c r="O3802" s="20" t="s">
        <v>7530</v>
      </c>
      <c r="P3802" s="27" t="str">
        <f t="shared" si="178"/>
        <v>vermelho</v>
      </c>
    </row>
    <row r="3803" spans="1:16" ht="25.5">
      <c r="A3803" s="3" t="s">
        <v>4</v>
      </c>
      <c r="B3803" s="3" t="s">
        <v>2813</v>
      </c>
      <c r="C3803" s="4">
        <v>167</v>
      </c>
      <c r="D3803" s="3" t="s">
        <v>251</v>
      </c>
      <c r="E3803" s="3" t="s">
        <v>49</v>
      </c>
      <c r="F3803" s="5">
        <v>405</v>
      </c>
      <c r="G3803" s="5">
        <v>90</v>
      </c>
      <c r="H3803" s="6">
        <v>22930.03</v>
      </c>
      <c r="I3803" s="22">
        <v>5644.71</v>
      </c>
      <c r="J3803" s="24">
        <f t="shared" si="177"/>
        <v>3.9112883891075174E-5</v>
      </c>
      <c r="K3803" s="25">
        <f t="shared" si="179"/>
        <v>0.97522895502380524</v>
      </c>
      <c r="L3803" s="26" t="s">
        <v>7518</v>
      </c>
      <c r="M3803" s="28"/>
      <c r="N3803" s="28"/>
      <c r="O3803" s="20" t="s">
        <v>7530</v>
      </c>
      <c r="P3803" s="27" t="str">
        <f t="shared" si="178"/>
        <v>vermelho</v>
      </c>
    </row>
    <row r="3804" spans="1:16" ht="51">
      <c r="A3804" s="3" t="s">
        <v>4</v>
      </c>
      <c r="B3804" s="3" t="s">
        <v>2814</v>
      </c>
      <c r="C3804" s="4">
        <v>282</v>
      </c>
      <c r="D3804" s="3" t="s">
        <v>12</v>
      </c>
      <c r="E3804" s="3" t="s">
        <v>13</v>
      </c>
      <c r="F3804" s="5">
        <v>150</v>
      </c>
      <c r="G3804" s="5">
        <v>117</v>
      </c>
      <c r="H3804" s="6">
        <v>6898.89</v>
      </c>
      <c r="I3804" s="22">
        <v>5644.53</v>
      </c>
      <c r="J3804" s="24">
        <f t="shared" si="177"/>
        <v>3.9111636649126442E-5</v>
      </c>
      <c r="K3804" s="25">
        <f t="shared" si="179"/>
        <v>0.9752680666604544</v>
      </c>
      <c r="L3804" s="26" t="s">
        <v>7518</v>
      </c>
      <c r="M3804" s="28"/>
      <c r="N3804" s="28"/>
      <c r="O3804" s="20">
        <v>4745.07</v>
      </c>
      <c r="P3804" s="27" t="str">
        <f t="shared" si="178"/>
        <v>laranja</v>
      </c>
    </row>
    <row r="3805" spans="1:16" ht="25.5">
      <c r="A3805" s="3" t="s">
        <v>4</v>
      </c>
      <c r="B3805" s="3" t="s">
        <v>2815</v>
      </c>
      <c r="C3805" s="4">
        <v>273</v>
      </c>
      <c r="D3805" s="3" t="s">
        <v>149</v>
      </c>
      <c r="E3805" s="3" t="s">
        <v>16</v>
      </c>
      <c r="F3805" s="5">
        <v>0</v>
      </c>
      <c r="G3805" s="5">
        <v>114</v>
      </c>
      <c r="H3805" s="6">
        <v>0</v>
      </c>
      <c r="I3805" s="22">
        <v>5641.86</v>
      </c>
      <c r="J3805" s="24">
        <f t="shared" si="177"/>
        <v>3.9093135893553673E-5</v>
      </c>
      <c r="K3805" s="25">
        <f t="shared" si="179"/>
        <v>0.97530715979634797</v>
      </c>
      <c r="L3805" s="26" t="s">
        <v>7518</v>
      </c>
      <c r="M3805" s="28"/>
      <c r="N3805" s="28"/>
      <c r="O3805" s="20" t="s">
        <v>7530</v>
      </c>
      <c r="P3805" s="27" t="str">
        <f t="shared" si="178"/>
        <v>vermelho</v>
      </c>
    </row>
    <row r="3806" spans="1:16" ht="25.5">
      <c r="A3806" s="3" t="s">
        <v>4</v>
      </c>
      <c r="B3806" s="3" t="s">
        <v>2816</v>
      </c>
      <c r="C3806" s="4">
        <v>217</v>
      </c>
      <c r="D3806" s="3" t="s">
        <v>91</v>
      </c>
      <c r="E3806" s="3" t="s">
        <v>16</v>
      </c>
      <c r="F3806" s="5">
        <v>66</v>
      </c>
      <c r="G3806" s="5">
        <v>102</v>
      </c>
      <c r="H3806" s="6">
        <v>3011.34</v>
      </c>
      <c r="I3806" s="22">
        <v>5637.09</v>
      </c>
      <c r="J3806" s="24">
        <f t="shared" si="177"/>
        <v>3.9060083981912437E-5</v>
      </c>
      <c r="K3806" s="25">
        <f t="shared" si="179"/>
        <v>0.97534621988032988</v>
      </c>
      <c r="L3806" s="26" t="s">
        <v>7518</v>
      </c>
      <c r="M3806" s="28"/>
      <c r="N3806" s="28"/>
      <c r="O3806" s="20" t="s">
        <v>7530</v>
      </c>
      <c r="P3806" s="27" t="str">
        <f t="shared" si="178"/>
        <v>vermelho</v>
      </c>
    </row>
    <row r="3807" spans="1:16">
      <c r="A3807" s="3" t="s">
        <v>4</v>
      </c>
      <c r="B3807" s="3" t="s">
        <v>2817</v>
      </c>
      <c r="C3807" s="4">
        <v>232</v>
      </c>
      <c r="D3807" s="3" t="s">
        <v>174</v>
      </c>
      <c r="E3807" s="3" t="s">
        <v>16</v>
      </c>
      <c r="F3807" s="5">
        <v>108</v>
      </c>
      <c r="G3807" s="5">
        <v>120</v>
      </c>
      <c r="H3807" s="6">
        <v>4896</v>
      </c>
      <c r="I3807" s="22">
        <v>5629.92</v>
      </c>
      <c r="J3807" s="24">
        <f t="shared" si="177"/>
        <v>3.9010402177621515E-5</v>
      </c>
      <c r="K3807" s="25">
        <f t="shared" si="179"/>
        <v>0.97538523028250745</v>
      </c>
      <c r="L3807" s="26" t="s">
        <v>7518</v>
      </c>
      <c r="M3807" s="28"/>
      <c r="N3807" s="28"/>
      <c r="O3807" s="20" t="s">
        <v>7530</v>
      </c>
      <c r="P3807" s="27" t="str">
        <f t="shared" si="178"/>
        <v>vermelho</v>
      </c>
    </row>
    <row r="3808" spans="1:16" ht="25.5">
      <c r="A3808" s="3" t="s">
        <v>4</v>
      </c>
      <c r="B3808" s="3" t="s">
        <v>2818</v>
      </c>
      <c r="C3808" s="4">
        <v>93</v>
      </c>
      <c r="D3808" s="3" t="s">
        <v>20</v>
      </c>
      <c r="E3808" s="3" t="s">
        <v>7</v>
      </c>
      <c r="F3808" s="5">
        <v>0</v>
      </c>
      <c r="G3808" s="5">
        <v>96</v>
      </c>
      <c r="H3808" s="6">
        <v>0</v>
      </c>
      <c r="I3808" s="22">
        <v>5627.04</v>
      </c>
      <c r="J3808" s="24">
        <f t="shared" si="177"/>
        <v>3.8990446306441895E-5</v>
      </c>
      <c r="K3808" s="25">
        <f t="shared" si="179"/>
        <v>0.97542422072881385</v>
      </c>
      <c r="L3808" s="26" t="s">
        <v>7518</v>
      </c>
      <c r="M3808" s="28"/>
      <c r="N3808" s="28"/>
      <c r="O3808" s="20" t="s">
        <v>7530</v>
      </c>
      <c r="P3808" s="27" t="str">
        <f t="shared" si="178"/>
        <v>vermelho</v>
      </c>
    </row>
    <row r="3809" spans="1:16" ht="38.25">
      <c r="A3809" s="3" t="s">
        <v>4</v>
      </c>
      <c r="B3809" s="3" t="s">
        <v>2819</v>
      </c>
      <c r="C3809" s="4">
        <v>301</v>
      </c>
      <c r="D3809" s="3" t="s">
        <v>519</v>
      </c>
      <c r="E3809" s="3" t="s">
        <v>16</v>
      </c>
      <c r="F3809" s="5">
        <v>84</v>
      </c>
      <c r="G3809" s="5">
        <v>120</v>
      </c>
      <c r="H3809" s="6">
        <v>5488.44</v>
      </c>
      <c r="I3809" s="22">
        <v>5623.32</v>
      </c>
      <c r="J3809" s="24">
        <f t="shared" si="177"/>
        <v>3.8964669972834889E-5</v>
      </c>
      <c r="K3809" s="25">
        <f t="shared" si="179"/>
        <v>0.97546318539878674</v>
      </c>
      <c r="L3809" s="26" t="s">
        <v>7518</v>
      </c>
      <c r="M3809" s="28"/>
      <c r="N3809" s="28"/>
      <c r="O3809" s="20" t="s">
        <v>7530</v>
      </c>
      <c r="P3809" s="27" t="str">
        <f t="shared" si="178"/>
        <v>vermelho</v>
      </c>
    </row>
    <row r="3810" spans="1:16" ht="25.5">
      <c r="A3810" s="3" t="s">
        <v>4</v>
      </c>
      <c r="B3810" s="3" t="s">
        <v>2820</v>
      </c>
      <c r="C3810" s="4">
        <v>178</v>
      </c>
      <c r="D3810" s="3" t="s">
        <v>74</v>
      </c>
      <c r="E3810" s="3" t="s">
        <v>7</v>
      </c>
      <c r="F3810" s="5">
        <v>0</v>
      </c>
      <c r="G3810" s="5">
        <v>108</v>
      </c>
      <c r="H3810" s="6">
        <v>0</v>
      </c>
      <c r="I3810" s="22">
        <v>5619.3</v>
      </c>
      <c r="J3810" s="24">
        <f t="shared" si="177"/>
        <v>3.8936814902646679E-5</v>
      </c>
      <c r="K3810" s="25">
        <f t="shared" si="179"/>
        <v>0.97550212221368937</v>
      </c>
      <c r="L3810" s="26" t="s">
        <v>7518</v>
      </c>
      <c r="M3810" s="28"/>
      <c r="N3810" s="28"/>
      <c r="O3810" s="20" t="s">
        <v>7530</v>
      </c>
      <c r="P3810" s="27" t="str">
        <f t="shared" si="178"/>
        <v>vermelho</v>
      </c>
    </row>
    <row r="3811" spans="1:16" ht="38.25">
      <c r="A3811" s="3" t="s">
        <v>4</v>
      </c>
      <c r="B3811" s="3" t="s">
        <v>2821</v>
      </c>
      <c r="C3811" s="4">
        <v>15</v>
      </c>
      <c r="D3811" s="3" t="s">
        <v>18</v>
      </c>
      <c r="E3811" s="3" t="s">
        <v>16</v>
      </c>
      <c r="F3811" s="5">
        <v>0</v>
      </c>
      <c r="G3811" s="5">
        <v>108</v>
      </c>
      <c r="H3811" s="6">
        <v>0</v>
      </c>
      <c r="I3811" s="22">
        <v>5604.84</v>
      </c>
      <c r="J3811" s="24">
        <f t="shared" si="177"/>
        <v>3.8836619799432351E-5</v>
      </c>
      <c r="K3811" s="25">
        <f t="shared" si="179"/>
        <v>0.97554095883348879</v>
      </c>
      <c r="L3811" s="26" t="s">
        <v>7518</v>
      </c>
      <c r="M3811" s="28"/>
      <c r="N3811" s="28"/>
      <c r="O3811" s="20" t="s">
        <v>7530</v>
      </c>
      <c r="P3811" s="27" t="str">
        <f t="shared" si="178"/>
        <v>vermelho</v>
      </c>
    </row>
    <row r="3812" spans="1:16" ht="25.5">
      <c r="A3812" s="3" t="s">
        <v>6938</v>
      </c>
      <c r="B3812" s="3" t="s">
        <v>6939</v>
      </c>
      <c r="C3812" s="4">
        <v>270</v>
      </c>
      <c r="D3812" s="3" t="s">
        <v>266</v>
      </c>
      <c r="E3812" s="3" t="s">
        <v>49</v>
      </c>
      <c r="F3812" s="5">
        <v>129</v>
      </c>
      <c r="G3812" s="5">
        <v>87</v>
      </c>
      <c r="H3812" s="6">
        <v>7970.9579999999996</v>
      </c>
      <c r="I3812" s="22">
        <v>5594.13</v>
      </c>
      <c r="J3812" s="24">
        <f t="shared" si="177"/>
        <v>3.8762408903483148E-5</v>
      </c>
      <c r="K3812" s="25">
        <f t="shared" si="179"/>
        <v>0.97557972124239223</v>
      </c>
      <c r="L3812" s="26" t="s">
        <v>7518</v>
      </c>
      <c r="M3812" s="28"/>
      <c r="N3812" s="28"/>
      <c r="O3812" s="20">
        <v>2769.84</v>
      </c>
      <c r="P3812" s="27" t="str">
        <f t="shared" si="178"/>
        <v>amarelo</v>
      </c>
    </row>
    <row r="3813" spans="1:16" ht="25.5">
      <c r="A3813" s="3" t="s">
        <v>4</v>
      </c>
      <c r="B3813" s="3" t="s">
        <v>2822</v>
      </c>
      <c r="C3813" s="4">
        <v>266</v>
      </c>
      <c r="D3813" s="3" t="s">
        <v>80</v>
      </c>
      <c r="E3813" s="3" t="s">
        <v>10</v>
      </c>
      <c r="F3813" s="5">
        <v>0</v>
      </c>
      <c r="G3813" s="5">
        <v>108</v>
      </c>
      <c r="H3813" s="6">
        <v>0</v>
      </c>
      <c r="I3813" s="22">
        <v>5585.28</v>
      </c>
      <c r="J3813" s="24">
        <f t="shared" si="177"/>
        <v>3.8701086174337449E-5</v>
      </c>
      <c r="K3813" s="25">
        <f t="shared" si="179"/>
        <v>0.97561842232856655</v>
      </c>
      <c r="L3813" s="26" t="s">
        <v>7518</v>
      </c>
      <c r="M3813" s="28"/>
      <c r="N3813" s="28"/>
      <c r="O3813" s="20" t="s">
        <v>7530</v>
      </c>
      <c r="P3813" s="27" t="str">
        <f t="shared" si="178"/>
        <v>vermelho</v>
      </c>
    </row>
    <row r="3814" spans="1:16" ht="38.25">
      <c r="A3814" s="3" t="s">
        <v>4</v>
      </c>
      <c r="B3814" s="3" t="s">
        <v>2823</v>
      </c>
      <c r="C3814" s="4">
        <v>266</v>
      </c>
      <c r="D3814" s="3" t="s">
        <v>80</v>
      </c>
      <c r="E3814" s="3" t="s">
        <v>10</v>
      </c>
      <c r="F3814" s="5">
        <v>171</v>
      </c>
      <c r="G3814" s="5">
        <v>72</v>
      </c>
      <c r="H3814" s="6">
        <v>9989.73</v>
      </c>
      <c r="I3814" s="22">
        <v>5568.48</v>
      </c>
      <c r="J3814" s="24">
        <f t="shared" si="177"/>
        <v>3.8584676925789682E-5</v>
      </c>
      <c r="K3814" s="25">
        <f t="shared" si="179"/>
        <v>0.97565700700549229</v>
      </c>
      <c r="L3814" s="26" t="s">
        <v>7518</v>
      </c>
      <c r="M3814" s="28"/>
      <c r="N3814" s="28"/>
      <c r="O3814" s="20" t="s">
        <v>7530</v>
      </c>
      <c r="P3814" s="27" t="str">
        <f t="shared" si="178"/>
        <v>vermelho</v>
      </c>
    </row>
    <row r="3815" spans="1:16" ht="38.25">
      <c r="A3815" s="3" t="s">
        <v>4</v>
      </c>
      <c r="B3815" s="3" t="s">
        <v>2824</v>
      </c>
      <c r="C3815" s="4">
        <v>371</v>
      </c>
      <c r="D3815" s="3" t="s">
        <v>82</v>
      </c>
      <c r="E3815" s="3" t="s">
        <v>49</v>
      </c>
      <c r="F3815" s="5">
        <v>279</v>
      </c>
      <c r="G3815" s="5">
        <v>117</v>
      </c>
      <c r="H3815" s="6">
        <v>15070.41</v>
      </c>
      <c r="I3815" s="22">
        <v>5560.8</v>
      </c>
      <c r="J3815" s="24">
        <f t="shared" si="177"/>
        <v>3.8531461269310706E-5</v>
      </c>
      <c r="K3815" s="25">
        <f t="shared" si="179"/>
        <v>0.9756955384667616</v>
      </c>
      <c r="L3815" s="26" t="s">
        <v>7518</v>
      </c>
      <c r="M3815" s="28"/>
      <c r="N3815" s="28"/>
      <c r="O3815" s="20" t="s">
        <v>7530</v>
      </c>
      <c r="P3815" s="27" t="str">
        <f t="shared" si="178"/>
        <v>vermelho</v>
      </c>
    </row>
    <row r="3816" spans="1:16" ht="25.5">
      <c r="A3816" s="3" t="s">
        <v>4</v>
      </c>
      <c r="B3816" s="3" t="s">
        <v>2825</v>
      </c>
      <c r="C3816" s="4">
        <v>299</v>
      </c>
      <c r="D3816" s="3" t="s">
        <v>111</v>
      </c>
      <c r="E3816" s="3" t="s">
        <v>49</v>
      </c>
      <c r="F3816" s="5">
        <v>0</v>
      </c>
      <c r="G3816" s="5">
        <v>123</v>
      </c>
      <c r="H3816" s="6">
        <v>0</v>
      </c>
      <c r="I3816" s="22">
        <v>5554.77</v>
      </c>
      <c r="J3816" s="24">
        <f t="shared" si="177"/>
        <v>3.8489678664028381E-5</v>
      </c>
      <c r="K3816" s="25">
        <f t="shared" si="179"/>
        <v>0.97573402814542565</v>
      </c>
      <c r="L3816" s="26" t="s">
        <v>7518</v>
      </c>
      <c r="M3816" s="28"/>
      <c r="N3816" s="28"/>
      <c r="O3816" s="20" t="s">
        <v>7530</v>
      </c>
      <c r="P3816" s="27" t="str">
        <f t="shared" si="178"/>
        <v>vermelho</v>
      </c>
    </row>
    <row r="3817" spans="1:16" ht="51">
      <c r="A3817" s="3" t="s">
        <v>4</v>
      </c>
      <c r="B3817" s="3" t="s">
        <v>2826</v>
      </c>
      <c r="C3817" s="4">
        <v>282</v>
      </c>
      <c r="D3817" s="3" t="s">
        <v>12</v>
      </c>
      <c r="E3817" s="3" t="s">
        <v>13</v>
      </c>
      <c r="F3817" s="5">
        <v>108</v>
      </c>
      <c r="G3817" s="5">
        <v>81</v>
      </c>
      <c r="H3817" s="6">
        <v>4406.5200000000004</v>
      </c>
      <c r="I3817" s="22">
        <v>5553.567</v>
      </c>
      <c r="J3817" s="24">
        <f t="shared" si="177"/>
        <v>3.8481342930337725E-5</v>
      </c>
      <c r="K3817" s="25">
        <f t="shared" si="179"/>
        <v>0.97577250948835603</v>
      </c>
      <c r="L3817" s="26" t="s">
        <v>7518</v>
      </c>
      <c r="M3817" s="28"/>
      <c r="N3817" s="28"/>
      <c r="O3817" s="20" t="s">
        <v>7530</v>
      </c>
      <c r="P3817" s="27" t="str">
        <f t="shared" si="178"/>
        <v>vermelho</v>
      </c>
    </row>
    <row r="3818" spans="1:16" ht="38.25">
      <c r="A3818" s="3" t="s">
        <v>4</v>
      </c>
      <c r="B3818" s="3" t="s">
        <v>2827</v>
      </c>
      <c r="C3818" s="4">
        <v>11</v>
      </c>
      <c r="D3818" s="3" t="s">
        <v>61</v>
      </c>
      <c r="E3818" s="3" t="s">
        <v>10</v>
      </c>
      <c r="F3818" s="5">
        <v>0</v>
      </c>
      <c r="G3818" s="5">
        <v>96</v>
      </c>
      <c r="H3818" s="6">
        <v>0</v>
      </c>
      <c r="I3818" s="22">
        <v>5552.28</v>
      </c>
      <c r="J3818" s="24">
        <f t="shared" si="177"/>
        <v>3.8472425150404337E-5</v>
      </c>
      <c r="K3818" s="25">
        <f t="shared" si="179"/>
        <v>0.97581098191350646</v>
      </c>
      <c r="L3818" s="26" t="s">
        <v>7518</v>
      </c>
      <c r="M3818" s="28"/>
      <c r="N3818" s="28"/>
      <c r="O3818" s="20" t="s">
        <v>7530</v>
      </c>
      <c r="P3818" s="27" t="str">
        <f t="shared" si="178"/>
        <v>vermelho</v>
      </c>
    </row>
    <row r="3819" spans="1:16">
      <c r="A3819" s="3" t="s">
        <v>4</v>
      </c>
      <c r="B3819" s="3" t="s">
        <v>2828</v>
      </c>
      <c r="C3819" s="4">
        <v>217</v>
      </c>
      <c r="D3819" s="3" t="s">
        <v>91</v>
      </c>
      <c r="E3819" s="3" t="s">
        <v>16</v>
      </c>
      <c r="F3819" s="5">
        <v>363</v>
      </c>
      <c r="G3819" s="5">
        <v>72</v>
      </c>
      <c r="H3819" s="6">
        <v>21393.81</v>
      </c>
      <c r="I3819" s="22">
        <v>5543.28</v>
      </c>
      <c r="J3819" s="24">
        <f t="shared" si="177"/>
        <v>3.8410063052968032E-5</v>
      </c>
      <c r="K3819" s="25">
        <f t="shared" si="179"/>
        <v>0.9758493919765594</v>
      </c>
      <c r="L3819" s="26" t="s">
        <v>7518</v>
      </c>
      <c r="M3819" s="28"/>
      <c r="N3819" s="28"/>
      <c r="O3819" s="20" t="s">
        <v>7530</v>
      </c>
      <c r="P3819" s="27" t="str">
        <f t="shared" si="178"/>
        <v>vermelho</v>
      </c>
    </row>
    <row r="3820" spans="1:16" ht="25.5">
      <c r="A3820" s="3" t="s">
        <v>4</v>
      </c>
      <c r="B3820" s="3" t="s">
        <v>2829</v>
      </c>
      <c r="C3820" s="4">
        <v>208</v>
      </c>
      <c r="D3820" s="3" t="s">
        <v>15</v>
      </c>
      <c r="E3820" s="3" t="s">
        <v>16</v>
      </c>
      <c r="F3820" s="5">
        <v>0</v>
      </c>
      <c r="G3820" s="5">
        <v>108</v>
      </c>
      <c r="H3820" s="6">
        <v>0</v>
      </c>
      <c r="I3820" s="22">
        <v>5539.56</v>
      </c>
      <c r="J3820" s="24">
        <f t="shared" si="177"/>
        <v>3.8384286719361033E-5</v>
      </c>
      <c r="K3820" s="25">
        <f t="shared" si="179"/>
        <v>0.97588777626327872</v>
      </c>
      <c r="L3820" s="26" t="s">
        <v>7518</v>
      </c>
      <c r="M3820" s="28"/>
      <c r="N3820" s="28"/>
      <c r="O3820" s="20" t="s">
        <v>7530</v>
      </c>
      <c r="P3820" s="27" t="str">
        <f t="shared" si="178"/>
        <v>vermelho</v>
      </c>
    </row>
    <row r="3821" spans="1:16" ht="25.5">
      <c r="A3821" s="3" t="s">
        <v>6940</v>
      </c>
      <c r="B3821" s="3" t="s">
        <v>6941</v>
      </c>
      <c r="C3821" s="4">
        <v>327</v>
      </c>
      <c r="D3821" s="3" t="s">
        <v>100</v>
      </c>
      <c r="E3821" s="3" t="s">
        <v>7</v>
      </c>
      <c r="F3821" s="5">
        <v>54</v>
      </c>
      <c r="G3821" s="5">
        <v>84</v>
      </c>
      <c r="H3821" s="6">
        <v>3401.46</v>
      </c>
      <c r="I3821" s="22">
        <v>5539.56</v>
      </c>
      <c r="J3821" s="24">
        <f t="shared" si="177"/>
        <v>3.8384286719361033E-5</v>
      </c>
      <c r="K3821" s="25">
        <f t="shared" si="179"/>
        <v>0.97592616054999803</v>
      </c>
      <c r="L3821" s="26" t="s">
        <v>7518</v>
      </c>
      <c r="M3821" s="28"/>
      <c r="N3821" s="28"/>
      <c r="O3821" s="20">
        <v>5945.1</v>
      </c>
      <c r="P3821" s="27" t="str">
        <f t="shared" si="178"/>
        <v>verde</v>
      </c>
    </row>
    <row r="3822" spans="1:16" ht="25.5">
      <c r="A3822" s="3" t="s">
        <v>4</v>
      </c>
      <c r="B3822" s="3" t="s">
        <v>2830</v>
      </c>
      <c r="C3822" s="4">
        <v>261</v>
      </c>
      <c r="D3822" s="3" t="s">
        <v>9</v>
      </c>
      <c r="E3822" s="3" t="s">
        <v>10</v>
      </c>
      <c r="F3822" s="5">
        <v>108</v>
      </c>
      <c r="G3822" s="5">
        <v>84</v>
      </c>
      <c r="H3822" s="6">
        <v>5141.82</v>
      </c>
      <c r="I3822" s="22">
        <v>5539.44</v>
      </c>
      <c r="J3822" s="24">
        <f t="shared" si="177"/>
        <v>3.838345522472854E-5</v>
      </c>
      <c r="K3822" s="25">
        <f t="shared" si="179"/>
        <v>0.97596454400522281</v>
      </c>
      <c r="L3822" s="26" t="s">
        <v>7518</v>
      </c>
      <c r="M3822" s="28"/>
      <c r="N3822" s="28"/>
      <c r="O3822" s="20" t="s">
        <v>7530</v>
      </c>
      <c r="P3822" s="27" t="str">
        <f t="shared" si="178"/>
        <v>vermelho</v>
      </c>
    </row>
    <row r="3823" spans="1:16" ht="38.25">
      <c r="A3823" s="3" t="s">
        <v>4</v>
      </c>
      <c r="B3823" s="3" t="s">
        <v>2831</v>
      </c>
      <c r="C3823" s="4">
        <v>45</v>
      </c>
      <c r="D3823" s="3" t="s">
        <v>23</v>
      </c>
      <c r="E3823" s="3" t="s">
        <v>7</v>
      </c>
      <c r="F3823" s="5">
        <v>0</v>
      </c>
      <c r="G3823" s="5">
        <v>84</v>
      </c>
      <c r="H3823" s="6">
        <v>0</v>
      </c>
      <c r="I3823" s="22">
        <v>5539.44</v>
      </c>
      <c r="J3823" s="24">
        <f t="shared" si="177"/>
        <v>3.838345522472854E-5</v>
      </c>
      <c r="K3823" s="25">
        <f t="shared" si="179"/>
        <v>0.97600292746044759</v>
      </c>
      <c r="L3823" s="26" t="s">
        <v>7518</v>
      </c>
      <c r="M3823" s="28"/>
      <c r="N3823" s="28"/>
      <c r="O3823" s="20">
        <v>3879.81</v>
      </c>
      <c r="P3823" s="27" t="str">
        <f t="shared" si="178"/>
        <v>laranja</v>
      </c>
    </row>
    <row r="3824" spans="1:16" ht="25.5">
      <c r="A3824" s="3" t="s">
        <v>4</v>
      </c>
      <c r="B3824" s="3" t="s">
        <v>2832</v>
      </c>
      <c r="C3824" s="4">
        <v>297</v>
      </c>
      <c r="D3824" s="3" t="s">
        <v>115</v>
      </c>
      <c r="E3824" s="3" t="s">
        <v>41</v>
      </c>
      <c r="F3824" s="5">
        <v>261</v>
      </c>
      <c r="G3824" s="5">
        <v>126</v>
      </c>
      <c r="H3824" s="6">
        <v>13912.218000000001</v>
      </c>
      <c r="I3824" s="22">
        <v>5536.05</v>
      </c>
      <c r="J3824" s="24">
        <f t="shared" si="177"/>
        <v>3.8359965501360871E-5</v>
      </c>
      <c r="K3824" s="25">
        <f t="shared" si="179"/>
        <v>0.97604128742594898</v>
      </c>
      <c r="L3824" s="26" t="s">
        <v>7518</v>
      </c>
      <c r="M3824" s="28"/>
      <c r="N3824" s="28"/>
      <c r="O3824" s="20" t="s">
        <v>7530</v>
      </c>
      <c r="P3824" s="27" t="str">
        <f t="shared" si="178"/>
        <v>vermelho</v>
      </c>
    </row>
    <row r="3825" spans="1:16" ht="25.5">
      <c r="A3825" s="3" t="s">
        <v>4</v>
      </c>
      <c r="B3825" s="3" t="s">
        <v>2833</v>
      </c>
      <c r="C3825" s="4">
        <v>264</v>
      </c>
      <c r="D3825" s="3" t="s">
        <v>40</v>
      </c>
      <c r="E3825" s="3" t="s">
        <v>41</v>
      </c>
      <c r="F3825" s="5">
        <v>0</v>
      </c>
      <c r="G3825" s="5">
        <v>108</v>
      </c>
      <c r="H3825" s="6">
        <v>0</v>
      </c>
      <c r="I3825" s="22">
        <v>5531.4</v>
      </c>
      <c r="J3825" s="24">
        <f t="shared" si="177"/>
        <v>3.8327745084352107E-5</v>
      </c>
      <c r="K3825" s="25">
        <f t="shared" si="179"/>
        <v>0.97607961517103337</v>
      </c>
      <c r="L3825" s="26" t="s">
        <v>7518</v>
      </c>
      <c r="M3825" s="28"/>
      <c r="N3825" s="28"/>
      <c r="O3825" s="20" t="s">
        <v>7530</v>
      </c>
      <c r="P3825" s="27" t="str">
        <f t="shared" si="178"/>
        <v>vermelho</v>
      </c>
    </row>
    <row r="3826" spans="1:16" ht="25.5">
      <c r="A3826" s="3" t="s">
        <v>4</v>
      </c>
      <c r="B3826" s="3" t="s">
        <v>2834</v>
      </c>
      <c r="C3826" s="4">
        <v>197</v>
      </c>
      <c r="D3826" s="3" t="s">
        <v>66</v>
      </c>
      <c r="E3826" s="3" t="s">
        <v>41</v>
      </c>
      <c r="F3826" s="5">
        <v>96</v>
      </c>
      <c r="G3826" s="5">
        <v>84</v>
      </c>
      <c r="H3826" s="6">
        <v>5662.9560000000001</v>
      </c>
      <c r="I3826" s="22">
        <v>5528.21</v>
      </c>
      <c r="J3826" s="24">
        <f t="shared" si="177"/>
        <v>3.8305641185371914E-5</v>
      </c>
      <c r="K3826" s="25">
        <f t="shared" si="179"/>
        <v>0.97611792081221871</v>
      </c>
      <c r="L3826" s="26" t="s">
        <v>7518</v>
      </c>
      <c r="M3826" s="28"/>
      <c r="N3826" s="28"/>
      <c r="O3826" s="20">
        <v>2006.86</v>
      </c>
      <c r="P3826" s="27" t="str">
        <f t="shared" si="178"/>
        <v>amarelo</v>
      </c>
    </row>
    <row r="3827" spans="1:16" ht="25.5">
      <c r="A3827" s="3" t="s">
        <v>4</v>
      </c>
      <c r="B3827" s="3" t="s">
        <v>2835</v>
      </c>
      <c r="C3827" s="4">
        <v>31</v>
      </c>
      <c r="D3827" s="3" t="s">
        <v>194</v>
      </c>
      <c r="E3827" s="3" t="s">
        <v>16</v>
      </c>
      <c r="F3827" s="5">
        <v>48</v>
      </c>
      <c r="G3827" s="5">
        <v>84</v>
      </c>
      <c r="H3827" s="6">
        <v>3309.12</v>
      </c>
      <c r="I3827" s="22">
        <v>5527.56</v>
      </c>
      <c r="J3827" s="24">
        <f t="shared" si="177"/>
        <v>3.8301137256112629E-5</v>
      </c>
      <c r="K3827" s="25">
        <f t="shared" si="179"/>
        <v>0.97615622194947482</v>
      </c>
      <c r="L3827" s="26" t="s">
        <v>7518</v>
      </c>
      <c r="M3827" s="28"/>
      <c r="N3827" s="28"/>
      <c r="O3827" s="20" t="s">
        <v>7530</v>
      </c>
      <c r="P3827" s="27" t="str">
        <f t="shared" si="178"/>
        <v>vermelho</v>
      </c>
    </row>
    <row r="3828" spans="1:16" ht="25.5">
      <c r="A3828" s="3" t="s">
        <v>4</v>
      </c>
      <c r="B3828" s="3" t="s">
        <v>2836</v>
      </c>
      <c r="C3828" s="4">
        <v>194</v>
      </c>
      <c r="D3828" s="3" t="s">
        <v>145</v>
      </c>
      <c r="E3828" s="3" t="s">
        <v>16</v>
      </c>
      <c r="F3828" s="5">
        <v>72</v>
      </c>
      <c r="G3828" s="5">
        <v>84</v>
      </c>
      <c r="H3828" s="6">
        <v>4247.28</v>
      </c>
      <c r="I3828" s="22">
        <v>5526.84</v>
      </c>
      <c r="J3828" s="24">
        <f t="shared" si="177"/>
        <v>3.8296148288317722E-5</v>
      </c>
      <c r="K3828" s="25">
        <f t="shared" si="179"/>
        <v>0.97619451809776314</v>
      </c>
      <c r="L3828" s="26" t="s">
        <v>7518</v>
      </c>
      <c r="M3828" s="28"/>
      <c r="N3828" s="28"/>
      <c r="O3828" s="20" t="s">
        <v>7530</v>
      </c>
      <c r="P3828" s="27" t="str">
        <f t="shared" si="178"/>
        <v>vermelho</v>
      </c>
    </row>
    <row r="3829" spans="1:16" ht="25.5">
      <c r="A3829" s="3" t="s">
        <v>4</v>
      </c>
      <c r="B3829" s="3" t="s">
        <v>2837</v>
      </c>
      <c r="C3829" s="4">
        <v>23</v>
      </c>
      <c r="D3829" s="3" t="s">
        <v>87</v>
      </c>
      <c r="E3829" s="3" t="s">
        <v>7</v>
      </c>
      <c r="F3829" s="5">
        <v>108</v>
      </c>
      <c r="G3829" s="5">
        <v>93</v>
      </c>
      <c r="H3829" s="6">
        <v>6262.08</v>
      </c>
      <c r="I3829" s="22">
        <v>5526.06</v>
      </c>
      <c r="J3829" s="24">
        <f t="shared" si="177"/>
        <v>3.8290743573206576E-5</v>
      </c>
      <c r="K3829" s="25">
        <f t="shared" si="179"/>
        <v>0.97623280884133634</v>
      </c>
      <c r="L3829" s="26" t="s">
        <v>7518</v>
      </c>
      <c r="M3829" s="28"/>
      <c r="N3829" s="28"/>
      <c r="O3829" s="20" t="s">
        <v>7530</v>
      </c>
      <c r="P3829" s="27" t="str">
        <f t="shared" si="178"/>
        <v>vermelho</v>
      </c>
    </row>
    <row r="3830" spans="1:16" ht="38.25">
      <c r="A3830" s="3" t="s">
        <v>4</v>
      </c>
      <c r="B3830" s="3" t="s">
        <v>2838</v>
      </c>
      <c r="C3830" s="4">
        <v>292</v>
      </c>
      <c r="D3830" s="3" t="s">
        <v>57</v>
      </c>
      <c r="E3830" s="3" t="s">
        <v>49</v>
      </c>
      <c r="F3830" s="5">
        <v>228</v>
      </c>
      <c r="G3830" s="5">
        <v>102</v>
      </c>
      <c r="H3830" s="6">
        <v>11261.16</v>
      </c>
      <c r="I3830" s="22">
        <v>5513.34</v>
      </c>
      <c r="J3830" s="24">
        <f t="shared" si="177"/>
        <v>3.8202605142163265E-5</v>
      </c>
      <c r="K3830" s="25">
        <f t="shared" si="179"/>
        <v>0.97627101144647854</v>
      </c>
      <c r="L3830" s="26" t="s">
        <v>7518</v>
      </c>
      <c r="M3830" s="28"/>
      <c r="N3830" s="28"/>
      <c r="O3830" s="20" t="s">
        <v>7530</v>
      </c>
      <c r="P3830" s="27" t="str">
        <f t="shared" si="178"/>
        <v>vermelho</v>
      </c>
    </row>
    <row r="3831" spans="1:16" ht="25.5">
      <c r="A3831" s="3" t="s">
        <v>4</v>
      </c>
      <c r="B3831" s="3" t="s">
        <v>2839</v>
      </c>
      <c r="C3831" s="4">
        <v>317</v>
      </c>
      <c r="D3831" s="3" t="s">
        <v>78</v>
      </c>
      <c r="E3831" s="3" t="s">
        <v>10</v>
      </c>
      <c r="F3831" s="5">
        <v>306</v>
      </c>
      <c r="G3831" s="5">
        <v>78</v>
      </c>
      <c r="H3831" s="6">
        <v>15804.9</v>
      </c>
      <c r="I3831" s="22">
        <v>5513.04</v>
      </c>
      <c r="J3831" s="24">
        <f t="shared" si="177"/>
        <v>3.8200526405582054E-5</v>
      </c>
      <c r="K3831" s="25">
        <f t="shared" si="179"/>
        <v>0.97630921197288412</v>
      </c>
      <c r="L3831" s="26" t="s">
        <v>7518</v>
      </c>
      <c r="M3831" s="28"/>
      <c r="N3831" s="28"/>
      <c r="O3831" s="20" t="s">
        <v>7530</v>
      </c>
      <c r="P3831" s="27" t="str">
        <f t="shared" si="178"/>
        <v>vermelho</v>
      </c>
    </row>
    <row r="3832" spans="1:16" ht="25.5">
      <c r="A3832" s="3" t="s">
        <v>4</v>
      </c>
      <c r="B3832" s="3" t="s">
        <v>2840</v>
      </c>
      <c r="C3832" s="4">
        <v>23</v>
      </c>
      <c r="D3832" s="3" t="s">
        <v>87</v>
      </c>
      <c r="E3832" s="3" t="s">
        <v>7</v>
      </c>
      <c r="F3832" s="5">
        <v>198</v>
      </c>
      <c r="G3832" s="5">
        <v>84</v>
      </c>
      <c r="H3832" s="6">
        <v>10971.9</v>
      </c>
      <c r="I3832" s="22">
        <v>5512.98</v>
      </c>
      <c r="J3832" s="24">
        <f t="shared" si="177"/>
        <v>3.8200110658265808E-5</v>
      </c>
      <c r="K3832" s="25">
        <f t="shared" si="179"/>
        <v>0.97634741208354237</v>
      </c>
      <c r="L3832" s="26" t="s">
        <v>7518</v>
      </c>
      <c r="M3832" s="28"/>
      <c r="N3832" s="28"/>
      <c r="O3832" s="20">
        <v>4126.08</v>
      </c>
      <c r="P3832" s="27" t="str">
        <f t="shared" si="178"/>
        <v>laranja</v>
      </c>
    </row>
    <row r="3833" spans="1:16" ht="25.5">
      <c r="A3833" s="3" t="s">
        <v>4</v>
      </c>
      <c r="B3833" s="3" t="s">
        <v>2841</v>
      </c>
      <c r="C3833" s="4">
        <v>218</v>
      </c>
      <c r="D3833" s="3" t="s">
        <v>104</v>
      </c>
      <c r="E3833" s="3" t="s">
        <v>16</v>
      </c>
      <c r="F3833" s="5">
        <v>114</v>
      </c>
      <c r="G3833" s="5">
        <v>90</v>
      </c>
      <c r="H3833" s="6">
        <v>6565.74</v>
      </c>
      <c r="I3833" s="22">
        <v>5512.8</v>
      </c>
      <c r="J3833" s="24">
        <f t="shared" si="177"/>
        <v>3.8198863416317083E-5</v>
      </c>
      <c r="K3833" s="25">
        <f t="shared" si="179"/>
        <v>0.97638561094695864</v>
      </c>
      <c r="L3833" s="26" t="s">
        <v>7518</v>
      </c>
      <c r="M3833" s="28"/>
      <c r="N3833" s="28"/>
      <c r="O3833" s="20" t="s">
        <v>7530</v>
      </c>
      <c r="P3833" s="27" t="str">
        <f t="shared" si="178"/>
        <v>vermelho</v>
      </c>
    </row>
    <row r="3834" spans="1:16" ht="25.5">
      <c r="A3834" s="3" t="s">
        <v>4</v>
      </c>
      <c r="B3834" s="3" t="s">
        <v>2185</v>
      </c>
      <c r="C3834" s="4">
        <v>19</v>
      </c>
      <c r="D3834" s="3" t="s">
        <v>72</v>
      </c>
      <c r="E3834" s="3" t="s">
        <v>7</v>
      </c>
      <c r="F3834" s="5">
        <v>0</v>
      </c>
      <c r="G3834" s="5">
        <v>96</v>
      </c>
      <c r="H3834" s="6">
        <v>0</v>
      </c>
      <c r="I3834" s="22">
        <v>5511.36</v>
      </c>
      <c r="J3834" s="24">
        <f t="shared" si="177"/>
        <v>3.8188885480727276E-5</v>
      </c>
      <c r="K3834" s="25">
        <f t="shared" si="179"/>
        <v>0.97642379983243932</v>
      </c>
      <c r="L3834" s="26" t="s">
        <v>7518</v>
      </c>
      <c r="M3834" s="28"/>
      <c r="N3834" s="28"/>
      <c r="O3834" s="20" t="s">
        <v>7530</v>
      </c>
      <c r="P3834" s="27" t="str">
        <f t="shared" si="178"/>
        <v>vermelho</v>
      </c>
    </row>
    <row r="3835" spans="1:16" ht="25.5">
      <c r="A3835" s="3" t="s">
        <v>6942</v>
      </c>
      <c r="B3835" s="3" t="s">
        <v>6943</v>
      </c>
      <c r="C3835" s="4">
        <v>197</v>
      </c>
      <c r="D3835" s="3" t="s">
        <v>66</v>
      </c>
      <c r="E3835" s="3" t="s">
        <v>41</v>
      </c>
      <c r="F3835" s="5">
        <v>99</v>
      </c>
      <c r="G3835" s="5">
        <v>102</v>
      </c>
      <c r="H3835" s="6">
        <v>5410.1549999999997</v>
      </c>
      <c r="I3835" s="22">
        <v>5494.95</v>
      </c>
      <c r="J3835" s="24">
        <f t="shared" si="177"/>
        <v>3.8075178589735079E-5</v>
      </c>
      <c r="K3835" s="25">
        <f t="shared" si="179"/>
        <v>0.9764618750110291</v>
      </c>
      <c r="L3835" s="26" t="s">
        <v>7518</v>
      </c>
      <c r="M3835" s="28"/>
      <c r="N3835" s="28"/>
      <c r="O3835" s="20" t="s">
        <v>7530</v>
      </c>
      <c r="P3835" s="27" t="str">
        <f t="shared" si="178"/>
        <v>vermelho</v>
      </c>
    </row>
    <row r="3836" spans="1:16" ht="25.5">
      <c r="A3836" s="3" t="s">
        <v>4</v>
      </c>
      <c r="B3836" s="3" t="s">
        <v>2842</v>
      </c>
      <c r="C3836" s="4">
        <v>299</v>
      </c>
      <c r="D3836" s="3" t="s">
        <v>111</v>
      </c>
      <c r="E3836" s="3" t="s">
        <v>49</v>
      </c>
      <c r="F3836" s="5">
        <v>0</v>
      </c>
      <c r="G3836" s="5">
        <v>114</v>
      </c>
      <c r="H3836" s="6">
        <v>0</v>
      </c>
      <c r="I3836" s="22">
        <v>5494.86</v>
      </c>
      <c r="J3836" s="24">
        <f t="shared" si="177"/>
        <v>3.807455496876072E-5</v>
      </c>
      <c r="K3836" s="25">
        <f t="shared" si="179"/>
        <v>0.97649994956599784</v>
      </c>
      <c r="L3836" s="26" t="s">
        <v>7518</v>
      </c>
      <c r="M3836" s="28"/>
      <c r="N3836" s="28"/>
      <c r="O3836" s="20" t="s">
        <v>7530</v>
      </c>
      <c r="P3836" s="27" t="str">
        <f t="shared" si="178"/>
        <v>vermelho</v>
      </c>
    </row>
    <row r="3837" spans="1:16">
      <c r="A3837" s="3" t="s">
        <v>4</v>
      </c>
      <c r="B3837" s="3" t="s">
        <v>2843</v>
      </c>
      <c r="C3837" s="4">
        <v>232</v>
      </c>
      <c r="D3837" s="3" t="s">
        <v>174</v>
      </c>
      <c r="E3837" s="3" t="s">
        <v>16</v>
      </c>
      <c r="F3837" s="5">
        <v>72</v>
      </c>
      <c r="G3837" s="5">
        <v>96</v>
      </c>
      <c r="H3837" s="6">
        <v>5451.96</v>
      </c>
      <c r="I3837" s="22">
        <v>5487.6</v>
      </c>
      <c r="J3837" s="24">
        <f t="shared" si="177"/>
        <v>3.802424954349544E-5</v>
      </c>
      <c r="K3837" s="25">
        <f t="shared" si="179"/>
        <v>0.9765379738155413</v>
      </c>
      <c r="L3837" s="26" t="s">
        <v>7518</v>
      </c>
      <c r="M3837" s="28"/>
      <c r="N3837" s="28"/>
      <c r="O3837" s="20" t="s">
        <v>7530</v>
      </c>
      <c r="P3837" s="27" t="str">
        <f t="shared" si="178"/>
        <v>vermelho</v>
      </c>
    </row>
    <row r="3838" spans="1:16" ht="25.5">
      <c r="A3838" s="3" t="s">
        <v>4</v>
      </c>
      <c r="B3838" s="3" t="s">
        <v>2844</v>
      </c>
      <c r="C3838" s="4">
        <v>194</v>
      </c>
      <c r="D3838" s="3" t="s">
        <v>145</v>
      </c>
      <c r="E3838" s="3" t="s">
        <v>16</v>
      </c>
      <c r="F3838" s="5">
        <v>0</v>
      </c>
      <c r="G3838" s="5">
        <v>108</v>
      </c>
      <c r="H3838" s="6">
        <v>0</v>
      </c>
      <c r="I3838" s="22">
        <v>5487</v>
      </c>
      <c r="J3838" s="24">
        <f t="shared" si="177"/>
        <v>3.8020092070333018E-5</v>
      </c>
      <c r="K3838" s="25">
        <f t="shared" si="179"/>
        <v>0.97657599390761163</v>
      </c>
      <c r="L3838" s="26" t="s">
        <v>7518</v>
      </c>
      <c r="M3838" s="28"/>
      <c r="N3838" s="28"/>
      <c r="O3838" s="20" t="s">
        <v>7530</v>
      </c>
      <c r="P3838" s="27" t="str">
        <f t="shared" si="178"/>
        <v>vermelho</v>
      </c>
    </row>
    <row r="3839" spans="1:16" ht="25.5">
      <c r="A3839" s="3" t="s">
        <v>4</v>
      </c>
      <c r="B3839" s="3" t="s">
        <v>2845</v>
      </c>
      <c r="C3839" s="4">
        <v>231</v>
      </c>
      <c r="D3839" s="3" t="s">
        <v>52</v>
      </c>
      <c r="E3839" s="3" t="s">
        <v>7</v>
      </c>
      <c r="F3839" s="5">
        <v>592</v>
      </c>
      <c r="G3839" s="5">
        <v>102</v>
      </c>
      <c r="H3839" s="6">
        <v>34319.300000000003</v>
      </c>
      <c r="I3839" s="22">
        <v>5486.34</v>
      </c>
      <c r="J3839" s="24">
        <f t="shared" si="177"/>
        <v>3.8015518849854351E-5</v>
      </c>
      <c r="K3839" s="25">
        <f t="shared" si="179"/>
        <v>0.97661400942646148</v>
      </c>
      <c r="L3839" s="26" t="s">
        <v>7518</v>
      </c>
      <c r="M3839" s="28"/>
      <c r="N3839" s="28"/>
      <c r="O3839" s="20">
        <v>13021.02</v>
      </c>
      <c r="P3839" s="27" t="str">
        <f t="shared" si="178"/>
        <v>verde</v>
      </c>
    </row>
    <row r="3840" spans="1:16" ht="25.5">
      <c r="A3840" s="3" t="s">
        <v>4</v>
      </c>
      <c r="B3840" s="3" t="s">
        <v>2846</v>
      </c>
      <c r="C3840" s="4">
        <v>15</v>
      </c>
      <c r="D3840" s="3" t="s">
        <v>18</v>
      </c>
      <c r="E3840" s="3" t="s">
        <v>16</v>
      </c>
      <c r="F3840" s="5">
        <v>0</v>
      </c>
      <c r="G3840" s="5">
        <v>84</v>
      </c>
      <c r="H3840" s="6">
        <v>0</v>
      </c>
      <c r="I3840" s="22">
        <v>5476.56</v>
      </c>
      <c r="J3840" s="24">
        <f t="shared" si="177"/>
        <v>3.7947752037306907E-5</v>
      </c>
      <c r="K3840" s="25">
        <f t="shared" si="179"/>
        <v>0.97665195717849884</v>
      </c>
      <c r="L3840" s="26" t="s">
        <v>7518</v>
      </c>
      <c r="M3840" s="28"/>
      <c r="N3840" s="28"/>
      <c r="O3840" s="20" t="s">
        <v>7530</v>
      </c>
      <c r="P3840" s="27" t="str">
        <f t="shared" si="178"/>
        <v>vermelho</v>
      </c>
    </row>
    <row r="3841" spans="1:16">
      <c r="A3841" s="3" t="s">
        <v>4</v>
      </c>
      <c r="B3841" s="3" t="s">
        <v>2847</v>
      </c>
      <c r="C3841" s="4">
        <v>217</v>
      </c>
      <c r="D3841" s="3" t="s">
        <v>91</v>
      </c>
      <c r="E3841" s="3" t="s">
        <v>16</v>
      </c>
      <c r="F3841" s="5">
        <v>0</v>
      </c>
      <c r="G3841" s="5">
        <v>72</v>
      </c>
      <c r="H3841" s="6">
        <v>0</v>
      </c>
      <c r="I3841" s="22">
        <v>5458.32</v>
      </c>
      <c r="J3841" s="24">
        <f t="shared" si="177"/>
        <v>3.7821364853169327E-5</v>
      </c>
      <c r="K3841" s="25">
        <f t="shared" si="179"/>
        <v>0.97668977854335204</v>
      </c>
      <c r="L3841" s="26" t="s">
        <v>7518</v>
      </c>
      <c r="M3841" s="28"/>
      <c r="N3841" s="28"/>
      <c r="O3841" s="20" t="s">
        <v>7530</v>
      </c>
      <c r="P3841" s="27" t="str">
        <f t="shared" si="178"/>
        <v>vermelho</v>
      </c>
    </row>
    <row r="3842" spans="1:16" ht="51">
      <c r="A3842" s="3" t="s">
        <v>4</v>
      </c>
      <c r="B3842" s="3" t="s">
        <v>2848</v>
      </c>
      <c r="C3842" s="4">
        <v>282</v>
      </c>
      <c r="D3842" s="3" t="s">
        <v>12</v>
      </c>
      <c r="E3842" s="3" t="s">
        <v>13</v>
      </c>
      <c r="F3842" s="5">
        <v>114</v>
      </c>
      <c r="G3842" s="5">
        <v>84</v>
      </c>
      <c r="H3842" s="6">
        <v>5473.26</v>
      </c>
      <c r="I3842" s="22">
        <v>5457.37</v>
      </c>
      <c r="J3842" s="24">
        <f t="shared" si="177"/>
        <v>3.7814782187328831E-5</v>
      </c>
      <c r="K3842" s="25">
        <f t="shared" si="179"/>
        <v>0.97672759332553938</v>
      </c>
      <c r="L3842" s="26" t="s">
        <v>7518</v>
      </c>
      <c r="M3842" s="28"/>
      <c r="N3842" s="28"/>
      <c r="O3842" s="20" t="s">
        <v>7530</v>
      </c>
      <c r="P3842" s="27" t="str">
        <f t="shared" si="178"/>
        <v>vermelho</v>
      </c>
    </row>
    <row r="3843" spans="1:16" ht="25.5">
      <c r="A3843" s="3" t="s">
        <v>4</v>
      </c>
      <c r="B3843" s="3" t="s">
        <v>2849</v>
      </c>
      <c r="C3843" s="4">
        <v>23</v>
      </c>
      <c r="D3843" s="3" t="s">
        <v>87</v>
      </c>
      <c r="E3843" s="3" t="s">
        <v>7</v>
      </c>
      <c r="F3843" s="5">
        <v>120</v>
      </c>
      <c r="G3843" s="5">
        <v>90</v>
      </c>
      <c r="H3843" s="6">
        <v>5144.79</v>
      </c>
      <c r="I3843" s="22">
        <v>5447.1</v>
      </c>
      <c r="J3843" s="24">
        <f t="shared" ref="J3843:J3906" si="180">I3843/$I$6364</f>
        <v>3.7743620105032076E-5</v>
      </c>
      <c r="K3843" s="25">
        <f t="shared" si="179"/>
        <v>0.97676533694564438</v>
      </c>
      <c r="L3843" s="26" t="s">
        <v>7518</v>
      </c>
      <c r="M3843" s="28"/>
      <c r="N3843" s="28"/>
      <c r="O3843" s="20">
        <v>4977.72</v>
      </c>
      <c r="P3843" s="27" t="str">
        <f t="shared" ref="P3843:P3906" si="181">IF(O3843&lt;=0,"vermelho",IFERROR(IF(O3843/I3843&lt;=0.5098,"amarelo",IF(O3843/I3843&lt;1,"laranja","verde")),"vermelho"))</f>
        <v>laranja</v>
      </c>
    </row>
    <row r="3844" spans="1:16" ht="38.25">
      <c r="A3844" s="3" t="s">
        <v>4</v>
      </c>
      <c r="B3844" s="3" t="s">
        <v>2850</v>
      </c>
      <c r="C3844" s="4">
        <v>331</v>
      </c>
      <c r="D3844" s="3" t="s">
        <v>603</v>
      </c>
      <c r="E3844" s="3" t="s">
        <v>13</v>
      </c>
      <c r="F3844" s="5">
        <v>0</v>
      </c>
      <c r="G3844" s="5">
        <v>102</v>
      </c>
      <c r="H3844" s="6">
        <v>0</v>
      </c>
      <c r="I3844" s="22">
        <v>5439.9</v>
      </c>
      <c r="J3844" s="24">
        <f t="shared" si="180"/>
        <v>3.7693730427083028E-5</v>
      </c>
      <c r="K3844" s="25">
        <f t="shared" ref="K3844:K3907" si="182">J3844+K3843</f>
        <v>0.97680303067607144</v>
      </c>
      <c r="L3844" s="26" t="s">
        <v>7518</v>
      </c>
      <c r="M3844" s="28"/>
      <c r="N3844" s="28"/>
      <c r="O3844" s="20" t="s">
        <v>7530</v>
      </c>
      <c r="P3844" s="27" t="str">
        <f t="shared" si="181"/>
        <v>vermelho</v>
      </c>
    </row>
    <row r="3845" spans="1:16" ht="25.5">
      <c r="A3845" s="3" t="s">
        <v>4</v>
      </c>
      <c r="B3845" s="3" t="s">
        <v>2851</v>
      </c>
      <c r="C3845" s="4">
        <v>273</v>
      </c>
      <c r="D3845" s="3" t="s">
        <v>149</v>
      </c>
      <c r="E3845" s="3" t="s">
        <v>16</v>
      </c>
      <c r="F3845" s="5">
        <v>342</v>
      </c>
      <c r="G3845" s="5">
        <v>78</v>
      </c>
      <c r="H3845" s="6">
        <v>17007.18</v>
      </c>
      <c r="I3845" s="22">
        <v>5436.6</v>
      </c>
      <c r="J3845" s="24">
        <f t="shared" si="180"/>
        <v>3.7670864324689718E-5</v>
      </c>
      <c r="K3845" s="25">
        <f t="shared" si="182"/>
        <v>0.97684070154039615</v>
      </c>
      <c r="L3845" s="26" t="s">
        <v>7518</v>
      </c>
      <c r="M3845" s="28"/>
      <c r="N3845" s="28"/>
      <c r="O3845" s="20" t="s">
        <v>7530</v>
      </c>
      <c r="P3845" s="27" t="str">
        <f t="shared" si="181"/>
        <v>vermelho</v>
      </c>
    </row>
    <row r="3846" spans="1:16">
      <c r="A3846" s="3" t="s">
        <v>4</v>
      </c>
      <c r="B3846" s="3" t="s">
        <v>2852</v>
      </c>
      <c r="C3846" s="4">
        <v>232</v>
      </c>
      <c r="D3846" s="3" t="s">
        <v>174</v>
      </c>
      <c r="E3846" s="3" t="s">
        <v>16</v>
      </c>
      <c r="F3846" s="5">
        <v>0</v>
      </c>
      <c r="G3846" s="5">
        <v>84</v>
      </c>
      <c r="H3846" s="6">
        <v>0</v>
      </c>
      <c r="I3846" s="22">
        <v>5433</v>
      </c>
      <c r="J3846" s="24">
        <f t="shared" si="180"/>
        <v>3.7645919485715197E-5</v>
      </c>
      <c r="K3846" s="25">
        <f t="shared" si="182"/>
        <v>0.97687834745988189</v>
      </c>
      <c r="L3846" s="26" t="s">
        <v>7518</v>
      </c>
      <c r="M3846" s="28"/>
      <c r="N3846" s="28"/>
      <c r="O3846" s="20" t="s">
        <v>7530</v>
      </c>
      <c r="P3846" s="27" t="str">
        <f t="shared" si="181"/>
        <v>vermelho</v>
      </c>
    </row>
    <row r="3847" spans="1:16" ht="25.5">
      <c r="A3847" s="3" t="s">
        <v>4</v>
      </c>
      <c r="B3847" s="3" t="s">
        <v>2853</v>
      </c>
      <c r="C3847" s="4">
        <v>267</v>
      </c>
      <c r="D3847" s="3" t="s">
        <v>125</v>
      </c>
      <c r="E3847" s="3" t="s">
        <v>16</v>
      </c>
      <c r="F3847" s="5">
        <v>78</v>
      </c>
      <c r="G3847" s="5">
        <v>108</v>
      </c>
      <c r="H3847" s="6">
        <v>3449.1</v>
      </c>
      <c r="I3847" s="22">
        <v>5432.76</v>
      </c>
      <c r="J3847" s="24">
        <f t="shared" si="180"/>
        <v>3.7644256496450226E-5</v>
      </c>
      <c r="K3847" s="25">
        <f t="shared" si="182"/>
        <v>0.97691599171637833</v>
      </c>
      <c r="L3847" s="26" t="s">
        <v>7518</v>
      </c>
      <c r="M3847" s="28"/>
      <c r="N3847" s="28"/>
      <c r="O3847" s="20" t="s">
        <v>7530</v>
      </c>
      <c r="P3847" s="27" t="str">
        <f t="shared" si="181"/>
        <v>vermelho</v>
      </c>
    </row>
    <row r="3848" spans="1:16" ht="25.5">
      <c r="A3848" s="3" t="s">
        <v>4</v>
      </c>
      <c r="B3848" s="3" t="s">
        <v>2854</v>
      </c>
      <c r="C3848" s="4">
        <v>23</v>
      </c>
      <c r="D3848" s="3" t="s">
        <v>87</v>
      </c>
      <c r="E3848" s="3" t="s">
        <v>7</v>
      </c>
      <c r="F3848" s="5">
        <v>78</v>
      </c>
      <c r="G3848" s="5">
        <v>87</v>
      </c>
      <c r="H3848" s="6">
        <v>4184.2979999999998</v>
      </c>
      <c r="I3848" s="22">
        <v>5392.86</v>
      </c>
      <c r="J3848" s="24">
        <f t="shared" si="180"/>
        <v>3.7367784531149277E-5</v>
      </c>
      <c r="K3848" s="25">
        <f t="shared" si="182"/>
        <v>0.97695335950090945</v>
      </c>
      <c r="L3848" s="26" t="s">
        <v>7518</v>
      </c>
      <c r="M3848" s="28"/>
      <c r="N3848" s="28"/>
      <c r="O3848" s="20" t="s">
        <v>7530</v>
      </c>
      <c r="P3848" s="27" t="str">
        <f t="shared" si="181"/>
        <v>vermelho</v>
      </c>
    </row>
    <row r="3849" spans="1:16">
      <c r="A3849" s="3" t="s">
        <v>4</v>
      </c>
      <c r="B3849" s="3" t="s">
        <v>2855</v>
      </c>
      <c r="C3849" s="4">
        <v>334</v>
      </c>
      <c r="D3849" s="3" t="s">
        <v>531</v>
      </c>
      <c r="E3849" s="3" t="s">
        <v>7</v>
      </c>
      <c r="F3849" s="5">
        <v>0</v>
      </c>
      <c r="G3849" s="5">
        <v>119</v>
      </c>
      <c r="H3849" s="6">
        <v>0</v>
      </c>
      <c r="I3849" s="22">
        <v>5385.22</v>
      </c>
      <c r="J3849" s="24">
        <f t="shared" si="180"/>
        <v>3.7314846039547795E-5</v>
      </c>
      <c r="K3849" s="25">
        <f t="shared" si="182"/>
        <v>0.97699067434694897</v>
      </c>
      <c r="L3849" s="26" t="s">
        <v>7518</v>
      </c>
      <c r="M3849" s="28">
        <v>-5.2604224116582381E-2</v>
      </c>
      <c r="N3849" s="28"/>
      <c r="O3849" s="20">
        <v>13434.54</v>
      </c>
      <c r="P3849" s="27" t="str">
        <f t="shared" si="181"/>
        <v>verde</v>
      </c>
    </row>
    <row r="3850" spans="1:16" ht="25.5">
      <c r="A3850" s="3" t="s">
        <v>4</v>
      </c>
      <c r="B3850" s="3" t="s">
        <v>2856</v>
      </c>
      <c r="C3850" s="4">
        <v>23</v>
      </c>
      <c r="D3850" s="3" t="s">
        <v>87</v>
      </c>
      <c r="E3850" s="3" t="s">
        <v>7</v>
      </c>
      <c r="F3850" s="5">
        <v>114</v>
      </c>
      <c r="G3850" s="5">
        <v>84</v>
      </c>
      <c r="H3850" s="6">
        <v>6289.38</v>
      </c>
      <c r="I3850" s="22">
        <v>5381.9369999999999</v>
      </c>
      <c r="J3850" s="24">
        <f t="shared" si="180"/>
        <v>3.7292097732227423E-5</v>
      </c>
      <c r="K3850" s="25">
        <f t="shared" si="182"/>
        <v>0.97702796644468115</v>
      </c>
      <c r="L3850" s="26" t="s">
        <v>7518</v>
      </c>
      <c r="M3850" s="28">
        <v>-3.9768114097624319E-2</v>
      </c>
      <c r="N3850" s="28"/>
      <c r="O3850" s="20">
        <v>1597.92</v>
      </c>
      <c r="P3850" s="27" t="str">
        <f t="shared" si="181"/>
        <v>amarelo</v>
      </c>
    </row>
    <row r="3851" spans="1:16" ht="25.5">
      <c r="A3851" s="3" t="s">
        <v>4</v>
      </c>
      <c r="B3851" s="3" t="s">
        <v>2857</v>
      </c>
      <c r="C3851" s="4">
        <v>23</v>
      </c>
      <c r="D3851" s="3" t="s">
        <v>87</v>
      </c>
      <c r="E3851" s="3" t="s">
        <v>7</v>
      </c>
      <c r="F3851" s="5">
        <v>273</v>
      </c>
      <c r="G3851" s="5">
        <v>90</v>
      </c>
      <c r="H3851" s="6">
        <v>14686.433999999999</v>
      </c>
      <c r="I3851" s="22">
        <v>5381.1</v>
      </c>
      <c r="J3851" s="24">
        <f t="shared" si="180"/>
        <v>3.7286298057165844E-5</v>
      </c>
      <c r="K3851" s="25">
        <f t="shared" si="182"/>
        <v>0.97706525274273837</v>
      </c>
      <c r="L3851" s="26" t="s">
        <v>7518</v>
      </c>
      <c r="M3851" s="28"/>
      <c r="N3851" s="28"/>
      <c r="O3851" s="20">
        <v>14617.17</v>
      </c>
      <c r="P3851" s="27" t="str">
        <f t="shared" si="181"/>
        <v>verde</v>
      </c>
    </row>
    <row r="3852" spans="1:16" ht="38.25">
      <c r="A3852" s="3" t="s">
        <v>6944</v>
      </c>
      <c r="B3852" s="3" t="s">
        <v>6945</v>
      </c>
      <c r="C3852" s="4">
        <v>143</v>
      </c>
      <c r="D3852" s="3" t="s">
        <v>44</v>
      </c>
      <c r="E3852" s="3" t="s">
        <v>41</v>
      </c>
      <c r="F3852" s="5">
        <v>0</v>
      </c>
      <c r="G3852" s="5">
        <v>96</v>
      </c>
      <c r="H3852" s="6">
        <v>0</v>
      </c>
      <c r="I3852" s="22">
        <v>5379.72</v>
      </c>
      <c r="J3852" s="24">
        <f t="shared" si="180"/>
        <v>3.7276735868892277E-5</v>
      </c>
      <c r="K3852" s="25">
        <f t="shared" si="182"/>
        <v>0.97710252947860721</v>
      </c>
      <c r="L3852" s="26" t="s">
        <v>7518</v>
      </c>
      <c r="M3852" s="28"/>
      <c r="N3852" s="28"/>
      <c r="O3852" s="20">
        <v>8678.4</v>
      </c>
      <c r="P3852" s="27" t="str">
        <f t="shared" si="181"/>
        <v>verde</v>
      </c>
    </row>
    <row r="3853" spans="1:16" ht="25.5">
      <c r="A3853" s="3" t="s">
        <v>6946</v>
      </c>
      <c r="B3853" s="3" t="s">
        <v>6947</v>
      </c>
      <c r="C3853" s="4">
        <v>218</v>
      </c>
      <c r="D3853" s="3" t="s">
        <v>104</v>
      </c>
      <c r="E3853" s="3" t="s">
        <v>16</v>
      </c>
      <c r="F3853" s="5">
        <v>72</v>
      </c>
      <c r="G3853" s="5">
        <v>78</v>
      </c>
      <c r="H3853" s="6">
        <v>4619.28</v>
      </c>
      <c r="I3853" s="22">
        <v>5379.72</v>
      </c>
      <c r="J3853" s="24">
        <f t="shared" si="180"/>
        <v>3.7276735868892277E-5</v>
      </c>
      <c r="K3853" s="25">
        <f t="shared" si="182"/>
        <v>0.97713980621447605</v>
      </c>
      <c r="L3853" s="26" t="s">
        <v>7518</v>
      </c>
      <c r="M3853" s="28"/>
      <c r="N3853" s="28"/>
      <c r="O3853" s="20" t="s">
        <v>7530</v>
      </c>
      <c r="P3853" s="27" t="str">
        <f t="shared" si="181"/>
        <v>vermelho</v>
      </c>
    </row>
    <row r="3854" spans="1:16">
      <c r="A3854" s="3" t="s">
        <v>4</v>
      </c>
      <c r="B3854" s="3" t="s">
        <v>2858</v>
      </c>
      <c r="C3854" s="4">
        <v>240</v>
      </c>
      <c r="D3854" s="3" t="s">
        <v>69</v>
      </c>
      <c r="E3854" s="3" t="s">
        <v>16</v>
      </c>
      <c r="F3854" s="5">
        <v>582</v>
      </c>
      <c r="G3854" s="5">
        <v>108</v>
      </c>
      <c r="H3854" s="6">
        <v>31424.1</v>
      </c>
      <c r="I3854" s="22">
        <v>5379.48</v>
      </c>
      <c r="J3854" s="24">
        <f t="shared" si="180"/>
        <v>3.7275072879627305E-5</v>
      </c>
      <c r="K3854" s="25">
        <f t="shared" si="182"/>
        <v>0.9771770812873557</v>
      </c>
      <c r="L3854" s="26" t="s">
        <v>7518</v>
      </c>
      <c r="M3854" s="28"/>
      <c r="N3854" s="28"/>
      <c r="O3854" s="20" t="s">
        <v>7530</v>
      </c>
      <c r="P3854" s="27" t="str">
        <f t="shared" si="181"/>
        <v>vermelho</v>
      </c>
    </row>
    <row r="3855" spans="1:16" ht="38.25">
      <c r="A3855" s="3" t="s">
        <v>4</v>
      </c>
      <c r="B3855" s="3" t="s">
        <v>2859</v>
      </c>
      <c r="C3855" s="4">
        <v>15</v>
      </c>
      <c r="D3855" s="3" t="s">
        <v>18</v>
      </c>
      <c r="E3855" s="3" t="s">
        <v>16</v>
      </c>
      <c r="F3855" s="5">
        <v>0</v>
      </c>
      <c r="G3855" s="5">
        <v>108</v>
      </c>
      <c r="H3855" s="6">
        <v>0</v>
      </c>
      <c r="I3855" s="22">
        <v>5379.48</v>
      </c>
      <c r="J3855" s="24">
        <f t="shared" si="180"/>
        <v>3.7275072879627305E-5</v>
      </c>
      <c r="K3855" s="25">
        <f t="shared" si="182"/>
        <v>0.97721435636023535</v>
      </c>
      <c r="L3855" s="26" t="s">
        <v>7518</v>
      </c>
      <c r="M3855" s="28"/>
      <c r="N3855" s="28"/>
      <c r="O3855" s="20" t="s">
        <v>7530</v>
      </c>
      <c r="P3855" s="27" t="str">
        <f t="shared" si="181"/>
        <v>vermelho</v>
      </c>
    </row>
    <row r="3856" spans="1:16" ht="25.5">
      <c r="A3856" s="3" t="s">
        <v>4</v>
      </c>
      <c r="B3856" s="3" t="s">
        <v>2860</v>
      </c>
      <c r="C3856" s="4">
        <v>217</v>
      </c>
      <c r="D3856" s="3" t="s">
        <v>91</v>
      </c>
      <c r="E3856" s="3" t="s">
        <v>16</v>
      </c>
      <c r="F3856" s="5">
        <v>156</v>
      </c>
      <c r="G3856" s="5">
        <v>108</v>
      </c>
      <c r="H3856" s="6">
        <v>7819.8</v>
      </c>
      <c r="I3856" s="22">
        <v>5379</v>
      </c>
      <c r="J3856" s="24">
        <f t="shared" si="180"/>
        <v>3.7271746901097376E-5</v>
      </c>
      <c r="K3856" s="25">
        <f t="shared" si="182"/>
        <v>0.97725162810713639</v>
      </c>
      <c r="L3856" s="26" t="s">
        <v>7518</v>
      </c>
      <c r="M3856" s="28"/>
      <c r="N3856" s="28"/>
      <c r="O3856" s="20" t="s">
        <v>7530</v>
      </c>
      <c r="P3856" s="27" t="str">
        <f t="shared" si="181"/>
        <v>vermelho</v>
      </c>
    </row>
    <row r="3857" spans="1:16" ht="38.25">
      <c r="A3857" s="3" t="s">
        <v>4</v>
      </c>
      <c r="B3857" s="3" t="s">
        <v>2861</v>
      </c>
      <c r="C3857" s="4">
        <v>53</v>
      </c>
      <c r="D3857" s="3" t="s">
        <v>34</v>
      </c>
      <c r="E3857" s="3" t="s">
        <v>16</v>
      </c>
      <c r="F3857" s="5">
        <v>0</v>
      </c>
      <c r="G3857" s="5">
        <v>84</v>
      </c>
      <c r="H3857" s="6">
        <v>0</v>
      </c>
      <c r="I3857" s="22">
        <v>5378.76</v>
      </c>
      <c r="J3857" s="24">
        <f t="shared" si="180"/>
        <v>3.7270083911832405E-5</v>
      </c>
      <c r="K3857" s="25">
        <f t="shared" si="182"/>
        <v>0.97728889819104825</v>
      </c>
      <c r="L3857" s="26" t="s">
        <v>7518</v>
      </c>
      <c r="M3857" s="28"/>
      <c r="N3857" s="28"/>
      <c r="O3857" s="20" t="s">
        <v>7530</v>
      </c>
      <c r="P3857" s="27" t="str">
        <f t="shared" si="181"/>
        <v>vermelho</v>
      </c>
    </row>
    <row r="3858" spans="1:16" ht="38.25">
      <c r="A3858" s="3" t="s">
        <v>4</v>
      </c>
      <c r="B3858" s="3" t="s">
        <v>2862</v>
      </c>
      <c r="C3858" s="4">
        <v>11</v>
      </c>
      <c r="D3858" s="3" t="s">
        <v>61</v>
      </c>
      <c r="E3858" s="3" t="s">
        <v>10</v>
      </c>
      <c r="F3858" s="5">
        <v>0</v>
      </c>
      <c r="G3858" s="5">
        <v>96</v>
      </c>
      <c r="H3858" s="6">
        <v>0</v>
      </c>
      <c r="I3858" s="22">
        <v>5376.4610000000002</v>
      </c>
      <c r="J3858" s="24">
        <f t="shared" si="180"/>
        <v>3.7254153860498397E-5</v>
      </c>
      <c r="K3858" s="25">
        <f t="shared" si="182"/>
        <v>0.97732615234490872</v>
      </c>
      <c r="L3858" s="26" t="s">
        <v>7518</v>
      </c>
      <c r="M3858" s="28"/>
      <c r="N3858" s="28"/>
      <c r="O3858" s="20" t="s">
        <v>7530</v>
      </c>
      <c r="P3858" s="27" t="str">
        <f t="shared" si="181"/>
        <v>vermelho</v>
      </c>
    </row>
    <row r="3859" spans="1:16" ht="25.5">
      <c r="A3859" s="3" t="s">
        <v>4</v>
      </c>
      <c r="B3859" s="3" t="s">
        <v>2863</v>
      </c>
      <c r="C3859" s="4">
        <v>93</v>
      </c>
      <c r="D3859" s="3" t="s">
        <v>20</v>
      </c>
      <c r="E3859" s="3" t="s">
        <v>7</v>
      </c>
      <c r="F3859" s="5">
        <v>0</v>
      </c>
      <c r="G3859" s="5">
        <v>96</v>
      </c>
      <c r="H3859" s="6">
        <v>0</v>
      </c>
      <c r="I3859" s="22">
        <v>5369.16</v>
      </c>
      <c r="J3859" s="24">
        <f t="shared" si="180"/>
        <v>3.7203564341233679E-5</v>
      </c>
      <c r="K3859" s="25">
        <f t="shared" si="182"/>
        <v>0.97736335590924994</v>
      </c>
      <c r="L3859" s="26" t="s">
        <v>7518</v>
      </c>
      <c r="M3859" s="28"/>
      <c r="N3859" s="28"/>
      <c r="O3859" s="20">
        <v>10793.04</v>
      </c>
      <c r="P3859" s="27" t="str">
        <f t="shared" si="181"/>
        <v>verde</v>
      </c>
    </row>
    <row r="3860" spans="1:16" ht="25.5">
      <c r="A3860" s="3" t="s">
        <v>6948</v>
      </c>
      <c r="B3860" s="3" t="s">
        <v>6949</v>
      </c>
      <c r="C3860" s="4">
        <v>41</v>
      </c>
      <c r="D3860" s="3" t="s">
        <v>178</v>
      </c>
      <c r="E3860" s="3" t="s">
        <v>41</v>
      </c>
      <c r="F3860" s="5">
        <v>48</v>
      </c>
      <c r="G3860" s="5">
        <v>90</v>
      </c>
      <c r="H3860" s="6">
        <v>2770.32</v>
      </c>
      <c r="I3860" s="22">
        <v>5363.55</v>
      </c>
      <c r="J3860" s="24">
        <f t="shared" si="180"/>
        <v>3.7164691967165051E-5</v>
      </c>
      <c r="K3860" s="25">
        <f t="shared" si="182"/>
        <v>0.97740052060121707</v>
      </c>
      <c r="L3860" s="26" t="s">
        <v>7518</v>
      </c>
      <c r="M3860" s="28"/>
      <c r="N3860" s="28"/>
      <c r="O3860" s="20" t="s">
        <v>7530</v>
      </c>
      <c r="P3860" s="27" t="str">
        <f t="shared" si="181"/>
        <v>vermelho</v>
      </c>
    </row>
    <row r="3861" spans="1:16" ht="38.25">
      <c r="A3861" s="3" t="s">
        <v>4</v>
      </c>
      <c r="B3861" s="3" t="s">
        <v>2864</v>
      </c>
      <c r="C3861" s="4">
        <v>34</v>
      </c>
      <c r="D3861" s="3" t="s">
        <v>54</v>
      </c>
      <c r="E3861" s="3" t="s">
        <v>49</v>
      </c>
      <c r="F3861" s="5">
        <v>183</v>
      </c>
      <c r="G3861" s="5">
        <v>72</v>
      </c>
      <c r="H3861" s="6">
        <v>12100.14</v>
      </c>
      <c r="I3861" s="22">
        <v>5360.4</v>
      </c>
      <c r="J3861" s="24">
        <f t="shared" si="180"/>
        <v>3.7142865233062346E-5</v>
      </c>
      <c r="K3861" s="25">
        <f t="shared" si="182"/>
        <v>0.97743766346645011</v>
      </c>
      <c r="L3861" s="26" t="s">
        <v>7518</v>
      </c>
      <c r="M3861" s="28"/>
      <c r="N3861" s="28"/>
      <c r="O3861" s="20">
        <v>9894.48</v>
      </c>
      <c r="P3861" s="27" t="str">
        <f t="shared" si="181"/>
        <v>verde</v>
      </c>
    </row>
    <row r="3862" spans="1:16" ht="38.25">
      <c r="A3862" s="3" t="s">
        <v>4</v>
      </c>
      <c r="B3862" s="3" t="s">
        <v>2865</v>
      </c>
      <c r="C3862" s="4">
        <v>218</v>
      </c>
      <c r="D3862" s="3" t="s">
        <v>104</v>
      </c>
      <c r="E3862" s="3" t="s">
        <v>16</v>
      </c>
      <c r="F3862" s="5">
        <v>0</v>
      </c>
      <c r="G3862" s="5">
        <v>96</v>
      </c>
      <c r="H3862" s="6">
        <v>0</v>
      </c>
      <c r="I3862" s="22">
        <v>5353.08</v>
      </c>
      <c r="J3862" s="24">
        <f t="shared" si="180"/>
        <v>3.7092144060480819E-5</v>
      </c>
      <c r="K3862" s="25">
        <f t="shared" si="182"/>
        <v>0.97747475561051056</v>
      </c>
      <c r="L3862" s="26" t="s">
        <v>7518</v>
      </c>
      <c r="M3862" s="28"/>
      <c r="N3862" s="28"/>
      <c r="O3862" s="20" t="s">
        <v>7530</v>
      </c>
      <c r="P3862" s="27" t="str">
        <f t="shared" si="181"/>
        <v>vermelho</v>
      </c>
    </row>
    <row r="3863" spans="1:16">
      <c r="A3863" s="3" t="s">
        <v>4</v>
      </c>
      <c r="B3863" s="3" t="s">
        <v>2866</v>
      </c>
      <c r="C3863" s="4">
        <v>232</v>
      </c>
      <c r="D3863" s="3" t="s">
        <v>174</v>
      </c>
      <c r="E3863" s="3" t="s">
        <v>16</v>
      </c>
      <c r="F3863" s="5">
        <v>195</v>
      </c>
      <c r="G3863" s="5">
        <v>72</v>
      </c>
      <c r="H3863" s="6">
        <v>11017.11</v>
      </c>
      <c r="I3863" s="22">
        <v>5348.16</v>
      </c>
      <c r="J3863" s="24">
        <f t="shared" si="180"/>
        <v>3.7058052780548971E-5</v>
      </c>
      <c r="K3863" s="25">
        <f t="shared" si="182"/>
        <v>0.9775118136632911</v>
      </c>
      <c r="L3863" s="26" t="s">
        <v>7518</v>
      </c>
      <c r="M3863" s="28"/>
      <c r="N3863" s="28"/>
      <c r="O3863" s="20" t="s">
        <v>7530</v>
      </c>
      <c r="P3863" s="27" t="str">
        <f t="shared" si="181"/>
        <v>vermelho</v>
      </c>
    </row>
    <row r="3864" spans="1:16" ht="25.5">
      <c r="A3864" s="3" t="s">
        <v>4</v>
      </c>
      <c r="B3864" s="3" t="s">
        <v>2867</v>
      </c>
      <c r="C3864" s="4">
        <v>296</v>
      </c>
      <c r="D3864" s="3" t="s">
        <v>282</v>
      </c>
      <c r="E3864" s="3" t="s">
        <v>10</v>
      </c>
      <c r="F3864" s="5">
        <v>0</v>
      </c>
      <c r="G3864" s="5">
        <v>123</v>
      </c>
      <c r="H3864" s="6">
        <v>0</v>
      </c>
      <c r="I3864" s="22">
        <v>5345.1769999999997</v>
      </c>
      <c r="J3864" s="24">
        <f t="shared" si="180"/>
        <v>3.7037383209809803E-5</v>
      </c>
      <c r="K3864" s="25">
        <f t="shared" si="182"/>
        <v>0.97754885104650091</v>
      </c>
      <c r="L3864" s="26" t="s">
        <v>7518</v>
      </c>
      <c r="M3864" s="28"/>
      <c r="N3864" s="28"/>
      <c r="O3864" s="20" t="s">
        <v>7530</v>
      </c>
      <c r="P3864" s="27" t="str">
        <f t="shared" si="181"/>
        <v>vermelho</v>
      </c>
    </row>
    <row r="3865" spans="1:16" ht="25.5">
      <c r="A3865" s="3" t="s">
        <v>4</v>
      </c>
      <c r="B3865" s="3" t="s">
        <v>2868</v>
      </c>
      <c r="C3865" s="4">
        <v>31</v>
      </c>
      <c r="D3865" s="3" t="s">
        <v>194</v>
      </c>
      <c r="E3865" s="3" t="s">
        <v>16</v>
      </c>
      <c r="F3865" s="5">
        <v>72</v>
      </c>
      <c r="G3865" s="5">
        <v>96</v>
      </c>
      <c r="H3865" s="6">
        <v>4498.92</v>
      </c>
      <c r="I3865" s="22">
        <v>5341.1319999999996</v>
      </c>
      <c r="J3865" s="24">
        <f t="shared" si="180"/>
        <v>3.7009354911573157E-5</v>
      </c>
      <c r="K3865" s="25">
        <f t="shared" si="182"/>
        <v>0.97758586040141249</v>
      </c>
      <c r="L3865" s="26" t="s">
        <v>7518</v>
      </c>
      <c r="M3865" s="28"/>
      <c r="N3865" s="28"/>
      <c r="O3865" s="20" t="s">
        <v>7530</v>
      </c>
      <c r="P3865" s="27" t="str">
        <f t="shared" si="181"/>
        <v>vermelho</v>
      </c>
    </row>
    <row r="3866" spans="1:16" ht="38.25">
      <c r="A3866" s="3" t="s">
        <v>4</v>
      </c>
      <c r="B3866" s="3" t="s">
        <v>2869</v>
      </c>
      <c r="C3866" s="4">
        <v>371</v>
      </c>
      <c r="D3866" s="3" t="s">
        <v>82</v>
      </c>
      <c r="E3866" s="3" t="s">
        <v>49</v>
      </c>
      <c r="F3866" s="5">
        <v>0</v>
      </c>
      <c r="G3866" s="5">
        <v>84</v>
      </c>
      <c r="H3866" s="6">
        <v>0</v>
      </c>
      <c r="I3866" s="22">
        <v>5339.16</v>
      </c>
      <c r="J3866" s="24">
        <f t="shared" si="180"/>
        <v>3.6995690683112666E-5</v>
      </c>
      <c r="K3866" s="25">
        <f t="shared" si="182"/>
        <v>0.97762285609209565</v>
      </c>
      <c r="L3866" s="26" t="s">
        <v>7518</v>
      </c>
      <c r="M3866" s="28"/>
      <c r="N3866" s="28"/>
      <c r="O3866" s="20">
        <v>2454.39</v>
      </c>
      <c r="P3866" s="27" t="str">
        <f t="shared" si="181"/>
        <v>amarelo</v>
      </c>
    </row>
    <row r="3867" spans="1:16" ht="38.25">
      <c r="A3867" s="3" t="s">
        <v>4</v>
      </c>
      <c r="B3867" s="3" t="s">
        <v>2870</v>
      </c>
      <c r="C3867" s="4">
        <v>371</v>
      </c>
      <c r="D3867" s="3" t="s">
        <v>82</v>
      </c>
      <c r="E3867" s="3" t="s">
        <v>49</v>
      </c>
      <c r="F3867" s="5">
        <v>303</v>
      </c>
      <c r="G3867" s="5">
        <v>84</v>
      </c>
      <c r="H3867" s="6">
        <v>15878.55</v>
      </c>
      <c r="I3867" s="22">
        <v>5339.16</v>
      </c>
      <c r="J3867" s="24">
        <f t="shared" si="180"/>
        <v>3.6995690683112666E-5</v>
      </c>
      <c r="K3867" s="25">
        <f t="shared" si="182"/>
        <v>0.97765985178277881</v>
      </c>
      <c r="L3867" s="26" t="s">
        <v>7518</v>
      </c>
      <c r="M3867" s="28"/>
      <c r="N3867" s="28"/>
      <c r="O3867" s="20">
        <v>7431.3</v>
      </c>
      <c r="P3867" s="27" t="str">
        <f t="shared" si="181"/>
        <v>verde</v>
      </c>
    </row>
    <row r="3868" spans="1:16" ht="38.25">
      <c r="A3868" s="3" t="s">
        <v>4</v>
      </c>
      <c r="B3868" s="3" t="s">
        <v>2871</v>
      </c>
      <c r="C3868" s="4">
        <v>11</v>
      </c>
      <c r="D3868" s="3" t="s">
        <v>61</v>
      </c>
      <c r="E3868" s="3" t="s">
        <v>16</v>
      </c>
      <c r="F3868" s="5">
        <v>0</v>
      </c>
      <c r="G3868" s="5">
        <v>96</v>
      </c>
      <c r="H3868" s="6">
        <v>0</v>
      </c>
      <c r="I3868" s="22">
        <v>5335.68</v>
      </c>
      <c r="J3868" s="24">
        <f t="shared" si="180"/>
        <v>3.6971577338770638E-5</v>
      </c>
      <c r="K3868" s="25">
        <f t="shared" si="182"/>
        <v>0.97769682336011754</v>
      </c>
      <c r="L3868" s="26" t="s">
        <v>7518</v>
      </c>
      <c r="M3868" s="28"/>
      <c r="N3868" s="28"/>
      <c r="O3868" s="20" t="s">
        <v>7530</v>
      </c>
      <c r="P3868" s="27" t="str">
        <f t="shared" si="181"/>
        <v>vermelho</v>
      </c>
    </row>
    <row r="3869" spans="1:16" ht="25.5">
      <c r="A3869" s="3" t="s">
        <v>4</v>
      </c>
      <c r="B3869" s="3" t="s">
        <v>2872</v>
      </c>
      <c r="C3869" s="4">
        <v>317</v>
      </c>
      <c r="D3869" s="3" t="s">
        <v>78</v>
      </c>
      <c r="E3869" s="3" t="s">
        <v>10</v>
      </c>
      <c r="F3869" s="5">
        <v>0</v>
      </c>
      <c r="G3869" s="5">
        <v>96</v>
      </c>
      <c r="H3869" s="6">
        <v>0</v>
      </c>
      <c r="I3869" s="22">
        <v>5326.32</v>
      </c>
      <c r="J3869" s="24">
        <f t="shared" si="180"/>
        <v>3.6906720757436877E-5</v>
      </c>
      <c r="K3869" s="25">
        <f t="shared" si="182"/>
        <v>0.97773373008087494</v>
      </c>
      <c r="L3869" s="26" t="s">
        <v>7518</v>
      </c>
      <c r="M3869" s="28"/>
      <c r="N3869" s="28"/>
      <c r="O3869" s="20" t="s">
        <v>7530</v>
      </c>
      <c r="P3869" s="27" t="str">
        <f t="shared" si="181"/>
        <v>vermelho</v>
      </c>
    </row>
    <row r="3870" spans="1:16" ht="38.25">
      <c r="A3870" s="3" t="s">
        <v>4</v>
      </c>
      <c r="B3870" s="3" t="s">
        <v>2873</v>
      </c>
      <c r="C3870" s="4">
        <v>371</v>
      </c>
      <c r="D3870" s="3" t="s">
        <v>82</v>
      </c>
      <c r="E3870" s="3" t="s">
        <v>49</v>
      </c>
      <c r="F3870" s="5">
        <v>0</v>
      </c>
      <c r="G3870" s="5">
        <v>87</v>
      </c>
      <c r="H3870" s="6">
        <v>0</v>
      </c>
      <c r="I3870" s="22">
        <v>5326.26</v>
      </c>
      <c r="J3870" s="24">
        <f t="shared" si="180"/>
        <v>3.6906305010120637E-5</v>
      </c>
      <c r="K3870" s="25">
        <f t="shared" si="182"/>
        <v>0.97777063638588502</v>
      </c>
      <c r="L3870" s="26" t="s">
        <v>7518</v>
      </c>
      <c r="M3870" s="28"/>
      <c r="N3870" s="28"/>
      <c r="O3870" s="20">
        <v>3545.16</v>
      </c>
      <c r="P3870" s="27" t="str">
        <f t="shared" si="181"/>
        <v>laranja</v>
      </c>
    </row>
    <row r="3871" spans="1:16" ht="25.5">
      <c r="A3871" s="3" t="s">
        <v>4</v>
      </c>
      <c r="B3871" s="3" t="s">
        <v>2874</v>
      </c>
      <c r="C3871" s="4">
        <v>232</v>
      </c>
      <c r="D3871" s="3" t="s">
        <v>174</v>
      </c>
      <c r="E3871" s="3" t="s">
        <v>16</v>
      </c>
      <c r="F3871" s="5">
        <v>0</v>
      </c>
      <c r="G3871" s="5">
        <v>84</v>
      </c>
      <c r="H3871" s="6">
        <v>0</v>
      </c>
      <c r="I3871" s="22">
        <v>5324.4</v>
      </c>
      <c r="J3871" s="24">
        <f t="shared" si="180"/>
        <v>3.6893416843317128E-5</v>
      </c>
      <c r="K3871" s="25">
        <f t="shared" si="182"/>
        <v>0.97780752980272834</v>
      </c>
      <c r="L3871" s="26" t="s">
        <v>7518</v>
      </c>
      <c r="M3871" s="28"/>
      <c r="N3871" s="28"/>
      <c r="O3871" s="20" t="s">
        <v>7530</v>
      </c>
      <c r="P3871" s="27" t="str">
        <f t="shared" si="181"/>
        <v>vermelho</v>
      </c>
    </row>
    <row r="3872" spans="1:16" ht="25.5">
      <c r="A3872" s="3" t="s">
        <v>4</v>
      </c>
      <c r="B3872" s="3" t="s">
        <v>2875</v>
      </c>
      <c r="C3872" s="4">
        <v>232</v>
      </c>
      <c r="D3872" s="3" t="s">
        <v>174</v>
      </c>
      <c r="E3872" s="3" t="s">
        <v>16</v>
      </c>
      <c r="F3872" s="5">
        <v>0</v>
      </c>
      <c r="G3872" s="5">
        <v>120</v>
      </c>
      <c r="H3872" s="6">
        <v>0</v>
      </c>
      <c r="I3872" s="22">
        <v>5324.16</v>
      </c>
      <c r="J3872" s="24">
        <f t="shared" si="180"/>
        <v>3.6891753854052163E-5</v>
      </c>
      <c r="K3872" s="25">
        <f t="shared" si="182"/>
        <v>0.97784442155658235</v>
      </c>
      <c r="L3872" s="26" t="s">
        <v>7518</v>
      </c>
      <c r="M3872" s="28"/>
      <c r="N3872" s="28"/>
      <c r="O3872" s="20" t="s">
        <v>7530</v>
      </c>
      <c r="P3872" s="27" t="str">
        <f t="shared" si="181"/>
        <v>vermelho</v>
      </c>
    </row>
    <row r="3873" spans="1:16" ht="25.5">
      <c r="A3873" s="3" t="s">
        <v>4</v>
      </c>
      <c r="B3873" s="3" t="s">
        <v>2876</v>
      </c>
      <c r="C3873" s="4">
        <v>217</v>
      </c>
      <c r="D3873" s="3" t="s">
        <v>91</v>
      </c>
      <c r="E3873" s="3" t="s">
        <v>16</v>
      </c>
      <c r="F3873" s="5">
        <v>0</v>
      </c>
      <c r="G3873" s="5">
        <v>96</v>
      </c>
      <c r="H3873" s="6">
        <v>0</v>
      </c>
      <c r="I3873" s="22">
        <v>5323.44</v>
      </c>
      <c r="J3873" s="24">
        <f t="shared" si="180"/>
        <v>3.6886764886257256E-5</v>
      </c>
      <c r="K3873" s="25">
        <f t="shared" si="182"/>
        <v>0.97788130832146858</v>
      </c>
      <c r="L3873" s="26" t="s">
        <v>7518</v>
      </c>
      <c r="M3873" s="28"/>
      <c r="N3873" s="28"/>
      <c r="O3873" s="20" t="s">
        <v>7530</v>
      </c>
      <c r="P3873" s="27" t="str">
        <f t="shared" si="181"/>
        <v>vermelho</v>
      </c>
    </row>
    <row r="3874" spans="1:16" ht="25.5">
      <c r="A3874" s="3" t="s">
        <v>6950</v>
      </c>
      <c r="B3874" s="3" t="s">
        <v>6951</v>
      </c>
      <c r="C3874" s="4">
        <v>296</v>
      </c>
      <c r="D3874" s="3" t="s">
        <v>282</v>
      </c>
      <c r="E3874" s="3" t="s">
        <v>10</v>
      </c>
      <c r="F3874" s="5">
        <v>0</v>
      </c>
      <c r="G3874" s="5">
        <v>102</v>
      </c>
      <c r="H3874" s="6">
        <v>0</v>
      </c>
      <c r="I3874" s="22">
        <v>5321.2070000000003</v>
      </c>
      <c r="J3874" s="24">
        <f t="shared" si="180"/>
        <v>3.6871292156971121E-5</v>
      </c>
      <c r="K3874" s="25">
        <f t="shared" si="182"/>
        <v>0.97791817961362559</v>
      </c>
      <c r="L3874" s="26" t="s">
        <v>7518</v>
      </c>
      <c r="M3874" s="28"/>
      <c r="N3874" s="28"/>
      <c r="O3874" s="20" t="s">
        <v>7530</v>
      </c>
      <c r="P3874" s="27" t="str">
        <f t="shared" si="181"/>
        <v>vermelho</v>
      </c>
    </row>
    <row r="3875" spans="1:16" ht="38.25">
      <c r="A3875" s="3" t="s">
        <v>4</v>
      </c>
      <c r="B3875" s="3" t="s">
        <v>2877</v>
      </c>
      <c r="C3875" s="4">
        <v>38</v>
      </c>
      <c r="D3875" s="3" t="s">
        <v>184</v>
      </c>
      <c r="E3875" s="3" t="s">
        <v>49</v>
      </c>
      <c r="F3875" s="5">
        <v>0</v>
      </c>
      <c r="G3875" s="5">
        <v>123</v>
      </c>
      <c r="H3875" s="6">
        <v>0</v>
      </c>
      <c r="I3875" s="22">
        <v>5312.88</v>
      </c>
      <c r="J3875" s="24">
        <f t="shared" si="180"/>
        <v>3.6813593358598666E-5</v>
      </c>
      <c r="K3875" s="25">
        <f t="shared" si="182"/>
        <v>0.9779549932069842</v>
      </c>
      <c r="L3875" s="26" t="s">
        <v>7518</v>
      </c>
      <c r="M3875" s="28"/>
      <c r="N3875" s="28"/>
      <c r="O3875" s="20" t="s">
        <v>7530</v>
      </c>
      <c r="P3875" s="27" t="str">
        <f t="shared" si="181"/>
        <v>vermelho</v>
      </c>
    </row>
    <row r="3876" spans="1:16">
      <c r="A3876" s="3" t="s">
        <v>6952</v>
      </c>
      <c r="B3876" s="3" t="s">
        <v>6953</v>
      </c>
      <c r="C3876" s="4">
        <v>217</v>
      </c>
      <c r="D3876" s="3" t="s">
        <v>91</v>
      </c>
      <c r="E3876" s="3" t="s">
        <v>16</v>
      </c>
      <c r="F3876" s="5">
        <v>0</v>
      </c>
      <c r="G3876" s="5">
        <v>96</v>
      </c>
      <c r="H3876" s="6">
        <v>0</v>
      </c>
      <c r="I3876" s="22">
        <v>5311.32</v>
      </c>
      <c r="J3876" s="24">
        <f t="shared" si="180"/>
        <v>3.6802783928376367E-5</v>
      </c>
      <c r="K3876" s="25">
        <f t="shared" si="182"/>
        <v>0.97799179599091257</v>
      </c>
      <c r="L3876" s="26" t="s">
        <v>7518</v>
      </c>
      <c r="M3876" s="28"/>
      <c r="N3876" s="28"/>
      <c r="O3876" s="20">
        <v>5088.6899999999996</v>
      </c>
      <c r="P3876" s="27" t="str">
        <f t="shared" si="181"/>
        <v>laranja</v>
      </c>
    </row>
    <row r="3877" spans="1:16" ht="25.5">
      <c r="A3877" s="3" t="s">
        <v>4</v>
      </c>
      <c r="B3877" s="3" t="s">
        <v>2878</v>
      </c>
      <c r="C3877" s="4">
        <v>197</v>
      </c>
      <c r="D3877" s="3" t="s">
        <v>66</v>
      </c>
      <c r="E3877" s="3" t="s">
        <v>41</v>
      </c>
      <c r="F3877" s="5">
        <v>96</v>
      </c>
      <c r="G3877" s="5">
        <v>102</v>
      </c>
      <c r="H3877" s="6">
        <v>4061.76</v>
      </c>
      <c r="I3877" s="22">
        <v>5305.86</v>
      </c>
      <c r="J3877" s="24">
        <f t="shared" si="180"/>
        <v>3.6764950922598343E-5</v>
      </c>
      <c r="K3877" s="25">
        <f t="shared" si="182"/>
        <v>0.97802856094183521</v>
      </c>
      <c r="L3877" s="26" t="s">
        <v>7518</v>
      </c>
      <c r="M3877" s="28"/>
      <c r="N3877" s="28"/>
      <c r="O3877" s="20" t="s">
        <v>7530</v>
      </c>
      <c r="P3877" s="27" t="str">
        <f t="shared" si="181"/>
        <v>vermelho</v>
      </c>
    </row>
    <row r="3878" spans="1:16" ht="25.5">
      <c r="A3878" s="3" t="s">
        <v>4</v>
      </c>
      <c r="B3878" s="3" t="s">
        <v>2879</v>
      </c>
      <c r="C3878" s="4">
        <v>321</v>
      </c>
      <c r="D3878" s="3" t="s">
        <v>136</v>
      </c>
      <c r="E3878" s="3" t="s">
        <v>41</v>
      </c>
      <c r="F3878" s="5">
        <v>0</v>
      </c>
      <c r="G3878" s="5">
        <v>87</v>
      </c>
      <c r="H3878" s="6">
        <v>0</v>
      </c>
      <c r="I3878" s="22">
        <v>5305.17</v>
      </c>
      <c r="J3878" s="24">
        <f t="shared" si="180"/>
        <v>3.6760169828461563E-5</v>
      </c>
      <c r="K3878" s="25">
        <f t="shared" si="182"/>
        <v>0.97806532111166367</v>
      </c>
      <c r="L3878" s="26" t="s">
        <v>7518</v>
      </c>
      <c r="M3878" s="28"/>
      <c r="N3878" s="28"/>
      <c r="O3878" s="20">
        <v>3572.52</v>
      </c>
      <c r="P3878" s="27" t="str">
        <f t="shared" si="181"/>
        <v>laranja</v>
      </c>
    </row>
    <row r="3879" spans="1:16" ht="25.5">
      <c r="A3879" s="3" t="s">
        <v>4</v>
      </c>
      <c r="B3879" s="3" t="s">
        <v>2880</v>
      </c>
      <c r="C3879" s="4">
        <v>218</v>
      </c>
      <c r="D3879" s="3" t="s">
        <v>104</v>
      </c>
      <c r="E3879" s="3" t="s">
        <v>16</v>
      </c>
      <c r="F3879" s="5">
        <v>156</v>
      </c>
      <c r="G3879" s="5">
        <v>99</v>
      </c>
      <c r="H3879" s="6">
        <v>7297.14</v>
      </c>
      <c r="I3879" s="22">
        <v>5300.01</v>
      </c>
      <c r="J3879" s="24">
        <f t="shared" si="180"/>
        <v>3.672441555926475E-5</v>
      </c>
      <c r="K3879" s="25">
        <f t="shared" si="182"/>
        <v>0.97810204552722291</v>
      </c>
      <c r="L3879" s="26" t="s">
        <v>7518</v>
      </c>
      <c r="M3879" s="28"/>
      <c r="N3879" s="28"/>
      <c r="O3879" s="20" t="s">
        <v>7530</v>
      </c>
      <c r="P3879" s="27" t="str">
        <f t="shared" si="181"/>
        <v>vermelho</v>
      </c>
    </row>
    <row r="3880" spans="1:16" ht="25.5">
      <c r="A3880" s="3" t="s">
        <v>4</v>
      </c>
      <c r="B3880" s="3" t="s">
        <v>2881</v>
      </c>
      <c r="C3880" s="4">
        <v>334</v>
      </c>
      <c r="D3880" s="3" t="s">
        <v>531</v>
      </c>
      <c r="E3880" s="3" t="s">
        <v>7</v>
      </c>
      <c r="F3880" s="5">
        <v>0</v>
      </c>
      <c r="G3880" s="5">
        <v>99</v>
      </c>
      <c r="H3880" s="6">
        <v>0</v>
      </c>
      <c r="I3880" s="22">
        <v>5299.9129999999996</v>
      </c>
      <c r="J3880" s="24">
        <f t="shared" si="180"/>
        <v>3.6723743434436822E-5</v>
      </c>
      <c r="K3880" s="25">
        <f t="shared" si="182"/>
        <v>0.97813876927065735</v>
      </c>
      <c r="L3880" s="26" t="s">
        <v>7518</v>
      </c>
      <c r="M3880" s="28"/>
      <c r="N3880" s="28"/>
      <c r="O3880" s="20" t="s">
        <v>7530</v>
      </c>
      <c r="P3880" s="27" t="str">
        <f t="shared" si="181"/>
        <v>vermelho</v>
      </c>
    </row>
    <row r="3881" spans="1:16" ht="25.5">
      <c r="A3881" s="3" t="s">
        <v>4</v>
      </c>
      <c r="B3881" s="3" t="s">
        <v>2882</v>
      </c>
      <c r="C3881" s="4">
        <v>328</v>
      </c>
      <c r="D3881" s="3" t="s">
        <v>215</v>
      </c>
      <c r="E3881" s="3" t="s">
        <v>41</v>
      </c>
      <c r="F3881" s="5">
        <v>84</v>
      </c>
      <c r="G3881" s="5">
        <v>102</v>
      </c>
      <c r="H3881" s="6">
        <v>4387.32</v>
      </c>
      <c r="I3881" s="22">
        <v>5299.8</v>
      </c>
      <c r="J3881" s="24">
        <f t="shared" si="180"/>
        <v>3.6722960443657905E-5</v>
      </c>
      <c r="K3881" s="25">
        <f t="shared" si="182"/>
        <v>0.97817549223110101</v>
      </c>
      <c r="L3881" s="26" t="s">
        <v>7518</v>
      </c>
      <c r="M3881" s="28"/>
      <c r="N3881" s="28"/>
      <c r="O3881" s="20">
        <v>4145.16</v>
      </c>
      <c r="P3881" s="27" t="str">
        <f t="shared" si="181"/>
        <v>laranja</v>
      </c>
    </row>
    <row r="3882" spans="1:16" ht="25.5">
      <c r="A3882" s="3" t="s">
        <v>5006</v>
      </c>
      <c r="B3882" s="3" t="s">
        <v>5007</v>
      </c>
      <c r="C3882" s="4">
        <v>320</v>
      </c>
      <c r="D3882" s="3" t="s">
        <v>218</v>
      </c>
      <c r="E3882" s="3" t="s">
        <v>49</v>
      </c>
      <c r="F3882" s="5">
        <v>0</v>
      </c>
      <c r="G3882" s="5">
        <v>84</v>
      </c>
      <c r="H3882" s="6">
        <v>0</v>
      </c>
      <c r="I3882" s="22">
        <v>5298.0950000000003</v>
      </c>
      <c r="J3882" s="24">
        <f t="shared" si="180"/>
        <v>3.6711146290754692E-5</v>
      </c>
      <c r="K3882" s="25">
        <f t="shared" si="182"/>
        <v>0.97821220337739179</v>
      </c>
      <c r="L3882" s="26" t="s">
        <v>7518</v>
      </c>
      <c r="M3882" s="28"/>
      <c r="N3882" s="28"/>
      <c r="O3882" s="20">
        <v>155848.85999999999</v>
      </c>
      <c r="P3882" s="27" t="str">
        <f t="shared" si="181"/>
        <v>verde</v>
      </c>
    </row>
    <row r="3883" spans="1:16" ht="25.5">
      <c r="A3883" s="3" t="s">
        <v>4</v>
      </c>
      <c r="B3883" s="3" t="s">
        <v>2883</v>
      </c>
      <c r="C3883" s="4">
        <v>270</v>
      </c>
      <c r="D3883" s="3" t="s">
        <v>266</v>
      </c>
      <c r="E3883" s="3" t="s">
        <v>49</v>
      </c>
      <c r="F3883" s="5">
        <v>117</v>
      </c>
      <c r="G3883" s="5">
        <v>93</v>
      </c>
      <c r="H3883" s="6">
        <v>6229.83</v>
      </c>
      <c r="I3883" s="22">
        <v>5294.07</v>
      </c>
      <c r="J3883" s="24">
        <f t="shared" si="180"/>
        <v>3.6683256574956791E-5</v>
      </c>
      <c r="K3883" s="25">
        <f t="shared" si="182"/>
        <v>0.9782488866339667</v>
      </c>
      <c r="L3883" s="26" t="s">
        <v>7518</v>
      </c>
      <c r="M3883" s="28"/>
      <c r="N3883" s="28"/>
      <c r="O3883" s="20">
        <v>3668.1</v>
      </c>
      <c r="P3883" s="27" t="str">
        <f t="shared" si="181"/>
        <v>laranja</v>
      </c>
    </row>
    <row r="3884" spans="1:16" ht="38.25">
      <c r="A3884" s="3" t="s">
        <v>6954</v>
      </c>
      <c r="B3884" s="3" t="s">
        <v>6955</v>
      </c>
      <c r="C3884" s="4">
        <v>371</v>
      </c>
      <c r="D3884" s="3" t="s">
        <v>82</v>
      </c>
      <c r="E3884" s="3" t="s">
        <v>49</v>
      </c>
      <c r="F3884" s="5">
        <v>966</v>
      </c>
      <c r="G3884" s="5">
        <v>120</v>
      </c>
      <c r="H3884" s="6">
        <v>46815.33</v>
      </c>
      <c r="I3884" s="22">
        <v>5278.8</v>
      </c>
      <c r="J3884" s="24">
        <f t="shared" si="180"/>
        <v>3.6577448882973197E-5</v>
      </c>
      <c r="K3884" s="25">
        <f t="shared" si="182"/>
        <v>0.97828546408284967</v>
      </c>
      <c r="L3884" s="26" t="s">
        <v>7518</v>
      </c>
      <c r="M3884" s="28"/>
      <c r="N3884" s="28"/>
      <c r="O3884" s="20" t="s">
        <v>7530</v>
      </c>
      <c r="P3884" s="27" t="str">
        <f t="shared" si="181"/>
        <v>vermelho</v>
      </c>
    </row>
    <row r="3885" spans="1:16" ht="38.25">
      <c r="A3885" s="3" t="s">
        <v>4</v>
      </c>
      <c r="B3885" s="3" t="s">
        <v>2884</v>
      </c>
      <c r="C3885" s="4">
        <v>371</v>
      </c>
      <c r="D3885" s="3" t="s">
        <v>82</v>
      </c>
      <c r="E3885" s="3" t="s">
        <v>49</v>
      </c>
      <c r="F3885" s="5">
        <v>0</v>
      </c>
      <c r="G3885" s="5">
        <v>120</v>
      </c>
      <c r="H3885" s="6">
        <v>0</v>
      </c>
      <c r="I3885" s="22">
        <v>5274</v>
      </c>
      <c r="J3885" s="24">
        <f t="shared" si="180"/>
        <v>3.6544189097673834E-5</v>
      </c>
      <c r="K3885" s="25">
        <f t="shared" si="182"/>
        <v>0.97832200827194737</v>
      </c>
      <c r="L3885" s="26" t="s">
        <v>7518</v>
      </c>
      <c r="M3885" s="28"/>
      <c r="N3885" s="28"/>
      <c r="O3885" s="20" t="s">
        <v>7530</v>
      </c>
      <c r="P3885" s="27" t="str">
        <f t="shared" si="181"/>
        <v>vermelho</v>
      </c>
    </row>
    <row r="3886" spans="1:16" ht="25.5">
      <c r="A3886" s="3" t="s">
        <v>4</v>
      </c>
      <c r="B3886" s="3" t="s">
        <v>2885</v>
      </c>
      <c r="C3886" s="4">
        <v>316</v>
      </c>
      <c r="D3886" s="3" t="s">
        <v>247</v>
      </c>
      <c r="E3886" s="3" t="s">
        <v>10</v>
      </c>
      <c r="F3886" s="5">
        <v>114</v>
      </c>
      <c r="G3886" s="5">
        <v>114</v>
      </c>
      <c r="H3886" s="6">
        <v>5543.85</v>
      </c>
      <c r="I3886" s="22">
        <v>5272.5</v>
      </c>
      <c r="J3886" s="24">
        <f t="shared" si="180"/>
        <v>3.6533795414767781E-5</v>
      </c>
      <c r="K3886" s="25">
        <f t="shared" si="182"/>
        <v>0.97835854206736217</v>
      </c>
      <c r="L3886" s="26" t="s">
        <v>7518</v>
      </c>
      <c r="M3886" s="28"/>
      <c r="N3886" s="28"/>
      <c r="O3886" s="20">
        <v>2013.48</v>
      </c>
      <c r="P3886" s="27" t="str">
        <f t="shared" si="181"/>
        <v>amarelo</v>
      </c>
    </row>
    <row r="3887" spans="1:16">
      <c r="A3887" s="3" t="s">
        <v>4</v>
      </c>
      <c r="B3887" s="3" t="s">
        <v>2886</v>
      </c>
      <c r="C3887" s="4">
        <v>217</v>
      </c>
      <c r="D3887" s="3" t="s">
        <v>91</v>
      </c>
      <c r="E3887" s="3" t="s">
        <v>16</v>
      </c>
      <c r="F3887" s="5">
        <v>0</v>
      </c>
      <c r="G3887" s="5">
        <v>108</v>
      </c>
      <c r="H3887" s="6">
        <v>0</v>
      </c>
      <c r="I3887" s="22">
        <v>5267.4</v>
      </c>
      <c r="J3887" s="24">
        <f t="shared" si="180"/>
        <v>3.6498456892887207E-5</v>
      </c>
      <c r="K3887" s="25">
        <f t="shared" si="182"/>
        <v>0.97839504052425508</v>
      </c>
      <c r="L3887" s="26" t="s">
        <v>7518</v>
      </c>
      <c r="M3887" s="28"/>
      <c r="N3887" s="28"/>
      <c r="O3887" s="20" t="s">
        <v>7530</v>
      </c>
      <c r="P3887" s="27" t="str">
        <f t="shared" si="181"/>
        <v>vermelho</v>
      </c>
    </row>
    <row r="3888" spans="1:16" ht="25.5">
      <c r="A3888" s="3" t="s">
        <v>6956</v>
      </c>
      <c r="B3888" s="3" t="s">
        <v>6957</v>
      </c>
      <c r="C3888" s="4">
        <v>327</v>
      </c>
      <c r="D3888" s="3" t="s">
        <v>100</v>
      </c>
      <c r="E3888" s="3" t="s">
        <v>7</v>
      </c>
      <c r="F3888" s="5">
        <v>126</v>
      </c>
      <c r="G3888" s="5">
        <v>84</v>
      </c>
      <c r="H3888" s="6">
        <v>6118.74</v>
      </c>
      <c r="I3888" s="22">
        <v>5267.16</v>
      </c>
      <c r="J3888" s="24">
        <f t="shared" si="180"/>
        <v>3.6496793903622243E-5</v>
      </c>
      <c r="K3888" s="25">
        <f t="shared" si="182"/>
        <v>0.97843153731815868</v>
      </c>
      <c r="L3888" s="26" t="s">
        <v>7518</v>
      </c>
      <c r="M3888" s="28"/>
      <c r="N3888" s="28"/>
      <c r="O3888" s="20">
        <v>11140.29</v>
      </c>
      <c r="P3888" s="27" t="str">
        <f t="shared" si="181"/>
        <v>verde</v>
      </c>
    </row>
    <row r="3889" spans="1:16" ht="38.25">
      <c r="A3889" s="3" t="s">
        <v>4</v>
      </c>
      <c r="B3889" s="3" t="s">
        <v>2887</v>
      </c>
      <c r="C3889" s="4">
        <v>371</v>
      </c>
      <c r="D3889" s="3" t="s">
        <v>82</v>
      </c>
      <c r="E3889" s="3" t="s">
        <v>49</v>
      </c>
      <c r="F3889" s="5">
        <v>0</v>
      </c>
      <c r="G3889" s="5">
        <v>96</v>
      </c>
      <c r="H3889" s="6">
        <v>0</v>
      </c>
      <c r="I3889" s="22">
        <v>5262.72</v>
      </c>
      <c r="J3889" s="24">
        <f t="shared" si="180"/>
        <v>3.6466028602220337E-5</v>
      </c>
      <c r="K3889" s="25">
        <f t="shared" si="182"/>
        <v>0.97846800334676087</v>
      </c>
      <c r="L3889" s="26" t="s">
        <v>7518</v>
      </c>
      <c r="M3889" s="28"/>
      <c r="N3889" s="28"/>
      <c r="O3889" s="20">
        <v>3289.32</v>
      </c>
      <c r="P3889" s="27" t="str">
        <f t="shared" si="181"/>
        <v>laranja</v>
      </c>
    </row>
    <row r="3890" spans="1:16" ht="25.5">
      <c r="A3890" s="3" t="s">
        <v>4</v>
      </c>
      <c r="B3890" s="3" t="s">
        <v>2888</v>
      </c>
      <c r="C3890" s="4">
        <v>178</v>
      </c>
      <c r="D3890" s="3" t="s">
        <v>74</v>
      </c>
      <c r="E3890" s="3" t="s">
        <v>7</v>
      </c>
      <c r="F3890" s="5">
        <v>48</v>
      </c>
      <c r="G3890" s="5">
        <v>75</v>
      </c>
      <c r="H3890" s="6">
        <v>2974.2</v>
      </c>
      <c r="I3890" s="22">
        <v>5261.37</v>
      </c>
      <c r="J3890" s="24">
        <f t="shared" si="180"/>
        <v>3.6456674287604889E-5</v>
      </c>
      <c r="K3890" s="25">
        <f t="shared" si="182"/>
        <v>0.97850446002104852</v>
      </c>
      <c r="L3890" s="26" t="s">
        <v>7518</v>
      </c>
      <c r="M3890" s="28"/>
      <c r="N3890" s="28"/>
      <c r="O3890" s="20" t="s">
        <v>7530</v>
      </c>
      <c r="P3890" s="27" t="str">
        <f t="shared" si="181"/>
        <v>vermelho</v>
      </c>
    </row>
    <row r="3891" spans="1:16" ht="25.5">
      <c r="A3891" s="3" t="s">
        <v>4</v>
      </c>
      <c r="B3891" s="3" t="s">
        <v>2889</v>
      </c>
      <c r="C3891" s="4">
        <v>321</v>
      </c>
      <c r="D3891" s="3" t="s">
        <v>136</v>
      </c>
      <c r="E3891" s="3" t="s">
        <v>41</v>
      </c>
      <c r="F3891" s="5">
        <v>111</v>
      </c>
      <c r="G3891" s="5">
        <v>72</v>
      </c>
      <c r="H3891" s="6">
        <v>6792.09</v>
      </c>
      <c r="I3891" s="22">
        <v>5259.96</v>
      </c>
      <c r="J3891" s="24">
        <f t="shared" si="180"/>
        <v>3.6446904225673202E-5</v>
      </c>
      <c r="K3891" s="25">
        <f t="shared" si="182"/>
        <v>0.97854090692527418</v>
      </c>
      <c r="L3891" s="26" t="s">
        <v>7518</v>
      </c>
      <c r="M3891" s="28"/>
      <c r="N3891" s="28"/>
      <c r="O3891" s="20" t="s">
        <v>7530</v>
      </c>
      <c r="P3891" s="27" t="str">
        <f t="shared" si="181"/>
        <v>vermelho</v>
      </c>
    </row>
    <row r="3892" spans="1:16" ht="25.5">
      <c r="A3892" s="3" t="s">
        <v>4</v>
      </c>
      <c r="B3892" s="3" t="s">
        <v>2890</v>
      </c>
      <c r="C3892" s="4">
        <v>93</v>
      </c>
      <c r="D3892" s="3" t="s">
        <v>20</v>
      </c>
      <c r="E3892" s="3" t="s">
        <v>7</v>
      </c>
      <c r="F3892" s="5">
        <v>192</v>
      </c>
      <c r="G3892" s="5">
        <v>96</v>
      </c>
      <c r="H3892" s="6">
        <v>11578.08</v>
      </c>
      <c r="I3892" s="22">
        <v>5255.04</v>
      </c>
      <c r="J3892" s="24">
        <f t="shared" si="180"/>
        <v>3.6412812945741353E-5</v>
      </c>
      <c r="K3892" s="25">
        <f t="shared" si="182"/>
        <v>0.97857731973821993</v>
      </c>
      <c r="L3892" s="26" t="s">
        <v>7518</v>
      </c>
      <c r="M3892" s="28"/>
      <c r="N3892" s="28"/>
      <c r="O3892" s="20" t="s">
        <v>7530</v>
      </c>
      <c r="P3892" s="27" t="str">
        <f t="shared" si="181"/>
        <v>vermelho</v>
      </c>
    </row>
    <row r="3893" spans="1:16" ht="38.25">
      <c r="A3893" s="3" t="s">
        <v>4</v>
      </c>
      <c r="B3893" s="3" t="s">
        <v>2891</v>
      </c>
      <c r="C3893" s="4">
        <v>11</v>
      </c>
      <c r="D3893" s="3" t="s">
        <v>61</v>
      </c>
      <c r="E3893" s="3" t="s">
        <v>10</v>
      </c>
      <c r="F3893" s="5">
        <v>480</v>
      </c>
      <c r="G3893" s="5">
        <v>72</v>
      </c>
      <c r="H3893" s="6">
        <v>28679.52</v>
      </c>
      <c r="I3893" s="22">
        <v>5250.24</v>
      </c>
      <c r="J3893" s="24">
        <f t="shared" si="180"/>
        <v>3.637955316044199E-5</v>
      </c>
      <c r="K3893" s="25">
        <f t="shared" si="182"/>
        <v>0.97861369929138042</v>
      </c>
      <c r="L3893" s="26" t="s">
        <v>7518</v>
      </c>
      <c r="M3893" s="28"/>
      <c r="N3893" s="28"/>
      <c r="O3893" s="20" t="s">
        <v>7530</v>
      </c>
      <c r="P3893" s="27" t="str">
        <f t="shared" si="181"/>
        <v>vermelho</v>
      </c>
    </row>
    <row r="3894" spans="1:16" ht="25.5">
      <c r="A3894" s="3" t="s">
        <v>4</v>
      </c>
      <c r="B3894" s="3" t="s">
        <v>2892</v>
      </c>
      <c r="C3894" s="4">
        <v>335</v>
      </c>
      <c r="D3894" s="3" t="s">
        <v>36</v>
      </c>
      <c r="E3894" s="3" t="s">
        <v>7</v>
      </c>
      <c r="F3894" s="5">
        <v>0</v>
      </c>
      <c r="G3894" s="5">
        <v>81</v>
      </c>
      <c r="H3894" s="6">
        <v>0</v>
      </c>
      <c r="I3894" s="22">
        <v>5244.69</v>
      </c>
      <c r="J3894" s="24">
        <f t="shared" si="180"/>
        <v>3.6341096533689601E-5</v>
      </c>
      <c r="K3894" s="25">
        <f t="shared" si="182"/>
        <v>0.97865004038791414</v>
      </c>
      <c r="L3894" s="26" t="s">
        <v>7518</v>
      </c>
      <c r="M3894" s="28"/>
      <c r="N3894" s="28"/>
      <c r="O3894" s="20">
        <v>5244.69</v>
      </c>
      <c r="P3894" s="27" t="str">
        <f t="shared" si="181"/>
        <v>verde</v>
      </c>
    </row>
    <row r="3895" spans="1:16" ht="25.5">
      <c r="A3895" s="3" t="s">
        <v>4</v>
      </c>
      <c r="B3895" s="3" t="s">
        <v>2893</v>
      </c>
      <c r="C3895" s="4">
        <v>316</v>
      </c>
      <c r="D3895" s="3" t="s">
        <v>247</v>
      </c>
      <c r="E3895" s="3" t="s">
        <v>10</v>
      </c>
      <c r="F3895" s="5">
        <v>426</v>
      </c>
      <c r="G3895" s="5">
        <v>96</v>
      </c>
      <c r="H3895" s="6">
        <v>20563.86</v>
      </c>
      <c r="I3895" s="22">
        <v>5225.3999999999996</v>
      </c>
      <c r="J3895" s="24">
        <f t="shared" si="180"/>
        <v>3.620743377151779E-5</v>
      </c>
      <c r="K3895" s="25">
        <f t="shared" si="182"/>
        <v>0.97868624782168567</v>
      </c>
      <c r="L3895" s="26" t="s">
        <v>7518</v>
      </c>
      <c r="M3895" s="28"/>
      <c r="N3895" s="28"/>
      <c r="O3895" s="20" t="s">
        <v>7530</v>
      </c>
      <c r="P3895" s="27" t="str">
        <f t="shared" si="181"/>
        <v>vermelho</v>
      </c>
    </row>
    <row r="3896" spans="1:16" ht="25.5">
      <c r="A3896" s="3" t="s">
        <v>4</v>
      </c>
      <c r="B3896" s="3" t="s">
        <v>2894</v>
      </c>
      <c r="C3896" s="4">
        <v>299</v>
      </c>
      <c r="D3896" s="3" t="s">
        <v>111</v>
      </c>
      <c r="E3896" s="3" t="s">
        <v>49</v>
      </c>
      <c r="F3896" s="5">
        <v>0</v>
      </c>
      <c r="G3896" s="5">
        <v>93</v>
      </c>
      <c r="H3896" s="6">
        <v>0</v>
      </c>
      <c r="I3896" s="22">
        <v>5225.13</v>
      </c>
      <c r="J3896" s="24">
        <f t="shared" si="180"/>
        <v>3.6205562908594706E-5</v>
      </c>
      <c r="K3896" s="25">
        <f t="shared" si="182"/>
        <v>0.97872245338459429</v>
      </c>
      <c r="L3896" s="26" t="s">
        <v>7518</v>
      </c>
      <c r="M3896" s="28"/>
      <c r="N3896" s="28"/>
      <c r="O3896" s="20" t="s">
        <v>7530</v>
      </c>
      <c r="P3896" s="27" t="str">
        <f t="shared" si="181"/>
        <v>vermelho</v>
      </c>
    </row>
    <row r="3897" spans="1:16" ht="25.5">
      <c r="A3897" s="3" t="s">
        <v>4</v>
      </c>
      <c r="B3897" s="3" t="s">
        <v>2895</v>
      </c>
      <c r="C3897" s="4">
        <v>231</v>
      </c>
      <c r="D3897" s="3" t="s">
        <v>52</v>
      </c>
      <c r="E3897" s="3" t="s">
        <v>7</v>
      </c>
      <c r="F3897" s="5">
        <v>96</v>
      </c>
      <c r="G3897" s="5">
        <v>102</v>
      </c>
      <c r="H3897" s="6">
        <v>5555.28</v>
      </c>
      <c r="I3897" s="22">
        <v>5215.7700000000004</v>
      </c>
      <c r="J3897" s="24">
        <f t="shared" si="180"/>
        <v>3.6140706327260951E-5</v>
      </c>
      <c r="K3897" s="25">
        <f t="shared" si="182"/>
        <v>0.97875859409092159</v>
      </c>
      <c r="L3897" s="26" t="s">
        <v>7518</v>
      </c>
      <c r="M3897" s="28"/>
      <c r="N3897" s="28"/>
      <c r="O3897" s="20" t="s">
        <v>7530</v>
      </c>
      <c r="P3897" s="27" t="str">
        <f t="shared" si="181"/>
        <v>vermelho</v>
      </c>
    </row>
    <row r="3898" spans="1:16" ht="25.5">
      <c r="A3898" s="3" t="s">
        <v>4</v>
      </c>
      <c r="B3898" s="3" t="s">
        <v>2896</v>
      </c>
      <c r="C3898" s="4">
        <v>337</v>
      </c>
      <c r="D3898" s="3" t="s">
        <v>202</v>
      </c>
      <c r="E3898" s="3" t="s">
        <v>16</v>
      </c>
      <c r="F3898" s="5">
        <v>0</v>
      </c>
      <c r="G3898" s="5">
        <v>84</v>
      </c>
      <c r="H3898" s="6">
        <v>0</v>
      </c>
      <c r="I3898" s="22">
        <v>5215.68</v>
      </c>
      <c r="J3898" s="24">
        <f t="shared" si="180"/>
        <v>3.6140082706286586E-5</v>
      </c>
      <c r="K3898" s="25">
        <f t="shared" si="182"/>
        <v>0.97879473417362783</v>
      </c>
      <c r="L3898" s="26" t="s">
        <v>7518</v>
      </c>
      <c r="M3898" s="28"/>
      <c r="N3898" s="28"/>
      <c r="O3898" s="20" t="s">
        <v>7530</v>
      </c>
      <c r="P3898" s="27" t="str">
        <f t="shared" si="181"/>
        <v>vermelho</v>
      </c>
    </row>
    <row r="3899" spans="1:16" ht="25.5">
      <c r="A3899" s="3" t="s">
        <v>4</v>
      </c>
      <c r="B3899" s="3" t="s">
        <v>2897</v>
      </c>
      <c r="C3899" s="4">
        <v>197</v>
      </c>
      <c r="D3899" s="3" t="s">
        <v>66</v>
      </c>
      <c r="E3899" s="3" t="s">
        <v>41</v>
      </c>
      <c r="F3899" s="5">
        <v>228</v>
      </c>
      <c r="G3899" s="5">
        <v>108</v>
      </c>
      <c r="H3899" s="6">
        <v>13715.52</v>
      </c>
      <c r="I3899" s="22">
        <v>5193.3</v>
      </c>
      <c r="J3899" s="24">
        <f t="shared" si="180"/>
        <v>3.5985008957328316E-5</v>
      </c>
      <c r="K3899" s="25">
        <f t="shared" si="182"/>
        <v>0.97883071918258513</v>
      </c>
      <c r="L3899" s="26" t="s">
        <v>7518</v>
      </c>
      <c r="M3899" s="28"/>
      <c r="N3899" s="28"/>
      <c r="O3899" s="20">
        <v>7768.38</v>
      </c>
      <c r="P3899" s="27" t="str">
        <f t="shared" si="181"/>
        <v>verde</v>
      </c>
    </row>
    <row r="3900" spans="1:16" ht="25.5">
      <c r="A3900" s="3" t="s">
        <v>4</v>
      </c>
      <c r="B3900" s="3" t="s">
        <v>2898</v>
      </c>
      <c r="C3900" s="4">
        <v>267</v>
      </c>
      <c r="D3900" s="3" t="s">
        <v>125</v>
      </c>
      <c r="E3900" s="3" t="s">
        <v>16</v>
      </c>
      <c r="F3900" s="5">
        <v>96</v>
      </c>
      <c r="G3900" s="5">
        <v>72</v>
      </c>
      <c r="H3900" s="6">
        <v>6433.92</v>
      </c>
      <c r="I3900" s="22">
        <v>5166.72</v>
      </c>
      <c r="J3900" s="24">
        <f t="shared" si="180"/>
        <v>3.5800832896233099E-5</v>
      </c>
      <c r="K3900" s="25">
        <f t="shared" si="182"/>
        <v>0.97886652001548136</v>
      </c>
      <c r="L3900" s="26" t="s">
        <v>7518</v>
      </c>
      <c r="M3900" s="28"/>
      <c r="N3900" s="28"/>
      <c r="O3900" s="20" t="s">
        <v>7530</v>
      </c>
      <c r="P3900" s="27" t="str">
        <f t="shared" si="181"/>
        <v>vermelho</v>
      </c>
    </row>
    <row r="3901" spans="1:16" ht="25.5">
      <c r="A3901" s="3" t="s">
        <v>4</v>
      </c>
      <c r="B3901" s="3" t="s">
        <v>2899</v>
      </c>
      <c r="C3901" s="4">
        <v>194</v>
      </c>
      <c r="D3901" s="3" t="s">
        <v>145</v>
      </c>
      <c r="E3901" s="3" t="s">
        <v>16</v>
      </c>
      <c r="F3901" s="5">
        <v>0</v>
      </c>
      <c r="G3901" s="5">
        <v>120</v>
      </c>
      <c r="H3901" s="6">
        <v>0</v>
      </c>
      <c r="I3901" s="22">
        <v>5166.6000000000004</v>
      </c>
      <c r="J3901" s="24">
        <f t="shared" si="180"/>
        <v>3.5800001401600613E-5</v>
      </c>
      <c r="K3901" s="25">
        <f t="shared" si="182"/>
        <v>0.97890232001688293</v>
      </c>
      <c r="L3901" s="26" t="s">
        <v>7518</v>
      </c>
      <c r="M3901" s="28"/>
      <c r="N3901" s="28"/>
      <c r="O3901" s="20" t="s">
        <v>7530</v>
      </c>
      <c r="P3901" s="27" t="str">
        <f t="shared" si="181"/>
        <v>vermelho</v>
      </c>
    </row>
    <row r="3902" spans="1:16" ht="38.25">
      <c r="A3902" s="3" t="s">
        <v>4</v>
      </c>
      <c r="B3902" s="3" t="s">
        <v>2900</v>
      </c>
      <c r="C3902" s="4">
        <v>34</v>
      </c>
      <c r="D3902" s="3" t="s">
        <v>54</v>
      </c>
      <c r="E3902" s="3" t="s">
        <v>49</v>
      </c>
      <c r="F3902" s="5">
        <v>0</v>
      </c>
      <c r="G3902" s="5">
        <v>84</v>
      </c>
      <c r="H3902" s="6">
        <v>0</v>
      </c>
      <c r="I3902" s="22">
        <v>5159.16</v>
      </c>
      <c r="J3902" s="24">
        <f t="shared" si="180"/>
        <v>3.5748448734386601E-5</v>
      </c>
      <c r="K3902" s="25">
        <f t="shared" si="182"/>
        <v>0.97893806846561737</v>
      </c>
      <c r="L3902" s="26" t="s">
        <v>7518</v>
      </c>
      <c r="M3902" s="28"/>
      <c r="N3902" s="28"/>
      <c r="O3902" s="20" t="s">
        <v>7530</v>
      </c>
      <c r="P3902" s="27" t="str">
        <f t="shared" si="181"/>
        <v>vermelho</v>
      </c>
    </row>
    <row r="3903" spans="1:16" ht="38.25">
      <c r="A3903" s="3" t="s">
        <v>4</v>
      </c>
      <c r="B3903" s="3" t="s">
        <v>2901</v>
      </c>
      <c r="C3903" s="4">
        <v>11</v>
      </c>
      <c r="D3903" s="3" t="s">
        <v>61</v>
      </c>
      <c r="E3903" s="3" t="s">
        <v>10</v>
      </c>
      <c r="F3903" s="5">
        <v>87</v>
      </c>
      <c r="G3903" s="5">
        <v>81</v>
      </c>
      <c r="H3903" s="6">
        <v>5601.99</v>
      </c>
      <c r="I3903" s="22">
        <v>5156.1899999999996</v>
      </c>
      <c r="J3903" s="24">
        <f t="shared" si="180"/>
        <v>3.5727869242232621E-5</v>
      </c>
      <c r="K3903" s="25">
        <f t="shared" si="182"/>
        <v>0.97897379633485959</v>
      </c>
      <c r="L3903" s="26" t="s">
        <v>7518</v>
      </c>
      <c r="M3903" s="28"/>
      <c r="N3903" s="28"/>
      <c r="O3903" s="20" t="s">
        <v>7530</v>
      </c>
      <c r="P3903" s="27" t="str">
        <f t="shared" si="181"/>
        <v>vermelho</v>
      </c>
    </row>
    <row r="3904" spans="1:16" ht="25.5">
      <c r="A3904" s="3" t="s">
        <v>4</v>
      </c>
      <c r="B3904" s="3" t="s">
        <v>2902</v>
      </c>
      <c r="C3904" s="4">
        <v>273</v>
      </c>
      <c r="D3904" s="3" t="s">
        <v>149</v>
      </c>
      <c r="E3904" s="3" t="s">
        <v>16</v>
      </c>
      <c r="F3904" s="5">
        <v>114</v>
      </c>
      <c r="G3904" s="5">
        <v>108</v>
      </c>
      <c r="H3904" s="6">
        <v>5018.22</v>
      </c>
      <c r="I3904" s="22">
        <v>5154.78</v>
      </c>
      <c r="J3904" s="24">
        <f t="shared" si="180"/>
        <v>3.5718099180300934E-5</v>
      </c>
      <c r="K3904" s="25">
        <f t="shared" si="182"/>
        <v>0.97900951443403994</v>
      </c>
      <c r="L3904" s="26" t="s">
        <v>7518</v>
      </c>
      <c r="M3904" s="28"/>
      <c r="N3904" s="28"/>
      <c r="O3904" s="20" t="s">
        <v>7530</v>
      </c>
      <c r="P3904" s="27" t="str">
        <f t="shared" si="181"/>
        <v>vermelho</v>
      </c>
    </row>
    <row r="3905" spans="1:16">
      <c r="A3905" s="3" t="s">
        <v>4</v>
      </c>
      <c r="B3905" s="3" t="s">
        <v>2903</v>
      </c>
      <c r="C3905" s="4">
        <v>217</v>
      </c>
      <c r="D3905" s="3" t="s">
        <v>91</v>
      </c>
      <c r="E3905" s="3" t="s">
        <v>16</v>
      </c>
      <c r="F3905" s="5">
        <v>0</v>
      </c>
      <c r="G3905" s="5">
        <v>72</v>
      </c>
      <c r="H3905" s="6">
        <v>0</v>
      </c>
      <c r="I3905" s="22">
        <v>5151.78</v>
      </c>
      <c r="J3905" s="24">
        <f t="shared" si="180"/>
        <v>3.5697311814488828E-5</v>
      </c>
      <c r="K3905" s="25">
        <f t="shared" si="182"/>
        <v>0.97904521174585446</v>
      </c>
      <c r="L3905" s="26" t="s">
        <v>7518</v>
      </c>
      <c r="M3905" s="28"/>
      <c r="N3905" s="28"/>
      <c r="O3905" s="20" t="s">
        <v>7530</v>
      </c>
      <c r="P3905" s="27" t="str">
        <f t="shared" si="181"/>
        <v>vermelho</v>
      </c>
    </row>
    <row r="3906" spans="1:16" ht="25.5">
      <c r="A3906" s="3" t="s">
        <v>4</v>
      </c>
      <c r="B3906" s="3" t="s">
        <v>2177</v>
      </c>
      <c r="C3906" s="4">
        <v>264</v>
      </c>
      <c r="D3906" s="3" t="s">
        <v>40</v>
      </c>
      <c r="E3906" s="3" t="s">
        <v>41</v>
      </c>
      <c r="F3906" s="5">
        <v>0</v>
      </c>
      <c r="G3906" s="5">
        <v>108</v>
      </c>
      <c r="H3906" s="6">
        <v>0</v>
      </c>
      <c r="I3906" s="22">
        <v>5150.6400000000003</v>
      </c>
      <c r="J3906" s="24">
        <f t="shared" si="180"/>
        <v>3.5689412615480239E-5</v>
      </c>
      <c r="K3906" s="25">
        <f t="shared" si="182"/>
        <v>0.97908090115846991</v>
      </c>
      <c r="L3906" s="26" t="s">
        <v>7518</v>
      </c>
      <c r="M3906" s="28"/>
      <c r="N3906" s="28"/>
      <c r="O3906" s="20" t="s">
        <v>7530</v>
      </c>
      <c r="P3906" s="27" t="str">
        <f t="shared" si="181"/>
        <v>vermelho</v>
      </c>
    </row>
    <row r="3907" spans="1:16" ht="25.5">
      <c r="A3907" s="3" t="s">
        <v>4</v>
      </c>
      <c r="B3907" s="3" t="s">
        <v>2904</v>
      </c>
      <c r="C3907" s="4">
        <v>296</v>
      </c>
      <c r="D3907" s="3" t="s">
        <v>282</v>
      </c>
      <c r="E3907" s="3" t="s">
        <v>10</v>
      </c>
      <c r="F3907" s="5">
        <v>0</v>
      </c>
      <c r="G3907" s="5">
        <v>90</v>
      </c>
      <c r="H3907" s="6">
        <v>0</v>
      </c>
      <c r="I3907" s="22">
        <v>5147.6329999999998</v>
      </c>
      <c r="J3907" s="24">
        <f t="shared" ref="J3907:J3970" si="183">I3907/$I$6364</f>
        <v>3.566857674581457E-5</v>
      </c>
      <c r="K3907" s="25">
        <f t="shared" si="182"/>
        <v>0.97911656973521577</v>
      </c>
      <c r="L3907" s="26" t="s">
        <v>7518</v>
      </c>
      <c r="M3907" s="28"/>
      <c r="N3907" s="28"/>
      <c r="O3907" s="20" t="s">
        <v>7530</v>
      </c>
      <c r="P3907" s="27" t="str">
        <f t="shared" ref="P3907:P3970" si="184">IF(O3907&lt;=0,"vermelho",IFERROR(IF(O3907/I3907&lt;=0.5098,"amarelo",IF(O3907/I3907&lt;1,"laranja","verde")),"vermelho"))</f>
        <v>vermelho</v>
      </c>
    </row>
    <row r="3908" spans="1:16" ht="25.5">
      <c r="A3908" s="3" t="s">
        <v>4</v>
      </c>
      <c r="B3908" s="3" t="s">
        <v>2905</v>
      </c>
      <c r="C3908" s="4">
        <v>23</v>
      </c>
      <c r="D3908" s="3" t="s">
        <v>87</v>
      </c>
      <c r="E3908" s="3" t="s">
        <v>7</v>
      </c>
      <c r="F3908" s="5">
        <v>345</v>
      </c>
      <c r="G3908" s="5">
        <v>93</v>
      </c>
      <c r="H3908" s="6">
        <v>18407.400000000001</v>
      </c>
      <c r="I3908" s="22">
        <v>5141.07</v>
      </c>
      <c r="J3908" s="24">
        <f t="shared" si="183"/>
        <v>3.5623100918539626E-5</v>
      </c>
      <c r="K3908" s="25">
        <f t="shared" ref="K3908:K3971" si="185">J3908+K3907</f>
        <v>0.97915219283613431</v>
      </c>
      <c r="L3908" s="26" t="s">
        <v>7518</v>
      </c>
      <c r="M3908" s="28">
        <v>-2.7036875238445113E-2</v>
      </c>
      <c r="N3908" s="28">
        <v>6.8725082979806021E-2</v>
      </c>
      <c r="O3908" s="20">
        <v>6666.24</v>
      </c>
      <c r="P3908" s="27" t="str">
        <f t="shared" si="184"/>
        <v>verde</v>
      </c>
    </row>
    <row r="3909" spans="1:16" ht="25.5">
      <c r="A3909" s="3" t="s">
        <v>4</v>
      </c>
      <c r="B3909" s="3" t="s">
        <v>2906</v>
      </c>
      <c r="C3909" s="4">
        <v>335</v>
      </c>
      <c r="D3909" s="3" t="s">
        <v>36</v>
      </c>
      <c r="E3909" s="3" t="s">
        <v>7</v>
      </c>
      <c r="F3909" s="5">
        <v>108</v>
      </c>
      <c r="G3909" s="5">
        <v>78</v>
      </c>
      <c r="H3909" s="6">
        <v>5293.5</v>
      </c>
      <c r="I3909" s="22">
        <v>5139.96</v>
      </c>
      <c r="J3909" s="24">
        <f t="shared" si="183"/>
        <v>3.5615409593189156E-5</v>
      </c>
      <c r="K3909" s="25">
        <f t="shared" si="185"/>
        <v>0.97918780824572749</v>
      </c>
      <c r="L3909" s="26" t="s">
        <v>7518</v>
      </c>
      <c r="M3909" s="28"/>
      <c r="N3909" s="28"/>
      <c r="O3909" s="20" t="s">
        <v>7530</v>
      </c>
      <c r="P3909" s="27" t="str">
        <f t="shared" si="184"/>
        <v>vermelho</v>
      </c>
    </row>
    <row r="3910" spans="1:16" ht="25.5">
      <c r="A3910" s="3" t="s">
        <v>4</v>
      </c>
      <c r="B3910" s="3" t="s">
        <v>2907</v>
      </c>
      <c r="C3910" s="4">
        <v>218</v>
      </c>
      <c r="D3910" s="3" t="s">
        <v>104</v>
      </c>
      <c r="E3910" s="3" t="s">
        <v>16</v>
      </c>
      <c r="F3910" s="5">
        <v>0</v>
      </c>
      <c r="G3910" s="5">
        <v>87</v>
      </c>
      <c r="H3910" s="6">
        <v>0</v>
      </c>
      <c r="I3910" s="22">
        <v>5139.93</v>
      </c>
      <c r="J3910" s="24">
        <f t="shared" si="183"/>
        <v>3.5615201719531036E-5</v>
      </c>
      <c r="K3910" s="25">
        <f t="shared" si="185"/>
        <v>0.97922342344744706</v>
      </c>
      <c r="L3910" s="26" t="s">
        <v>7518</v>
      </c>
      <c r="M3910" s="28"/>
      <c r="N3910" s="28"/>
      <c r="O3910" s="20" t="s">
        <v>7530</v>
      </c>
      <c r="P3910" s="27" t="str">
        <f t="shared" si="184"/>
        <v>vermelho</v>
      </c>
    </row>
    <row r="3911" spans="1:16" ht="25.5">
      <c r="A3911" s="3" t="s">
        <v>4</v>
      </c>
      <c r="B3911" s="3" t="s">
        <v>2908</v>
      </c>
      <c r="C3911" s="4">
        <v>335</v>
      </c>
      <c r="D3911" s="3" t="s">
        <v>36</v>
      </c>
      <c r="E3911" s="3" t="s">
        <v>7</v>
      </c>
      <c r="F3911" s="5">
        <v>0</v>
      </c>
      <c r="G3911" s="5">
        <v>84</v>
      </c>
      <c r="H3911" s="6">
        <v>0</v>
      </c>
      <c r="I3911" s="22">
        <v>5135.16</v>
      </c>
      <c r="J3911" s="24">
        <f t="shared" si="183"/>
        <v>3.5582149807889793E-5</v>
      </c>
      <c r="K3911" s="25">
        <f t="shared" si="185"/>
        <v>0.97925900559725498</v>
      </c>
      <c r="L3911" s="26" t="s">
        <v>7518</v>
      </c>
      <c r="M3911" s="28"/>
      <c r="N3911" s="28"/>
      <c r="O3911" s="20">
        <v>9054.0300000000007</v>
      </c>
      <c r="P3911" s="27" t="str">
        <f t="shared" si="184"/>
        <v>verde</v>
      </c>
    </row>
    <row r="3912" spans="1:16" ht="38.25">
      <c r="A3912" s="3" t="s">
        <v>4</v>
      </c>
      <c r="B3912" s="3" t="s">
        <v>2909</v>
      </c>
      <c r="C3912" s="4">
        <v>38</v>
      </c>
      <c r="D3912" s="3" t="s">
        <v>184</v>
      </c>
      <c r="E3912" s="3" t="s">
        <v>49</v>
      </c>
      <c r="F3912" s="5">
        <v>0</v>
      </c>
      <c r="G3912" s="5">
        <v>93</v>
      </c>
      <c r="H3912" s="6">
        <v>0</v>
      </c>
      <c r="I3912" s="22">
        <v>5126.67</v>
      </c>
      <c r="J3912" s="24">
        <f t="shared" si="183"/>
        <v>3.5523321562641544E-5</v>
      </c>
      <c r="K3912" s="25">
        <f t="shared" si="185"/>
        <v>0.97929452891881763</v>
      </c>
      <c r="L3912" s="26" t="s">
        <v>7518</v>
      </c>
      <c r="M3912" s="28"/>
      <c r="N3912" s="28"/>
      <c r="O3912" s="20" t="s">
        <v>7530</v>
      </c>
      <c r="P3912" s="27" t="str">
        <f t="shared" si="184"/>
        <v>vermelho</v>
      </c>
    </row>
    <row r="3913" spans="1:16" ht="38.25">
      <c r="A3913" s="3" t="s">
        <v>4</v>
      </c>
      <c r="B3913" s="3" t="s">
        <v>2910</v>
      </c>
      <c r="C3913" s="4">
        <v>316</v>
      </c>
      <c r="D3913" s="3" t="s">
        <v>247</v>
      </c>
      <c r="E3913" s="3" t="s">
        <v>10</v>
      </c>
      <c r="F3913" s="5">
        <v>0</v>
      </c>
      <c r="G3913" s="5">
        <v>72</v>
      </c>
      <c r="H3913" s="6">
        <v>0</v>
      </c>
      <c r="I3913" s="22">
        <v>5125.68</v>
      </c>
      <c r="J3913" s="24">
        <f t="shared" si="183"/>
        <v>3.5516461731923553E-5</v>
      </c>
      <c r="K3913" s="25">
        <f t="shared" si="185"/>
        <v>0.97933004538054957</v>
      </c>
      <c r="L3913" s="26" t="s">
        <v>7518</v>
      </c>
      <c r="M3913" s="28"/>
      <c r="N3913" s="28"/>
      <c r="O3913" s="20" t="s">
        <v>7530</v>
      </c>
      <c r="P3913" s="27" t="str">
        <f t="shared" si="184"/>
        <v>vermelho</v>
      </c>
    </row>
    <row r="3914" spans="1:16" ht="25.5">
      <c r="A3914" s="3" t="s">
        <v>4</v>
      </c>
      <c r="B3914" s="3" t="s">
        <v>2911</v>
      </c>
      <c r="C3914" s="4">
        <v>208</v>
      </c>
      <c r="D3914" s="3" t="s">
        <v>15</v>
      </c>
      <c r="E3914" s="3" t="s">
        <v>16</v>
      </c>
      <c r="F3914" s="5">
        <v>108</v>
      </c>
      <c r="G3914" s="5">
        <v>84</v>
      </c>
      <c r="H3914" s="6">
        <v>5086.4399999999996</v>
      </c>
      <c r="I3914" s="22">
        <v>5115.6000000000004</v>
      </c>
      <c r="J3914" s="24">
        <f t="shared" si="183"/>
        <v>3.5446616182794891E-5</v>
      </c>
      <c r="K3914" s="25">
        <f t="shared" si="185"/>
        <v>0.9793654919967324</v>
      </c>
      <c r="L3914" s="26" t="s">
        <v>7518</v>
      </c>
      <c r="M3914" s="28"/>
      <c r="N3914" s="28"/>
      <c r="O3914" s="20" t="s">
        <v>7530</v>
      </c>
      <c r="P3914" s="27" t="str">
        <f t="shared" si="184"/>
        <v>vermelho</v>
      </c>
    </row>
    <row r="3915" spans="1:16" ht="38.25">
      <c r="A3915" s="3" t="s">
        <v>5330</v>
      </c>
      <c r="B3915" s="3" t="s">
        <v>5331</v>
      </c>
      <c r="C3915" s="4">
        <v>11</v>
      </c>
      <c r="D3915" s="3" t="s">
        <v>61</v>
      </c>
      <c r="E3915" s="3" t="s">
        <v>10</v>
      </c>
      <c r="F3915" s="5">
        <v>180</v>
      </c>
      <c r="G3915" s="5">
        <v>72</v>
      </c>
      <c r="H3915" s="6">
        <v>10499.28</v>
      </c>
      <c r="I3915" s="22">
        <v>5115.5829999999996</v>
      </c>
      <c r="J3915" s="24">
        <f t="shared" si="183"/>
        <v>3.5446498387721954E-5</v>
      </c>
      <c r="K3915" s="25">
        <f t="shared" si="185"/>
        <v>0.97940093849512011</v>
      </c>
      <c r="L3915" s="26" t="s">
        <v>7518</v>
      </c>
      <c r="M3915" s="28"/>
      <c r="N3915" s="28"/>
      <c r="O3915" s="20">
        <v>8762.1</v>
      </c>
      <c r="P3915" s="27" t="str">
        <f t="shared" si="184"/>
        <v>verde</v>
      </c>
    </row>
    <row r="3916" spans="1:16" ht="38.25">
      <c r="A3916" s="3" t="s">
        <v>4</v>
      </c>
      <c r="B3916" s="3" t="s">
        <v>2912</v>
      </c>
      <c r="C3916" s="4">
        <v>292</v>
      </c>
      <c r="D3916" s="3" t="s">
        <v>57</v>
      </c>
      <c r="E3916" s="3" t="s">
        <v>49</v>
      </c>
      <c r="F3916" s="5">
        <v>147</v>
      </c>
      <c r="G3916" s="5">
        <v>99</v>
      </c>
      <c r="H3916" s="6">
        <v>5626.4250000000002</v>
      </c>
      <c r="I3916" s="22">
        <v>5113.53</v>
      </c>
      <c r="J3916" s="24">
        <f t="shared" si="183"/>
        <v>3.5432272900384544E-5</v>
      </c>
      <c r="K3916" s="25">
        <f t="shared" si="185"/>
        <v>0.97943637076802048</v>
      </c>
      <c r="L3916" s="26" t="s">
        <v>7518</v>
      </c>
      <c r="M3916" s="28"/>
      <c r="N3916" s="28"/>
      <c r="O3916" s="20" t="s">
        <v>7530</v>
      </c>
      <c r="P3916" s="27" t="str">
        <f t="shared" si="184"/>
        <v>vermelho</v>
      </c>
    </row>
    <row r="3917" spans="1:16" ht="25.5">
      <c r="A3917" s="3" t="s">
        <v>4</v>
      </c>
      <c r="B3917" s="3" t="s">
        <v>2913</v>
      </c>
      <c r="C3917" s="4">
        <v>267</v>
      </c>
      <c r="D3917" s="3" t="s">
        <v>125</v>
      </c>
      <c r="E3917" s="3" t="s">
        <v>16</v>
      </c>
      <c r="F3917" s="5">
        <v>144</v>
      </c>
      <c r="G3917" s="5">
        <v>96</v>
      </c>
      <c r="H3917" s="6">
        <v>6754.56</v>
      </c>
      <c r="I3917" s="22">
        <v>5113.4399999999996</v>
      </c>
      <c r="J3917" s="24">
        <f t="shared" si="183"/>
        <v>3.5431649279410178E-5</v>
      </c>
      <c r="K3917" s="25">
        <f t="shared" si="185"/>
        <v>0.97947180241729992</v>
      </c>
      <c r="L3917" s="26" t="s">
        <v>7518</v>
      </c>
      <c r="M3917" s="28"/>
      <c r="N3917" s="28"/>
      <c r="O3917" s="20" t="s">
        <v>7530</v>
      </c>
      <c r="P3917" s="27" t="str">
        <f t="shared" si="184"/>
        <v>vermelho</v>
      </c>
    </row>
    <row r="3918" spans="1:16" ht="25.5">
      <c r="A3918" s="3" t="s">
        <v>4</v>
      </c>
      <c r="B3918" s="3" t="s">
        <v>2914</v>
      </c>
      <c r="C3918" s="4">
        <v>315</v>
      </c>
      <c r="D3918" s="3" t="s">
        <v>63</v>
      </c>
      <c r="E3918" s="3" t="s">
        <v>7</v>
      </c>
      <c r="F3918" s="5">
        <v>162</v>
      </c>
      <c r="G3918" s="5">
        <v>96</v>
      </c>
      <c r="H3918" s="6">
        <v>8615.2199999999993</v>
      </c>
      <c r="I3918" s="22">
        <v>5113.3980000000001</v>
      </c>
      <c r="J3918" s="24">
        <f t="shared" si="183"/>
        <v>3.5431358256288811E-5</v>
      </c>
      <c r="K3918" s="25">
        <f t="shared" si="185"/>
        <v>0.97950723377555626</v>
      </c>
      <c r="L3918" s="26" t="s">
        <v>7518</v>
      </c>
      <c r="M3918" s="28"/>
      <c r="N3918" s="28"/>
      <c r="O3918" s="20" t="s">
        <v>7530</v>
      </c>
      <c r="P3918" s="27" t="str">
        <f t="shared" si="184"/>
        <v>vermelho</v>
      </c>
    </row>
    <row r="3919" spans="1:16">
      <c r="A3919" s="3" t="s">
        <v>4</v>
      </c>
      <c r="B3919" s="3" t="s">
        <v>2915</v>
      </c>
      <c r="C3919" s="4">
        <v>232</v>
      </c>
      <c r="D3919" s="3" t="s">
        <v>174</v>
      </c>
      <c r="E3919" s="3" t="s">
        <v>16</v>
      </c>
      <c r="F3919" s="5">
        <v>0</v>
      </c>
      <c r="G3919" s="5">
        <v>96</v>
      </c>
      <c r="H3919" s="6">
        <v>0</v>
      </c>
      <c r="I3919" s="22">
        <v>5090.88</v>
      </c>
      <c r="J3919" s="24">
        <f t="shared" si="183"/>
        <v>3.5275328288503177E-5</v>
      </c>
      <c r="K3919" s="25">
        <f t="shared" si="185"/>
        <v>0.97954250910384477</v>
      </c>
      <c r="L3919" s="26" t="s">
        <v>7518</v>
      </c>
      <c r="M3919" s="28"/>
      <c r="N3919" s="28"/>
      <c r="O3919" s="20">
        <v>7035.48</v>
      </c>
      <c r="P3919" s="27" t="str">
        <f t="shared" si="184"/>
        <v>verde</v>
      </c>
    </row>
    <row r="3920" spans="1:16" ht="25.5">
      <c r="A3920" s="3" t="s">
        <v>4</v>
      </c>
      <c r="B3920" s="3" t="s">
        <v>2916</v>
      </c>
      <c r="C3920" s="4">
        <v>61</v>
      </c>
      <c r="D3920" s="3" t="s">
        <v>48</v>
      </c>
      <c r="E3920" s="3" t="s">
        <v>49</v>
      </c>
      <c r="F3920" s="5">
        <v>0</v>
      </c>
      <c r="G3920" s="5">
        <v>96</v>
      </c>
      <c r="H3920" s="6">
        <v>0</v>
      </c>
      <c r="I3920" s="22">
        <v>5081.28</v>
      </c>
      <c r="J3920" s="24">
        <f t="shared" si="183"/>
        <v>3.5208808717904451E-5</v>
      </c>
      <c r="K3920" s="25">
        <f t="shared" si="185"/>
        <v>0.97957771791256265</v>
      </c>
      <c r="L3920" s="26" t="s">
        <v>7518</v>
      </c>
      <c r="M3920" s="28"/>
      <c r="N3920" s="28"/>
      <c r="O3920" s="20" t="s">
        <v>7530</v>
      </c>
      <c r="P3920" s="27" t="str">
        <f t="shared" si="184"/>
        <v>vermelho</v>
      </c>
    </row>
    <row r="3921" spans="1:16" ht="25.5">
      <c r="A3921" s="3" t="s">
        <v>4</v>
      </c>
      <c r="B3921" s="3" t="s">
        <v>2917</v>
      </c>
      <c r="C3921" s="4">
        <v>187</v>
      </c>
      <c r="D3921" s="3" t="s">
        <v>96</v>
      </c>
      <c r="E3921" s="3" t="s">
        <v>7</v>
      </c>
      <c r="F3921" s="5">
        <v>72</v>
      </c>
      <c r="G3921" s="5">
        <v>84</v>
      </c>
      <c r="H3921" s="6">
        <v>4727.28</v>
      </c>
      <c r="I3921" s="22">
        <v>5073.54</v>
      </c>
      <c r="J3921" s="24">
        <f t="shared" si="183"/>
        <v>3.5155177314109235E-5</v>
      </c>
      <c r="K3921" s="25">
        <f t="shared" si="185"/>
        <v>0.97961287308987677</v>
      </c>
      <c r="L3921" s="26" t="s">
        <v>7518</v>
      </c>
      <c r="M3921" s="28"/>
      <c r="N3921" s="28"/>
      <c r="O3921" s="20" t="s">
        <v>7530</v>
      </c>
      <c r="P3921" s="27" t="str">
        <f t="shared" si="184"/>
        <v>vermelho</v>
      </c>
    </row>
    <row r="3922" spans="1:16" ht="25.5">
      <c r="A3922" s="3" t="s">
        <v>4</v>
      </c>
      <c r="B3922" s="3" t="s">
        <v>2918</v>
      </c>
      <c r="C3922" s="4">
        <v>194</v>
      </c>
      <c r="D3922" s="3" t="s">
        <v>145</v>
      </c>
      <c r="E3922" s="3" t="s">
        <v>16</v>
      </c>
      <c r="F3922" s="5">
        <v>210</v>
      </c>
      <c r="G3922" s="5">
        <v>90</v>
      </c>
      <c r="H3922" s="6">
        <v>11306.46</v>
      </c>
      <c r="I3922" s="22">
        <v>5073.3599999999997</v>
      </c>
      <c r="J3922" s="24">
        <f t="shared" si="183"/>
        <v>3.5153930072160503E-5</v>
      </c>
      <c r="K3922" s="25">
        <f t="shared" si="185"/>
        <v>0.97964802701994891</v>
      </c>
      <c r="L3922" s="26" t="s">
        <v>7518</v>
      </c>
      <c r="M3922" s="28"/>
      <c r="N3922" s="28"/>
      <c r="O3922" s="20" t="s">
        <v>7530</v>
      </c>
      <c r="P3922" s="27" t="str">
        <f t="shared" si="184"/>
        <v>vermelho</v>
      </c>
    </row>
    <row r="3923" spans="1:16" ht="38.25">
      <c r="A3923" s="3" t="s">
        <v>4</v>
      </c>
      <c r="B3923" s="3" t="s">
        <v>2919</v>
      </c>
      <c r="C3923" s="4">
        <v>11</v>
      </c>
      <c r="D3923" s="3" t="s">
        <v>61</v>
      </c>
      <c r="E3923" s="3" t="s">
        <v>10</v>
      </c>
      <c r="F3923" s="5">
        <v>0</v>
      </c>
      <c r="G3923" s="5">
        <v>72</v>
      </c>
      <c r="H3923" s="6">
        <v>0</v>
      </c>
      <c r="I3923" s="22">
        <v>5063.3850000000002</v>
      </c>
      <c r="J3923" s="24">
        <f t="shared" si="183"/>
        <v>3.5084812080835274E-5</v>
      </c>
      <c r="K3923" s="25">
        <f t="shared" si="185"/>
        <v>0.97968311183202972</v>
      </c>
      <c r="L3923" s="26" t="s">
        <v>7518</v>
      </c>
      <c r="M3923" s="28"/>
      <c r="N3923" s="28"/>
      <c r="O3923" s="20" t="s">
        <v>7530</v>
      </c>
      <c r="P3923" s="27" t="str">
        <f t="shared" si="184"/>
        <v>vermelho</v>
      </c>
    </row>
    <row r="3924" spans="1:16" ht="51">
      <c r="A3924" s="3" t="s">
        <v>6958</v>
      </c>
      <c r="B3924" s="3" t="s">
        <v>6959</v>
      </c>
      <c r="C3924" s="4">
        <v>282</v>
      </c>
      <c r="D3924" s="3" t="s">
        <v>12</v>
      </c>
      <c r="E3924" s="3" t="s">
        <v>13</v>
      </c>
      <c r="F3924" s="5">
        <v>72</v>
      </c>
      <c r="G3924" s="5">
        <v>81</v>
      </c>
      <c r="H3924" s="6">
        <v>2928.8879999999999</v>
      </c>
      <c r="I3924" s="22">
        <v>5062.38</v>
      </c>
      <c r="J3924" s="24">
        <f t="shared" si="183"/>
        <v>3.5077848313288217E-5</v>
      </c>
      <c r="K3924" s="25">
        <f t="shared" si="185"/>
        <v>0.97971818968034297</v>
      </c>
      <c r="L3924" s="26" t="s">
        <v>7518</v>
      </c>
      <c r="M3924" s="28"/>
      <c r="N3924" s="28"/>
      <c r="O3924" s="20" t="s">
        <v>7530</v>
      </c>
      <c r="P3924" s="27" t="str">
        <f t="shared" si="184"/>
        <v>vermelho</v>
      </c>
    </row>
    <row r="3925" spans="1:16" ht="25.5">
      <c r="A3925" s="3" t="s">
        <v>4</v>
      </c>
      <c r="B3925" s="3" t="s">
        <v>2920</v>
      </c>
      <c r="C3925" s="4">
        <v>31</v>
      </c>
      <c r="D3925" s="3" t="s">
        <v>194</v>
      </c>
      <c r="E3925" s="3" t="s">
        <v>16</v>
      </c>
      <c r="F3925" s="5">
        <v>150</v>
      </c>
      <c r="G3925" s="5">
        <v>84</v>
      </c>
      <c r="H3925" s="6">
        <v>8185.98</v>
      </c>
      <c r="I3925" s="22">
        <v>5060.16</v>
      </c>
      <c r="J3925" s="24">
        <f t="shared" si="183"/>
        <v>3.5062465662587264E-5</v>
      </c>
      <c r="K3925" s="25">
        <f t="shared" si="185"/>
        <v>0.9797532521460055</v>
      </c>
      <c r="L3925" s="26" t="s">
        <v>7518</v>
      </c>
      <c r="M3925" s="28"/>
      <c r="N3925" s="28"/>
      <c r="O3925" s="20" t="s">
        <v>7530</v>
      </c>
      <c r="P3925" s="27" t="str">
        <f t="shared" si="184"/>
        <v>vermelho</v>
      </c>
    </row>
    <row r="3926" spans="1:16">
      <c r="A3926" s="3" t="s">
        <v>4</v>
      </c>
      <c r="B3926" s="3" t="s">
        <v>2921</v>
      </c>
      <c r="C3926" s="4">
        <v>231</v>
      </c>
      <c r="D3926" s="3" t="s">
        <v>52</v>
      </c>
      <c r="E3926" s="3" t="s">
        <v>7</v>
      </c>
      <c r="F3926" s="5">
        <v>75</v>
      </c>
      <c r="G3926" s="5">
        <v>84</v>
      </c>
      <c r="H3926" s="6">
        <v>4114.68</v>
      </c>
      <c r="I3926" s="22">
        <v>5056.5600000000004</v>
      </c>
      <c r="J3926" s="24">
        <f t="shared" si="183"/>
        <v>3.5037520823612743E-5</v>
      </c>
      <c r="K3926" s="25">
        <f t="shared" si="185"/>
        <v>0.97978828966682907</v>
      </c>
      <c r="L3926" s="26" t="s">
        <v>7518</v>
      </c>
      <c r="M3926" s="28"/>
      <c r="N3926" s="28"/>
      <c r="O3926" s="20" t="s">
        <v>7530</v>
      </c>
      <c r="P3926" s="27" t="str">
        <f t="shared" si="184"/>
        <v>vermelho</v>
      </c>
    </row>
    <row r="3927" spans="1:16" ht="25.5">
      <c r="A3927" s="3" t="s">
        <v>6960</v>
      </c>
      <c r="B3927" s="3" t="s">
        <v>6961</v>
      </c>
      <c r="C3927" s="4">
        <v>39</v>
      </c>
      <c r="D3927" s="3" t="s">
        <v>26</v>
      </c>
      <c r="E3927" s="3" t="s">
        <v>13</v>
      </c>
      <c r="F3927" s="5">
        <v>120</v>
      </c>
      <c r="G3927" s="5">
        <v>84</v>
      </c>
      <c r="H3927" s="6">
        <v>7174.8</v>
      </c>
      <c r="I3927" s="22">
        <v>5053.08</v>
      </c>
      <c r="J3927" s="24">
        <f t="shared" si="183"/>
        <v>3.5013407479270701E-5</v>
      </c>
      <c r="K3927" s="25">
        <f t="shared" si="185"/>
        <v>0.97982330307430832</v>
      </c>
      <c r="L3927" s="26" t="s">
        <v>7518</v>
      </c>
      <c r="M3927" s="28"/>
      <c r="N3927" s="28"/>
      <c r="O3927" s="20">
        <v>2802</v>
      </c>
      <c r="P3927" s="27" t="str">
        <f t="shared" si="184"/>
        <v>laranja</v>
      </c>
    </row>
    <row r="3928" spans="1:16" ht="25.5">
      <c r="A3928" s="3" t="s">
        <v>4</v>
      </c>
      <c r="B3928" s="3" t="s">
        <v>2922</v>
      </c>
      <c r="C3928" s="4">
        <v>93</v>
      </c>
      <c r="D3928" s="3" t="s">
        <v>20</v>
      </c>
      <c r="E3928" s="3" t="s">
        <v>7</v>
      </c>
      <c r="F3928" s="5">
        <v>132</v>
      </c>
      <c r="G3928" s="5">
        <v>72</v>
      </c>
      <c r="H3928" s="6">
        <v>7354.68</v>
      </c>
      <c r="I3928" s="22">
        <v>5051.28</v>
      </c>
      <c r="J3928" s="24">
        <f t="shared" si="183"/>
        <v>3.5000935059783444E-5</v>
      </c>
      <c r="K3928" s="25">
        <f t="shared" si="185"/>
        <v>0.97985830400936813</v>
      </c>
      <c r="L3928" s="26" t="s">
        <v>7518</v>
      </c>
      <c r="M3928" s="28"/>
      <c r="N3928" s="28"/>
      <c r="O3928" s="20">
        <v>11683.92</v>
      </c>
      <c r="P3928" s="27" t="str">
        <f t="shared" si="184"/>
        <v>verde</v>
      </c>
    </row>
    <row r="3929" spans="1:16" ht="38.25">
      <c r="A3929" s="3" t="s">
        <v>4</v>
      </c>
      <c r="B3929" s="3" t="s">
        <v>2923</v>
      </c>
      <c r="C3929" s="4">
        <v>292</v>
      </c>
      <c r="D3929" s="3" t="s">
        <v>57</v>
      </c>
      <c r="E3929" s="3" t="s">
        <v>49</v>
      </c>
      <c r="F3929" s="5">
        <v>408</v>
      </c>
      <c r="G3929" s="5">
        <v>90</v>
      </c>
      <c r="H3929" s="6">
        <v>21394.909</v>
      </c>
      <c r="I3929" s="22">
        <v>5049.18</v>
      </c>
      <c r="J3929" s="24">
        <f t="shared" si="183"/>
        <v>3.4986383903714977E-5</v>
      </c>
      <c r="K3929" s="25">
        <f t="shared" si="185"/>
        <v>0.97989329039327189</v>
      </c>
      <c r="L3929" s="26" t="s">
        <v>7518</v>
      </c>
      <c r="M3929" s="28"/>
      <c r="N3929" s="28"/>
      <c r="O3929" s="20" t="s">
        <v>7530</v>
      </c>
      <c r="P3929" s="27" t="str">
        <f t="shared" si="184"/>
        <v>vermelho</v>
      </c>
    </row>
    <row r="3930" spans="1:16" ht="25.5">
      <c r="A3930" s="3" t="s">
        <v>4</v>
      </c>
      <c r="B3930" s="3" t="s">
        <v>860</v>
      </c>
      <c r="C3930" s="4">
        <v>296</v>
      </c>
      <c r="D3930" s="3" t="s">
        <v>282</v>
      </c>
      <c r="E3930" s="3" t="s">
        <v>16</v>
      </c>
      <c r="F3930" s="5">
        <v>192</v>
      </c>
      <c r="G3930" s="5">
        <v>84</v>
      </c>
      <c r="H3930" s="6">
        <v>9923.58</v>
      </c>
      <c r="I3930" s="22">
        <v>5036.04</v>
      </c>
      <c r="J3930" s="24">
        <f t="shared" si="183"/>
        <v>3.489533524145797E-5</v>
      </c>
      <c r="K3930" s="25">
        <f t="shared" si="185"/>
        <v>0.97992818572851337</v>
      </c>
      <c r="L3930" s="26" t="s">
        <v>7518</v>
      </c>
      <c r="M3930" s="28"/>
      <c r="N3930" s="28"/>
      <c r="O3930" s="20">
        <v>12893.602000000001</v>
      </c>
      <c r="P3930" s="27" t="str">
        <f t="shared" si="184"/>
        <v>verde</v>
      </c>
    </row>
    <row r="3931" spans="1:16" ht="25.5">
      <c r="A3931" s="3" t="s">
        <v>4</v>
      </c>
      <c r="B3931" s="3" t="s">
        <v>2924</v>
      </c>
      <c r="C3931" s="4">
        <v>335</v>
      </c>
      <c r="D3931" s="3" t="s">
        <v>36</v>
      </c>
      <c r="E3931" s="3" t="s">
        <v>7</v>
      </c>
      <c r="F3931" s="5">
        <v>0</v>
      </c>
      <c r="G3931" s="5">
        <v>66</v>
      </c>
      <c r="H3931" s="6">
        <v>0</v>
      </c>
      <c r="I3931" s="22">
        <v>5033.6400000000003</v>
      </c>
      <c r="J3931" s="24">
        <f t="shared" si="183"/>
        <v>3.4878705348808292E-5</v>
      </c>
      <c r="K3931" s="25">
        <f t="shared" si="185"/>
        <v>0.97996306443386216</v>
      </c>
      <c r="L3931" s="26" t="s">
        <v>7518</v>
      </c>
      <c r="M3931" s="28">
        <v>-3.6145891136601938E-2</v>
      </c>
      <c r="N3931" s="28"/>
      <c r="O3931" s="20">
        <v>5033.6400000000003</v>
      </c>
      <c r="P3931" s="27" t="str">
        <f t="shared" si="184"/>
        <v>verde</v>
      </c>
    </row>
    <row r="3932" spans="1:16" ht="25.5">
      <c r="A3932" s="3" t="s">
        <v>4</v>
      </c>
      <c r="B3932" s="3" t="s">
        <v>2925</v>
      </c>
      <c r="C3932" s="4">
        <v>218</v>
      </c>
      <c r="D3932" s="3" t="s">
        <v>104</v>
      </c>
      <c r="E3932" s="3" t="s">
        <v>16</v>
      </c>
      <c r="F3932" s="5">
        <v>0</v>
      </c>
      <c r="G3932" s="5">
        <v>90</v>
      </c>
      <c r="H3932" s="6">
        <v>0</v>
      </c>
      <c r="I3932" s="22">
        <v>5033.43</v>
      </c>
      <c r="J3932" s="24">
        <f t="shared" si="183"/>
        <v>3.4877250233201441E-5</v>
      </c>
      <c r="K3932" s="25">
        <f t="shared" si="185"/>
        <v>0.97999794168409537</v>
      </c>
      <c r="L3932" s="26" t="s">
        <v>7518</v>
      </c>
      <c r="M3932" s="28"/>
      <c r="N3932" s="28"/>
      <c r="O3932" s="20" t="s">
        <v>7530</v>
      </c>
      <c r="P3932" s="27" t="str">
        <f t="shared" si="184"/>
        <v>vermelho</v>
      </c>
    </row>
    <row r="3933" spans="1:16">
      <c r="A3933" s="3" t="s">
        <v>4</v>
      </c>
      <c r="B3933" s="3" t="s">
        <v>2926</v>
      </c>
      <c r="C3933" s="4">
        <v>334</v>
      </c>
      <c r="D3933" s="3" t="s">
        <v>531</v>
      </c>
      <c r="E3933" s="3" t="s">
        <v>7</v>
      </c>
      <c r="F3933" s="5">
        <v>117</v>
      </c>
      <c r="G3933" s="5">
        <v>84</v>
      </c>
      <c r="H3933" s="6">
        <v>6392.91</v>
      </c>
      <c r="I3933" s="22">
        <v>5028.165</v>
      </c>
      <c r="J3933" s="24">
        <f t="shared" si="183"/>
        <v>3.4840768406201202E-5</v>
      </c>
      <c r="K3933" s="25">
        <f t="shared" si="185"/>
        <v>0.98003278245250158</v>
      </c>
      <c r="L3933" s="26" t="s">
        <v>7518</v>
      </c>
      <c r="M3933" s="28"/>
      <c r="N3933" s="28"/>
      <c r="O3933" s="20" t="s">
        <v>7530</v>
      </c>
      <c r="P3933" s="27" t="str">
        <f t="shared" si="184"/>
        <v>vermelho</v>
      </c>
    </row>
    <row r="3934" spans="1:16" ht="25.5">
      <c r="A3934" s="3" t="s">
        <v>4</v>
      </c>
      <c r="B3934" s="3" t="s">
        <v>2927</v>
      </c>
      <c r="C3934" s="4">
        <v>217</v>
      </c>
      <c r="D3934" s="3" t="s">
        <v>91</v>
      </c>
      <c r="E3934" s="3" t="s">
        <v>16</v>
      </c>
      <c r="F3934" s="5">
        <v>0</v>
      </c>
      <c r="G3934" s="5">
        <v>96</v>
      </c>
      <c r="H3934" s="6">
        <v>0</v>
      </c>
      <c r="I3934" s="22">
        <v>5026.68</v>
      </c>
      <c r="J3934" s="24">
        <f t="shared" si="183"/>
        <v>3.4830478660124215E-5</v>
      </c>
      <c r="K3934" s="25">
        <f t="shared" si="185"/>
        <v>0.98006761293116174</v>
      </c>
      <c r="L3934" s="26" t="s">
        <v>7518</v>
      </c>
      <c r="M3934" s="28"/>
      <c r="N3934" s="28"/>
      <c r="O3934" s="20" t="s">
        <v>7530</v>
      </c>
      <c r="P3934" s="27" t="str">
        <f t="shared" si="184"/>
        <v>vermelho</v>
      </c>
    </row>
    <row r="3935" spans="1:16">
      <c r="A3935" s="3" t="s">
        <v>4</v>
      </c>
      <c r="B3935" s="3" t="s">
        <v>2928</v>
      </c>
      <c r="C3935" s="4">
        <v>315</v>
      </c>
      <c r="D3935" s="3" t="s">
        <v>63</v>
      </c>
      <c r="E3935" s="3" t="s">
        <v>7</v>
      </c>
      <c r="F3935" s="5">
        <v>0</v>
      </c>
      <c r="G3935" s="5">
        <v>81</v>
      </c>
      <c r="H3935" s="6">
        <v>0</v>
      </c>
      <c r="I3935" s="22">
        <v>5020.3339999999998</v>
      </c>
      <c r="J3935" s="24">
        <f t="shared" si="183"/>
        <v>3.4786506452309684E-5</v>
      </c>
      <c r="K3935" s="25">
        <f t="shared" si="185"/>
        <v>0.98010239943761401</v>
      </c>
      <c r="L3935" s="26" t="s">
        <v>7518</v>
      </c>
      <c r="M3935" s="28">
        <v>-3.386172421548065E-2</v>
      </c>
      <c r="N3935" s="28"/>
      <c r="O3935" s="20">
        <v>8709.39</v>
      </c>
      <c r="P3935" s="27" t="str">
        <f t="shared" si="184"/>
        <v>verde</v>
      </c>
    </row>
    <row r="3936" spans="1:16" ht="25.5">
      <c r="A3936" s="3" t="s">
        <v>4</v>
      </c>
      <c r="B3936" s="3" t="s">
        <v>2929</v>
      </c>
      <c r="C3936" s="4">
        <v>273</v>
      </c>
      <c r="D3936" s="3" t="s">
        <v>149</v>
      </c>
      <c r="E3936" s="3" t="s">
        <v>16</v>
      </c>
      <c r="F3936" s="5">
        <v>0</v>
      </c>
      <c r="G3936" s="5">
        <v>90</v>
      </c>
      <c r="H3936" s="6">
        <v>0</v>
      </c>
      <c r="I3936" s="22">
        <v>5018.3999999999996</v>
      </c>
      <c r="J3936" s="24">
        <f t="shared" si="183"/>
        <v>3.4773105530482811E-5</v>
      </c>
      <c r="K3936" s="25">
        <f t="shared" si="185"/>
        <v>0.98013717254314447</v>
      </c>
      <c r="L3936" s="26" t="s">
        <v>7518</v>
      </c>
      <c r="M3936" s="28"/>
      <c r="N3936" s="28"/>
      <c r="O3936" s="20" t="s">
        <v>7530</v>
      </c>
      <c r="P3936" s="27" t="str">
        <f t="shared" si="184"/>
        <v>vermelho</v>
      </c>
    </row>
    <row r="3937" spans="1:16" ht="25.5">
      <c r="A3937" s="3" t="s">
        <v>4</v>
      </c>
      <c r="B3937" s="3" t="s">
        <v>1481</v>
      </c>
      <c r="C3937" s="4">
        <v>264</v>
      </c>
      <c r="D3937" s="3" t="s">
        <v>40</v>
      </c>
      <c r="E3937" s="3" t="s">
        <v>7</v>
      </c>
      <c r="F3937" s="5">
        <v>0</v>
      </c>
      <c r="G3937" s="5">
        <v>60</v>
      </c>
      <c r="H3937" s="6">
        <v>0</v>
      </c>
      <c r="I3937" s="22">
        <v>5015.3999999999996</v>
      </c>
      <c r="J3937" s="24">
        <f t="shared" si="183"/>
        <v>3.4752318164670712E-5</v>
      </c>
      <c r="K3937" s="25">
        <f t="shared" si="185"/>
        <v>0.98017192486130911</v>
      </c>
      <c r="L3937" s="26" t="s">
        <v>7518</v>
      </c>
      <c r="M3937" s="28"/>
      <c r="N3937" s="28"/>
      <c r="O3937" s="20" t="s">
        <v>7530</v>
      </c>
      <c r="P3937" s="27" t="str">
        <f t="shared" si="184"/>
        <v>vermelho</v>
      </c>
    </row>
    <row r="3938" spans="1:16" ht="25.5">
      <c r="A3938" s="3" t="s">
        <v>6962</v>
      </c>
      <c r="B3938" s="3" t="s">
        <v>6963</v>
      </c>
      <c r="C3938" s="4">
        <v>266</v>
      </c>
      <c r="D3938" s="3" t="s">
        <v>80</v>
      </c>
      <c r="E3938" s="3" t="s">
        <v>10</v>
      </c>
      <c r="F3938" s="5">
        <v>198</v>
      </c>
      <c r="G3938" s="5">
        <v>72</v>
      </c>
      <c r="H3938" s="6">
        <v>10050.959999999999</v>
      </c>
      <c r="I3938" s="22">
        <v>5011.83</v>
      </c>
      <c r="J3938" s="24">
        <f t="shared" si="183"/>
        <v>3.4727581199354311E-5</v>
      </c>
      <c r="K3938" s="25">
        <f t="shared" si="185"/>
        <v>0.98020665244250849</v>
      </c>
      <c r="L3938" s="26" t="s">
        <v>7518</v>
      </c>
      <c r="M3938" s="28"/>
      <c r="N3938" s="28"/>
      <c r="O3938" s="20">
        <v>17188.2</v>
      </c>
      <c r="P3938" s="27" t="str">
        <f t="shared" si="184"/>
        <v>verde</v>
      </c>
    </row>
    <row r="3939" spans="1:16" ht="25.5">
      <c r="A3939" s="3" t="s">
        <v>4</v>
      </c>
      <c r="B3939" s="3" t="s">
        <v>2930</v>
      </c>
      <c r="C3939" s="4">
        <v>273</v>
      </c>
      <c r="D3939" s="3" t="s">
        <v>149</v>
      </c>
      <c r="E3939" s="3" t="s">
        <v>16</v>
      </c>
      <c r="F3939" s="5">
        <v>192</v>
      </c>
      <c r="G3939" s="5">
        <v>96</v>
      </c>
      <c r="H3939" s="6">
        <v>9168.42</v>
      </c>
      <c r="I3939" s="22">
        <v>5011.027</v>
      </c>
      <c r="J3939" s="24">
        <f t="shared" si="183"/>
        <v>3.4722017114438607E-5</v>
      </c>
      <c r="K3939" s="25">
        <f t="shared" si="185"/>
        <v>0.98024137445962289</v>
      </c>
      <c r="L3939" s="26" t="s">
        <v>7518</v>
      </c>
      <c r="M3939" s="28"/>
      <c r="N3939" s="28"/>
      <c r="O3939" s="20" t="s">
        <v>7530</v>
      </c>
      <c r="P3939" s="27" t="str">
        <f t="shared" si="184"/>
        <v>vermelho</v>
      </c>
    </row>
    <row r="3940" spans="1:16" ht="38.25">
      <c r="A3940" s="3" t="s">
        <v>4</v>
      </c>
      <c r="B3940" s="3" t="s">
        <v>2931</v>
      </c>
      <c r="C3940" s="4">
        <v>321</v>
      </c>
      <c r="D3940" s="3" t="s">
        <v>136</v>
      </c>
      <c r="E3940" s="3" t="s">
        <v>41</v>
      </c>
      <c r="F3940" s="5">
        <v>0</v>
      </c>
      <c r="G3940" s="5">
        <v>72</v>
      </c>
      <c r="H3940" s="6">
        <v>0</v>
      </c>
      <c r="I3940" s="22">
        <v>5006.88</v>
      </c>
      <c r="J3940" s="24">
        <f t="shared" si="183"/>
        <v>3.4693282045764349E-5</v>
      </c>
      <c r="K3940" s="25">
        <f t="shared" si="185"/>
        <v>0.98027606774166864</v>
      </c>
      <c r="L3940" s="26" t="s">
        <v>7518</v>
      </c>
      <c r="M3940" s="28"/>
      <c r="N3940" s="28"/>
      <c r="O3940" s="20" t="s">
        <v>7530</v>
      </c>
      <c r="P3940" s="27" t="str">
        <f t="shared" si="184"/>
        <v>vermelho</v>
      </c>
    </row>
    <row r="3941" spans="1:16">
      <c r="A3941" s="3" t="s">
        <v>6964</v>
      </c>
      <c r="B3941" s="3" t="s">
        <v>6965</v>
      </c>
      <c r="C3941" s="4">
        <v>231</v>
      </c>
      <c r="D3941" s="3" t="s">
        <v>52</v>
      </c>
      <c r="E3941" s="3" t="s">
        <v>7</v>
      </c>
      <c r="F3941" s="5">
        <v>87</v>
      </c>
      <c r="G3941" s="5">
        <v>84</v>
      </c>
      <c r="H3941" s="6">
        <v>5392.59</v>
      </c>
      <c r="I3941" s="22">
        <v>5003.16</v>
      </c>
      <c r="J3941" s="24">
        <f t="shared" si="183"/>
        <v>3.4667505712157336E-5</v>
      </c>
      <c r="K3941" s="25">
        <f t="shared" si="185"/>
        <v>0.98031073524738077</v>
      </c>
      <c r="L3941" s="26" t="s">
        <v>7518</v>
      </c>
      <c r="M3941" s="28"/>
      <c r="N3941" s="28"/>
      <c r="O3941" s="20" t="s">
        <v>7530</v>
      </c>
      <c r="P3941" s="27" t="str">
        <f t="shared" si="184"/>
        <v>vermelho</v>
      </c>
    </row>
    <row r="3942" spans="1:16">
      <c r="A3942" s="3" t="s">
        <v>4</v>
      </c>
      <c r="B3942" s="3" t="s">
        <v>2932</v>
      </c>
      <c r="C3942" s="4">
        <v>232</v>
      </c>
      <c r="D3942" s="3" t="s">
        <v>174</v>
      </c>
      <c r="E3942" s="3" t="s">
        <v>16</v>
      </c>
      <c r="F3942" s="5">
        <v>246</v>
      </c>
      <c r="G3942" s="5">
        <v>72</v>
      </c>
      <c r="H3942" s="6">
        <v>15574.02</v>
      </c>
      <c r="I3942" s="22">
        <v>4998.6000000000004</v>
      </c>
      <c r="J3942" s="24">
        <f t="shared" si="183"/>
        <v>3.4635908916122952E-5</v>
      </c>
      <c r="K3942" s="25">
        <f t="shared" si="185"/>
        <v>0.98034537115629694</v>
      </c>
      <c r="L3942" s="26" t="s">
        <v>7518</v>
      </c>
      <c r="M3942" s="28"/>
      <c r="N3942" s="28"/>
      <c r="O3942" s="20">
        <v>3703.92</v>
      </c>
      <c r="P3942" s="27" t="str">
        <f t="shared" si="184"/>
        <v>laranja</v>
      </c>
    </row>
    <row r="3943" spans="1:16">
      <c r="A3943" s="3" t="s">
        <v>4</v>
      </c>
      <c r="B3943" s="3" t="s">
        <v>2933</v>
      </c>
      <c r="C3943" s="4">
        <v>217</v>
      </c>
      <c r="D3943" s="3" t="s">
        <v>91</v>
      </c>
      <c r="E3943" s="3" t="s">
        <v>16</v>
      </c>
      <c r="F3943" s="5">
        <v>432</v>
      </c>
      <c r="G3943" s="5">
        <v>96</v>
      </c>
      <c r="H3943" s="6">
        <v>22048.92</v>
      </c>
      <c r="I3943" s="22">
        <v>4998.6000000000004</v>
      </c>
      <c r="J3943" s="24">
        <f t="shared" si="183"/>
        <v>3.4635908916122952E-5</v>
      </c>
      <c r="K3943" s="25">
        <f t="shared" si="185"/>
        <v>0.98038000706521311</v>
      </c>
      <c r="L3943" s="26" t="s">
        <v>7518</v>
      </c>
      <c r="M3943" s="28"/>
      <c r="N3943" s="28"/>
      <c r="O3943" s="20" t="s">
        <v>7530</v>
      </c>
      <c r="P3943" s="27" t="str">
        <f t="shared" si="184"/>
        <v>vermelho</v>
      </c>
    </row>
    <row r="3944" spans="1:16" ht="25.5">
      <c r="A3944" s="3" t="s">
        <v>4</v>
      </c>
      <c r="B3944" s="3" t="s">
        <v>2934</v>
      </c>
      <c r="C3944" s="4">
        <v>218</v>
      </c>
      <c r="D3944" s="3" t="s">
        <v>104</v>
      </c>
      <c r="E3944" s="3" t="s">
        <v>16</v>
      </c>
      <c r="F3944" s="5">
        <v>0</v>
      </c>
      <c r="G3944" s="5">
        <v>90</v>
      </c>
      <c r="H3944" s="6">
        <v>0</v>
      </c>
      <c r="I3944" s="22">
        <v>4980.1499999999996</v>
      </c>
      <c r="J3944" s="24">
        <f t="shared" si="183"/>
        <v>3.450806661637852E-5</v>
      </c>
      <c r="K3944" s="25">
        <f t="shared" si="185"/>
        <v>0.98041451513182953</v>
      </c>
      <c r="L3944" s="26" t="s">
        <v>7518</v>
      </c>
      <c r="M3944" s="28"/>
      <c r="N3944" s="28"/>
      <c r="O3944" s="20" t="s">
        <v>7530</v>
      </c>
      <c r="P3944" s="27" t="str">
        <f t="shared" si="184"/>
        <v>vermelho</v>
      </c>
    </row>
    <row r="3945" spans="1:16" ht="25.5">
      <c r="A3945" s="3" t="s">
        <v>4</v>
      </c>
      <c r="B3945" s="3" t="s">
        <v>2935</v>
      </c>
      <c r="C3945" s="4">
        <v>93</v>
      </c>
      <c r="D3945" s="3" t="s">
        <v>20</v>
      </c>
      <c r="E3945" s="3" t="s">
        <v>7</v>
      </c>
      <c r="F3945" s="5">
        <v>96</v>
      </c>
      <c r="G3945" s="5">
        <v>84</v>
      </c>
      <c r="H3945" s="6">
        <v>4917.78</v>
      </c>
      <c r="I3945" s="22">
        <v>4979.16</v>
      </c>
      <c r="J3945" s="24">
        <f t="shared" si="183"/>
        <v>3.4501206785660529E-5</v>
      </c>
      <c r="K3945" s="25">
        <f t="shared" si="185"/>
        <v>0.98044901633861514</v>
      </c>
      <c r="L3945" s="26" t="s">
        <v>7518</v>
      </c>
      <c r="M3945" s="28"/>
      <c r="N3945" s="28"/>
      <c r="O3945" s="20" t="s">
        <v>7530</v>
      </c>
      <c r="P3945" s="27" t="str">
        <f t="shared" si="184"/>
        <v>vermelho</v>
      </c>
    </row>
    <row r="3946" spans="1:16" ht="25.5">
      <c r="A3946" s="3" t="s">
        <v>4</v>
      </c>
      <c r="B3946" s="3" t="s">
        <v>2936</v>
      </c>
      <c r="C3946" s="4">
        <v>267</v>
      </c>
      <c r="D3946" s="3" t="s">
        <v>125</v>
      </c>
      <c r="E3946" s="3" t="s">
        <v>16</v>
      </c>
      <c r="F3946" s="5">
        <v>342</v>
      </c>
      <c r="G3946" s="5">
        <v>96</v>
      </c>
      <c r="H3946" s="6">
        <v>20713.080000000002</v>
      </c>
      <c r="I3946" s="22">
        <v>4974.6000000000004</v>
      </c>
      <c r="J3946" s="24">
        <f t="shared" si="183"/>
        <v>3.4469609989626137E-5</v>
      </c>
      <c r="K3946" s="25">
        <f t="shared" si="185"/>
        <v>0.98048348594860479</v>
      </c>
      <c r="L3946" s="26" t="s">
        <v>7518</v>
      </c>
      <c r="M3946" s="28"/>
      <c r="N3946" s="28"/>
      <c r="O3946" s="20" t="s">
        <v>7530</v>
      </c>
      <c r="P3946" s="27" t="str">
        <f t="shared" si="184"/>
        <v>vermelho</v>
      </c>
    </row>
    <row r="3947" spans="1:16" ht="25.5">
      <c r="A3947" s="3" t="s">
        <v>4</v>
      </c>
      <c r="B3947" s="3" t="s">
        <v>2937</v>
      </c>
      <c r="C3947" s="4">
        <v>217</v>
      </c>
      <c r="D3947" s="3" t="s">
        <v>91</v>
      </c>
      <c r="E3947" s="3" t="s">
        <v>16</v>
      </c>
      <c r="F3947" s="5">
        <v>72</v>
      </c>
      <c r="G3947" s="5">
        <v>81</v>
      </c>
      <c r="H3947" s="6">
        <v>3230.64</v>
      </c>
      <c r="I3947" s="22">
        <v>4970.79</v>
      </c>
      <c r="J3947" s="24">
        <f t="shared" si="183"/>
        <v>3.4443210035044772E-5</v>
      </c>
      <c r="K3947" s="25">
        <f t="shared" si="185"/>
        <v>0.98051792915863989</v>
      </c>
      <c r="L3947" s="26" t="s">
        <v>7518</v>
      </c>
      <c r="M3947" s="28"/>
      <c r="N3947" s="28"/>
      <c r="O3947" s="20" t="s">
        <v>7530</v>
      </c>
      <c r="P3947" s="27" t="str">
        <f t="shared" si="184"/>
        <v>vermelho</v>
      </c>
    </row>
    <row r="3948" spans="1:16" ht="38.25">
      <c r="A3948" s="3" t="s">
        <v>4</v>
      </c>
      <c r="B3948" s="3" t="s">
        <v>2938</v>
      </c>
      <c r="C3948" s="4">
        <v>316</v>
      </c>
      <c r="D3948" s="3" t="s">
        <v>247</v>
      </c>
      <c r="E3948" s="3" t="s">
        <v>10</v>
      </c>
      <c r="F3948" s="5">
        <v>0</v>
      </c>
      <c r="G3948" s="5">
        <v>87</v>
      </c>
      <c r="H3948" s="6">
        <v>0</v>
      </c>
      <c r="I3948" s="22">
        <v>4968.57</v>
      </c>
      <c r="J3948" s="24">
        <f t="shared" si="183"/>
        <v>3.4427827384343812E-5</v>
      </c>
      <c r="K3948" s="25">
        <f t="shared" si="185"/>
        <v>0.98055235698602428</v>
      </c>
      <c r="L3948" s="26" t="s">
        <v>7518</v>
      </c>
      <c r="M3948" s="28"/>
      <c r="N3948" s="28"/>
      <c r="O3948" s="20" t="s">
        <v>7530</v>
      </c>
      <c r="P3948" s="27" t="str">
        <f t="shared" si="184"/>
        <v>vermelho</v>
      </c>
    </row>
    <row r="3949" spans="1:16" ht="38.25">
      <c r="A3949" s="3" t="s">
        <v>4</v>
      </c>
      <c r="B3949" s="3" t="s">
        <v>2939</v>
      </c>
      <c r="C3949" s="4">
        <v>296</v>
      </c>
      <c r="D3949" s="3" t="s">
        <v>282</v>
      </c>
      <c r="E3949" s="3" t="s">
        <v>10</v>
      </c>
      <c r="F3949" s="5">
        <v>0</v>
      </c>
      <c r="G3949" s="5">
        <v>72</v>
      </c>
      <c r="H3949" s="6">
        <v>0</v>
      </c>
      <c r="I3949" s="22">
        <v>4963.2</v>
      </c>
      <c r="J3949" s="24">
        <f t="shared" si="183"/>
        <v>3.4390617999540154E-5</v>
      </c>
      <c r="K3949" s="25">
        <f t="shared" si="185"/>
        <v>0.98058674760402387</v>
      </c>
      <c r="L3949" s="26" t="s">
        <v>7518</v>
      </c>
      <c r="M3949" s="28"/>
      <c r="N3949" s="28"/>
      <c r="O3949" s="20" t="s">
        <v>7530</v>
      </c>
      <c r="P3949" s="27" t="str">
        <f t="shared" si="184"/>
        <v>vermelho</v>
      </c>
    </row>
    <row r="3950" spans="1:16" ht="25.5">
      <c r="A3950" s="3" t="s">
        <v>4</v>
      </c>
      <c r="B3950" s="3" t="s">
        <v>2940</v>
      </c>
      <c r="C3950" s="4">
        <v>315</v>
      </c>
      <c r="D3950" s="3" t="s">
        <v>63</v>
      </c>
      <c r="E3950" s="3" t="s">
        <v>7</v>
      </c>
      <c r="F3950" s="5">
        <v>0</v>
      </c>
      <c r="G3950" s="5">
        <v>78</v>
      </c>
      <c r="H3950" s="6">
        <v>0</v>
      </c>
      <c r="I3950" s="22">
        <v>4953.66</v>
      </c>
      <c r="J3950" s="24">
        <f t="shared" si="183"/>
        <v>3.4324514176257668E-5</v>
      </c>
      <c r="K3950" s="25">
        <f t="shared" si="185"/>
        <v>0.98062107211820015</v>
      </c>
      <c r="L3950" s="26" t="s">
        <v>7518</v>
      </c>
      <c r="M3950" s="28"/>
      <c r="N3950" s="28"/>
      <c r="O3950" s="20" t="s">
        <v>7530</v>
      </c>
      <c r="P3950" s="27" t="str">
        <f t="shared" si="184"/>
        <v>vermelho</v>
      </c>
    </row>
    <row r="3951" spans="1:16" ht="25.5">
      <c r="A3951" s="3" t="s">
        <v>4</v>
      </c>
      <c r="B3951" s="3" t="s">
        <v>2941</v>
      </c>
      <c r="C3951" s="4">
        <v>321</v>
      </c>
      <c r="D3951" s="3" t="s">
        <v>136</v>
      </c>
      <c r="E3951" s="3" t="s">
        <v>41</v>
      </c>
      <c r="F3951" s="5">
        <v>39</v>
      </c>
      <c r="G3951" s="5">
        <v>72</v>
      </c>
      <c r="H3951" s="6">
        <v>2645.61</v>
      </c>
      <c r="I3951" s="22">
        <v>4953.6000000000004</v>
      </c>
      <c r="J3951" s="24">
        <f t="shared" si="183"/>
        <v>3.4324098428941435E-5</v>
      </c>
      <c r="K3951" s="25">
        <f t="shared" si="185"/>
        <v>0.98065539621662912</v>
      </c>
      <c r="L3951" s="26" t="s">
        <v>7518</v>
      </c>
      <c r="M3951" s="28"/>
      <c r="N3951" s="28"/>
      <c r="O3951" s="20" t="s">
        <v>7530</v>
      </c>
      <c r="P3951" s="27" t="str">
        <f t="shared" si="184"/>
        <v>vermelho</v>
      </c>
    </row>
    <row r="3952" spans="1:16">
      <c r="A3952" s="3" t="s">
        <v>4</v>
      </c>
      <c r="B3952" s="3" t="s">
        <v>2942</v>
      </c>
      <c r="C3952" s="4">
        <v>15</v>
      </c>
      <c r="D3952" s="3" t="s">
        <v>18</v>
      </c>
      <c r="E3952" s="3" t="s">
        <v>16</v>
      </c>
      <c r="F3952" s="5">
        <v>144</v>
      </c>
      <c r="G3952" s="5">
        <v>84</v>
      </c>
      <c r="H3952" s="6">
        <v>7838.76</v>
      </c>
      <c r="I3952" s="22">
        <v>4951.5600000000004</v>
      </c>
      <c r="J3952" s="24">
        <f t="shared" si="183"/>
        <v>3.43099630201892E-5</v>
      </c>
      <c r="K3952" s="25">
        <f t="shared" si="185"/>
        <v>0.98068970617964935</v>
      </c>
      <c r="L3952" s="26" t="s">
        <v>7518</v>
      </c>
      <c r="M3952" s="28"/>
      <c r="N3952" s="28"/>
      <c r="O3952" s="20" t="s">
        <v>7530</v>
      </c>
      <c r="P3952" s="27" t="str">
        <f t="shared" si="184"/>
        <v>vermelho</v>
      </c>
    </row>
    <row r="3953" spans="1:16" ht="25.5">
      <c r="A3953" s="3" t="s">
        <v>4</v>
      </c>
      <c r="B3953" s="3" t="s">
        <v>2943</v>
      </c>
      <c r="C3953" s="4">
        <v>337</v>
      </c>
      <c r="D3953" s="3" t="s">
        <v>202</v>
      </c>
      <c r="E3953" s="3" t="s">
        <v>16</v>
      </c>
      <c r="F3953" s="5">
        <v>0</v>
      </c>
      <c r="G3953" s="5">
        <v>96</v>
      </c>
      <c r="H3953" s="6">
        <v>0</v>
      </c>
      <c r="I3953" s="22">
        <v>4944.6000000000004</v>
      </c>
      <c r="J3953" s="24">
        <f t="shared" si="183"/>
        <v>3.4261736331505131E-5</v>
      </c>
      <c r="K3953" s="25">
        <f t="shared" si="185"/>
        <v>0.98072396791598082</v>
      </c>
      <c r="L3953" s="26" t="s">
        <v>7518</v>
      </c>
      <c r="M3953" s="28"/>
      <c r="N3953" s="28"/>
      <c r="O3953" s="20" t="s">
        <v>7530</v>
      </c>
      <c r="P3953" s="27" t="str">
        <f t="shared" si="184"/>
        <v>vermelho</v>
      </c>
    </row>
    <row r="3954" spans="1:16" ht="38.25">
      <c r="A3954" s="3" t="s">
        <v>4</v>
      </c>
      <c r="B3954" s="3" t="s">
        <v>2944</v>
      </c>
      <c r="C3954" s="4">
        <v>11</v>
      </c>
      <c r="D3954" s="3" t="s">
        <v>61</v>
      </c>
      <c r="E3954" s="3" t="s">
        <v>10</v>
      </c>
      <c r="F3954" s="5">
        <v>60</v>
      </c>
      <c r="G3954" s="5">
        <v>72</v>
      </c>
      <c r="H3954" s="6">
        <v>4115.76</v>
      </c>
      <c r="I3954" s="22">
        <v>4943.28</v>
      </c>
      <c r="J3954" s="24">
        <f t="shared" si="183"/>
        <v>3.4252589890547803E-5</v>
      </c>
      <c r="K3954" s="25">
        <f t="shared" si="185"/>
        <v>0.98075822050587136</v>
      </c>
      <c r="L3954" s="26" t="s">
        <v>7518</v>
      </c>
      <c r="M3954" s="28"/>
      <c r="N3954" s="28"/>
      <c r="O3954" s="20">
        <v>6886.56</v>
      </c>
      <c r="P3954" s="27" t="str">
        <f t="shared" si="184"/>
        <v>verde</v>
      </c>
    </row>
    <row r="3955" spans="1:16" ht="25.5">
      <c r="A3955" s="3" t="s">
        <v>4</v>
      </c>
      <c r="B3955" s="3" t="s">
        <v>2945</v>
      </c>
      <c r="C3955" s="4">
        <v>327</v>
      </c>
      <c r="D3955" s="3" t="s">
        <v>100</v>
      </c>
      <c r="E3955" s="3" t="s">
        <v>7</v>
      </c>
      <c r="F3955" s="5">
        <v>48</v>
      </c>
      <c r="G3955" s="5">
        <v>102</v>
      </c>
      <c r="H3955" s="6">
        <v>3041.52</v>
      </c>
      <c r="I3955" s="22">
        <v>4940.5200000000004</v>
      </c>
      <c r="J3955" s="24">
        <f t="shared" si="183"/>
        <v>3.4233465514000674E-5</v>
      </c>
      <c r="K3955" s="25">
        <f t="shared" si="185"/>
        <v>0.98079245397138537</v>
      </c>
      <c r="L3955" s="26" t="s">
        <v>7518</v>
      </c>
      <c r="M3955" s="28"/>
      <c r="N3955" s="28"/>
      <c r="O3955" s="20">
        <v>19637.939999999999</v>
      </c>
      <c r="P3955" s="27" t="str">
        <f t="shared" si="184"/>
        <v>verde</v>
      </c>
    </row>
    <row r="3956" spans="1:16" ht="25.5">
      <c r="A3956" s="3" t="s">
        <v>6966</v>
      </c>
      <c r="B3956" s="3" t="s">
        <v>6967</v>
      </c>
      <c r="C3956" s="4">
        <v>218</v>
      </c>
      <c r="D3956" s="3" t="s">
        <v>104</v>
      </c>
      <c r="E3956" s="3" t="s">
        <v>16</v>
      </c>
      <c r="F3956" s="5">
        <v>0</v>
      </c>
      <c r="G3956" s="5">
        <v>90</v>
      </c>
      <c r="H3956" s="6">
        <v>0</v>
      </c>
      <c r="I3956" s="22">
        <v>4940.37</v>
      </c>
      <c r="J3956" s="24">
        <f t="shared" si="183"/>
        <v>3.4232426145710062E-5</v>
      </c>
      <c r="K3956" s="25">
        <f t="shared" si="185"/>
        <v>0.98082668639753112</v>
      </c>
      <c r="L3956" s="26" t="s">
        <v>7518</v>
      </c>
      <c r="M3956" s="28"/>
      <c r="N3956" s="28"/>
      <c r="O3956" s="20" t="s">
        <v>7530</v>
      </c>
      <c r="P3956" s="27" t="str">
        <f t="shared" si="184"/>
        <v>vermelho</v>
      </c>
    </row>
    <row r="3957" spans="1:16" ht="25.5">
      <c r="A3957" s="3" t="s">
        <v>4</v>
      </c>
      <c r="B3957" s="3" t="s">
        <v>2946</v>
      </c>
      <c r="C3957" s="4">
        <v>321</v>
      </c>
      <c r="D3957" s="3" t="s">
        <v>136</v>
      </c>
      <c r="E3957" s="3" t="s">
        <v>41</v>
      </c>
      <c r="F3957" s="5">
        <v>186</v>
      </c>
      <c r="G3957" s="5">
        <v>72</v>
      </c>
      <c r="H3957" s="6">
        <v>11634.156000000001</v>
      </c>
      <c r="I3957" s="22">
        <v>4935.8580000000002</v>
      </c>
      <c r="J3957" s="24">
        <f t="shared" si="183"/>
        <v>3.4201161947528663E-5</v>
      </c>
      <c r="K3957" s="25">
        <f t="shared" si="185"/>
        <v>0.98086088755947864</v>
      </c>
      <c r="L3957" s="26" t="s">
        <v>7518</v>
      </c>
      <c r="M3957" s="28"/>
      <c r="N3957" s="28"/>
      <c r="O3957" s="20" t="s">
        <v>7530</v>
      </c>
      <c r="P3957" s="27" t="str">
        <f t="shared" si="184"/>
        <v>vermelho</v>
      </c>
    </row>
    <row r="3958" spans="1:16" ht="38.25">
      <c r="A3958" s="3" t="s">
        <v>4</v>
      </c>
      <c r="B3958" s="3" t="s">
        <v>2947</v>
      </c>
      <c r="C3958" s="4">
        <v>296</v>
      </c>
      <c r="D3958" s="3" t="s">
        <v>282</v>
      </c>
      <c r="E3958" s="3" t="s">
        <v>10</v>
      </c>
      <c r="F3958" s="5">
        <v>0</v>
      </c>
      <c r="G3958" s="5">
        <v>99</v>
      </c>
      <c r="H3958" s="6">
        <v>0</v>
      </c>
      <c r="I3958" s="22">
        <v>4929.21</v>
      </c>
      <c r="J3958" s="24">
        <f t="shared" si="183"/>
        <v>3.4155097144889051E-5</v>
      </c>
      <c r="K3958" s="25">
        <f t="shared" si="185"/>
        <v>0.98089504265662353</v>
      </c>
      <c r="L3958" s="26" t="s">
        <v>7518</v>
      </c>
      <c r="M3958" s="28"/>
      <c r="N3958" s="28"/>
      <c r="O3958" s="20" t="s">
        <v>7530</v>
      </c>
      <c r="P3958" s="27" t="str">
        <f t="shared" si="184"/>
        <v>vermelho</v>
      </c>
    </row>
    <row r="3959" spans="1:16" ht="25.5">
      <c r="A3959" s="3" t="s">
        <v>4</v>
      </c>
      <c r="B3959" s="3" t="s">
        <v>2948</v>
      </c>
      <c r="C3959" s="4">
        <v>299</v>
      </c>
      <c r="D3959" s="3" t="s">
        <v>111</v>
      </c>
      <c r="E3959" s="3" t="s">
        <v>49</v>
      </c>
      <c r="F3959" s="5">
        <v>0</v>
      </c>
      <c r="G3959" s="5">
        <v>78</v>
      </c>
      <c r="H3959" s="6">
        <v>0</v>
      </c>
      <c r="I3959" s="22">
        <v>4926.84</v>
      </c>
      <c r="J3959" s="24">
        <f t="shared" si="183"/>
        <v>3.4138675125897486E-5</v>
      </c>
      <c r="K3959" s="25">
        <f t="shared" si="185"/>
        <v>0.98092918133174944</v>
      </c>
      <c r="L3959" s="26" t="s">
        <v>7518</v>
      </c>
      <c r="M3959" s="28"/>
      <c r="N3959" s="28"/>
      <c r="O3959" s="20" t="s">
        <v>7530</v>
      </c>
      <c r="P3959" s="27" t="str">
        <f t="shared" si="184"/>
        <v>vermelho</v>
      </c>
    </row>
    <row r="3960" spans="1:16" ht="25.5">
      <c r="A3960" s="3" t="s">
        <v>4</v>
      </c>
      <c r="B3960" s="3" t="s">
        <v>2949</v>
      </c>
      <c r="C3960" s="4">
        <v>15</v>
      </c>
      <c r="D3960" s="3" t="s">
        <v>18</v>
      </c>
      <c r="E3960" s="3" t="s">
        <v>16</v>
      </c>
      <c r="F3960" s="5">
        <v>312</v>
      </c>
      <c r="G3960" s="5">
        <v>95</v>
      </c>
      <c r="H3960" s="6">
        <v>18641.400000000001</v>
      </c>
      <c r="I3960" s="22">
        <v>4922.0600000000004</v>
      </c>
      <c r="J3960" s="24">
        <f t="shared" si="183"/>
        <v>3.4105553923036874E-5</v>
      </c>
      <c r="K3960" s="25">
        <f t="shared" si="185"/>
        <v>0.98096328688567247</v>
      </c>
      <c r="L3960" s="26" t="s">
        <v>7518</v>
      </c>
      <c r="M3960" s="28"/>
      <c r="N3960" s="28"/>
      <c r="O3960" s="20" t="s">
        <v>7530</v>
      </c>
      <c r="P3960" s="27" t="str">
        <f t="shared" si="184"/>
        <v>vermelho</v>
      </c>
    </row>
    <row r="3961" spans="1:16" ht="38.25">
      <c r="A3961" s="3" t="s">
        <v>6968</v>
      </c>
      <c r="B3961" s="3" t="s">
        <v>6969</v>
      </c>
      <c r="C3961" s="4">
        <v>371</v>
      </c>
      <c r="D3961" s="3" t="s">
        <v>82</v>
      </c>
      <c r="E3961" s="3" t="s">
        <v>49</v>
      </c>
      <c r="F3961" s="5">
        <v>198</v>
      </c>
      <c r="G3961" s="5">
        <v>108</v>
      </c>
      <c r="H3961" s="6">
        <v>9525.24</v>
      </c>
      <c r="I3961" s="22">
        <v>4912.32</v>
      </c>
      <c r="J3961" s="24">
        <f t="shared" si="183"/>
        <v>3.4038064275366918E-5</v>
      </c>
      <c r="K3961" s="25">
        <f t="shared" si="185"/>
        <v>0.98099732494994785</v>
      </c>
      <c r="L3961" s="26" t="s">
        <v>7518</v>
      </c>
      <c r="M3961" s="28"/>
      <c r="N3961" s="28"/>
      <c r="O3961" s="20">
        <v>1757.88</v>
      </c>
      <c r="P3961" s="27" t="str">
        <f t="shared" si="184"/>
        <v>amarelo</v>
      </c>
    </row>
    <row r="3962" spans="1:16" ht="25.5">
      <c r="A3962" s="3" t="s">
        <v>4</v>
      </c>
      <c r="B3962" s="3" t="s">
        <v>2950</v>
      </c>
      <c r="C3962" s="4">
        <v>337</v>
      </c>
      <c r="D3962" s="3" t="s">
        <v>202</v>
      </c>
      <c r="E3962" s="3" t="s">
        <v>16</v>
      </c>
      <c r="F3962" s="5">
        <v>0</v>
      </c>
      <c r="G3962" s="5">
        <v>72</v>
      </c>
      <c r="H3962" s="6">
        <v>0</v>
      </c>
      <c r="I3962" s="22">
        <v>4900.32</v>
      </c>
      <c r="J3962" s="24">
        <f t="shared" si="183"/>
        <v>3.3954914812118514E-5</v>
      </c>
      <c r="K3962" s="25">
        <f t="shared" si="185"/>
        <v>0.98103127986476002</v>
      </c>
      <c r="L3962" s="26" t="s">
        <v>7518</v>
      </c>
      <c r="M3962" s="28"/>
      <c r="N3962" s="28"/>
      <c r="O3962" s="20">
        <v>9504.1200000000008</v>
      </c>
      <c r="P3962" s="27" t="str">
        <f t="shared" si="184"/>
        <v>verde</v>
      </c>
    </row>
    <row r="3963" spans="1:16" ht="38.25">
      <c r="A3963" s="3" t="s">
        <v>4</v>
      </c>
      <c r="B3963" s="3" t="s">
        <v>2951</v>
      </c>
      <c r="C3963" s="4">
        <v>333</v>
      </c>
      <c r="D3963" s="3" t="s">
        <v>1394</v>
      </c>
      <c r="E3963" s="3" t="s">
        <v>41</v>
      </c>
      <c r="F3963" s="5">
        <v>0</v>
      </c>
      <c r="G3963" s="5">
        <v>72</v>
      </c>
      <c r="H3963" s="6">
        <v>0</v>
      </c>
      <c r="I3963" s="22">
        <v>4900.32</v>
      </c>
      <c r="J3963" s="24">
        <f t="shared" si="183"/>
        <v>3.3954914812118514E-5</v>
      </c>
      <c r="K3963" s="25">
        <f t="shared" si="185"/>
        <v>0.98106523477957219</v>
      </c>
      <c r="L3963" s="26" t="s">
        <v>7518</v>
      </c>
      <c r="M3963" s="28"/>
      <c r="N3963" s="28"/>
      <c r="O3963" s="20">
        <v>4900.32</v>
      </c>
      <c r="P3963" s="27" t="str">
        <f t="shared" si="184"/>
        <v>verde</v>
      </c>
    </row>
    <row r="3964" spans="1:16" ht="25.5">
      <c r="A3964" s="3" t="s">
        <v>6970</v>
      </c>
      <c r="B3964" s="3" t="s">
        <v>6971</v>
      </c>
      <c r="C3964" s="4">
        <v>74</v>
      </c>
      <c r="D3964" s="3" t="s">
        <v>6</v>
      </c>
      <c r="E3964" s="3" t="s">
        <v>7</v>
      </c>
      <c r="F3964" s="5">
        <v>0</v>
      </c>
      <c r="G3964" s="5">
        <v>144</v>
      </c>
      <c r="H3964" s="6">
        <v>0</v>
      </c>
      <c r="I3964" s="22">
        <v>4900.32</v>
      </c>
      <c r="J3964" s="24">
        <f t="shared" si="183"/>
        <v>3.3954914812118514E-5</v>
      </c>
      <c r="K3964" s="25">
        <f t="shared" si="185"/>
        <v>0.98109918969438437</v>
      </c>
      <c r="L3964" s="26" t="s">
        <v>7518</v>
      </c>
      <c r="M3964" s="28"/>
      <c r="N3964" s="28"/>
      <c r="O3964" s="20" t="s">
        <v>7530</v>
      </c>
      <c r="P3964" s="27" t="str">
        <f t="shared" si="184"/>
        <v>vermelho</v>
      </c>
    </row>
    <row r="3965" spans="1:16" ht="25.5">
      <c r="A3965" s="3" t="s">
        <v>4</v>
      </c>
      <c r="B3965" s="3" t="s">
        <v>2952</v>
      </c>
      <c r="C3965" s="4">
        <v>53</v>
      </c>
      <c r="D3965" s="3" t="s">
        <v>34</v>
      </c>
      <c r="E3965" s="3" t="s">
        <v>16</v>
      </c>
      <c r="F3965" s="5">
        <v>0</v>
      </c>
      <c r="G3965" s="5">
        <v>96</v>
      </c>
      <c r="H3965" s="6">
        <v>0</v>
      </c>
      <c r="I3965" s="22">
        <v>4900.2</v>
      </c>
      <c r="J3965" s="24">
        <f t="shared" si="183"/>
        <v>3.3954083317486029E-5</v>
      </c>
      <c r="K3965" s="25">
        <f t="shared" si="185"/>
        <v>0.98113314377770189</v>
      </c>
      <c r="L3965" s="26" t="s">
        <v>7518</v>
      </c>
      <c r="M3965" s="28"/>
      <c r="N3965" s="28"/>
      <c r="O3965" s="20" t="s">
        <v>7530</v>
      </c>
      <c r="P3965" s="27" t="str">
        <f t="shared" si="184"/>
        <v>vermelho</v>
      </c>
    </row>
    <row r="3966" spans="1:16" ht="25.5">
      <c r="A3966" s="3" t="s">
        <v>6972</v>
      </c>
      <c r="B3966" s="3" t="s">
        <v>6973</v>
      </c>
      <c r="C3966" s="4">
        <v>23</v>
      </c>
      <c r="D3966" s="3" t="s">
        <v>87</v>
      </c>
      <c r="E3966" s="3" t="s">
        <v>7</v>
      </c>
      <c r="F3966" s="5">
        <v>84</v>
      </c>
      <c r="G3966" s="5">
        <v>72</v>
      </c>
      <c r="H3966" s="6">
        <v>4532.16</v>
      </c>
      <c r="I3966" s="22">
        <v>4895.28</v>
      </c>
      <c r="J3966" s="24">
        <f t="shared" si="183"/>
        <v>3.391999203755418E-5</v>
      </c>
      <c r="K3966" s="25">
        <f t="shared" si="185"/>
        <v>0.98116706376973939</v>
      </c>
      <c r="L3966" s="26" t="s">
        <v>7518</v>
      </c>
      <c r="M3966" s="28"/>
      <c r="N3966" s="28"/>
      <c r="O3966" s="20" t="s">
        <v>7530</v>
      </c>
      <c r="P3966" s="27" t="str">
        <f t="shared" si="184"/>
        <v>vermelho</v>
      </c>
    </row>
    <row r="3967" spans="1:16" ht="25.5">
      <c r="A3967" s="3" t="s">
        <v>4</v>
      </c>
      <c r="B3967" s="3" t="s">
        <v>2953</v>
      </c>
      <c r="C3967" s="4">
        <v>23</v>
      </c>
      <c r="D3967" s="3" t="s">
        <v>87</v>
      </c>
      <c r="E3967" s="3" t="s">
        <v>7</v>
      </c>
      <c r="F3967" s="5">
        <v>351</v>
      </c>
      <c r="G3967" s="5">
        <v>120</v>
      </c>
      <c r="H3967" s="6">
        <v>20693.490000000002</v>
      </c>
      <c r="I3967" s="22">
        <v>4873.5600000000004</v>
      </c>
      <c r="J3967" s="24">
        <f t="shared" si="183"/>
        <v>3.3769491509074572E-5</v>
      </c>
      <c r="K3967" s="25">
        <f t="shared" si="185"/>
        <v>0.98120083326124852</v>
      </c>
      <c r="L3967" s="26" t="s">
        <v>7518</v>
      </c>
      <c r="M3967" s="28"/>
      <c r="N3967" s="28"/>
      <c r="O3967" s="20">
        <v>2898.12</v>
      </c>
      <c r="P3967" s="27" t="str">
        <f t="shared" si="184"/>
        <v>laranja</v>
      </c>
    </row>
    <row r="3968" spans="1:16" ht="25.5">
      <c r="A3968" s="3" t="s">
        <v>4</v>
      </c>
      <c r="B3968" s="3" t="s">
        <v>2954</v>
      </c>
      <c r="C3968" s="4">
        <v>320</v>
      </c>
      <c r="D3968" s="3" t="s">
        <v>218</v>
      </c>
      <c r="E3968" s="3" t="s">
        <v>49</v>
      </c>
      <c r="F3968" s="5">
        <v>150</v>
      </c>
      <c r="G3968" s="5">
        <v>93</v>
      </c>
      <c r="H3968" s="6">
        <v>8365.5</v>
      </c>
      <c r="I3968" s="22">
        <v>4873.53</v>
      </c>
      <c r="J3968" s="24">
        <f t="shared" si="183"/>
        <v>3.3769283635416445E-5</v>
      </c>
      <c r="K3968" s="25">
        <f t="shared" si="185"/>
        <v>0.98123460254488393</v>
      </c>
      <c r="L3968" s="26" t="s">
        <v>7518</v>
      </c>
      <c r="M3968" s="28"/>
      <c r="N3968" s="28"/>
      <c r="O3968" s="20" t="s">
        <v>7530</v>
      </c>
      <c r="P3968" s="27" t="str">
        <f t="shared" si="184"/>
        <v>vermelho</v>
      </c>
    </row>
    <row r="3969" spans="1:16" ht="25.5">
      <c r="A3969" s="3" t="s">
        <v>4</v>
      </c>
      <c r="B3969" s="3" t="s">
        <v>2955</v>
      </c>
      <c r="C3969" s="4">
        <v>267</v>
      </c>
      <c r="D3969" s="3" t="s">
        <v>125</v>
      </c>
      <c r="E3969" s="3" t="s">
        <v>16</v>
      </c>
      <c r="F3969" s="5">
        <v>399</v>
      </c>
      <c r="G3969" s="5">
        <v>81</v>
      </c>
      <c r="H3969" s="6">
        <v>22129.439999999999</v>
      </c>
      <c r="I3969" s="22">
        <v>4864.1400000000003</v>
      </c>
      <c r="J3969" s="24">
        <f t="shared" si="183"/>
        <v>3.3704219180424577E-5</v>
      </c>
      <c r="K3969" s="25">
        <f t="shared" si="185"/>
        <v>0.9812683067640644</v>
      </c>
      <c r="L3969" s="26" t="s">
        <v>7518</v>
      </c>
      <c r="M3969" s="28"/>
      <c r="N3969" s="28"/>
      <c r="O3969" s="20">
        <v>7160.13</v>
      </c>
      <c r="P3969" s="27" t="str">
        <f t="shared" si="184"/>
        <v>verde</v>
      </c>
    </row>
    <row r="3970" spans="1:16" ht="25.5">
      <c r="A3970" s="3" t="s">
        <v>4</v>
      </c>
      <c r="B3970" s="3" t="s">
        <v>2956</v>
      </c>
      <c r="C3970" s="4">
        <v>23</v>
      </c>
      <c r="D3970" s="3" t="s">
        <v>87</v>
      </c>
      <c r="E3970" s="3" t="s">
        <v>7</v>
      </c>
      <c r="F3970" s="5">
        <v>48</v>
      </c>
      <c r="G3970" s="5">
        <v>78</v>
      </c>
      <c r="H3970" s="6">
        <v>3280.3319999999999</v>
      </c>
      <c r="I3970" s="22">
        <v>4857.8630000000003</v>
      </c>
      <c r="J3970" s="24">
        <f t="shared" si="183"/>
        <v>3.3660725082023719E-5</v>
      </c>
      <c r="K3970" s="25">
        <f t="shared" si="185"/>
        <v>0.98130196748914644</v>
      </c>
      <c r="L3970" s="26" t="s">
        <v>7518</v>
      </c>
      <c r="M3970" s="28"/>
      <c r="N3970" s="28"/>
      <c r="O3970" s="20" t="s">
        <v>7530</v>
      </c>
      <c r="P3970" s="27" t="str">
        <f t="shared" si="184"/>
        <v>vermelho</v>
      </c>
    </row>
    <row r="3971" spans="1:16" ht="38.25">
      <c r="A3971" s="3" t="s">
        <v>4</v>
      </c>
      <c r="B3971" s="3" t="s">
        <v>2957</v>
      </c>
      <c r="C3971" s="4">
        <v>218</v>
      </c>
      <c r="D3971" s="3" t="s">
        <v>104</v>
      </c>
      <c r="E3971" s="3" t="s">
        <v>16</v>
      </c>
      <c r="F3971" s="5">
        <v>0</v>
      </c>
      <c r="G3971" s="5">
        <v>108</v>
      </c>
      <c r="H3971" s="6">
        <v>0</v>
      </c>
      <c r="I3971" s="22">
        <v>4851.3599999999997</v>
      </c>
      <c r="J3971" s="24">
        <f t="shared" ref="J3971:J4034" si="186">I3971/$I$6364</f>
        <v>3.3615665002065021E-5</v>
      </c>
      <c r="K3971" s="25">
        <f t="shared" si="185"/>
        <v>0.98133558315414848</v>
      </c>
      <c r="L3971" s="26" t="s">
        <v>7518</v>
      </c>
      <c r="M3971" s="28"/>
      <c r="N3971" s="28"/>
      <c r="O3971" s="20" t="s">
        <v>7530</v>
      </c>
      <c r="P3971" s="27" t="str">
        <f t="shared" ref="P3971:P4034" si="187">IF(O3971&lt;=0,"vermelho",IFERROR(IF(O3971/I3971&lt;=0.5098,"amarelo",IF(O3971/I3971&lt;1,"laranja","verde")),"vermelho"))</f>
        <v>vermelho</v>
      </c>
    </row>
    <row r="3972" spans="1:16" ht="25.5">
      <c r="A3972" s="3" t="s">
        <v>4</v>
      </c>
      <c r="B3972" s="3" t="s">
        <v>2958</v>
      </c>
      <c r="C3972" s="4">
        <v>296</v>
      </c>
      <c r="D3972" s="3" t="s">
        <v>282</v>
      </c>
      <c r="E3972" s="3" t="s">
        <v>10</v>
      </c>
      <c r="F3972" s="5">
        <v>0</v>
      </c>
      <c r="G3972" s="5">
        <v>66</v>
      </c>
      <c r="H3972" s="6">
        <v>0</v>
      </c>
      <c r="I3972" s="22">
        <v>4847.82</v>
      </c>
      <c r="J3972" s="24">
        <f t="shared" si="186"/>
        <v>3.3591135910406739E-5</v>
      </c>
      <c r="K3972" s="25">
        <f t="shared" ref="K3972:K4035" si="188">J3972+K3971</f>
        <v>0.98136917429005888</v>
      </c>
      <c r="L3972" s="26" t="s">
        <v>7518</v>
      </c>
      <c r="M3972" s="28"/>
      <c r="N3972" s="28"/>
      <c r="O3972" s="20">
        <v>4745.3940000000002</v>
      </c>
      <c r="P3972" s="27" t="str">
        <f t="shared" si="187"/>
        <v>laranja</v>
      </c>
    </row>
    <row r="3973" spans="1:16">
      <c r="A3973" s="3" t="s">
        <v>4</v>
      </c>
      <c r="B3973" s="3" t="s">
        <v>2959</v>
      </c>
      <c r="C3973" s="4">
        <v>231</v>
      </c>
      <c r="D3973" s="3" t="s">
        <v>52</v>
      </c>
      <c r="E3973" s="3" t="s">
        <v>7</v>
      </c>
      <c r="F3973" s="5">
        <v>120</v>
      </c>
      <c r="G3973" s="5">
        <v>96</v>
      </c>
      <c r="H3973" s="6">
        <v>5746.8</v>
      </c>
      <c r="I3973" s="22">
        <v>4847.16</v>
      </c>
      <c r="J3973" s="24">
        <f t="shared" si="186"/>
        <v>3.3586562689928079E-5</v>
      </c>
      <c r="K3973" s="25">
        <f t="shared" si="188"/>
        <v>0.9814027608527488</v>
      </c>
      <c r="L3973" s="26" t="s">
        <v>7518</v>
      </c>
      <c r="M3973" s="28"/>
      <c r="N3973" s="28"/>
      <c r="O3973" s="20">
        <v>11345.16</v>
      </c>
      <c r="P3973" s="27" t="str">
        <f t="shared" si="187"/>
        <v>verde</v>
      </c>
    </row>
    <row r="3974" spans="1:16" ht="38.25">
      <c r="A3974" s="3" t="s">
        <v>4</v>
      </c>
      <c r="B3974" s="3" t="s">
        <v>2960</v>
      </c>
      <c r="C3974" s="4">
        <v>143</v>
      </c>
      <c r="D3974" s="3" t="s">
        <v>44</v>
      </c>
      <c r="E3974" s="3" t="s">
        <v>41</v>
      </c>
      <c r="F3974" s="5">
        <v>222</v>
      </c>
      <c r="G3974" s="5">
        <v>72</v>
      </c>
      <c r="H3974" s="6">
        <v>13043.1</v>
      </c>
      <c r="I3974" s="22">
        <v>4847.04</v>
      </c>
      <c r="J3974" s="24">
        <f t="shared" si="186"/>
        <v>3.3585731195295593E-5</v>
      </c>
      <c r="K3974" s="25">
        <f t="shared" si="188"/>
        <v>0.98143634658394407</v>
      </c>
      <c r="L3974" s="26" t="s">
        <v>7518</v>
      </c>
      <c r="M3974" s="28"/>
      <c r="N3974" s="28"/>
      <c r="O3974" s="20">
        <v>6673.92</v>
      </c>
      <c r="P3974" s="27" t="str">
        <f t="shared" si="187"/>
        <v>verde</v>
      </c>
    </row>
    <row r="3975" spans="1:16" ht="25.5">
      <c r="A3975" s="3" t="s">
        <v>4</v>
      </c>
      <c r="B3975" s="3" t="s">
        <v>2961</v>
      </c>
      <c r="C3975" s="4">
        <v>317</v>
      </c>
      <c r="D3975" s="3" t="s">
        <v>78</v>
      </c>
      <c r="E3975" s="3" t="s">
        <v>10</v>
      </c>
      <c r="F3975" s="5">
        <v>456</v>
      </c>
      <c r="G3975" s="5">
        <v>60</v>
      </c>
      <c r="H3975" s="6">
        <v>27455.88</v>
      </c>
      <c r="I3975" s="22">
        <v>4844.88</v>
      </c>
      <c r="J3975" s="24">
        <f t="shared" si="186"/>
        <v>3.3570764291910886E-5</v>
      </c>
      <c r="K3975" s="25">
        <f t="shared" si="188"/>
        <v>0.98146991734823597</v>
      </c>
      <c r="L3975" s="26" t="s">
        <v>7518</v>
      </c>
      <c r="M3975" s="28"/>
      <c r="N3975" s="28"/>
      <c r="O3975" s="20" t="s">
        <v>7530</v>
      </c>
      <c r="P3975" s="27" t="str">
        <f t="shared" si="187"/>
        <v>vermelho</v>
      </c>
    </row>
    <row r="3976" spans="1:16" ht="25.5">
      <c r="A3976" s="3" t="s">
        <v>4</v>
      </c>
      <c r="B3976" s="3" t="s">
        <v>2962</v>
      </c>
      <c r="C3976" s="4">
        <v>218</v>
      </c>
      <c r="D3976" s="3" t="s">
        <v>104</v>
      </c>
      <c r="E3976" s="3" t="s">
        <v>16</v>
      </c>
      <c r="F3976" s="5">
        <v>159</v>
      </c>
      <c r="G3976" s="5">
        <v>84</v>
      </c>
      <c r="H3976" s="6">
        <v>7517.31</v>
      </c>
      <c r="I3976" s="22">
        <v>4835.16</v>
      </c>
      <c r="J3976" s="24">
        <f t="shared" si="186"/>
        <v>3.3503413226679675E-5</v>
      </c>
      <c r="K3976" s="25">
        <f t="shared" si="188"/>
        <v>0.98150342076146269</v>
      </c>
      <c r="L3976" s="26" t="s">
        <v>7518</v>
      </c>
      <c r="M3976" s="28"/>
      <c r="N3976" s="28"/>
      <c r="O3976" s="20" t="s">
        <v>7530</v>
      </c>
      <c r="P3976" s="27" t="str">
        <f t="shared" si="187"/>
        <v>vermelho</v>
      </c>
    </row>
    <row r="3977" spans="1:16" ht="25.5">
      <c r="A3977" s="3" t="s">
        <v>4</v>
      </c>
      <c r="B3977" s="3" t="s">
        <v>2963</v>
      </c>
      <c r="C3977" s="4">
        <v>320</v>
      </c>
      <c r="D3977" s="3" t="s">
        <v>218</v>
      </c>
      <c r="E3977" s="3" t="s">
        <v>49</v>
      </c>
      <c r="F3977" s="5">
        <v>0</v>
      </c>
      <c r="G3977" s="5">
        <v>84</v>
      </c>
      <c r="H3977" s="6">
        <v>0</v>
      </c>
      <c r="I3977" s="22">
        <v>4835.16</v>
      </c>
      <c r="J3977" s="24">
        <f t="shared" si="186"/>
        <v>3.3503413226679675E-5</v>
      </c>
      <c r="K3977" s="25">
        <f t="shared" si="188"/>
        <v>0.98153692417468941</v>
      </c>
      <c r="L3977" s="26" t="s">
        <v>7518</v>
      </c>
      <c r="M3977" s="28"/>
      <c r="N3977" s="28"/>
      <c r="O3977" s="20" t="s">
        <v>7530</v>
      </c>
      <c r="P3977" s="27" t="str">
        <f t="shared" si="187"/>
        <v>vermelho</v>
      </c>
    </row>
    <row r="3978" spans="1:16" ht="38.25">
      <c r="A3978" s="3" t="s">
        <v>4</v>
      </c>
      <c r="B3978" s="3" t="s">
        <v>2964</v>
      </c>
      <c r="C3978" s="4">
        <v>187</v>
      </c>
      <c r="D3978" s="3" t="s">
        <v>96</v>
      </c>
      <c r="E3978" s="3" t="s">
        <v>7</v>
      </c>
      <c r="F3978" s="5">
        <v>0</v>
      </c>
      <c r="G3978" s="5">
        <v>90</v>
      </c>
      <c r="H3978" s="6">
        <v>0</v>
      </c>
      <c r="I3978" s="22">
        <v>4833.72</v>
      </c>
      <c r="J3978" s="24">
        <f t="shared" si="186"/>
        <v>3.3493435291089868E-5</v>
      </c>
      <c r="K3978" s="25">
        <f t="shared" si="188"/>
        <v>0.98157041760998054</v>
      </c>
      <c r="L3978" s="26" t="s">
        <v>7518</v>
      </c>
      <c r="M3978" s="28"/>
      <c r="N3978" s="28"/>
      <c r="O3978" s="20" t="s">
        <v>7530</v>
      </c>
      <c r="P3978" s="27" t="str">
        <f t="shared" si="187"/>
        <v>vermelho</v>
      </c>
    </row>
    <row r="3979" spans="1:16" ht="25.5">
      <c r="A3979" s="3" t="s">
        <v>4</v>
      </c>
      <c r="B3979" s="3" t="s">
        <v>2965</v>
      </c>
      <c r="C3979" s="4">
        <v>328</v>
      </c>
      <c r="D3979" s="3" t="s">
        <v>215</v>
      </c>
      <c r="E3979" s="3" t="s">
        <v>41</v>
      </c>
      <c r="F3979" s="5">
        <v>60</v>
      </c>
      <c r="G3979" s="5">
        <v>90</v>
      </c>
      <c r="H3979" s="6">
        <v>3479.4</v>
      </c>
      <c r="I3979" s="22">
        <v>4833.66</v>
      </c>
      <c r="J3979" s="24">
        <f t="shared" si="186"/>
        <v>3.3493019543773622E-5</v>
      </c>
      <c r="K3979" s="25">
        <f t="shared" si="188"/>
        <v>0.98160391062952435</v>
      </c>
      <c r="L3979" s="26" t="s">
        <v>7518</v>
      </c>
      <c r="M3979" s="28"/>
      <c r="N3979" s="28"/>
      <c r="O3979" s="20" t="s">
        <v>7530</v>
      </c>
      <c r="P3979" s="27" t="str">
        <f t="shared" si="187"/>
        <v>vermelho</v>
      </c>
    </row>
    <row r="3980" spans="1:16" ht="25.5">
      <c r="A3980" s="3" t="s">
        <v>4</v>
      </c>
      <c r="B3980" s="3" t="s">
        <v>2966</v>
      </c>
      <c r="C3980" s="4">
        <v>273</v>
      </c>
      <c r="D3980" s="3" t="s">
        <v>149</v>
      </c>
      <c r="E3980" s="3" t="s">
        <v>16</v>
      </c>
      <c r="F3980" s="5">
        <v>210</v>
      </c>
      <c r="G3980" s="5">
        <v>84</v>
      </c>
      <c r="H3980" s="6">
        <v>10204.74</v>
      </c>
      <c r="I3980" s="22">
        <v>4829.835</v>
      </c>
      <c r="J3980" s="24">
        <f t="shared" si="186"/>
        <v>3.3466515652363197E-5</v>
      </c>
      <c r="K3980" s="25">
        <f t="shared" si="188"/>
        <v>0.98163737714517674</v>
      </c>
      <c r="L3980" s="26" t="s">
        <v>7518</v>
      </c>
      <c r="M3980" s="28"/>
      <c r="N3980" s="28">
        <v>4.43996482057974E-2</v>
      </c>
      <c r="O3980" s="20">
        <v>2609.88</v>
      </c>
      <c r="P3980" s="27" t="str">
        <f t="shared" si="187"/>
        <v>laranja</v>
      </c>
    </row>
    <row r="3981" spans="1:16" ht="38.25">
      <c r="A3981" s="3" t="s">
        <v>4</v>
      </c>
      <c r="B3981" s="3" t="s">
        <v>2967</v>
      </c>
      <c r="C3981" s="4">
        <v>316</v>
      </c>
      <c r="D3981" s="3" t="s">
        <v>247</v>
      </c>
      <c r="E3981" s="3" t="s">
        <v>10</v>
      </c>
      <c r="F3981" s="5">
        <v>0</v>
      </c>
      <c r="G3981" s="5">
        <v>90</v>
      </c>
      <c r="H3981" s="6">
        <v>0</v>
      </c>
      <c r="I3981" s="22">
        <v>4829.79</v>
      </c>
      <c r="J3981" s="24">
        <f t="shared" si="186"/>
        <v>3.3466203841876017E-5</v>
      </c>
      <c r="K3981" s="25">
        <f t="shared" si="188"/>
        <v>0.98167084334901866</v>
      </c>
      <c r="L3981" s="26" t="s">
        <v>7518</v>
      </c>
      <c r="M3981" s="28"/>
      <c r="N3981" s="28"/>
      <c r="O3981" s="20" t="s">
        <v>7530</v>
      </c>
      <c r="P3981" s="27" t="str">
        <f t="shared" si="187"/>
        <v>vermelho</v>
      </c>
    </row>
    <row r="3982" spans="1:16">
      <c r="A3982" s="3" t="s">
        <v>4</v>
      </c>
      <c r="B3982" s="3" t="s">
        <v>2968</v>
      </c>
      <c r="C3982" s="4">
        <v>315</v>
      </c>
      <c r="D3982" s="3" t="s">
        <v>63</v>
      </c>
      <c r="E3982" s="3" t="s">
        <v>7</v>
      </c>
      <c r="F3982" s="5">
        <v>0</v>
      </c>
      <c r="G3982" s="5">
        <v>84</v>
      </c>
      <c r="H3982" s="6">
        <v>0</v>
      </c>
      <c r="I3982" s="22">
        <v>4829.16</v>
      </c>
      <c r="J3982" s="24">
        <f t="shared" si="186"/>
        <v>3.346183849505547E-5</v>
      </c>
      <c r="K3982" s="25">
        <f t="shared" si="188"/>
        <v>0.98170430518751373</v>
      </c>
      <c r="L3982" s="26" t="s">
        <v>7518</v>
      </c>
      <c r="M3982" s="28"/>
      <c r="N3982" s="28"/>
      <c r="O3982" s="20" t="s">
        <v>7530</v>
      </c>
      <c r="P3982" s="27" t="str">
        <f t="shared" si="187"/>
        <v>vermelho</v>
      </c>
    </row>
    <row r="3983" spans="1:16" ht="25.5">
      <c r="A3983" s="3" t="s">
        <v>4</v>
      </c>
      <c r="B3983" s="3" t="s">
        <v>2969</v>
      </c>
      <c r="C3983" s="4">
        <v>23</v>
      </c>
      <c r="D3983" s="3" t="s">
        <v>87</v>
      </c>
      <c r="E3983" s="3" t="s">
        <v>7</v>
      </c>
      <c r="F3983" s="5">
        <v>0</v>
      </c>
      <c r="G3983" s="5">
        <v>72</v>
      </c>
      <c r="H3983" s="6">
        <v>0</v>
      </c>
      <c r="I3983" s="22">
        <v>4817.28</v>
      </c>
      <c r="J3983" s="24">
        <f t="shared" si="186"/>
        <v>3.3379520526439551E-5</v>
      </c>
      <c r="K3983" s="25">
        <f t="shared" si="188"/>
        <v>0.98173768470804013</v>
      </c>
      <c r="L3983" s="26" t="s">
        <v>7518</v>
      </c>
      <c r="M3983" s="28"/>
      <c r="N3983" s="28"/>
      <c r="O3983" s="20" t="s">
        <v>7530</v>
      </c>
      <c r="P3983" s="27" t="str">
        <f t="shared" si="187"/>
        <v>vermelho</v>
      </c>
    </row>
    <row r="3984" spans="1:16" ht="51">
      <c r="A3984" s="3" t="s">
        <v>4</v>
      </c>
      <c r="B3984" s="3" t="s">
        <v>2970</v>
      </c>
      <c r="C3984" s="4">
        <v>217</v>
      </c>
      <c r="D3984" s="3" t="s">
        <v>91</v>
      </c>
      <c r="E3984" s="3" t="s">
        <v>16</v>
      </c>
      <c r="F3984" s="5">
        <v>0</v>
      </c>
      <c r="G3984" s="5">
        <v>72</v>
      </c>
      <c r="H3984" s="6">
        <v>0</v>
      </c>
      <c r="I3984" s="22">
        <v>4811.28</v>
      </c>
      <c r="J3984" s="24">
        <f t="shared" si="186"/>
        <v>3.3337945794815346E-5</v>
      </c>
      <c r="K3984" s="25">
        <f t="shared" si="188"/>
        <v>0.98177102265383498</v>
      </c>
      <c r="L3984" s="26" t="s">
        <v>7518</v>
      </c>
      <c r="M3984" s="28"/>
      <c r="N3984" s="28"/>
      <c r="O3984" s="20" t="s">
        <v>7530</v>
      </c>
      <c r="P3984" s="27" t="str">
        <f t="shared" si="187"/>
        <v>vermelho</v>
      </c>
    </row>
    <row r="3985" spans="1:16" ht="25.5">
      <c r="A3985" s="3" t="s">
        <v>4</v>
      </c>
      <c r="B3985" s="3" t="s">
        <v>2971</v>
      </c>
      <c r="C3985" s="4">
        <v>217</v>
      </c>
      <c r="D3985" s="3" t="s">
        <v>91</v>
      </c>
      <c r="E3985" s="3" t="s">
        <v>16</v>
      </c>
      <c r="F3985" s="5">
        <v>108</v>
      </c>
      <c r="G3985" s="5">
        <v>84</v>
      </c>
      <c r="H3985" s="6">
        <v>6152.58</v>
      </c>
      <c r="I3985" s="22">
        <v>4809.4799999999996</v>
      </c>
      <c r="J3985" s="24">
        <f t="shared" si="186"/>
        <v>3.3325473375328089E-5</v>
      </c>
      <c r="K3985" s="25">
        <f t="shared" si="188"/>
        <v>0.98180434812721029</v>
      </c>
      <c r="L3985" s="26" t="s">
        <v>7518</v>
      </c>
      <c r="M3985" s="28"/>
      <c r="N3985" s="28"/>
      <c r="O3985" s="20">
        <v>28375.08</v>
      </c>
      <c r="P3985" s="27" t="str">
        <f t="shared" si="187"/>
        <v>verde</v>
      </c>
    </row>
    <row r="3986" spans="1:16" ht="25.5">
      <c r="A3986" s="3" t="s">
        <v>4</v>
      </c>
      <c r="B3986" s="3" t="s">
        <v>2972</v>
      </c>
      <c r="C3986" s="4">
        <v>273</v>
      </c>
      <c r="D3986" s="3" t="s">
        <v>149</v>
      </c>
      <c r="E3986" s="3" t="s">
        <v>16</v>
      </c>
      <c r="F3986" s="5">
        <v>60</v>
      </c>
      <c r="G3986" s="5">
        <v>90</v>
      </c>
      <c r="H3986" s="6">
        <v>2902.92</v>
      </c>
      <c r="I3986" s="22">
        <v>4808.0749999999998</v>
      </c>
      <c r="J3986" s="24">
        <f t="shared" si="186"/>
        <v>3.3315737959006086E-5</v>
      </c>
      <c r="K3986" s="25">
        <f t="shared" si="188"/>
        <v>0.98183766386516935</v>
      </c>
      <c r="L3986" s="26" t="s">
        <v>7518</v>
      </c>
      <c r="M3986" s="28"/>
      <c r="N3986" s="28"/>
      <c r="O3986" s="20" t="s">
        <v>7530</v>
      </c>
      <c r="P3986" s="27" t="str">
        <f t="shared" si="187"/>
        <v>vermelho</v>
      </c>
    </row>
    <row r="3987" spans="1:16" ht="25.5">
      <c r="A3987" s="3" t="s">
        <v>4</v>
      </c>
      <c r="B3987" s="3" t="s">
        <v>2973</v>
      </c>
      <c r="C3987" s="4">
        <v>93</v>
      </c>
      <c r="D3987" s="3" t="s">
        <v>20</v>
      </c>
      <c r="E3987" s="3" t="s">
        <v>7</v>
      </c>
      <c r="F3987" s="5">
        <v>60</v>
      </c>
      <c r="G3987" s="5">
        <v>81</v>
      </c>
      <c r="H3987" s="6">
        <v>2235.06</v>
      </c>
      <c r="I3987" s="22">
        <v>4807.1099999999997</v>
      </c>
      <c r="J3987" s="24">
        <f t="shared" si="186"/>
        <v>3.3309051356336531E-5</v>
      </c>
      <c r="K3987" s="25">
        <f t="shared" si="188"/>
        <v>0.9818709729165257</v>
      </c>
      <c r="L3987" s="26" t="s">
        <v>7518</v>
      </c>
      <c r="M3987" s="28"/>
      <c r="N3987" s="28"/>
      <c r="O3987" s="20" t="s">
        <v>7530</v>
      </c>
      <c r="P3987" s="27" t="str">
        <f t="shared" si="187"/>
        <v>vermelho</v>
      </c>
    </row>
    <row r="3988" spans="1:16" ht="25.5">
      <c r="A3988" s="3" t="s">
        <v>4</v>
      </c>
      <c r="B3988" s="3" t="s">
        <v>2974</v>
      </c>
      <c r="C3988" s="4">
        <v>327</v>
      </c>
      <c r="D3988" s="3" t="s">
        <v>100</v>
      </c>
      <c r="E3988" s="3" t="s">
        <v>7</v>
      </c>
      <c r="F3988" s="5">
        <v>198</v>
      </c>
      <c r="G3988" s="5">
        <v>84</v>
      </c>
      <c r="H3988" s="6">
        <v>10057.5</v>
      </c>
      <c r="I3988" s="22">
        <v>4807.0200000000004</v>
      </c>
      <c r="J3988" s="24">
        <f t="shared" si="186"/>
        <v>3.3308427735362172E-5</v>
      </c>
      <c r="K3988" s="25">
        <f t="shared" si="188"/>
        <v>0.98190428134426111</v>
      </c>
      <c r="L3988" s="26" t="s">
        <v>7518</v>
      </c>
      <c r="M3988" s="28"/>
      <c r="N3988" s="28"/>
      <c r="O3988" s="20" t="s">
        <v>7530</v>
      </c>
      <c r="P3988" s="27" t="str">
        <f t="shared" si="187"/>
        <v>vermelho</v>
      </c>
    </row>
    <row r="3989" spans="1:16" ht="25.5">
      <c r="A3989" s="3" t="s">
        <v>4</v>
      </c>
      <c r="B3989" s="3" t="s">
        <v>2975</v>
      </c>
      <c r="C3989" s="4">
        <v>267</v>
      </c>
      <c r="D3989" s="3" t="s">
        <v>125</v>
      </c>
      <c r="E3989" s="3" t="s">
        <v>16</v>
      </c>
      <c r="F3989" s="5">
        <v>0</v>
      </c>
      <c r="G3989" s="5">
        <v>96</v>
      </c>
      <c r="H3989" s="6">
        <v>0</v>
      </c>
      <c r="I3989" s="22">
        <v>4805.76</v>
      </c>
      <c r="J3989" s="24">
        <f t="shared" si="186"/>
        <v>3.3299697041721083E-5</v>
      </c>
      <c r="K3989" s="25">
        <f t="shared" si="188"/>
        <v>0.9819375810413028</v>
      </c>
      <c r="L3989" s="26" t="s">
        <v>7518</v>
      </c>
      <c r="M3989" s="28"/>
      <c r="N3989" s="28"/>
      <c r="O3989" s="20">
        <v>4805.76</v>
      </c>
      <c r="P3989" s="27" t="str">
        <f t="shared" si="187"/>
        <v>verde</v>
      </c>
    </row>
    <row r="3990" spans="1:16" ht="25.5">
      <c r="A3990" s="3" t="s">
        <v>4</v>
      </c>
      <c r="B3990" s="3" t="s">
        <v>2976</v>
      </c>
      <c r="C3990" s="4">
        <v>218</v>
      </c>
      <c r="D3990" s="3" t="s">
        <v>104</v>
      </c>
      <c r="E3990" s="3" t="s">
        <v>16</v>
      </c>
      <c r="F3990" s="5">
        <v>0</v>
      </c>
      <c r="G3990" s="5">
        <v>84</v>
      </c>
      <c r="H3990" s="6">
        <v>0</v>
      </c>
      <c r="I3990" s="22">
        <v>4805.16</v>
      </c>
      <c r="J3990" s="24">
        <f t="shared" si="186"/>
        <v>3.3295539568558662E-5</v>
      </c>
      <c r="K3990" s="25">
        <f t="shared" si="188"/>
        <v>0.98197087658087134</v>
      </c>
      <c r="L3990" s="26" t="s">
        <v>7518</v>
      </c>
      <c r="M3990" s="28"/>
      <c r="N3990" s="28"/>
      <c r="O3990" s="20" t="s">
        <v>7530</v>
      </c>
      <c r="P3990" s="27" t="str">
        <f t="shared" si="187"/>
        <v>vermelho</v>
      </c>
    </row>
    <row r="3991" spans="1:16" ht="51">
      <c r="A3991" s="3" t="s">
        <v>4</v>
      </c>
      <c r="B3991" s="3" t="s">
        <v>2977</v>
      </c>
      <c r="C3991" s="4">
        <v>282</v>
      </c>
      <c r="D3991" s="3" t="s">
        <v>12</v>
      </c>
      <c r="E3991" s="3" t="s">
        <v>13</v>
      </c>
      <c r="F3991" s="5">
        <v>252</v>
      </c>
      <c r="G3991" s="5">
        <v>84</v>
      </c>
      <c r="H3991" s="6">
        <v>15045.84</v>
      </c>
      <c r="I3991" s="22">
        <v>4793.16</v>
      </c>
      <c r="J3991" s="24">
        <f t="shared" si="186"/>
        <v>3.3212390105310258E-5</v>
      </c>
      <c r="K3991" s="25">
        <f t="shared" si="188"/>
        <v>0.98200408897097669</v>
      </c>
      <c r="L3991" s="26" t="s">
        <v>7518</v>
      </c>
      <c r="M3991" s="28"/>
      <c r="N3991" s="28"/>
      <c r="O3991" s="20" t="s">
        <v>7530</v>
      </c>
      <c r="P3991" s="27" t="str">
        <f t="shared" si="187"/>
        <v>vermelho</v>
      </c>
    </row>
    <row r="3992" spans="1:16" ht="25.5">
      <c r="A3992" s="3" t="s">
        <v>4</v>
      </c>
      <c r="B3992" s="3" t="s">
        <v>2978</v>
      </c>
      <c r="C3992" s="4">
        <v>266</v>
      </c>
      <c r="D3992" s="3" t="s">
        <v>80</v>
      </c>
      <c r="E3992" s="3" t="s">
        <v>10</v>
      </c>
      <c r="F3992" s="5">
        <v>72</v>
      </c>
      <c r="G3992" s="5">
        <v>90</v>
      </c>
      <c r="H3992" s="6">
        <v>3627.18</v>
      </c>
      <c r="I3992" s="22">
        <v>4782</v>
      </c>
      <c r="J3992" s="24">
        <f t="shared" si="186"/>
        <v>3.3135061104489246E-5</v>
      </c>
      <c r="K3992" s="25">
        <f t="shared" si="188"/>
        <v>0.98203722403208116</v>
      </c>
      <c r="L3992" s="26" t="s">
        <v>7518</v>
      </c>
      <c r="M3992" s="28"/>
      <c r="N3992" s="28"/>
      <c r="O3992" s="20">
        <v>6115.11</v>
      </c>
      <c r="P3992" s="27" t="str">
        <f t="shared" si="187"/>
        <v>verde</v>
      </c>
    </row>
    <row r="3993" spans="1:16" ht="25.5">
      <c r="A3993" s="3" t="s">
        <v>4</v>
      </c>
      <c r="B3993" s="3" t="s">
        <v>2979</v>
      </c>
      <c r="C3993" s="4">
        <v>240</v>
      </c>
      <c r="D3993" s="3" t="s">
        <v>69</v>
      </c>
      <c r="E3993" s="3" t="s">
        <v>16</v>
      </c>
      <c r="F3993" s="5">
        <v>144</v>
      </c>
      <c r="G3993" s="5">
        <v>96</v>
      </c>
      <c r="H3993" s="6">
        <v>6384.96</v>
      </c>
      <c r="I3993" s="22">
        <v>4781.76</v>
      </c>
      <c r="J3993" s="24">
        <f t="shared" si="186"/>
        <v>3.3133398115224275E-5</v>
      </c>
      <c r="K3993" s="25">
        <f t="shared" si="188"/>
        <v>0.98207035743019633</v>
      </c>
      <c r="L3993" s="26" t="s">
        <v>7518</v>
      </c>
      <c r="M3993" s="28"/>
      <c r="N3993" s="28"/>
      <c r="O3993" s="20" t="s">
        <v>7530</v>
      </c>
      <c r="P3993" s="27" t="str">
        <f t="shared" si="187"/>
        <v>vermelho</v>
      </c>
    </row>
    <row r="3994" spans="1:16">
      <c r="A3994" s="3" t="s">
        <v>4</v>
      </c>
      <c r="B3994" s="3" t="s">
        <v>2980</v>
      </c>
      <c r="C3994" s="4">
        <v>232</v>
      </c>
      <c r="D3994" s="3" t="s">
        <v>174</v>
      </c>
      <c r="E3994" s="3" t="s">
        <v>16</v>
      </c>
      <c r="F3994" s="5">
        <v>408</v>
      </c>
      <c r="G3994" s="5">
        <v>96</v>
      </c>
      <c r="H3994" s="6">
        <v>20507.28</v>
      </c>
      <c r="I3994" s="22">
        <v>4781.76</v>
      </c>
      <c r="J3994" s="24">
        <f t="shared" si="186"/>
        <v>3.3133398115224275E-5</v>
      </c>
      <c r="K3994" s="25">
        <f t="shared" si="188"/>
        <v>0.9821034908283115</v>
      </c>
      <c r="L3994" s="26" t="s">
        <v>7518</v>
      </c>
      <c r="M3994" s="28"/>
      <c r="N3994" s="28"/>
      <c r="O3994" s="20" t="s">
        <v>7530</v>
      </c>
      <c r="P3994" s="27" t="str">
        <f t="shared" si="187"/>
        <v>vermelho</v>
      </c>
    </row>
    <row r="3995" spans="1:16" ht="25.5">
      <c r="A3995" s="3" t="s">
        <v>4</v>
      </c>
      <c r="B3995" s="3" t="s">
        <v>2981</v>
      </c>
      <c r="C3995" s="4">
        <v>232</v>
      </c>
      <c r="D3995" s="3" t="s">
        <v>174</v>
      </c>
      <c r="E3995" s="3" t="s">
        <v>16</v>
      </c>
      <c r="F3995" s="5">
        <v>0</v>
      </c>
      <c r="G3995" s="5">
        <v>72</v>
      </c>
      <c r="H3995" s="6">
        <v>0</v>
      </c>
      <c r="I3995" s="22">
        <v>4780.8</v>
      </c>
      <c r="J3995" s="24">
        <f t="shared" si="186"/>
        <v>3.3126746158164404E-5</v>
      </c>
      <c r="K3995" s="25">
        <f t="shared" si="188"/>
        <v>0.98213661757446968</v>
      </c>
      <c r="L3995" s="26" t="s">
        <v>7518</v>
      </c>
      <c r="M3995" s="28"/>
      <c r="N3995" s="28"/>
      <c r="O3995" s="20" t="s">
        <v>7530</v>
      </c>
      <c r="P3995" s="27" t="str">
        <f t="shared" si="187"/>
        <v>vermelho</v>
      </c>
    </row>
    <row r="3996" spans="1:16" ht="25.5">
      <c r="A3996" s="3" t="s">
        <v>4</v>
      </c>
      <c r="B3996" s="3" t="s">
        <v>2982</v>
      </c>
      <c r="C3996" s="4">
        <v>39</v>
      </c>
      <c r="D3996" s="3" t="s">
        <v>26</v>
      </c>
      <c r="E3996" s="3" t="s">
        <v>13</v>
      </c>
      <c r="F3996" s="5">
        <v>132</v>
      </c>
      <c r="G3996" s="5">
        <v>105</v>
      </c>
      <c r="H3996" s="6">
        <v>6015.3239999999996</v>
      </c>
      <c r="I3996" s="22">
        <v>4769.67</v>
      </c>
      <c r="J3996" s="24">
        <f t="shared" si="186"/>
        <v>3.3049625031001505E-5</v>
      </c>
      <c r="K3996" s="25">
        <f t="shared" si="188"/>
        <v>0.98216966719950072</v>
      </c>
      <c r="L3996" s="26" t="s">
        <v>7518</v>
      </c>
      <c r="M3996" s="28"/>
      <c r="N3996" s="28"/>
      <c r="O3996" s="20" t="s">
        <v>7530</v>
      </c>
      <c r="P3996" s="27" t="str">
        <f t="shared" si="187"/>
        <v>vermelho</v>
      </c>
    </row>
    <row r="3997" spans="1:16" ht="25.5">
      <c r="A3997" s="3" t="s">
        <v>4</v>
      </c>
      <c r="B3997" s="3" t="s">
        <v>2983</v>
      </c>
      <c r="C3997" s="4">
        <v>266</v>
      </c>
      <c r="D3997" s="3" t="s">
        <v>80</v>
      </c>
      <c r="E3997" s="3" t="s">
        <v>10</v>
      </c>
      <c r="F3997" s="5">
        <v>54</v>
      </c>
      <c r="G3997" s="5">
        <v>60</v>
      </c>
      <c r="H3997" s="6">
        <v>4239.8999999999996</v>
      </c>
      <c r="I3997" s="22">
        <v>4760.76</v>
      </c>
      <c r="J3997" s="24">
        <f t="shared" si="186"/>
        <v>3.2987886554539567E-5</v>
      </c>
      <c r="K3997" s="25">
        <f t="shared" si="188"/>
        <v>0.98220265508605531</v>
      </c>
      <c r="L3997" s="26" t="s">
        <v>7518</v>
      </c>
      <c r="M3997" s="28"/>
      <c r="N3997" s="28"/>
      <c r="O3997" s="20">
        <v>14480.94</v>
      </c>
      <c r="P3997" s="27" t="str">
        <f t="shared" si="187"/>
        <v>verde</v>
      </c>
    </row>
    <row r="3998" spans="1:16" ht="25.5">
      <c r="A3998" s="3" t="s">
        <v>4</v>
      </c>
      <c r="B3998" s="3" t="s">
        <v>2984</v>
      </c>
      <c r="C3998" s="4">
        <v>266</v>
      </c>
      <c r="D3998" s="3" t="s">
        <v>80</v>
      </c>
      <c r="E3998" s="3" t="s">
        <v>10</v>
      </c>
      <c r="F3998" s="5">
        <v>168</v>
      </c>
      <c r="G3998" s="5">
        <v>60</v>
      </c>
      <c r="H3998" s="6">
        <v>9558</v>
      </c>
      <c r="I3998" s="22">
        <v>4760.76</v>
      </c>
      <c r="J3998" s="24">
        <f t="shared" si="186"/>
        <v>3.2987886554539567E-5</v>
      </c>
      <c r="K3998" s="25">
        <f t="shared" si="188"/>
        <v>0.9822356429726099</v>
      </c>
      <c r="L3998" s="26" t="s">
        <v>7518</v>
      </c>
      <c r="M3998" s="28"/>
      <c r="N3998" s="28"/>
      <c r="O3998" s="20">
        <v>9791.49</v>
      </c>
      <c r="P3998" s="27" t="str">
        <f t="shared" si="187"/>
        <v>verde</v>
      </c>
    </row>
    <row r="3999" spans="1:16" ht="38.25">
      <c r="A3999" s="3" t="s">
        <v>4</v>
      </c>
      <c r="B3999" s="3" t="s">
        <v>2985</v>
      </c>
      <c r="C3999" s="4">
        <v>371</v>
      </c>
      <c r="D3999" s="3" t="s">
        <v>82</v>
      </c>
      <c r="E3999" s="3" t="s">
        <v>49</v>
      </c>
      <c r="F3999" s="5">
        <v>0</v>
      </c>
      <c r="G3999" s="5">
        <v>108</v>
      </c>
      <c r="H3999" s="6">
        <v>0</v>
      </c>
      <c r="I3999" s="22">
        <v>4750.92</v>
      </c>
      <c r="J3999" s="24">
        <f t="shared" si="186"/>
        <v>3.2919703994675876E-5</v>
      </c>
      <c r="K3999" s="25">
        <f t="shared" si="188"/>
        <v>0.98226856267660456</v>
      </c>
      <c r="L3999" s="26" t="s">
        <v>7518</v>
      </c>
      <c r="M3999" s="28"/>
      <c r="N3999" s="28">
        <v>-3.3717919346845003E-2</v>
      </c>
      <c r="O3999" s="20">
        <v>2343.84</v>
      </c>
      <c r="P3999" s="27" t="str">
        <f t="shared" si="187"/>
        <v>amarelo</v>
      </c>
    </row>
    <row r="4000" spans="1:16">
      <c r="A4000" s="3" t="s">
        <v>4</v>
      </c>
      <c r="B4000" s="3" t="s">
        <v>2986</v>
      </c>
      <c r="C4000" s="4">
        <v>334</v>
      </c>
      <c r="D4000" s="3" t="s">
        <v>531</v>
      </c>
      <c r="E4000" s="3" t="s">
        <v>7</v>
      </c>
      <c r="F4000" s="5">
        <v>102</v>
      </c>
      <c r="G4000" s="5">
        <v>86</v>
      </c>
      <c r="H4000" s="6">
        <v>5671.26</v>
      </c>
      <c r="I4000" s="22">
        <v>4749.9350000000004</v>
      </c>
      <c r="J4000" s="24">
        <f t="shared" si="186"/>
        <v>3.291287880956757E-5</v>
      </c>
      <c r="K4000" s="25">
        <f t="shared" si="188"/>
        <v>0.98230147555541414</v>
      </c>
      <c r="L4000" s="26" t="s">
        <v>7518</v>
      </c>
      <c r="M4000" s="28"/>
      <c r="N4000" s="28"/>
      <c r="O4000" s="20" t="s">
        <v>7530</v>
      </c>
      <c r="P4000" s="27" t="str">
        <f t="shared" si="187"/>
        <v>vermelho</v>
      </c>
    </row>
    <row r="4001" spans="1:16">
      <c r="A4001" s="3" t="s">
        <v>4</v>
      </c>
      <c r="B4001" s="3" t="s">
        <v>2987</v>
      </c>
      <c r="C4001" s="4">
        <v>240</v>
      </c>
      <c r="D4001" s="3" t="s">
        <v>69</v>
      </c>
      <c r="E4001" s="3" t="s">
        <v>16</v>
      </c>
      <c r="F4001" s="5">
        <v>132</v>
      </c>
      <c r="G4001" s="5">
        <v>99</v>
      </c>
      <c r="H4001" s="6">
        <v>6691.8</v>
      </c>
      <c r="I4001" s="22">
        <v>4737.1499999999996</v>
      </c>
      <c r="J4001" s="24">
        <f t="shared" si="186"/>
        <v>3.2824289985598329E-5</v>
      </c>
      <c r="K4001" s="25">
        <f t="shared" si="188"/>
        <v>0.98233429984539977</v>
      </c>
      <c r="L4001" s="26" t="s">
        <v>7518</v>
      </c>
      <c r="M4001" s="28"/>
      <c r="N4001" s="28"/>
      <c r="O4001" s="20" t="s">
        <v>7530</v>
      </c>
      <c r="P4001" s="27" t="str">
        <f t="shared" si="187"/>
        <v>vermelho</v>
      </c>
    </row>
    <row r="4002" spans="1:16" ht="25.5">
      <c r="A4002" s="3" t="s">
        <v>4</v>
      </c>
      <c r="B4002" s="3" t="s">
        <v>2988</v>
      </c>
      <c r="C4002" s="4">
        <v>197</v>
      </c>
      <c r="D4002" s="3" t="s">
        <v>66</v>
      </c>
      <c r="E4002" s="3" t="s">
        <v>41</v>
      </c>
      <c r="F4002" s="5">
        <v>60</v>
      </c>
      <c r="G4002" s="5">
        <v>84</v>
      </c>
      <c r="H4002" s="6">
        <v>3875.4</v>
      </c>
      <c r="I4002" s="22">
        <v>4727.16</v>
      </c>
      <c r="J4002" s="24">
        <f t="shared" si="186"/>
        <v>3.2755068057444033E-5</v>
      </c>
      <c r="K4002" s="25">
        <f t="shared" si="188"/>
        <v>0.98236705491345722</v>
      </c>
      <c r="L4002" s="26" t="s">
        <v>7518</v>
      </c>
      <c r="M4002" s="28"/>
      <c r="N4002" s="28"/>
      <c r="O4002" s="20" t="s">
        <v>7530</v>
      </c>
      <c r="P4002" s="27" t="str">
        <f t="shared" si="187"/>
        <v>vermelho</v>
      </c>
    </row>
    <row r="4003" spans="1:16" ht="25.5">
      <c r="A4003" s="3" t="s">
        <v>4</v>
      </c>
      <c r="B4003" s="3" t="s">
        <v>2989</v>
      </c>
      <c r="C4003" s="4">
        <v>23</v>
      </c>
      <c r="D4003" s="3" t="s">
        <v>87</v>
      </c>
      <c r="E4003" s="3" t="s">
        <v>7</v>
      </c>
      <c r="F4003" s="5">
        <v>384</v>
      </c>
      <c r="G4003" s="5">
        <v>72</v>
      </c>
      <c r="H4003" s="6">
        <v>21476.639999999999</v>
      </c>
      <c r="I4003" s="22">
        <v>4715.28</v>
      </c>
      <c r="J4003" s="24">
        <f t="shared" si="186"/>
        <v>3.2672750088828115E-5</v>
      </c>
      <c r="K4003" s="25">
        <f t="shared" si="188"/>
        <v>0.982399727663546</v>
      </c>
      <c r="L4003" s="26" t="s">
        <v>7518</v>
      </c>
      <c r="M4003" s="28"/>
      <c r="N4003" s="28"/>
      <c r="O4003" s="20" t="s">
        <v>7530</v>
      </c>
      <c r="P4003" s="27" t="str">
        <f t="shared" si="187"/>
        <v>vermelho</v>
      </c>
    </row>
    <row r="4004" spans="1:16" ht="25.5">
      <c r="A4004" s="3" t="s">
        <v>4</v>
      </c>
      <c r="B4004" s="3" t="s">
        <v>2990</v>
      </c>
      <c r="C4004" s="4">
        <v>328</v>
      </c>
      <c r="D4004" s="3" t="s">
        <v>215</v>
      </c>
      <c r="E4004" s="3" t="s">
        <v>41</v>
      </c>
      <c r="F4004" s="5">
        <v>126</v>
      </c>
      <c r="G4004" s="5">
        <v>84</v>
      </c>
      <c r="H4004" s="6">
        <v>5921.37</v>
      </c>
      <c r="I4004" s="22">
        <v>4709.76</v>
      </c>
      <c r="J4004" s="24">
        <f t="shared" si="186"/>
        <v>3.2634501335733852E-5</v>
      </c>
      <c r="K4004" s="25">
        <f t="shared" si="188"/>
        <v>0.98243236216488172</v>
      </c>
      <c r="L4004" s="26" t="s">
        <v>7518</v>
      </c>
      <c r="M4004" s="28"/>
      <c r="N4004" s="28"/>
      <c r="O4004" s="20" t="s">
        <v>7530</v>
      </c>
      <c r="P4004" s="27" t="str">
        <f t="shared" si="187"/>
        <v>vermelho</v>
      </c>
    </row>
    <row r="4005" spans="1:16" ht="38.25">
      <c r="A4005" s="3" t="s">
        <v>4</v>
      </c>
      <c r="B4005" s="3" t="s">
        <v>2991</v>
      </c>
      <c r="C4005" s="4">
        <v>143</v>
      </c>
      <c r="D4005" s="3" t="s">
        <v>44</v>
      </c>
      <c r="E4005" s="3" t="s">
        <v>41</v>
      </c>
      <c r="F4005" s="5">
        <v>0</v>
      </c>
      <c r="G4005" s="5">
        <v>78</v>
      </c>
      <c r="H4005" s="6">
        <v>0</v>
      </c>
      <c r="I4005" s="22">
        <v>4703.22</v>
      </c>
      <c r="J4005" s="24">
        <f t="shared" si="186"/>
        <v>3.2589184878263471E-5</v>
      </c>
      <c r="K4005" s="25">
        <f t="shared" si="188"/>
        <v>0.98246495134975997</v>
      </c>
      <c r="L4005" s="26" t="s">
        <v>7518</v>
      </c>
      <c r="M4005" s="28"/>
      <c r="N4005" s="28"/>
      <c r="O4005" s="20" t="s">
        <v>7530</v>
      </c>
      <c r="P4005" s="27" t="str">
        <f t="shared" si="187"/>
        <v>vermelho</v>
      </c>
    </row>
    <row r="4006" spans="1:16" ht="25.5">
      <c r="A4006" s="3" t="s">
        <v>4</v>
      </c>
      <c r="B4006" s="3" t="s">
        <v>2992</v>
      </c>
      <c r="C4006" s="4">
        <v>320</v>
      </c>
      <c r="D4006" s="3" t="s">
        <v>218</v>
      </c>
      <c r="E4006" s="3" t="s">
        <v>49</v>
      </c>
      <c r="F4006" s="5">
        <v>141</v>
      </c>
      <c r="G4006" s="5">
        <v>84</v>
      </c>
      <c r="H4006" s="6">
        <v>6316.7309999999998</v>
      </c>
      <c r="I4006" s="22">
        <v>4703.16</v>
      </c>
      <c r="J4006" s="24">
        <f t="shared" si="186"/>
        <v>3.2588769130947225E-5</v>
      </c>
      <c r="K4006" s="25">
        <f t="shared" si="188"/>
        <v>0.9824975401188909</v>
      </c>
      <c r="L4006" s="26" t="s">
        <v>7518</v>
      </c>
      <c r="M4006" s="28"/>
      <c r="N4006" s="28"/>
      <c r="O4006" s="20" t="s">
        <v>7530</v>
      </c>
      <c r="P4006" s="27" t="str">
        <f t="shared" si="187"/>
        <v>vermelho</v>
      </c>
    </row>
    <row r="4007" spans="1:16" ht="25.5">
      <c r="A4007" s="3" t="s">
        <v>6974</v>
      </c>
      <c r="B4007" s="3" t="s">
        <v>6975</v>
      </c>
      <c r="C4007" s="4">
        <v>321</v>
      </c>
      <c r="D4007" s="3" t="s">
        <v>136</v>
      </c>
      <c r="E4007" s="3" t="s">
        <v>41</v>
      </c>
      <c r="F4007" s="5">
        <v>207</v>
      </c>
      <c r="G4007" s="5">
        <v>96</v>
      </c>
      <c r="H4007" s="6">
        <v>10548.06</v>
      </c>
      <c r="I4007" s="22">
        <v>4701.8999999999996</v>
      </c>
      <c r="J4007" s="24">
        <f t="shared" si="186"/>
        <v>3.2580038437306143E-5</v>
      </c>
      <c r="K4007" s="25">
        <f t="shared" si="188"/>
        <v>0.98253012015732821</v>
      </c>
      <c r="L4007" s="26" t="s">
        <v>7518</v>
      </c>
      <c r="M4007" s="28"/>
      <c r="N4007" s="28"/>
      <c r="O4007" s="20" t="s">
        <v>7530</v>
      </c>
      <c r="P4007" s="27" t="str">
        <f t="shared" si="187"/>
        <v>vermelho</v>
      </c>
    </row>
    <row r="4008" spans="1:16" ht="25.5">
      <c r="A4008" s="3" t="s">
        <v>4</v>
      </c>
      <c r="B4008" s="3" t="s">
        <v>2993</v>
      </c>
      <c r="C4008" s="4">
        <v>328</v>
      </c>
      <c r="D4008" s="3" t="s">
        <v>215</v>
      </c>
      <c r="E4008" s="3" t="s">
        <v>41</v>
      </c>
      <c r="F4008" s="5">
        <v>0</v>
      </c>
      <c r="G4008" s="5">
        <v>78</v>
      </c>
      <c r="H4008" s="6">
        <v>0</v>
      </c>
      <c r="I4008" s="22">
        <v>4700.58</v>
      </c>
      <c r="J4008" s="24">
        <f t="shared" si="186"/>
        <v>3.2570891996348815E-5</v>
      </c>
      <c r="K4008" s="25">
        <f t="shared" si="188"/>
        <v>0.98256269104932459</v>
      </c>
      <c r="L4008" s="26" t="s">
        <v>7518</v>
      </c>
      <c r="M4008" s="28"/>
      <c r="N4008" s="28"/>
      <c r="O4008" s="20" t="s">
        <v>7530</v>
      </c>
      <c r="P4008" s="27" t="str">
        <f t="shared" si="187"/>
        <v>vermelho</v>
      </c>
    </row>
    <row r="4009" spans="1:16" ht="25.5">
      <c r="A4009" s="3" t="s">
        <v>6976</v>
      </c>
      <c r="B4009" s="3" t="s">
        <v>6977</v>
      </c>
      <c r="C4009" s="4">
        <v>266</v>
      </c>
      <c r="D4009" s="3" t="s">
        <v>80</v>
      </c>
      <c r="E4009" s="3" t="s">
        <v>10</v>
      </c>
      <c r="F4009" s="5">
        <v>216</v>
      </c>
      <c r="G4009" s="5">
        <v>84</v>
      </c>
      <c r="H4009" s="6">
        <v>11445.69</v>
      </c>
      <c r="I4009" s="22">
        <v>4698</v>
      </c>
      <c r="J4009" s="24">
        <f t="shared" si="186"/>
        <v>3.2553014861750412E-5</v>
      </c>
      <c r="K4009" s="25">
        <f t="shared" si="188"/>
        <v>0.9825952440641863</v>
      </c>
      <c r="L4009" s="26" t="s">
        <v>7518</v>
      </c>
      <c r="M4009" s="28"/>
      <c r="N4009" s="28"/>
      <c r="O4009" s="20" t="s">
        <v>7530</v>
      </c>
      <c r="P4009" s="27" t="str">
        <f t="shared" si="187"/>
        <v>vermelho</v>
      </c>
    </row>
    <row r="4010" spans="1:16" ht="25.5">
      <c r="A4010" s="3" t="s">
        <v>4</v>
      </c>
      <c r="B4010" s="3" t="s">
        <v>2994</v>
      </c>
      <c r="C4010" s="4">
        <v>296</v>
      </c>
      <c r="D4010" s="3" t="s">
        <v>282</v>
      </c>
      <c r="E4010" s="3" t="s">
        <v>10</v>
      </c>
      <c r="F4010" s="5">
        <v>0</v>
      </c>
      <c r="G4010" s="5">
        <v>96</v>
      </c>
      <c r="H4010" s="6">
        <v>0</v>
      </c>
      <c r="I4010" s="22">
        <v>4697.893</v>
      </c>
      <c r="J4010" s="24">
        <f t="shared" si="186"/>
        <v>3.2552273445703115E-5</v>
      </c>
      <c r="K4010" s="25">
        <f t="shared" si="188"/>
        <v>0.98262779633763198</v>
      </c>
      <c r="L4010" s="26" t="s">
        <v>7518</v>
      </c>
      <c r="M4010" s="28"/>
      <c r="N4010" s="28"/>
      <c r="O4010" s="20" t="s">
        <v>7530</v>
      </c>
      <c r="P4010" s="27" t="str">
        <f t="shared" si="187"/>
        <v>vermelho</v>
      </c>
    </row>
    <row r="4011" spans="1:16" ht="38.25">
      <c r="A4011" s="3" t="s">
        <v>4</v>
      </c>
      <c r="B4011" s="3" t="s">
        <v>2995</v>
      </c>
      <c r="C4011" s="4">
        <v>11</v>
      </c>
      <c r="D4011" s="3" t="s">
        <v>61</v>
      </c>
      <c r="E4011" s="3" t="s">
        <v>10</v>
      </c>
      <c r="F4011" s="5">
        <v>0</v>
      </c>
      <c r="G4011" s="5">
        <v>84</v>
      </c>
      <c r="H4011" s="6">
        <v>0</v>
      </c>
      <c r="I4011" s="22">
        <v>4697.893</v>
      </c>
      <c r="J4011" s="24">
        <f t="shared" si="186"/>
        <v>3.2552273445703115E-5</v>
      </c>
      <c r="K4011" s="25">
        <f t="shared" si="188"/>
        <v>0.98266034861107765</v>
      </c>
      <c r="L4011" s="26" t="s">
        <v>7518</v>
      </c>
      <c r="M4011" s="28"/>
      <c r="N4011" s="28"/>
      <c r="O4011" s="20" t="s">
        <v>7530</v>
      </c>
      <c r="P4011" s="27" t="str">
        <f t="shared" si="187"/>
        <v>vermelho</v>
      </c>
    </row>
    <row r="4012" spans="1:16" ht="25.5">
      <c r="A4012" s="3" t="s">
        <v>4</v>
      </c>
      <c r="B4012" s="3" t="s">
        <v>2996</v>
      </c>
      <c r="C4012" s="4">
        <v>267</v>
      </c>
      <c r="D4012" s="3" t="s">
        <v>125</v>
      </c>
      <c r="E4012" s="3" t="s">
        <v>16</v>
      </c>
      <c r="F4012" s="5">
        <v>0</v>
      </c>
      <c r="G4012" s="5">
        <v>81</v>
      </c>
      <c r="H4012" s="6">
        <v>0</v>
      </c>
      <c r="I4012" s="22">
        <v>4693.59</v>
      </c>
      <c r="J4012" s="24">
        <f t="shared" si="186"/>
        <v>3.2522457434006626E-5</v>
      </c>
      <c r="K4012" s="25">
        <f t="shared" si="188"/>
        <v>0.98269287106851166</v>
      </c>
      <c r="L4012" s="26" t="s">
        <v>7518</v>
      </c>
      <c r="M4012" s="28"/>
      <c r="N4012" s="28"/>
      <c r="O4012" s="20" t="s">
        <v>7530</v>
      </c>
      <c r="P4012" s="27" t="str">
        <f t="shared" si="187"/>
        <v>vermelho</v>
      </c>
    </row>
    <row r="4013" spans="1:16" ht="25.5">
      <c r="A4013" s="3" t="s">
        <v>4</v>
      </c>
      <c r="B4013" s="3" t="s">
        <v>2997</v>
      </c>
      <c r="C4013" s="4">
        <v>218</v>
      </c>
      <c r="D4013" s="3" t="s">
        <v>104</v>
      </c>
      <c r="E4013" s="3" t="s">
        <v>16</v>
      </c>
      <c r="F4013" s="5">
        <v>60</v>
      </c>
      <c r="G4013" s="5">
        <v>96</v>
      </c>
      <c r="H4013" s="6">
        <v>3731.4</v>
      </c>
      <c r="I4013" s="22">
        <v>4687.4399999999996</v>
      </c>
      <c r="J4013" s="24">
        <f t="shared" si="186"/>
        <v>3.2479843334091815E-5</v>
      </c>
      <c r="K4013" s="25">
        <f t="shared" si="188"/>
        <v>0.98272535091184576</v>
      </c>
      <c r="L4013" s="26" t="s">
        <v>7518</v>
      </c>
      <c r="M4013" s="28"/>
      <c r="N4013" s="28"/>
      <c r="O4013" s="20" t="s">
        <v>7530</v>
      </c>
      <c r="P4013" s="27" t="str">
        <f t="shared" si="187"/>
        <v>vermelho</v>
      </c>
    </row>
    <row r="4014" spans="1:16" ht="25.5">
      <c r="A4014" s="3" t="s">
        <v>4</v>
      </c>
      <c r="B4014" s="3" t="s">
        <v>2998</v>
      </c>
      <c r="C4014" s="4">
        <v>93</v>
      </c>
      <c r="D4014" s="3" t="s">
        <v>20</v>
      </c>
      <c r="E4014" s="3" t="s">
        <v>7</v>
      </c>
      <c r="F4014" s="5">
        <v>354</v>
      </c>
      <c r="G4014" s="5">
        <v>75</v>
      </c>
      <c r="H4014" s="6">
        <v>17789.246999999999</v>
      </c>
      <c r="I4014" s="22">
        <v>4687.1400000000003</v>
      </c>
      <c r="J4014" s="24">
        <f t="shared" si="186"/>
        <v>3.2477764597510605E-5</v>
      </c>
      <c r="K4014" s="25">
        <f t="shared" si="188"/>
        <v>0.98275782867644323</v>
      </c>
      <c r="L4014" s="26" t="s">
        <v>7518</v>
      </c>
      <c r="M4014" s="28"/>
      <c r="N4014" s="28"/>
      <c r="O4014" s="20">
        <v>21042.69</v>
      </c>
      <c r="P4014" s="27" t="str">
        <f t="shared" si="187"/>
        <v>verde</v>
      </c>
    </row>
    <row r="4015" spans="1:16" ht="25.5">
      <c r="A4015" s="3" t="s">
        <v>4</v>
      </c>
      <c r="B4015" s="3" t="s">
        <v>2999</v>
      </c>
      <c r="C4015" s="4">
        <v>217</v>
      </c>
      <c r="D4015" s="3" t="s">
        <v>91</v>
      </c>
      <c r="E4015" s="3" t="s">
        <v>16</v>
      </c>
      <c r="F4015" s="5">
        <v>0</v>
      </c>
      <c r="G4015" s="5">
        <v>81</v>
      </c>
      <c r="H4015" s="6">
        <v>0</v>
      </c>
      <c r="I4015" s="22">
        <v>4676.1899999999996</v>
      </c>
      <c r="J4015" s="24">
        <f t="shared" si="186"/>
        <v>3.2401890712296431E-5</v>
      </c>
      <c r="K4015" s="25">
        <f t="shared" si="188"/>
        <v>0.98279023056715553</v>
      </c>
      <c r="L4015" s="26" t="s">
        <v>7518</v>
      </c>
      <c r="M4015" s="28"/>
      <c r="N4015" s="28"/>
      <c r="O4015" s="20" t="s">
        <v>7530</v>
      </c>
      <c r="P4015" s="27" t="str">
        <f t="shared" si="187"/>
        <v>vermelho</v>
      </c>
    </row>
    <row r="4016" spans="1:16" ht="38.25">
      <c r="A4016" s="3" t="s">
        <v>4</v>
      </c>
      <c r="B4016" s="3" t="s">
        <v>3000</v>
      </c>
      <c r="C4016" s="4">
        <v>45</v>
      </c>
      <c r="D4016" s="3" t="s">
        <v>23</v>
      </c>
      <c r="E4016" s="3" t="s">
        <v>7</v>
      </c>
      <c r="F4016" s="5">
        <v>75</v>
      </c>
      <c r="G4016" s="5">
        <v>66</v>
      </c>
      <c r="H4016" s="6">
        <v>4790.25</v>
      </c>
      <c r="I4016" s="22">
        <v>4674</v>
      </c>
      <c r="J4016" s="24">
        <f t="shared" si="186"/>
        <v>3.2386715935253604E-5</v>
      </c>
      <c r="K4016" s="25">
        <f t="shared" si="188"/>
        <v>0.98282261728309084</v>
      </c>
      <c r="L4016" s="26" t="s">
        <v>7518</v>
      </c>
      <c r="M4016" s="28"/>
      <c r="N4016" s="28"/>
      <c r="O4016" s="20" t="s">
        <v>7530</v>
      </c>
      <c r="P4016" s="27" t="str">
        <f t="shared" si="187"/>
        <v>vermelho</v>
      </c>
    </row>
    <row r="4017" spans="1:16" ht="38.25">
      <c r="A4017" s="3" t="s">
        <v>4</v>
      </c>
      <c r="B4017" s="3" t="s">
        <v>3001</v>
      </c>
      <c r="C4017" s="4">
        <v>371</v>
      </c>
      <c r="D4017" s="3" t="s">
        <v>82</v>
      </c>
      <c r="E4017" s="3" t="s">
        <v>49</v>
      </c>
      <c r="F4017" s="5">
        <v>0</v>
      </c>
      <c r="G4017" s="5">
        <v>90</v>
      </c>
      <c r="H4017" s="6">
        <v>0</v>
      </c>
      <c r="I4017" s="22">
        <v>4673.7</v>
      </c>
      <c r="J4017" s="24">
        <f t="shared" si="186"/>
        <v>3.2384637198672394E-5</v>
      </c>
      <c r="K4017" s="25">
        <f t="shared" si="188"/>
        <v>0.98285500192028952</v>
      </c>
      <c r="L4017" s="26" t="s">
        <v>7518</v>
      </c>
      <c r="M4017" s="28"/>
      <c r="N4017" s="28"/>
      <c r="O4017" s="20" t="s">
        <v>7530</v>
      </c>
      <c r="P4017" s="27" t="str">
        <f t="shared" si="187"/>
        <v>vermelho</v>
      </c>
    </row>
    <row r="4018" spans="1:16" ht="38.25">
      <c r="A4018" s="3" t="s">
        <v>4</v>
      </c>
      <c r="B4018" s="3" t="s">
        <v>3002</v>
      </c>
      <c r="C4018" s="4">
        <v>371</v>
      </c>
      <c r="D4018" s="3" t="s">
        <v>82</v>
      </c>
      <c r="E4018" s="3" t="s">
        <v>49</v>
      </c>
      <c r="F4018" s="5">
        <v>0</v>
      </c>
      <c r="G4018" s="5">
        <v>90</v>
      </c>
      <c r="H4018" s="6">
        <v>0</v>
      </c>
      <c r="I4018" s="22">
        <v>4673.7</v>
      </c>
      <c r="J4018" s="24">
        <f t="shared" si="186"/>
        <v>3.2384637198672394E-5</v>
      </c>
      <c r="K4018" s="25">
        <f t="shared" si="188"/>
        <v>0.9828873865574882</v>
      </c>
      <c r="L4018" s="26" t="s">
        <v>7518</v>
      </c>
      <c r="M4018" s="28"/>
      <c r="N4018" s="28"/>
      <c r="O4018" s="20" t="s">
        <v>7530</v>
      </c>
      <c r="P4018" s="27" t="str">
        <f t="shared" si="187"/>
        <v>vermelho</v>
      </c>
    </row>
    <row r="4019" spans="1:16" ht="38.25">
      <c r="A4019" s="3" t="s">
        <v>6978</v>
      </c>
      <c r="B4019" s="3" t="s">
        <v>6979</v>
      </c>
      <c r="C4019" s="4">
        <v>371</v>
      </c>
      <c r="D4019" s="3" t="s">
        <v>82</v>
      </c>
      <c r="E4019" s="3" t="s">
        <v>49</v>
      </c>
      <c r="F4019" s="5">
        <v>552</v>
      </c>
      <c r="G4019" s="5">
        <v>90</v>
      </c>
      <c r="H4019" s="6">
        <v>25048.560000000001</v>
      </c>
      <c r="I4019" s="22">
        <v>4673.7</v>
      </c>
      <c r="J4019" s="24">
        <f t="shared" si="186"/>
        <v>3.2384637198672394E-5</v>
      </c>
      <c r="K4019" s="25">
        <f t="shared" si="188"/>
        <v>0.98291977119468688</v>
      </c>
      <c r="L4019" s="26" t="s">
        <v>7518</v>
      </c>
      <c r="M4019" s="28"/>
      <c r="N4019" s="28"/>
      <c r="O4019" s="20">
        <v>2088</v>
      </c>
      <c r="P4019" s="27" t="str">
        <f t="shared" si="187"/>
        <v>amarelo</v>
      </c>
    </row>
    <row r="4020" spans="1:16">
      <c r="A4020" s="3" t="s">
        <v>4</v>
      </c>
      <c r="B4020" s="3" t="s">
        <v>3003</v>
      </c>
      <c r="C4020" s="4">
        <v>217</v>
      </c>
      <c r="D4020" s="3" t="s">
        <v>91</v>
      </c>
      <c r="E4020" s="3" t="s">
        <v>16</v>
      </c>
      <c r="F4020" s="5">
        <v>84</v>
      </c>
      <c r="G4020" s="5">
        <v>60</v>
      </c>
      <c r="H4020" s="6">
        <v>5019.72</v>
      </c>
      <c r="I4020" s="22">
        <v>4672.5600000000004</v>
      </c>
      <c r="J4020" s="24">
        <f t="shared" si="186"/>
        <v>3.2376737999663798E-5</v>
      </c>
      <c r="K4020" s="25">
        <f t="shared" si="188"/>
        <v>0.98295214793268659</v>
      </c>
      <c r="L4020" s="26" t="s">
        <v>7518</v>
      </c>
      <c r="M4020" s="28"/>
      <c r="N4020" s="28"/>
      <c r="O4020" s="20" t="s">
        <v>7530</v>
      </c>
      <c r="P4020" s="27" t="str">
        <f t="shared" si="187"/>
        <v>vermelho</v>
      </c>
    </row>
    <row r="4021" spans="1:16" ht="38.25">
      <c r="A4021" s="3" t="s">
        <v>4</v>
      </c>
      <c r="B4021" s="3" t="s">
        <v>3004</v>
      </c>
      <c r="C4021" s="4">
        <v>23</v>
      </c>
      <c r="D4021" s="3" t="s">
        <v>87</v>
      </c>
      <c r="E4021" s="3" t="s">
        <v>7</v>
      </c>
      <c r="F4021" s="5">
        <v>0</v>
      </c>
      <c r="G4021" s="5">
        <v>72</v>
      </c>
      <c r="H4021" s="6">
        <v>0</v>
      </c>
      <c r="I4021" s="22">
        <v>4666.0389999999998</v>
      </c>
      <c r="J4021" s="24">
        <f t="shared" si="186"/>
        <v>3.2331553195510219E-5</v>
      </c>
      <c r="K4021" s="25">
        <f t="shared" si="188"/>
        <v>0.98298447948588208</v>
      </c>
      <c r="L4021" s="26" t="s">
        <v>7518</v>
      </c>
      <c r="M4021" s="28"/>
      <c r="N4021" s="28"/>
      <c r="O4021" s="20">
        <v>1597.92</v>
      </c>
      <c r="P4021" s="27" t="str">
        <f t="shared" si="187"/>
        <v>amarelo</v>
      </c>
    </row>
    <row r="4022" spans="1:16" ht="25.5">
      <c r="A4022" s="3" t="s">
        <v>4</v>
      </c>
      <c r="B4022" s="3" t="s">
        <v>3005</v>
      </c>
      <c r="C4022" s="4">
        <v>23</v>
      </c>
      <c r="D4022" s="3" t="s">
        <v>87</v>
      </c>
      <c r="E4022" s="3" t="s">
        <v>7</v>
      </c>
      <c r="F4022" s="5">
        <v>0</v>
      </c>
      <c r="G4022" s="5">
        <v>72</v>
      </c>
      <c r="H4022" s="6">
        <v>0</v>
      </c>
      <c r="I4022" s="22">
        <v>4666.0389999999998</v>
      </c>
      <c r="J4022" s="24">
        <f t="shared" si="186"/>
        <v>3.2331553195510219E-5</v>
      </c>
      <c r="K4022" s="25">
        <f t="shared" si="188"/>
        <v>0.98301681103907756</v>
      </c>
      <c r="L4022" s="26" t="s">
        <v>7518</v>
      </c>
      <c r="M4022" s="28"/>
      <c r="N4022" s="28"/>
      <c r="O4022" s="20">
        <v>1597.92</v>
      </c>
      <c r="P4022" s="27" t="str">
        <f t="shared" si="187"/>
        <v>amarelo</v>
      </c>
    </row>
    <row r="4023" spans="1:16" ht="25.5">
      <c r="A4023" s="3" t="s">
        <v>4</v>
      </c>
      <c r="B4023" s="3" t="s">
        <v>3006</v>
      </c>
      <c r="C4023" s="4">
        <v>23</v>
      </c>
      <c r="D4023" s="3" t="s">
        <v>87</v>
      </c>
      <c r="E4023" s="3" t="s">
        <v>7</v>
      </c>
      <c r="F4023" s="5">
        <v>0</v>
      </c>
      <c r="G4023" s="5">
        <v>72</v>
      </c>
      <c r="H4023" s="6">
        <v>0</v>
      </c>
      <c r="I4023" s="22">
        <v>4666.0389999999998</v>
      </c>
      <c r="J4023" s="24">
        <f t="shared" si="186"/>
        <v>3.2331553195510219E-5</v>
      </c>
      <c r="K4023" s="25">
        <f t="shared" si="188"/>
        <v>0.98304914259227305</v>
      </c>
      <c r="L4023" s="26" t="s">
        <v>7518</v>
      </c>
      <c r="M4023" s="28"/>
      <c r="N4023" s="28"/>
      <c r="O4023" s="20">
        <v>1597.92</v>
      </c>
      <c r="P4023" s="27" t="str">
        <f t="shared" si="187"/>
        <v>amarelo</v>
      </c>
    </row>
    <row r="4024" spans="1:16">
      <c r="A4024" s="3" t="s">
        <v>4</v>
      </c>
      <c r="B4024" s="3" t="s">
        <v>3007</v>
      </c>
      <c r="C4024" s="4">
        <v>167</v>
      </c>
      <c r="D4024" s="3" t="s">
        <v>251</v>
      </c>
      <c r="E4024" s="3" t="s">
        <v>49</v>
      </c>
      <c r="F4024" s="5">
        <v>0</v>
      </c>
      <c r="G4024" s="5">
        <v>72</v>
      </c>
      <c r="H4024" s="6">
        <v>0</v>
      </c>
      <c r="I4024" s="22">
        <v>4661.28</v>
      </c>
      <c r="J4024" s="24">
        <f t="shared" si="186"/>
        <v>3.2298577504210294E-5</v>
      </c>
      <c r="K4024" s="25">
        <f t="shared" si="188"/>
        <v>0.98308144116977725</v>
      </c>
      <c r="L4024" s="26" t="s">
        <v>7518</v>
      </c>
      <c r="M4024" s="28"/>
      <c r="N4024" s="28"/>
      <c r="O4024" s="20" t="s">
        <v>7530</v>
      </c>
      <c r="P4024" s="27" t="str">
        <f t="shared" si="187"/>
        <v>vermelho</v>
      </c>
    </row>
    <row r="4025" spans="1:16" ht="25.5">
      <c r="A4025" s="3" t="s">
        <v>4</v>
      </c>
      <c r="B4025" s="3" t="s">
        <v>3008</v>
      </c>
      <c r="C4025" s="4">
        <v>266</v>
      </c>
      <c r="D4025" s="3" t="s">
        <v>80</v>
      </c>
      <c r="E4025" s="3" t="s">
        <v>10</v>
      </c>
      <c r="F4025" s="5">
        <v>78</v>
      </c>
      <c r="G4025" s="5">
        <v>72</v>
      </c>
      <c r="H4025" s="6">
        <v>3900.72</v>
      </c>
      <c r="I4025" s="22">
        <v>4658.76</v>
      </c>
      <c r="J4025" s="24">
        <f t="shared" si="186"/>
        <v>3.228111611692813E-5</v>
      </c>
      <c r="K4025" s="25">
        <f t="shared" si="188"/>
        <v>0.98311372228589422</v>
      </c>
      <c r="L4025" s="26" t="s">
        <v>7518</v>
      </c>
      <c r="M4025" s="28"/>
      <c r="N4025" s="28"/>
      <c r="O4025" s="20" t="s">
        <v>7530</v>
      </c>
      <c r="P4025" s="27" t="str">
        <f t="shared" si="187"/>
        <v>vermelho</v>
      </c>
    </row>
    <row r="4026" spans="1:16" ht="51">
      <c r="A4026" s="3" t="s">
        <v>4</v>
      </c>
      <c r="B4026" s="3" t="s">
        <v>3009</v>
      </c>
      <c r="C4026" s="4">
        <v>282</v>
      </c>
      <c r="D4026" s="3" t="s">
        <v>12</v>
      </c>
      <c r="E4026" s="3" t="s">
        <v>13</v>
      </c>
      <c r="F4026" s="5">
        <v>54</v>
      </c>
      <c r="G4026" s="5">
        <v>72</v>
      </c>
      <c r="H4026" s="6">
        <v>2715.7649999999999</v>
      </c>
      <c r="I4026" s="22">
        <v>4655.32</v>
      </c>
      <c r="J4026" s="24">
        <f t="shared" si="186"/>
        <v>3.2257279937463584E-5</v>
      </c>
      <c r="K4026" s="25">
        <f t="shared" si="188"/>
        <v>0.98314597956583172</v>
      </c>
      <c r="L4026" s="26" t="s">
        <v>7518</v>
      </c>
      <c r="M4026" s="28"/>
      <c r="N4026" s="28"/>
      <c r="O4026" s="20" t="s">
        <v>7530</v>
      </c>
      <c r="P4026" s="27" t="str">
        <f t="shared" si="187"/>
        <v>vermelho</v>
      </c>
    </row>
    <row r="4027" spans="1:16" ht="25.5">
      <c r="A4027" s="3" t="s">
        <v>4</v>
      </c>
      <c r="B4027" s="3" t="s">
        <v>3010</v>
      </c>
      <c r="C4027" s="4">
        <v>23</v>
      </c>
      <c r="D4027" s="3" t="s">
        <v>87</v>
      </c>
      <c r="E4027" s="3" t="s">
        <v>7</v>
      </c>
      <c r="F4027" s="5">
        <v>0</v>
      </c>
      <c r="G4027" s="5">
        <v>108</v>
      </c>
      <c r="H4027" s="6">
        <v>0</v>
      </c>
      <c r="I4027" s="22">
        <v>4633.92</v>
      </c>
      <c r="J4027" s="24">
        <f t="shared" si="186"/>
        <v>3.210899672800393E-5</v>
      </c>
      <c r="K4027" s="25">
        <f t="shared" si="188"/>
        <v>0.98317808856255973</v>
      </c>
      <c r="L4027" s="26" t="s">
        <v>7518</v>
      </c>
      <c r="M4027" s="28"/>
      <c r="N4027" s="28"/>
      <c r="O4027" s="20" t="s">
        <v>7530</v>
      </c>
      <c r="P4027" s="27" t="str">
        <f t="shared" si="187"/>
        <v>vermelho</v>
      </c>
    </row>
    <row r="4028" spans="1:16" ht="25.5">
      <c r="A4028" s="3" t="s">
        <v>4</v>
      </c>
      <c r="B4028" s="3" t="s">
        <v>3011</v>
      </c>
      <c r="C4028" s="4">
        <v>299</v>
      </c>
      <c r="D4028" s="3" t="s">
        <v>111</v>
      </c>
      <c r="E4028" s="3" t="s">
        <v>49</v>
      </c>
      <c r="F4028" s="5">
        <v>0</v>
      </c>
      <c r="G4028" s="5">
        <v>78</v>
      </c>
      <c r="H4028" s="6">
        <v>0</v>
      </c>
      <c r="I4028" s="22">
        <v>4631.5200000000004</v>
      </c>
      <c r="J4028" s="24">
        <f t="shared" si="186"/>
        <v>3.2092366835354252E-5</v>
      </c>
      <c r="K4028" s="25">
        <f t="shared" si="188"/>
        <v>0.98321018092939505</v>
      </c>
      <c r="L4028" s="26" t="s">
        <v>7518</v>
      </c>
      <c r="M4028" s="28"/>
      <c r="N4028" s="28"/>
      <c r="O4028" s="20" t="s">
        <v>7530</v>
      </c>
      <c r="P4028" s="27" t="str">
        <f t="shared" si="187"/>
        <v>vermelho</v>
      </c>
    </row>
    <row r="4029" spans="1:16" ht="25.5">
      <c r="A4029" s="3" t="s">
        <v>4</v>
      </c>
      <c r="B4029" s="3" t="s">
        <v>3012</v>
      </c>
      <c r="C4029" s="4">
        <v>267</v>
      </c>
      <c r="D4029" s="3" t="s">
        <v>125</v>
      </c>
      <c r="E4029" s="3" t="s">
        <v>16</v>
      </c>
      <c r="F4029" s="5">
        <v>132</v>
      </c>
      <c r="G4029" s="5">
        <v>72</v>
      </c>
      <c r="H4029" s="6">
        <v>7867.56</v>
      </c>
      <c r="I4029" s="22">
        <v>4631.28</v>
      </c>
      <c r="J4029" s="24">
        <f t="shared" si="186"/>
        <v>3.209070384608928E-5</v>
      </c>
      <c r="K4029" s="25">
        <f t="shared" si="188"/>
        <v>0.98324227163324118</v>
      </c>
      <c r="L4029" s="26" t="s">
        <v>7518</v>
      </c>
      <c r="M4029" s="28"/>
      <c r="N4029" s="28"/>
      <c r="O4029" s="20">
        <v>5752.68</v>
      </c>
      <c r="P4029" s="27" t="str">
        <f t="shared" si="187"/>
        <v>verde</v>
      </c>
    </row>
    <row r="4030" spans="1:16" ht="25.5">
      <c r="A4030" s="3" t="s">
        <v>4</v>
      </c>
      <c r="B4030" s="3" t="s">
        <v>3013</v>
      </c>
      <c r="C4030" s="4">
        <v>328</v>
      </c>
      <c r="D4030" s="3" t="s">
        <v>215</v>
      </c>
      <c r="E4030" s="3" t="s">
        <v>41</v>
      </c>
      <c r="F4030" s="5">
        <v>132</v>
      </c>
      <c r="G4030" s="5">
        <v>78</v>
      </c>
      <c r="H4030" s="6">
        <v>8197.92</v>
      </c>
      <c r="I4030" s="22">
        <v>4625.88</v>
      </c>
      <c r="J4030" s="24">
        <f t="shared" si="186"/>
        <v>3.2053286587627503E-5</v>
      </c>
      <c r="K4030" s="25">
        <f t="shared" si="188"/>
        <v>0.9832743249198288</v>
      </c>
      <c r="L4030" s="26" t="s">
        <v>7518</v>
      </c>
      <c r="M4030" s="28"/>
      <c r="N4030" s="28"/>
      <c r="O4030" s="20" t="s">
        <v>7530</v>
      </c>
      <c r="P4030" s="27" t="str">
        <f t="shared" si="187"/>
        <v>vermelho</v>
      </c>
    </row>
    <row r="4031" spans="1:16" ht="38.25">
      <c r="A4031" s="3" t="s">
        <v>4</v>
      </c>
      <c r="B4031" s="3" t="s">
        <v>3014</v>
      </c>
      <c r="C4031" s="4">
        <v>371</v>
      </c>
      <c r="D4031" s="3" t="s">
        <v>82</v>
      </c>
      <c r="E4031" s="3" t="s">
        <v>49</v>
      </c>
      <c r="F4031" s="5">
        <v>126</v>
      </c>
      <c r="G4031" s="5">
        <v>90</v>
      </c>
      <c r="H4031" s="6">
        <v>5367.2759999999998</v>
      </c>
      <c r="I4031" s="22">
        <v>4616.22</v>
      </c>
      <c r="J4031" s="24">
        <f t="shared" si="186"/>
        <v>3.1986351269712538E-5</v>
      </c>
      <c r="K4031" s="25">
        <f t="shared" si="188"/>
        <v>0.98330631127109847</v>
      </c>
      <c r="L4031" s="26" t="s">
        <v>7518</v>
      </c>
      <c r="M4031" s="28"/>
      <c r="N4031" s="28"/>
      <c r="O4031" s="20">
        <v>5222.37</v>
      </c>
      <c r="P4031" s="27" t="str">
        <f t="shared" si="187"/>
        <v>verde</v>
      </c>
    </row>
    <row r="4032" spans="1:16" ht="25.5">
      <c r="A4032" s="3" t="s">
        <v>4</v>
      </c>
      <c r="B4032" s="3" t="s">
        <v>3015</v>
      </c>
      <c r="C4032" s="4">
        <v>321</v>
      </c>
      <c r="D4032" s="3" t="s">
        <v>136</v>
      </c>
      <c r="E4032" s="3" t="s">
        <v>41</v>
      </c>
      <c r="F4032" s="5">
        <v>177</v>
      </c>
      <c r="G4032" s="5">
        <v>72</v>
      </c>
      <c r="H4032" s="6">
        <v>9385.23</v>
      </c>
      <c r="I4032" s="22">
        <v>4613.28</v>
      </c>
      <c r="J4032" s="24">
        <f t="shared" si="186"/>
        <v>3.1965979651216671E-5</v>
      </c>
      <c r="K4032" s="25">
        <f t="shared" si="188"/>
        <v>0.98333827725074974</v>
      </c>
      <c r="L4032" s="26" t="s">
        <v>7518</v>
      </c>
      <c r="M4032" s="28"/>
      <c r="N4032" s="28"/>
      <c r="O4032" s="20" t="s">
        <v>7530</v>
      </c>
      <c r="P4032" s="27" t="str">
        <f t="shared" si="187"/>
        <v>vermelho</v>
      </c>
    </row>
    <row r="4033" spans="1:16" ht="25.5">
      <c r="A4033" s="3" t="s">
        <v>4</v>
      </c>
      <c r="B4033" s="3" t="s">
        <v>3016</v>
      </c>
      <c r="C4033" s="4">
        <v>299</v>
      </c>
      <c r="D4033" s="3" t="s">
        <v>111</v>
      </c>
      <c r="E4033" s="3" t="s">
        <v>49</v>
      </c>
      <c r="F4033" s="5">
        <v>48</v>
      </c>
      <c r="G4033" s="5">
        <v>120</v>
      </c>
      <c r="H4033" s="6">
        <v>2346.0479999999998</v>
      </c>
      <c r="I4033" s="22">
        <v>4612.5600000000004</v>
      </c>
      <c r="J4033" s="24">
        <f t="shared" si="186"/>
        <v>3.1960990683421771E-5</v>
      </c>
      <c r="K4033" s="25">
        <f t="shared" si="188"/>
        <v>0.98337023824143321</v>
      </c>
      <c r="L4033" s="26" t="s">
        <v>7518</v>
      </c>
      <c r="M4033" s="28"/>
      <c r="N4033" s="28"/>
      <c r="O4033" s="20" t="s">
        <v>7530</v>
      </c>
      <c r="P4033" s="27" t="str">
        <f t="shared" si="187"/>
        <v>vermelho</v>
      </c>
    </row>
    <row r="4034" spans="1:16" ht="25.5">
      <c r="A4034" s="3" t="s">
        <v>4</v>
      </c>
      <c r="B4034" s="3" t="s">
        <v>3017</v>
      </c>
      <c r="C4034" s="4">
        <v>19</v>
      </c>
      <c r="D4034" s="3" t="s">
        <v>72</v>
      </c>
      <c r="E4034" s="3" t="s">
        <v>41</v>
      </c>
      <c r="F4034" s="5">
        <v>132</v>
      </c>
      <c r="G4034" s="5">
        <v>72</v>
      </c>
      <c r="H4034" s="6">
        <v>7931.0940000000001</v>
      </c>
      <c r="I4034" s="22">
        <v>4607.28</v>
      </c>
      <c r="J4034" s="24">
        <f t="shared" si="186"/>
        <v>3.1924404919592473E-5</v>
      </c>
      <c r="K4034" s="25">
        <f t="shared" si="188"/>
        <v>0.98340216264635283</v>
      </c>
      <c r="L4034" s="26" t="s">
        <v>7518</v>
      </c>
      <c r="M4034" s="28"/>
      <c r="N4034" s="28"/>
      <c r="O4034" s="20" t="s">
        <v>7530</v>
      </c>
      <c r="P4034" s="27" t="str">
        <f t="shared" si="187"/>
        <v>vermelho</v>
      </c>
    </row>
    <row r="4035" spans="1:16" ht="25.5">
      <c r="A4035" s="3" t="s">
        <v>4</v>
      </c>
      <c r="B4035" s="3" t="s">
        <v>3018</v>
      </c>
      <c r="C4035" s="4">
        <v>270</v>
      </c>
      <c r="D4035" s="3" t="s">
        <v>266</v>
      </c>
      <c r="E4035" s="3" t="s">
        <v>49</v>
      </c>
      <c r="F4035" s="5">
        <v>0</v>
      </c>
      <c r="G4035" s="5">
        <v>72</v>
      </c>
      <c r="H4035" s="6">
        <v>0</v>
      </c>
      <c r="I4035" s="22">
        <v>4607.28</v>
      </c>
      <c r="J4035" s="24">
        <f t="shared" ref="J4035:J4098" si="189">I4035/$I$6364</f>
        <v>3.1924404919592473E-5</v>
      </c>
      <c r="K4035" s="25">
        <f t="shared" si="188"/>
        <v>0.98343408705127244</v>
      </c>
      <c r="L4035" s="26" t="s">
        <v>7518</v>
      </c>
      <c r="M4035" s="28"/>
      <c r="N4035" s="28"/>
      <c r="O4035" s="20" t="s">
        <v>7530</v>
      </c>
      <c r="P4035" s="27" t="str">
        <f t="shared" ref="P4035:P4098" si="190">IF(O4035&lt;=0,"vermelho",IFERROR(IF(O4035/I4035&lt;=0.5098,"amarelo",IF(O4035/I4035&lt;1,"laranja","verde")),"vermelho"))</f>
        <v>vermelho</v>
      </c>
    </row>
    <row r="4036" spans="1:16" ht="38.25">
      <c r="A4036" s="3" t="s">
        <v>4</v>
      </c>
      <c r="B4036" s="3" t="s">
        <v>3019</v>
      </c>
      <c r="C4036" s="4">
        <v>331</v>
      </c>
      <c r="D4036" s="3" t="s">
        <v>603</v>
      </c>
      <c r="E4036" s="3" t="s">
        <v>13</v>
      </c>
      <c r="F4036" s="5">
        <v>0</v>
      </c>
      <c r="G4036" s="5">
        <v>84</v>
      </c>
      <c r="H4036" s="6">
        <v>0</v>
      </c>
      <c r="I4036" s="22">
        <v>4598.28</v>
      </c>
      <c r="J4036" s="24">
        <f t="shared" si="189"/>
        <v>3.1862042822156168E-5</v>
      </c>
      <c r="K4036" s="25">
        <f t="shared" ref="K4036:K4099" si="191">J4036+K4035</f>
        <v>0.98346594909409457</v>
      </c>
      <c r="L4036" s="26" t="s">
        <v>7518</v>
      </c>
      <c r="M4036" s="28"/>
      <c r="N4036" s="28"/>
      <c r="O4036" s="20" t="s">
        <v>7530</v>
      </c>
      <c r="P4036" s="27" t="str">
        <f t="shared" si="190"/>
        <v>vermelho</v>
      </c>
    </row>
    <row r="4037" spans="1:16" ht="25.5">
      <c r="A4037" s="3" t="s">
        <v>4</v>
      </c>
      <c r="B4037" s="3" t="s">
        <v>3020</v>
      </c>
      <c r="C4037" s="4">
        <v>208</v>
      </c>
      <c r="D4037" s="3" t="s">
        <v>15</v>
      </c>
      <c r="E4037" s="3" t="s">
        <v>16</v>
      </c>
      <c r="F4037" s="5">
        <v>0</v>
      </c>
      <c r="G4037" s="5">
        <v>84</v>
      </c>
      <c r="H4037" s="6">
        <v>0</v>
      </c>
      <c r="I4037" s="22">
        <v>4595.16</v>
      </c>
      <c r="J4037" s="24">
        <f t="shared" si="189"/>
        <v>3.1840423961711583E-5</v>
      </c>
      <c r="K4037" s="25">
        <f t="shared" si="191"/>
        <v>0.98349778951805633</v>
      </c>
      <c r="L4037" s="26" t="s">
        <v>7518</v>
      </c>
      <c r="M4037" s="28"/>
      <c r="N4037" s="28"/>
      <c r="O4037" s="20" t="s">
        <v>7530</v>
      </c>
      <c r="P4037" s="27" t="str">
        <f t="shared" si="190"/>
        <v>vermelho</v>
      </c>
    </row>
    <row r="4038" spans="1:16" ht="25.5">
      <c r="A4038" s="3" t="s">
        <v>4</v>
      </c>
      <c r="B4038" s="3" t="s">
        <v>3021</v>
      </c>
      <c r="C4038" s="4">
        <v>273</v>
      </c>
      <c r="D4038" s="3" t="s">
        <v>149</v>
      </c>
      <c r="E4038" s="3" t="s">
        <v>16</v>
      </c>
      <c r="F4038" s="5">
        <v>0</v>
      </c>
      <c r="G4038" s="5">
        <v>84</v>
      </c>
      <c r="H4038" s="6">
        <v>0</v>
      </c>
      <c r="I4038" s="22">
        <v>4593.4470000000001</v>
      </c>
      <c r="J4038" s="24">
        <f t="shared" si="189"/>
        <v>3.1828554375832872E-5</v>
      </c>
      <c r="K4038" s="25">
        <f t="shared" si="191"/>
        <v>0.98352961807243211</v>
      </c>
      <c r="L4038" s="26" t="s">
        <v>7518</v>
      </c>
      <c r="M4038" s="28"/>
      <c r="N4038" s="28"/>
      <c r="O4038" s="20" t="s">
        <v>7530</v>
      </c>
      <c r="P4038" s="27" t="str">
        <f t="shared" si="190"/>
        <v>vermelho</v>
      </c>
    </row>
    <row r="4039" spans="1:16" ht="25.5">
      <c r="A4039" s="3" t="s">
        <v>4</v>
      </c>
      <c r="B4039" s="3" t="s">
        <v>3022</v>
      </c>
      <c r="C4039" s="4">
        <v>23</v>
      </c>
      <c r="D4039" s="3" t="s">
        <v>87</v>
      </c>
      <c r="E4039" s="3" t="s">
        <v>7</v>
      </c>
      <c r="F4039" s="5">
        <v>210</v>
      </c>
      <c r="G4039" s="5">
        <v>78</v>
      </c>
      <c r="H4039" s="6">
        <v>10678.121999999999</v>
      </c>
      <c r="I4039" s="22">
        <v>4589.2839999999997</v>
      </c>
      <c r="J4039" s="24">
        <f t="shared" si="189"/>
        <v>3.1799708441207612E-5</v>
      </c>
      <c r="K4039" s="25">
        <f t="shared" si="191"/>
        <v>0.98356141778087336</v>
      </c>
      <c r="L4039" s="26" t="s">
        <v>7518</v>
      </c>
      <c r="M4039" s="28"/>
      <c r="N4039" s="28"/>
      <c r="O4039" s="20" t="s">
        <v>7530</v>
      </c>
      <c r="P4039" s="27" t="str">
        <f t="shared" si="190"/>
        <v>vermelho</v>
      </c>
    </row>
    <row r="4040" spans="1:16" ht="25.5">
      <c r="A4040" s="3" t="s">
        <v>6980</v>
      </c>
      <c r="B4040" s="3" t="s">
        <v>6981</v>
      </c>
      <c r="C4040" s="4">
        <v>39</v>
      </c>
      <c r="D4040" s="3" t="s">
        <v>26</v>
      </c>
      <c r="E4040" s="3" t="s">
        <v>13</v>
      </c>
      <c r="F4040" s="5">
        <v>132</v>
      </c>
      <c r="G4040" s="5">
        <v>66</v>
      </c>
      <c r="H4040" s="6">
        <v>4713.6000000000004</v>
      </c>
      <c r="I4040" s="22">
        <v>4585.88</v>
      </c>
      <c r="J4040" s="24">
        <f t="shared" si="189"/>
        <v>3.1776121710132819E-5</v>
      </c>
      <c r="K4040" s="25">
        <f t="shared" si="191"/>
        <v>0.98359319390258348</v>
      </c>
      <c r="L4040" s="26" t="s">
        <v>7518</v>
      </c>
      <c r="M4040" s="28"/>
      <c r="N4040" s="28"/>
      <c r="O4040" s="20">
        <v>6334.64</v>
      </c>
      <c r="P4040" s="27" t="str">
        <f t="shared" si="190"/>
        <v>verde</v>
      </c>
    </row>
    <row r="4041" spans="1:16" ht="25.5">
      <c r="A4041" s="3" t="s">
        <v>6982</v>
      </c>
      <c r="B4041" s="3" t="s">
        <v>6983</v>
      </c>
      <c r="C4041" s="4">
        <v>61</v>
      </c>
      <c r="D4041" s="3" t="s">
        <v>48</v>
      </c>
      <c r="E4041" s="3" t="s">
        <v>49</v>
      </c>
      <c r="F4041" s="5">
        <v>144</v>
      </c>
      <c r="G4041" s="5">
        <v>84</v>
      </c>
      <c r="H4041" s="6">
        <v>7639.56</v>
      </c>
      <c r="I4041" s="22">
        <v>4583.16</v>
      </c>
      <c r="J4041" s="24">
        <f t="shared" si="189"/>
        <v>3.1757274498463179E-5</v>
      </c>
      <c r="K4041" s="25">
        <f t="shared" si="191"/>
        <v>0.98362495117708193</v>
      </c>
      <c r="L4041" s="26" t="s">
        <v>7518</v>
      </c>
      <c r="M4041" s="28"/>
      <c r="N4041" s="28"/>
      <c r="O4041" s="20" t="s">
        <v>7530</v>
      </c>
      <c r="P4041" s="27" t="str">
        <f t="shared" si="190"/>
        <v>vermelho</v>
      </c>
    </row>
    <row r="4042" spans="1:16" ht="25.5">
      <c r="A4042" s="3" t="s">
        <v>4</v>
      </c>
      <c r="B4042" s="3" t="s">
        <v>3023</v>
      </c>
      <c r="C4042" s="4">
        <v>273</v>
      </c>
      <c r="D4042" s="3" t="s">
        <v>149</v>
      </c>
      <c r="E4042" s="3" t="s">
        <v>16</v>
      </c>
      <c r="F4042" s="5">
        <v>0</v>
      </c>
      <c r="G4042" s="5">
        <v>78</v>
      </c>
      <c r="H4042" s="6">
        <v>0</v>
      </c>
      <c r="I4042" s="22">
        <v>4580.8320000000003</v>
      </c>
      <c r="J4042" s="24">
        <f t="shared" si="189"/>
        <v>3.1741143502592994E-5</v>
      </c>
      <c r="K4042" s="25">
        <f t="shared" si="191"/>
        <v>0.9836566923205845</v>
      </c>
      <c r="L4042" s="26" t="s">
        <v>7518</v>
      </c>
      <c r="M4042" s="28"/>
      <c r="N4042" s="28"/>
      <c r="O4042" s="20" t="s">
        <v>7530</v>
      </c>
      <c r="P4042" s="27" t="str">
        <f t="shared" si="190"/>
        <v>vermelho</v>
      </c>
    </row>
    <row r="4043" spans="1:16" ht="38.25">
      <c r="A4043" s="3" t="s">
        <v>4</v>
      </c>
      <c r="B4043" s="3" t="s">
        <v>3024</v>
      </c>
      <c r="C4043" s="4">
        <v>301</v>
      </c>
      <c r="D4043" s="3" t="s">
        <v>519</v>
      </c>
      <c r="E4043" s="3" t="s">
        <v>16</v>
      </c>
      <c r="F4043" s="5">
        <v>84</v>
      </c>
      <c r="G4043" s="5">
        <v>72</v>
      </c>
      <c r="H4043" s="6">
        <v>4641.18</v>
      </c>
      <c r="I4043" s="22">
        <v>4577.04</v>
      </c>
      <c r="J4043" s="24">
        <f t="shared" si="189"/>
        <v>3.1714868272206495E-5</v>
      </c>
      <c r="K4043" s="25">
        <f t="shared" si="191"/>
        <v>0.98368840718885675</v>
      </c>
      <c r="L4043" s="26" t="s">
        <v>7518</v>
      </c>
      <c r="M4043" s="28"/>
      <c r="N4043" s="28"/>
      <c r="O4043" s="20">
        <v>4455.12</v>
      </c>
      <c r="P4043" s="27" t="str">
        <f t="shared" si="190"/>
        <v>laranja</v>
      </c>
    </row>
    <row r="4044" spans="1:16" ht="25.5">
      <c r="A4044" s="3" t="s">
        <v>4</v>
      </c>
      <c r="B4044" s="3" t="s">
        <v>3025</v>
      </c>
      <c r="C4044" s="4">
        <v>232</v>
      </c>
      <c r="D4044" s="3" t="s">
        <v>174</v>
      </c>
      <c r="E4044" s="3" t="s">
        <v>16</v>
      </c>
      <c r="F4044" s="5">
        <v>287</v>
      </c>
      <c r="G4044" s="5">
        <v>102</v>
      </c>
      <c r="H4044" s="6">
        <v>12192.78</v>
      </c>
      <c r="I4044" s="22">
        <v>4576.74</v>
      </c>
      <c r="J4044" s="24">
        <f t="shared" si="189"/>
        <v>3.1712789535625278E-5</v>
      </c>
      <c r="K4044" s="25">
        <f t="shared" si="191"/>
        <v>0.98372011997839237</v>
      </c>
      <c r="L4044" s="26" t="s">
        <v>7518</v>
      </c>
      <c r="M4044" s="28"/>
      <c r="N4044" s="28"/>
      <c r="O4044" s="20" t="s">
        <v>7530</v>
      </c>
      <c r="P4044" s="27" t="str">
        <f t="shared" si="190"/>
        <v>vermelho</v>
      </c>
    </row>
    <row r="4045" spans="1:16" ht="38.25">
      <c r="A4045" s="3" t="s">
        <v>4</v>
      </c>
      <c r="B4045" s="3" t="s">
        <v>3026</v>
      </c>
      <c r="C4045" s="4">
        <v>74</v>
      </c>
      <c r="D4045" s="3" t="s">
        <v>6</v>
      </c>
      <c r="E4045" s="3" t="s">
        <v>7</v>
      </c>
      <c r="F4045" s="5">
        <v>0</v>
      </c>
      <c r="G4045" s="5">
        <v>66</v>
      </c>
      <c r="H4045" s="6">
        <v>0</v>
      </c>
      <c r="I4045" s="22">
        <v>4571.34</v>
      </c>
      <c r="J4045" s="24">
        <f t="shared" si="189"/>
        <v>3.16753722771635E-5</v>
      </c>
      <c r="K4045" s="25">
        <f t="shared" si="191"/>
        <v>0.98375179535066959</v>
      </c>
      <c r="L4045" s="26" t="s">
        <v>7518</v>
      </c>
      <c r="M4045" s="28"/>
      <c r="N4045" s="28"/>
      <c r="O4045" s="20" t="s">
        <v>7530</v>
      </c>
      <c r="P4045" s="27" t="str">
        <f t="shared" si="190"/>
        <v>vermelho</v>
      </c>
    </row>
    <row r="4046" spans="1:16" ht="38.25">
      <c r="A4046" s="3" t="s">
        <v>4</v>
      </c>
      <c r="B4046" s="3" t="s">
        <v>3027</v>
      </c>
      <c r="C4046" s="4">
        <v>335</v>
      </c>
      <c r="D4046" s="3" t="s">
        <v>36</v>
      </c>
      <c r="E4046" s="3" t="s">
        <v>7</v>
      </c>
      <c r="F4046" s="5">
        <v>0</v>
      </c>
      <c r="G4046" s="5">
        <v>69</v>
      </c>
      <c r="H4046" s="6">
        <v>0</v>
      </c>
      <c r="I4046" s="22">
        <v>4567.38</v>
      </c>
      <c r="J4046" s="24">
        <f t="shared" si="189"/>
        <v>3.164793295429153E-5</v>
      </c>
      <c r="K4046" s="25">
        <f t="shared" si="191"/>
        <v>0.98378344328362388</v>
      </c>
      <c r="L4046" s="26" t="s">
        <v>7518</v>
      </c>
      <c r="M4046" s="28"/>
      <c r="N4046" s="28"/>
      <c r="O4046" s="20" t="s">
        <v>7530</v>
      </c>
      <c r="P4046" s="27" t="str">
        <f t="shared" si="190"/>
        <v>vermelho</v>
      </c>
    </row>
    <row r="4047" spans="1:16" ht="25.5">
      <c r="A4047" s="3" t="s">
        <v>4</v>
      </c>
      <c r="B4047" s="3" t="s">
        <v>3028</v>
      </c>
      <c r="C4047" s="4">
        <v>273</v>
      </c>
      <c r="D4047" s="3" t="s">
        <v>149</v>
      </c>
      <c r="E4047" s="3" t="s">
        <v>16</v>
      </c>
      <c r="F4047" s="5">
        <v>180</v>
      </c>
      <c r="G4047" s="5">
        <v>84</v>
      </c>
      <c r="H4047" s="6">
        <v>9013.32</v>
      </c>
      <c r="I4047" s="22">
        <v>4567.2920000000004</v>
      </c>
      <c r="J4047" s="24">
        <f t="shared" si="189"/>
        <v>3.1647323191561042E-5</v>
      </c>
      <c r="K4047" s="25">
        <f t="shared" si="191"/>
        <v>0.98381509060681549</v>
      </c>
      <c r="L4047" s="26" t="s">
        <v>7518</v>
      </c>
      <c r="M4047" s="28"/>
      <c r="N4047" s="28"/>
      <c r="O4047" s="20" t="s">
        <v>7530</v>
      </c>
      <c r="P4047" s="27" t="str">
        <f t="shared" si="190"/>
        <v>vermelho</v>
      </c>
    </row>
    <row r="4048" spans="1:16" ht="38.25">
      <c r="A4048" s="3" t="s">
        <v>4</v>
      </c>
      <c r="B4048" s="3" t="s">
        <v>3029</v>
      </c>
      <c r="C4048" s="4">
        <v>217</v>
      </c>
      <c r="D4048" s="3" t="s">
        <v>91</v>
      </c>
      <c r="E4048" s="3" t="s">
        <v>16</v>
      </c>
      <c r="F4048" s="5">
        <v>300</v>
      </c>
      <c r="G4048" s="5">
        <v>84</v>
      </c>
      <c r="H4048" s="6">
        <v>16333.56</v>
      </c>
      <c r="I4048" s="22">
        <v>4563.84</v>
      </c>
      <c r="J4048" s="24">
        <f t="shared" si="189"/>
        <v>3.1623403862633249E-5</v>
      </c>
      <c r="K4048" s="25">
        <f t="shared" si="191"/>
        <v>0.98384671401067814</v>
      </c>
      <c r="L4048" s="26" t="s">
        <v>7518</v>
      </c>
      <c r="M4048" s="28"/>
      <c r="N4048" s="28"/>
      <c r="O4048" s="20" t="s">
        <v>7530</v>
      </c>
      <c r="P4048" s="27" t="str">
        <f t="shared" si="190"/>
        <v>vermelho</v>
      </c>
    </row>
    <row r="4049" spans="1:16" ht="25.5">
      <c r="A4049" s="3" t="s">
        <v>4</v>
      </c>
      <c r="B4049" s="3" t="s">
        <v>3030</v>
      </c>
      <c r="C4049" s="4">
        <v>19</v>
      </c>
      <c r="D4049" s="3" t="s">
        <v>72</v>
      </c>
      <c r="E4049" s="3" t="s">
        <v>41</v>
      </c>
      <c r="F4049" s="5">
        <v>240</v>
      </c>
      <c r="G4049" s="5">
        <v>99</v>
      </c>
      <c r="H4049" s="6">
        <v>12927.9</v>
      </c>
      <c r="I4049" s="22">
        <v>4563.12</v>
      </c>
      <c r="J4049" s="24">
        <f t="shared" si="189"/>
        <v>3.1618414894838342E-5</v>
      </c>
      <c r="K4049" s="25">
        <f t="shared" si="191"/>
        <v>0.98387833242557299</v>
      </c>
      <c r="L4049" s="26" t="s">
        <v>7518</v>
      </c>
      <c r="M4049" s="28"/>
      <c r="N4049" s="28"/>
      <c r="O4049" s="20" t="s">
        <v>7530</v>
      </c>
      <c r="P4049" s="27" t="str">
        <f t="shared" si="190"/>
        <v>vermelho</v>
      </c>
    </row>
    <row r="4050" spans="1:16" ht="25.5">
      <c r="A4050" s="3" t="s">
        <v>6984</v>
      </c>
      <c r="B4050" s="3" t="s">
        <v>6985</v>
      </c>
      <c r="C4050" s="4">
        <v>321</v>
      </c>
      <c r="D4050" s="3" t="s">
        <v>136</v>
      </c>
      <c r="E4050" s="3" t="s">
        <v>41</v>
      </c>
      <c r="F4050" s="5">
        <v>198</v>
      </c>
      <c r="G4050" s="5">
        <v>66</v>
      </c>
      <c r="H4050" s="6">
        <v>11796.48</v>
      </c>
      <c r="I4050" s="22">
        <v>4557.54</v>
      </c>
      <c r="J4050" s="24">
        <f t="shared" si="189"/>
        <v>3.1579750394427833E-5</v>
      </c>
      <c r="K4050" s="25">
        <f t="shared" si="191"/>
        <v>0.98390991217596746</v>
      </c>
      <c r="L4050" s="26" t="s">
        <v>7518</v>
      </c>
      <c r="M4050" s="28"/>
      <c r="N4050" s="28"/>
      <c r="O4050" s="20" t="s">
        <v>7530</v>
      </c>
      <c r="P4050" s="27" t="str">
        <f t="shared" si="190"/>
        <v>vermelho</v>
      </c>
    </row>
    <row r="4051" spans="1:16" ht="25.5">
      <c r="A4051" s="3" t="s">
        <v>4</v>
      </c>
      <c r="B4051" s="3" t="s">
        <v>3031</v>
      </c>
      <c r="C4051" s="4">
        <v>41</v>
      </c>
      <c r="D4051" s="3" t="s">
        <v>178</v>
      </c>
      <c r="E4051" s="3" t="s">
        <v>41</v>
      </c>
      <c r="F4051" s="5">
        <v>0</v>
      </c>
      <c r="G4051" s="5">
        <v>84</v>
      </c>
      <c r="H4051" s="6">
        <v>0</v>
      </c>
      <c r="I4051" s="22">
        <v>4554.12</v>
      </c>
      <c r="J4051" s="24">
        <f t="shared" si="189"/>
        <v>3.1556052797402037E-5</v>
      </c>
      <c r="K4051" s="25">
        <f t="shared" si="191"/>
        <v>0.98394146822876483</v>
      </c>
      <c r="L4051" s="26" t="s">
        <v>7518</v>
      </c>
      <c r="M4051" s="28"/>
      <c r="N4051" s="28"/>
      <c r="O4051" s="20" t="s">
        <v>7530</v>
      </c>
      <c r="P4051" s="27" t="str">
        <f t="shared" si="190"/>
        <v>vermelho</v>
      </c>
    </row>
    <row r="4052" spans="1:16" ht="25.5">
      <c r="A4052" s="3" t="s">
        <v>6986</v>
      </c>
      <c r="B4052" s="3" t="s">
        <v>6987</v>
      </c>
      <c r="C4052" s="4">
        <v>197</v>
      </c>
      <c r="D4052" s="3" t="s">
        <v>66</v>
      </c>
      <c r="E4052" s="3" t="s">
        <v>41</v>
      </c>
      <c r="F4052" s="5">
        <v>0</v>
      </c>
      <c r="G4052" s="5">
        <v>144</v>
      </c>
      <c r="H4052" s="6">
        <v>0</v>
      </c>
      <c r="I4052" s="22">
        <v>4554.08</v>
      </c>
      <c r="J4052" s="24">
        <f t="shared" si="189"/>
        <v>3.1555775632524542E-5</v>
      </c>
      <c r="K4052" s="25">
        <f t="shared" si="191"/>
        <v>0.98397302400439735</v>
      </c>
      <c r="L4052" s="26" t="s">
        <v>7518</v>
      </c>
      <c r="M4052" s="28"/>
      <c r="N4052" s="28"/>
      <c r="O4052" s="20" t="s">
        <v>7530</v>
      </c>
      <c r="P4052" s="27" t="str">
        <f t="shared" si="190"/>
        <v>vermelho</v>
      </c>
    </row>
    <row r="4053" spans="1:16" ht="25.5">
      <c r="A4053" s="3" t="s">
        <v>4</v>
      </c>
      <c r="B4053" s="3" t="s">
        <v>3032</v>
      </c>
      <c r="C4053" s="4">
        <v>74</v>
      </c>
      <c r="D4053" s="3" t="s">
        <v>6</v>
      </c>
      <c r="E4053" s="3" t="s">
        <v>7</v>
      </c>
      <c r="F4053" s="5">
        <v>0</v>
      </c>
      <c r="G4053" s="5">
        <v>72</v>
      </c>
      <c r="H4053" s="6">
        <v>0</v>
      </c>
      <c r="I4053" s="22">
        <v>4554</v>
      </c>
      <c r="J4053" s="24">
        <f t="shared" si="189"/>
        <v>3.1555221302769558E-5</v>
      </c>
      <c r="K4053" s="25">
        <f t="shared" si="191"/>
        <v>0.98400457922570006</v>
      </c>
      <c r="L4053" s="26" t="s">
        <v>7518</v>
      </c>
      <c r="M4053" s="28"/>
      <c r="N4053" s="28"/>
      <c r="O4053" s="20" t="s">
        <v>7530</v>
      </c>
      <c r="P4053" s="27" t="str">
        <f t="shared" si="190"/>
        <v>vermelho</v>
      </c>
    </row>
    <row r="4054" spans="1:16">
      <c r="A4054" s="3" t="s">
        <v>4</v>
      </c>
      <c r="B4054" s="3" t="s">
        <v>3033</v>
      </c>
      <c r="C4054" s="4">
        <v>232</v>
      </c>
      <c r="D4054" s="3" t="s">
        <v>174</v>
      </c>
      <c r="E4054" s="3" t="s">
        <v>16</v>
      </c>
      <c r="F4054" s="5">
        <v>252</v>
      </c>
      <c r="G4054" s="5">
        <v>72</v>
      </c>
      <c r="H4054" s="6">
        <v>14016</v>
      </c>
      <c r="I4054" s="22">
        <v>4552.5600000000004</v>
      </c>
      <c r="J4054" s="24">
        <f t="shared" si="189"/>
        <v>3.1545243367179752E-5</v>
      </c>
      <c r="K4054" s="25">
        <f t="shared" si="191"/>
        <v>0.98403612446906719</v>
      </c>
      <c r="L4054" s="26" t="s">
        <v>7518</v>
      </c>
      <c r="M4054" s="28"/>
      <c r="N4054" s="28">
        <v>4.1550616219457021E-2</v>
      </c>
      <c r="O4054" s="20">
        <v>7877.64</v>
      </c>
      <c r="P4054" s="27" t="str">
        <f t="shared" si="190"/>
        <v>verde</v>
      </c>
    </row>
    <row r="4055" spans="1:16" ht="25.5">
      <c r="A4055" s="3" t="s">
        <v>4</v>
      </c>
      <c r="B4055" s="3" t="s">
        <v>3034</v>
      </c>
      <c r="C4055" s="4">
        <v>316</v>
      </c>
      <c r="D4055" s="3" t="s">
        <v>247</v>
      </c>
      <c r="E4055" s="3" t="s">
        <v>10</v>
      </c>
      <c r="F4055" s="5">
        <v>0</v>
      </c>
      <c r="G4055" s="5">
        <v>117</v>
      </c>
      <c r="H4055" s="6">
        <v>0</v>
      </c>
      <c r="I4055" s="22">
        <v>4550.28</v>
      </c>
      <c r="J4055" s="24">
        <f t="shared" si="189"/>
        <v>3.1529444969162546E-5</v>
      </c>
      <c r="K4055" s="25">
        <f t="shared" si="191"/>
        <v>0.98406765391403639</v>
      </c>
      <c r="L4055" s="26" t="s">
        <v>7518</v>
      </c>
      <c r="M4055" s="28"/>
      <c r="N4055" s="28"/>
      <c r="O4055" s="20">
        <v>1140.48</v>
      </c>
      <c r="P4055" s="27" t="str">
        <f t="shared" si="190"/>
        <v>amarelo</v>
      </c>
    </row>
    <row r="4056" spans="1:16" ht="38.25">
      <c r="A4056" s="3" t="s">
        <v>4</v>
      </c>
      <c r="B4056" s="3" t="s">
        <v>3035</v>
      </c>
      <c r="C4056" s="4">
        <v>143</v>
      </c>
      <c r="D4056" s="3" t="s">
        <v>44</v>
      </c>
      <c r="E4056" s="3" t="s">
        <v>41</v>
      </c>
      <c r="F4056" s="5">
        <v>0</v>
      </c>
      <c r="G4056" s="5">
        <v>72</v>
      </c>
      <c r="H4056" s="6">
        <v>0</v>
      </c>
      <c r="I4056" s="22">
        <v>4535.28</v>
      </c>
      <c r="J4056" s="24">
        <f t="shared" si="189"/>
        <v>3.1425508140102042E-5</v>
      </c>
      <c r="K4056" s="25">
        <f t="shared" si="191"/>
        <v>0.98409907942217645</v>
      </c>
      <c r="L4056" s="26" t="s">
        <v>7518</v>
      </c>
      <c r="M4056" s="28"/>
      <c r="N4056" s="28"/>
      <c r="O4056" s="20" t="s">
        <v>7530</v>
      </c>
      <c r="P4056" s="27" t="str">
        <f t="shared" si="190"/>
        <v>vermelho</v>
      </c>
    </row>
    <row r="4057" spans="1:16" ht="38.25">
      <c r="A4057" s="3" t="s">
        <v>4</v>
      </c>
      <c r="B4057" s="3" t="s">
        <v>3036</v>
      </c>
      <c r="C4057" s="4">
        <v>74</v>
      </c>
      <c r="D4057" s="3" t="s">
        <v>6</v>
      </c>
      <c r="E4057" s="3" t="s">
        <v>7</v>
      </c>
      <c r="F4057" s="5">
        <v>0</v>
      </c>
      <c r="G4057" s="5">
        <v>69</v>
      </c>
      <c r="H4057" s="6">
        <v>0</v>
      </c>
      <c r="I4057" s="22">
        <v>4530.2700000000004</v>
      </c>
      <c r="J4057" s="24">
        <f t="shared" si="189"/>
        <v>3.1390793239195842E-5</v>
      </c>
      <c r="K4057" s="25">
        <f t="shared" si="191"/>
        <v>0.98413047021541566</v>
      </c>
      <c r="L4057" s="26" t="s">
        <v>7518</v>
      </c>
      <c r="M4057" s="28"/>
      <c r="N4057" s="28"/>
      <c r="O4057" s="20" t="s">
        <v>7530</v>
      </c>
      <c r="P4057" s="27" t="str">
        <f t="shared" si="190"/>
        <v>vermelho</v>
      </c>
    </row>
    <row r="4058" spans="1:16" ht="25.5">
      <c r="A4058" s="3" t="s">
        <v>4</v>
      </c>
      <c r="B4058" s="3" t="s">
        <v>3037</v>
      </c>
      <c r="C4058" s="4">
        <v>23</v>
      </c>
      <c r="D4058" s="3" t="s">
        <v>87</v>
      </c>
      <c r="E4058" s="3" t="s">
        <v>7</v>
      </c>
      <c r="F4058" s="5">
        <v>213</v>
      </c>
      <c r="G4058" s="5">
        <v>114</v>
      </c>
      <c r="H4058" s="6">
        <v>11548.683000000001</v>
      </c>
      <c r="I4058" s="22">
        <v>4527.3599999999997</v>
      </c>
      <c r="J4058" s="24">
        <f t="shared" si="189"/>
        <v>3.1370629494358095E-5</v>
      </c>
      <c r="K4058" s="25">
        <f t="shared" si="191"/>
        <v>0.98416184084490999</v>
      </c>
      <c r="L4058" s="26" t="s">
        <v>7518</v>
      </c>
      <c r="M4058" s="28"/>
      <c r="N4058" s="28"/>
      <c r="O4058" s="20" t="s">
        <v>7530</v>
      </c>
      <c r="P4058" s="27" t="str">
        <f t="shared" si="190"/>
        <v>vermelho</v>
      </c>
    </row>
    <row r="4059" spans="1:16" ht="25.5">
      <c r="A4059" s="3" t="s">
        <v>4</v>
      </c>
      <c r="B4059" s="3" t="s">
        <v>3038</v>
      </c>
      <c r="C4059" s="4">
        <v>61</v>
      </c>
      <c r="D4059" s="3" t="s">
        <v>48</v>
      </c>
      <c r="E4059" s="3" t="s">
        <v>49</v>
      </c>
      <c r="F4059" s="5">
        <v>0</v>
      </c>
      <c r="G4059" s="5">
        <v>72</v>
      </c>
      <c r="H4059" s="6">
        <v>0</v>
      </c>
      <c r="I4059" s="22">
        <v>4523.28</v>
      </c>
      <c r="J4059" s="24">
        <f t="shared" si="189"/>
        <v>3.1342358676853639E-5</v>
      </c>
      <c r="K4059" s="25">
        <f t="shared" si="191"/>
        <v>0.98419318320358684</v>
      </c>
      <c r="L4059" s="26" t="s">
        <v>7518</v>
      </c>
      <c r="M4059" s="28"/>
      <c r="N4059" s="28"/>
      <c r="O4059" s="20" t="s">
        <v>7530</v>
      </c>
      <c r="P4059" s="27" t="str">
        <f t="shared" si="190"/>
        <v>vermelho</v>
      </c>
    </row>
    <row r="4060" spans="1:16" ht="25.5">
      <c r="A4060" s="3" t="s">
        <v>4</v>
      </c>
      <c r="B4060" s="3" t="s">
        <v>3039</v>
      </c>
      <c r="C4060" s="4">
        <v>41</v>
      </c>
      <c r="D4060" s="3" t="s">
        <v>178</v>
      </c>
      <c r="E4060" s="3" t="s">
        <v>41</v>
      </c>
      <c r="F4060" s="5">
        <v>216</v>
      </c>
      <c r="G4060" s="5">
        <v>102</v>
      </c>
      <c r="H4060" s="6">
        <v>14361.84</v>
      </c>
      <c r="I4060" s="22">
        <v>4517.22</v>
      </c>
      <c r="J4060" s="24">
        <f t="shared" si="189"/>
        <v>3.1300368197913201E-5</v>
      </c>
      <c r="K4060" s="25">
        <f t="shared" si="191"/>
        <v>0.98422448357178471</v>
      </c>
      <c r="L4060" s="26" t="s">
        <v>7518</v>
      </c>
      <c r="M4060" s="28"/>
      <c r="N4060" s="28"/>
      <c r="O4060" s="20">
        <v>12981</v>
      </c>
      <c r="P4060" s="27" t="str">
        <f t="shared" si="190"/>
        <v>verde</v>
      </c>
    </row>
    <row r="4061" spans="1:16" ht="25.5">
      <c r="A4061" s="3" t="s">
        <v>4</v>
      </c>
      <c r="B4061" s="3" t="s">
        <v>3040</v>
      </c>
      <c r="C4061" s="4">
        <v>264</v>
      </c>
      <c r="D4061" s="3" t="s">
        <v>40</v>
      </c>
      <c r="E4061" s="3" t="s">
        <v>7</v>
      </c>
      <c r="F4061" s="5">
        <v>0</v>
      </c>
      <c r="G4061" s="5">
        <v>60</v>
      </c>
      <c r="H4061" s="6">
        <v>0</v>
      </c>
      <c r="I4061" s="22">
        <v>4513.8</v>
      </c>
      <c r="J4061" s="24">
        <f t="shared" si="189"/>
        <v>3.1276670600887398E-5</v>
      </c>
      <c r="K4061" s="25">
        <f t="shared" si="191"/>
        <v>0.98425576024238559</v>
      </c>
      <c r="L4061" s="26" t="s">
        <v>7518</v>
      </c>
      <c r="M4061" s="28"/>
      <c r="N4061" s="28"/>
      <c r="O4061" s="20" t="s">
        <v>7530</v>
      </c>
      <c r="P4061" s="27" t="str">
        <f t="shared" si="190"/>
        <v>vermelho</v>
      </c>
    </row>
    <row r="4062" spans="1:16" ht="25.5">
      <c r="A4062" s="3" t="s">
        <v>6988</v>
      </c>
      <c r="B4062" s="3" t="s">
        <v>6989</v>
      </c>
      <c r="C4062" s="4">
        <v>337</v>
      </c>
      <c r="D4062" s="3" t="s">
        <v>202</v>
      </c>
      <c r="E4062" s="3" t="s">
        <v>16</v>
      </c>
      <c r="F4062" s="5">
        <v>660</v>
      </c>
      <c r="G4062" s="5">
        <v>84</v>
      </c>
      <c r="H4062" s="6">
        <v>36534.239999999998</v>
      </c>
      <c r="I4062" s="22">
        <v>4511.3999999999996</v>
      </c>
      <c r="J4062" s="24">
        <f t="shared" si="189"/>
        <v>3.1260040708237713E-5</v>
      </c>
      <c r="K4062" s="25">
        <f t="shared" si="191"/>
        <v>0.98428702028309378</v>
      </c>
      <c r="L4062" s="26" t="s">
        <v>7518</v>
      </c>
      <c r="M4062" s="28"/>
      <c r="N4062" s="28"/>
      <c r="O4062" s="20" t="s">
        <v>7530</v>
      </c>
      <c r="P4062" s="27" t="str">
        <f t="shared" si="190"/>
        <v>vermelho</v>
      </c>
    </row>
    <row r="4063" spans="1:16" ht="25.5">
      <c r="A4063" s="3" t="s">
        <v>4</v>
      </c>
      <c r="B4063" s="3" t="s">
        <v>3041</v>
      </c>
      <c r="C4063" s="4">
        <v>299</v>
      </c>
      <c r="D4063" s="3" t="s">
        <v>111</v>
      </c>
      <c r="E4063" s="3" t="s">
        <v>49</v>
      </c>
      <c r="F4063" s="5">
        <v>0</v>
      </c>
      <c r="G4063" s="5">
        <v>84</v>
      </c>
      <c r="H4063" s="6">
        <v>0</v>
      </c>
      <c r="I4063" s="22">
        <v>4506.3599999999997</v>
      </c>
      <c r="J4063" s="24">
        <f t="shared" si="189"/>
        <v>3.1225117933673386E-5</v>
      </c>
      <c r="K4063" s="25">
        <f t="shared" si="191"/>
        <v>0.98431824540102741</v>
      </c>
      <c r="L4063" s="26" t="s">
        <v>7518</v>
      </c>
      <c r="M4063" s="28"/>
      <c r="N4063" s="28"/>
      <c r="O4063" s="20" t="s">
        <v>7530</v>
      </c>
      <c r="P4063" s="27" t="str">
        <f t="shared" si="190"/>
        <v>vermelho</v>
      </c>
    </row>
    <row r="4064" spans="1:16" ht="25.5">
      <c r="A4064" s="3" t="s">
        <v>4</v>
      </c>
      <c r="B4064" s="3" t="s">
        <v>3042</v>
      </c>
      <c r="C4064" s="4">
        <v>296</v>
      </c>
      <c r="D4064" s="3" t="s">
        <v>282</v>
      </c>
      <c r="E4064" s="3" t="s">
        <v>10</v>
      </c>
      <c r="F4064" s="5">
        <v>0</v>
      </c>
      <c r="G4064" s="5">
        <v>84</v>
      </c>
      <c r="H4064" s="6">
        <v>0</v>
      </c>
      <c r="I4064" s="22">
        <v>4506.2470000000003</v>
      </c>
      <c r="J4064" s="24">
        <f t="shared" si="189"/>
        <v>3.1224334942894469E-5</v>
      </c>
      <c r="K4064" s="25">
        <f t="shared" si="191"/>
        <v>0.98434946973597026</v>
      </c>
      <c r="L4064" s="26" t="s">
        <v>7518</v>
      </c>
      <c r="M4064" s="28"/>
      <c r="N4064" s="28"/>
      <c r="O4064" s="20" t="s">
        <v>7530</v>
      </c>
      <c r="P4064" s="27" t="str">
        <f t="shared" si="190"/>
        <v>vermelho</v>
      </c>
    </row>
    <row r="4065" spans="1:16" ht="38.25">
      <c r="A4065" s="3" t="s">
        <v>4</v>
      </c>
      <c r="B4065" s="3" t="s">
        <v>3043</v>
      </c>
      <c r="C4065" s="4">
        <v>371</v>
      </c>
      <c r="D4065" s="3" t="s">
        <v>82</v>
      </c>
      <c r="E4065" s="3" t="s">
        <v>49</v>
      </c>
      <c r="F4065" s="5">
        <v>384</v>
      </c>
      <c r="G4065" s="5">
        <v>84</v>
      </c>
      <c r="H4065" s="6">
        <v>19422.504000000001</v>
      </c>
      <c r="I4065" s="22">
        <v>4506.0600000000004</v>
      </c>
      <c r="J4065" s="24">
        <f t="shared" si="189"/>
        <v>3.1223039197092182E-5</v>
      </c>
      <c r="K4065" s="25">
        <f t="shared" si="191"/>
        <v>0.98438069277516738</v>
      </c>
      <c r="L4065" s="26" t="s">
        <v>7518</v>
      </c>
      <c r="M4065" s="28"/>
      <c r="N4065" s="28"/>
      <c r="O4065" s="20" t="s">
        <v>7530</v>
      </c>
      <c r="P4065" s="27" t="str">
        <f t="shared" si="190"/>
        <v>vermelho</v>
      </c>
    </row>
    <row r="4066" spans="1:16" ht="38.25">
      <c r="A4066" s="3" t="s">
        <v>4</v>
      </c>
      <c r="B4066" s="3" t="s">
        <v>3044</v>
      </c>
      <c r="C4066" s="4">
        <v>316</v>
      </c>
      <c r="D4066" s="3" t="s">
        <v>247</v>
      </c>
      <c r="E4066" s="3" t="s">
        <v>10</v>
      </c>
      <c r="F4066" s="5">
        <v>0</v>
      </c>
      <c r="G4066" s="5">
        <v>63</v>
      </c>
      <c r="H4066" s="6">
        <v>0</v>
      </c>
      <c r="I4066" s="22">
        <v>4499.88</v>
      </c>
      <c r="J4066" s="24">
        <f t="shared" si="189"/>
        <v>3.1180217223519252E-5</v>
      </c>
      <c r="K4066" s="25">
        <f t="shared" si="191"/>
        <v>0.98441187299239086</v>
      </c>
      <c r="L4066" s="26" t="s">
        <v>7518</v>
      </c>
      <c r="M4066" s="28">
        <v>-6.4774678610983794E-2</v>
      </c>
      <c r="N4066" s="28"/>
      <c r="O4066" s="20" t="s">
        <v>7530</v>
      </c>
      <c r="P4066" s="27" t="str">
        <f t="shared" si="190"/>
        <v>vermelho</v>
      </c>
    </row>
    <row r="4067" spans="1:16" ht="25.5">
      <c r="A4067" s="3" t="s">
        <v>4</v>
      </c>
      <c r="B4067" s="3" t="s">
        <v>3045</v>
      </c>
      <c r="C4067" s="4">
        <v>74</v>
      </c>
      <c r="D4067" s="3" t="s">
        <v>6</v>
      </c>
      <c r="E4067" s="3" t="s">
        <v>7</v>
      </c>
      <c r="F4067" s="5">
        <v>0</v>
      </c>
      <c r="G4067" s="5">
        <v>63</v>
      </c>
      <c r="H4067" s="6">
        <v>0</v>
      </c>
      <c r="I4067" s="22">
        <v>4499.37</v>
      </c>
      <c r="J4067" s="24">
        <f t="shared" si="189"/>
        <v>3.117668337133119E-5</v>
      </c>
      <c r="K4067" s="25">
        <f t="shared" si="191"/>
        <v>0.98444304967576224</v>
      </c>
      <c r="L4067" s="26" t="s">
        <v>7518</v>
      </c>
      <c r="M4067" s="28"/>
      <c r="N4067" s="28"/>
      <c r="O4067" s="20" t="s">
        <v>7530</v>
      </c>
      <c r="P4067" s="27" t="str">
        <f t="shared" si="190"/>
        <v>vermelho</v>
      </c>
    </row>
    <row r="4068" spans="1:16" ht="25.5">
      <c r="A4068" s="3" t="s">
        <v>6990</v>
      </c>
      <c r="B4068" s="3" t="s">
        <v>6991</v>
      </c>
      <c r="C4068" s="4">
        <v>197</v>
      </c>
      <c r="D4068" s="3" t="s">
        <v>66</v>
      </c>
      <c r="E4068" s="3" t="s">
        <v>41</v>
      </c>
      <c r="F4068" s="5">
        <v>147</v>
      </c>
      <c r="G4068" s="5">
        <v>60</v>
      </c>
      <c r="H4068" s="6">
        <v>8797.3799999999992</v>
      </c>
      <c r="I4068" s="22">
        <v>4495.08</v>
      </c>
      <c r="J4068" s="24">
        <f t="shared" si="189"/>
        <v>3.1146957438219889E-5</v>
      </c>
      <c r="K4068" s="25">
        <f t="shared" si="191"/>
        <v>0.98447419663320046</v>
      </c>
      <c r="L4068" s="26" t="s">
        <v>7518</v>
      </c>
      <c r="M4068" s="28"/>
      <c r="N4068" s="28"/>
      <c r="O4068" s="20" t="s">
        <v>7530</v>
      </c>
      <c r="P4068" s="27" t="str">
        <f t="shared" si="190"/>
        <v>vermelho</v>
      </c>
    </row>
    <row r="4069" spans="1:16" ht="25.5">
      <c r="A4069" s="3" t="s">
        <v>4</v>
      </c>
      <c r="B4069" s="3" t="s">
        <v>3046</v>
      </c>
      <c r="C4069" s="4">
        <v>194</v>
      </c>
      <c r="D4069" s="3" t="s">
        <v>145</v>
      </c>
      <c r="E4069" s="3" t="s">
        <v>16</v>
      </c>
      <c r="F4069" s="5">
        <v>0</v>
      </c>
      <c r="G4069" s="5">
        <v>96</v>
      </c>
      <c r="H4069" s="6">
        <v>0</v>
      </c>
      <c r="I4069" s="22">
        <v>4489.2</v>
      </c>
      <c r="J4069" s="24">
        <f t="shared" si="189"/>
        <v>3.1106214201228169E-5</v>
      </c>
      <c r="K4069" s="25">
        <f t="shared" si="191"/>
        <v>0.98450530284740168</v>
      </c>
      <c r="L4069" s="26" t="s">
        <v>7518</v>
      </c>
      <c r="M4069" s="28"/>
      <c r="N4069" s="28"/>
      <c r="O4069" s="20" t="s">
        <v>7530</v>
      </c>
      <c r="P4069" s="27" t="str">
        <f t="shared" si="190"/>
        <v>vermelho</v>
      </c>
    </row>
    <row r="4070" spans="1:16" ht="25.5">
      <c r="A4070" s="3" t="s">
        <v>4</v>
      </c>
      <c r="B4070" s="3" t="s">
        <v>3047</v>
      </c>
      <c r="C4070" s="4">
        <v>266</v>
      </c>
      <c r="D4070" s="3" t="s">
        <v>80</v>
      </c>
      <c r="E4070" s="3" t="s">
        <v>10</v>
      </c>
      <c r="F4070" s="5">
        <v>0</v>
      </c>
      <c r="G4070" s="5">
        <v>81</v>
      </c>
      <c r="H4070" s="6">
        <v>0</v>
      </c>
      <c r="I4070" s="22">
        <v>4488.99</v>
      </c>
      <c r="J4070" s="24">
        <f t="shared" si="189"/>
        <v>3.1104759085621325E-5</v>
      </c>
      <c r="K4070" s="25">
        <f t="shared" si="191"/>
        <v>0.98453640760648731</v>
      </c>
      <c r="L4070" s="26" t="s">
        <v>7518</v>
      </c>
      <c r="M4070" s="28"/>
      <c r="N4070" s="28"/>
      <c r="O4070" s="20" t="s">
        <v>7530</v>
      </c>
      <c r="P4070" s="27" t="str">
        <f t="shared" si="190"/>
        <v>vermelho</v>
      </c>
    </row>
    <row r="4071" spans="1:16">
      <c r="A4071" s="3" t="s">
        <v>4</v>
      </c>
      <c r="B4071" s="3" t="s">
        <v>3048</v>
      </c>
      <c r="C4071" s="4">
        <v>315</v>
      </c>
      <c r="D4071" s="3" t="s">
        <v>63</v>
      </c>
      <c r="E4071" s="3" t="s">
        <v>7</v>
      </c>
      <c r="F4071" s="5">
        <v>49</v>
      </c>
      <c r="G4071" s="5">
        <v>78</v>
      </c>
      <c r="H4071" s="6">
        <v>2234.5500000000002</v>
      </c>
      <c r="I4071" s="22">
        <v>4487.5200000000004</v>
      </c>
      <c r="J4071" s="24">
        <f t="shared" si="189"/>
        <v>3.1094573276373398E-5</v>
      </c>
      <c r="K4071" s="25">
        <f t="shared" si="191"/>
        <v>0.98456750217976363</v>
      </c>
      <c r="L4071" s="26" t="s">
        <v>7518</v>
      </c>
      <c r="M4071" s="28"/>
      <c r="N4071" s="28"/>
      <c r="O4071" s="20" t="s">
        <v>7530</v>
      </c>
      <c r="P4071" s="27" t="str">
        <f t="shared" si="190"/>
        <v>vermelho</v>
      </c>
    </row>
    <row r="4072" spans="1:16" ht="25.5">
      <c r="A4072" s="3" t="s">
        <v>6992</v>
      </c>
      <c r="B4072" s="3" t="s">
        <v>6993</v>
      </c>
      <c r="C4072" s="4">
        <v>93</v>
      </c>
      <c r="D4072" s="3" t="s">
        <v>20</v>
      </c>
      <c r="E4072" s="3" t="s">
        <v>7</v>
      </c>
      <c r="F4072" s="5">
        <v>96</v>
      </c>
      <c r="G4072" s="5">
        <v>72</v>
      </c>
      <c r="H4072" s="6">
        <v>5723.04</v>
      </c>
      <c r="I4072" s="22">
        <v>4487.28</v>
      </c>
      <c r="J4072" s="24">
        <f t="shared" si="189"/>
        <v>3.1092910287108427E-5</v>
      </c>
      <c r="K4072" s="25">
        <f t="shared" si="191"/>
        <v>0.98459859509005077</v>
      </c>
      <c r="L4072" s="26" t="s">
        <v>7518</v>
      </c>
      <c r="M4072" s="28"/>
      <c r="N4072" s="28"/>
      <c r="O4072" s="20" t="s">
        <v>7530</v>
      </c>
      <c r="P4072" s="27" t="str">
        <f t="shared" si="190"/>
        <v>vermelho</v>
      </c>
    </row>
    <row r="4073" spans="1:16" ht="25.5">
      <c r="A4073" s="3" t="s">
        <v>4</v>
      </c>
      <c r="B4073" s="3" t="s">
        <v>3049</v>
      </c>
      <c r="C4073" s="4">
        <v>299</v>
      </c>
      <c r="D4073" s="3" t="s">
        <v>111</v>
      </c>
      <c r="E4073" s="3" t="s">
        <v>49</v>
      </c>
      <c r="F4073" s="5">
        <v>360</v>
      </c>
      <c r="G4073" s="5">
        <v>102</v>
      </c>
      <c r="H4073" s="6">
        <v>17007</v>
      </c>
      <c r="I4073" s="22">
        <v>4482.8999999999996</v>
      </c>
      <c r="J4073" s="24">
        <f t="shared" si="189"/>
        <v>3.1062560733022753E-5</v>
      </c>
      <c r="K4073" s="25">
        <f t="shared" si="191"/>
        <v>0.98462965765078381</v>
      </c>
      <c r="L4073" s="26" t="s">
        <v>7518</v>
      </c>
      <c r="M4073" s="28"/>
      <c r="N4073" s="28"/>
      <c r="O4073" s="20" t="s">
        <v>7530</v>
      </c>
      <c r="P4073" s="27" t="str">
        <f t="shared" si="190"/>
        <v>vermelho</v>
      </c>
    </row>
    <row r="4074" spans="1:16" ht="25.5">
      <c r="A4074" s="3" t="s">
        <v>6994</v>
      </c>
      <c r="B4074" s="3" t="s">
        <v>6995</v>
      </c>
      <c r="C4074" s="4">
        <v>302</v>
      </c>
      <c r="D4074" s="3" t="s">
        <v>293</v>
      </c>
      <c r="E4074" s="3" t="s">
        <v>49</v>
      </c>
      <c r="F4074" s="5">
        <v>348</v>
      </c>
      <c r="G4074" s="5">
        <v>72</v>
      </c>
      <c r="H4074" s="6">
        <v>20598</v>
      </c>
      <c r="I4074" s="22">
        <v>4474.08</v>
      </c>
      <c r="J4074" s="24">
        <f t="shared" si="189"/>
        <v>3.100144587753518E-5</v>
      </c>
      <c r="K4074" s="25">
        <f t="shared" si="191"/>
        <v>0.98466065909666134</v>
      </c>
      <c r="L4074" s="26" t="s">
        <v>7518</v>
      </c>
      <c r="M4074" s="28"/>
      <c r="N4074" s="28"/>
      <c r="O4074" s="20" t="s">
        <v>7530</v>
      </c>
      <c r="P4074" s="27" t="str">
        <f t="shared" si="190"/>
        <v>vermelho</v>
      </c>
    </row>
    <row r="4075" spans="1:16" ht="25.5">
      <c r="A4075" s="3" t="s">
        <v>4</v>
      </c>
      <c r="B4075" s="3" t="s">
        <v>3050</v>
      </c>
      <c r="C4075" s="4">
        <v>218</v>
      </c>
      <c r="D4075" s="3" t="s">
        <v>104</v>
      </c>
      <c r="E4075" s="3" t="s">
        <v>16</v>
      </c>
      <c r="F4075" s="5">
        <v>144</v>
      </c>
      <c r="G4075" s="5">
        <v>84</v>
      </c>
      <c r="H4075" s="6">
        <v>6259.68</v>
      </c>
      <c r="I4075" s="22">
        <v>4473.84</v>
      </c>
      <c r="J4075" s="24">
        <f t="shared" si="189"/>
        <v>3.0999782888270216E-5</v>
      </c>
      <c r="K4075" s="25">
        <f t="shared" si="191"/>
        <v>0.98469165887954957</v>
      </c>
      <c r="L4075" s="26" t="s">
        <v>7518</v>
      </c>
      <c r="M4075" s="28"/>
      <c r="N4075" s="28"/>
      <c r="O4075" s="20" t="s">
        <v>7530</v>
      </c>
      <c r="P4075" s="27" t="str">
        <f t="shared" si="190"/>
        <v>vermelho</v>
      </c>
    </row>
    <row r="4076" spans="1:16">
      <c r="A4076" s="3" t="s">
        <v>4</v>
      </c>
      <c r="B4076" s="3" t="s">
        <v>3051</v>
      </c>
      <c r="C4076" s="4">
        <v>315</v>
      </c>
      <c r="D4076" s="3" t="s">
        <v>63</v>
      </c>
      <c r="E4076" s="3" t="s">
        <v>7</v>
      </c>
      <c r="F4076" s="5">
        <v>48</v>
      </c>
      <c r="G4076" s="5">
        <v>60</v>
      </c>
      <c r="H4076" s="6">
        <v>3063.54</v>
      </c>
      <c r="I4076" s="22">
        <v>4469.3999999999996</v>
      </c>
      <c r="J4076" s="24">
        <f t="shared" si="189"/>
        <v>3.0969017586868303E-5</v>
      </c>
      <c r="K4076" s="25">
        <f t="shared" si="191"/>
        <v>0.98472262789713649</v>
      </c>
      <c r="L4076" s="26" t="s">
        <v>7518</v>
      </c>
      <c r="M4076" s="28"/>
      <c r="N4076" s="28"/>
      <c r="O4076" s="20" t="s">
        <v>7530</v>
      </c>
      <c r="P4076" s="27" t="str">
        <f t="shared" si="190"/>
        <v>vermelho</v>
      </c>
    </row>
    <row r="4077" spans="1:16" ht="25.5">
      <c r="A4077" s="3" t="s">
        <v>4</v>
      </c>
      <c r="B4077" s="3" t="s">
        <v>3052</v>
      </c>
      <c r="C4077" s="4">
        <v>194</v>
      </c>
      <c r="D4077" s="3" t="s">
        <v>145</v>
      </c>
      <c r="E4077" s="3" t="s">
        <v>16</v>
      </c>
      <c r="F4077" s="5">
        <v>216</v>
      </c>
      <c r="G4077" s="5">
        <v>84</v>
      </c>
      <c r="H4077" s="6">
        <v>11649.84</v>
      </c>
      <c r="I4077" s="22">
        <v>4466.76</v>
      </c>
      <c r="J4077" s="24">
        <f t="shared" si="189"/>
        <v>3.0950724704953654E-5</v>
      </c>
      <c r="K4077" s="25">
        <f t="shared" si="191"/>
        <v>0.98475357862184143</v>
      </c>
      <c r="L4077" s="26" t="s">
        <v>7518</v>
      </c>
      <c r="M4077" s="28"/>
      <c r="N4077" s="28"/>
      <c r="O4077" s="20">
        <v>6519.36</v>
      </c>
      <c r="P4077" s="27" t="str">
        <f t="shared" si="190"/>
        <v>verde</v>
      </c>
    </row>
    <row r="4078" spans="1:16" ht="38.25">
      <c r="A4078" s="3" t="s">
        <v>4</v>
      </c>
      <c r="B4078" s="3" t="s">
        <v>3053</v>
      </c>
      <c r="C4078" s="4">
        <v>371</v>
      </c>
      <c r="D4078" s="3" t="s">
        <v>82</v>
      </c>
      <c r="E4078" s="3" t="s">
        <v>49</v>
      </c>
      <c r="F4078" s="5">
        <v>0</v>
      </c>
      <c r="G4078" s="5">
        <v>78</v>
      </c>
      <c r="H4078" s="6">
        <v>0</v>
      </c>
      <c r="I4078" s="22">
        <v>4462.92</v>
      </c>
      <c r="J4078" s="24">
        <f t="shared" si="189"/>
        <v>3.0924116876714162E-5</v>
      </c>
      <c r="K4078" s="25">
        <f t="shared" si="191"/>
        <v>0.98478450273871809</v>
      </c>
      <c r="L4078" s="26" t="s">
        <v>7518</v>
      </c>
      <c r="M4078" s="28"/>
      <c r="N4078" s="28"/>
      <c r="O4078" s="20">
        <v>6560.4719999999998</v>
      </c>
      <c r="P4078" s="27" t="str">
        <f t="shared" si="190"/>
        <v>verde</v>
      </c>
    </row>
    <row r="4079" spans="1:16" ht="38.25">
      <c r="A4079" s="3" t="s">
        <v>4</v>
      </c>
      <c r="B4079" s="3" t="s">
        <v>3054</v>
      </c>
      <c r="C4079" s="4">
        <v>292</v>
      </c>
      <c r="D4079" s="3" t="s">
        <v>57</v>
      </c>
      <c r="E4079" s="3" t="s">
        <v>49</v>
      </c>
      <c r="F4079" s="5">
        <v>0</v>
      </c>
      <c r="G4079" s="5">
        <v>144</v>
      </c>
      <c r="H4079" s="6">
        <v>0</v>
      </c>
      <c r="I4079" s="22">
        <v>4458.24</v>
      </c>
      <c r="J4079" s="24">
        <f t="shared" si="189"/>
        <v>3.0891688586047285E-5</v>
      </c>
      <c r="K4079" s="25">
        <f t="shared" si="191"/>
        <v>0.98481539442730415</v>
      </c>
      <c r="L4079" s="26" t="s">
        <v>7518</v>
      </c>
      <c r="M4079" s="28"/>
      <c r="N4079" s="28"/>
      <c r="O4079" s="20" t="s">
        <v>7530</v>
      </c>
      <c r="P4079" s="27" t="str">
        <f t="shared" si="190"/>
        <v>vermelho</v>
      </c>
    </row>
    <row r="4080" spans="1:16">
      <c r="A4080" s="3" t="s">
        <v>4</v>
      </c>
      <c r="B4080" s="3" t="s">
        <v>3055</v>
      </c>
      <c r="C4080" s="4">
        <v>232</v>
      </c>
      <c r="D4080" s="3" t="s">
        <v>174</v>
      </c>
      <c r="E4080" s="3" t="s">
        <v>16</v>
      </c>
      <c r="F4080" s="5">
        <v>0</v>
      </c>
      <c r="G4080" s="5">
        <v>99</v>
      </c>
      <c r="H4080" s="6">
        <v>0</v>
      </c>
      <c r="I4080" s="22">
        <v>4442.13</v>
      </c>
      <c r="J4080" s="24">
        <f t="shared" si="189"/>
        <v>3.0780060431636305E-5</v>
      </c>
      <c r="K4080" s="25">
        <f t="shared" si="191"/>
        <v>0.98484617448773581</v>
      </c>
      <c r="L4080" s="26" t="s">
        <v>7518</v>
      </c>
      <c r="M4080" s="28"/>
      <c r="N4080" s="28"/>
      <c r="O4080" s="20" t="s">
        <v>7530</v>
      </c>
      <c r="P4080" s="27" t="str">
        <f t="shared" si="190"/>
        <v>vermelho</v>
      </c>
    </row>
    <row r="4081" spans="1:16" ht="25.5">
      <c r="A4081" s="3" t="s">
        <v>4</v>
      </c>
      <c r="B4081" s="3" t="s">
        <v>3056</v>
      </c>
      <c r="C4081" s="4">
        <v>273</v>
      </c>
      <c r="D4081" s="3" t="s">
        <v>149</v>
      </c>
      <c r="E4081" s="3" t="s">
        <v>16</v>
      </c>
      <c r="F4081" s="5">
        <v>0</v>
      </c>
      <c r="G4081" s="5">
        <v>72</v>
      </c>
      <c r="H4081" s="6">
        <v>0</v>
      </c>
      <c r="I4081" s="22">
        <v>4437.1239999999998</v>
      </c>
      <c r="J4081" s="24">
        <f t="shared" si="189"/>
        <v>3.074537324721784E-5</v>
      </c>
      <c r="K4081" s="25">
        <f t="shared" si="191"/>
        <v>0.98487691986098302</v>
      </c>
      <c r="L4081" s="26" t="s">
        <v>7518</v>
      </c>
      <c r="M4081" s="28"/>
      <c r="N4081" s="28"/>
      <c r="O4081" s="20" t="s">
        <v>7530</v>
      </c>
      <c r="P4081" s="27" t="str">
        <f t="shared" si="190"/>
        <v>vermelho</v>
      </c>
    </row>
    <row r="4082" spans="1:16">
      <c r="A4082" s="3" t="s">
        <v>4</v>
      </c>
      <c r="B4082" s="3" t="s">
        <v>3057</v>
      </c>
      <c r="C4082" s="4">
        <v>217</v>
      </c>
      <c r="D4082" s="3" t="s">
        <v>91</v>
      </c>
      <c r="E4082" s="3" t="s">
        <v>16</v>
      </c>
      <c r="F4082" s="5">
        <v>84</v>
      </c>
      <c r="G4082" s="5">
        <v>72</v>
      </c>
      <c r="H4082" s="6">
        <v>4019.16</v>
      </c>
      <c r="I4082" s="22">
        <v>4427.28</v>
      </c>
      <c r="J4082" s="24">
        <f t="shared" si="189"/>
        <v>3.06771629708664E-5</v>
      </c>
      <c r="K4082" s="25">
        <f t="shared" si="191"/>
        <v>0.98490759702395392</v>
      </c>
      <c r="L4082" s="26" t="s">
        <v>7518</v>
      </c>
      <c r="M4082" s="28"/>
      <c r="N4082" s="28"/>
      <c r="O4082" s="20" t="s">
        <v>7530</v>
      </c>
      <c r="P4082" s="27" t="str">
        <f t="shared" si="190"/>
        <v>vermelho</v>
      </c>
    </row>
    <row r="4083" spans="1:16" ht="38.25">
      <c r="A4083" s="3" t="s">
        <v>4</v>
      </c>
      <c r="B4083" s="3" t="s">
        <v>3058</v>
      </c>
      <c r="C4083" s="4">
        <v>371</v>
      </c>
      <c r="D4083" s="3" t="s">
        <v>82</v>
      </c>
      <c r="E4083" s="3" t="s">
        <v>49</v>
      </c>
      <c r="F4083" s="5">
        <v>252</v>
      </c>
      <c r="G4083" s="5">
        <v>99</v>
      </c>
      <c r="H4083" s="6">
        <v>13036.934999999999</v>
      </c>
      <c r="I4083" s="22">
        <v>4423.17</v>
      </c>
      <c r="J4083" s="24">
        <f t="shared" si="189"/>
        <v>3.0648684279703825E-5</v>
      </c>
      <c r="K4083" s="25">
        <f t="shared" si="191"/>
        <v>0.98493824570823363</v>
      </c>
      <c r="L4083" s="26" t="s">
        <v>7518</v>
      </c>
      <c r="M4083" s="28"/>
      <c r="N4083" s="28"/>
      <c r="O4083" s="20">
        <v>2636.82</v>
      </c>
      <c r="P4083" s="27" t="str">
        <f t="shared" si="190"/>
        <v>laranja</v>
      </c>
    </row>
    <row r="4084" spans="1:16" ht="25.5">
      <c r="A4084" s="3" t="s">
        <v>4</v>
      </c>
      <c r="B4084" s="3" t="s">
        <v>3059</v>
      </c>
      <c r="C4084" s="4">
        <v>61</v>
      </c>
      <c r="D4084" s="3" t="s">
        <v>48</v>
      </c>
      <c r="E4084" s="3" t="s">
        <v>49</v>
      </c>
      <c r="F4084" s="5">
        <v>0</v>
      </c>
      <c r="G4084" s="5">
        <v>69</v>
      </c>
      <c r="H4084" s="6">
        <v>0</v>
      </c>
      <c r="I4084" s="22">
        <v>4421.3100000000004</v>
      </c>
      <c r="J4084" s="24">
        <f t="shared" si="189"/>
        <v>3.0635796112900322E-5</v>
      </c>
      <c r="K4084" s="25">
        <f t="shared" si="191"/>
        <v>0.98496888150434658</v>
      </c>
      <c r="L4084" s="26" t="s">
        <v>7518</v>
      </c>
      <c r="M4084" s="28"/>
      <c r="N4084" s="28"/>
      <c r="O4084" s="20" t="s">
        <v>7530</v>
      </c>
      <c r="P4084" s="27" t="str">
        <f t="shared" si="190"/>
        <v>vermelho</v>
      </c>
    </row>
    <row r="4085" spans="1:16" ht="25.5">
      <c r="A4085" s="3" t="s">
        <v>4</v>
      </c>
      <c r="B4085" s="3" t="s">
        <v>3060</v>
      </c>
      <c r="C4085" s="4">
        <v>273</v>
      </c>
      <c r="D4085" s="3" t="s">
        <v>149</v>
      </c>
      <c r="E4085" s="3" t="s">
        <v>16</v>
      </c>
      <c r="F4085" s="5">
        <v>0</v>
      </c>
      <c r="G4085" s="5">
        <v>81</v>
      </c>
      <c r="H4085" s="6">
        <v>0</v>
      </c>
      <c r="I4085" s="22">
        <v>4421.25</v>
      </c>
      <c r="J4085" s="24">
        <f t="shared" si="189"/>
        <v>3.0635380365584082E-5</v>
      </c>
      <c r="K4085" s="25">
        <f t="shared" si="191"/>
        <v>0.98499951688471221</v>
      </c>
      <c r="L4085" s="26" t="s">
        <v>7518</v>
      </c>
      <c r="M4085" s="28"/>
      <c r="N4085" s="28"/>
      <c r="O4085" s="20" t="s">
        <v>7530</v>
      </c>
      <c r="P4085" s="27" t="str">
        <f t="shared" si="190"/>
        <v>vermelho</v>
      </c>
    </row>
    <row r="4086" spans="1:16" ht="38.25">
      <c r="A4086" s="3" t="s">
        <v>4</v>
      </c>
      <c r="B4086" s="3" t="s">
        <v>3061</v>
      </c>
      <c r="C4086" s="4">
        <v>371</v>
      </c>
      <c r="D4086" s="3" t="s">
        <v>82</v>
      </c>
      <c r="E4086" s="3" t="s">
        <v>49</v>
      </c>
      <c r="F4086" s="5">
        <v>0</v>
      </c>
      <c r="G4086" s="5">
        <v>96</v>
      </c>
      <c r="H4086" s="6">
        <v>0</v>
      </c>
      <c r="I4086" s="22">
        <v>4415.04</v>
      </c>
      <c r="J4086" s="24">
        <f t="shared" si="189"/>
        <v>3.0592350518353032E-5</v>
      </c>
      <c r="K4086" s="25">
        <f t="shared" si="191"/>
        <v>0.9850301092352306</v>
      </c>
      <c r="L4086" s="26" t="s">
        <v>7518</v>
      </c>
      <c r="M4086" s="28"/>
      <c r="N4086" s="28"/>
      <c r="O4086" s="20" t="s">
        <v>7530</v>
      </c>
      <c r="P4086" s="27" t="str">
        <f t="shared" si="190"/>
        <v>vermelho</v>
      </c>
    </row>
    <row r="4087" spans="1:16">
      <c r="A4087" s="3" t="s">
        <v>4</v>
      </c>
      <c r="B4087" s="3" t="s">
        <v>3062</v>
      </c>
      <c r="C4087" s="4">
        <v>15</v>
      </c>
      <c r="D4087" s="3" t="s">
        <v>18</v>
      </c>
      <c r="E4087" s="3" t="s">
        <v>16</v>
      </c>
      <c r="F4087" s="5">
        <v>60</v>
      </c>
      <c r="G4087" s="5">
        <v>84</v>
      </c>
      <c r="H4087" s="6">
        <v>3613.68</v>
      </c>
      <c r="I4087" s="22">
        <v>4410.12</v>
      </c>
      <c r="J4087" s="24">
        <f t="shared" si="189"/>
        <v>3.0558259238421184E-5</v>
      </c>
      <c r="K4087" s="25">
        <f t="shared" si="191"/>
        <v>0.98506066749446897</v>
      </c>
      <c r="L4087" s="26" t="s">
        <v>7518</v>
      </c>
      <c r="M4087" s="28"/>
      <c r="N4087" s="28"/>
      <c r="O4087" s="20" t="s">
        <v>7530</v>
      </c>
      <c r="P4087" s="27" t="str">
        <f t="shared" si="190"/>
        <v>vermelho</v>
      </c>
    </row>
    <row r="4088" spans="1:16">
      <c r="A4088" s="3" t="s">
        <v>4</v>
      </c>
      <c r="B4088" s="3" t="s">
        <v>3063</v>
      </c>
      <c r="C4088" s="4">
        <v>315</v>
      </c>
      <c r="D4088" s="3" t="s">
        <v>63</v>
      </c>
      <c r="E4088" s="3" t="s">
        <v>7</v>
      </c>
      <c r="F4088" s="5">
        <v>48</v>
      </c>
      <c r="G4088" s="5">
        <v>94</v>
      </c>
      <c r="H4088" s="6">
        <v>2459.52</v>
      </c>
      <c r="I4088" s="22">
        <v>4407.1130000000003</v>
      </c>
      <c r="J4088" s="24">
        <f t="shared" si="189"/>
        <v>3.0537423368755522E-5</v>
      </c>
      <c r="K4088" s="25">
        <f t="shared" si="191"/>
        <v>0.98509120491783775</v>
      </c>
      <c r="L4088" s="26" t="s">
        <v>7518</v>
      </c>
      <c r="M4088" s="28"/>
      <c r="N4088" s="28"/>
      <c r="O4088" s="20" t="s">
        <v>7530</v>
      </c>
      <c r="P4088" s="27" t="str">
        <f t="shared" si="190"/>
        <v>vermelho</v>
      </c>
    </row>
    <row r="4089" spans="1:16" ht="25.5">
      <c r="A4089" s="3" t="s">
        <v>4</v>
      </c>
      <c r="B4089" s="3" t="s">
        <v>3064</v>
      </c>
      <c r="C4089" s="4">
        <v>61</v>
      </c>
      <c r="D4089" s="3" t="s">
        <v>48</v>
      </c>
      <c r="E4089" s="3" t="s">
        <v>49</v>
      </c>
      <c r="F4089" s="5">
        <v>0</v>
      </c>
      <c r="G4089" s="5">
        <v>72</v>
      </c>
      <c r="H4089" s="6">
        <v>0</v>
      </c>
      <c r="I4089" s="22">
        <v>4402.3379999999997</v>
      </c>
      <c r="J4089" s="24">
        <f t="shared" si="189"/>
        <v>3.0504336811504591E-5</v>
      </c>
      <c r="K4089" s="25">
        <f t="shared" si="191"/>
        <v>0.98512170925464926</v>
      </c>
      <c r="L4089" s="26" t="s">
        <v>7518</v>
      </c>
      <c r="M4089" s="28"/>
      <c r="N4089" s="28"/>
      <c r="O4089" s="20" t="s">
        <v>7530</v>
      </c>
      <c r="P4089" s="27" t="str">
        <f t="shared" si="190"/>
        <v>vermelho</v>
      </c>
    </row>
    <row r="4090" spans="1:16" ht="38.25">
      <c r="A4090" s="3" t="s">
        <v>4</v>
      </c>
      <c r="B4090" s="3" t="s">
        <v>1461</v>
      </c>
      <c r="C4090" s="4">
        <v>273</v>
      </c>
      <c r="D4090" s="3" t="s">
        <v>149</v>
      </c>
      <c r="E4090" s="3" t="s">
        <v>10</v>
      </c>
      <c r="F4090" s="5">
        <v>228</v>
      </c>
      <c r="G4090" s="5">
        <v>84</v>
      </c>
      <c r="H4090" s="6">
        <v>11408.4</v>
      </c>
      <c r="I4090" s="22">
        <v>4397.3999999999996</v>
      </c>
      <c r="J4090" s="24">
        <f t="shared" si="189"/>
        <v>3.0470120807377873E-5</v>
      </c>
      <c r="K4090" s="25">
        <f t="shared" si="191"/>
        <v>0.98515217937545663</v>
      </c>
      <c r="L4090" s="26" t="s">
        <v>7518</v>
      </c>
      <c r="M4090" s="28"/>
      <c r="N4090" s="28">
        <v>4.2311408539967579E-2</v>
      </c>
      <c r="O4090" s="20">
        <v>4074.6</v>
      </c>
      <c r="P4090" s="27" t="str">
        <f t="shared" si="190"/>
        <v>laranja</v>
      </c>
    </row>
    <row r="4091" spans="1:16" ht="25.5">
      <c r="A4091" s="3" t="s">
        <v>4</v>
      </c>
      <c r="B4091" s="3" t="s">
        <v>3065</v>
      </c>
      <c r="C4091" s="4">
        <v>93</v>
      </c>
      <c r="D4091" s="3" t="s">
        <v>20</v>
      </c>
      <c r="E4091" s="3" t="s">
        <v>7</v>
      </c>
      <c r="F4091" s="5">
        <v>90</v>
      </c>
      <c r="G4091" s="5">
        <v>72</v>
      </c>
      <c r="H4091" s="6">
        <v>4097.1000000000004</v>
      </c>
      <c r="I4091" s="22">
        <v>4394.16</v>
      </c>
      <c r="J4091" s="24">
        <f t="shared" si="189"/>
        <v>3.0447670452300806E-5</v>
      </c>
      <c r="K4091" s="25">
        <f t="shared" si="191"/>
        <v>0.98518262704590898</v>
      </c>
      <c r="L4091" s="26" t="s">
        <v>7518</v>
      </c>
      <c r="M4091" s="28"/>
      <c r="N4091" s="28"/>
      <c r="O4091" s="20" t="s">
        <v>7530</v>
      </c>
      <c r="P4091" s="27" t="str">
        <f t="shared" si="190"/>
        <v>vermelho</v>
      </c>
    </row>
    <row r="4092" spans="1:16" ht="25.5">
      <c r="A4092" s="3" t="s">
        <v>4</v>
      </c>
      <c r="B4092" s="3" t="s">
        <v>3066</v>
      </c>
      <c r="C4092" s="4">
        <v>302</v>
      </c>
      <c r="D4092" s="3" t="s">
        <v>293</v>
      </c>
      <c r="E4092" s="3" t="s">
        <v>49</v>
      </c>
      <c r="F4092" s="5">
        <v>0</v>
      </c>
      <c r="G4092" s="5">
        <v>102</v>
      </c>
      <c r="H4092" s="6">
        <v>0</v>
      </c>
      <c r="I4092" s="22">
        <v>4386.6899999999996</v>
      </c>
      <c r="J4092" s="24">
        <f t="shared" si="189"/>
        <v>3.0395909911428671E-5</v>
      </c>
      <c r="K4092" s="25">
        <f t="shared" si="191"/>
        <v>0.98521302295582036</v>
      </c>
      <c r="L4092" s="26" t="s">
        <v>7518</v>
      </c>
      <c r="M4092" s="28"/>
      <c r="N4092" s="28"/>
      <c r="O4092" s="20" t="s">
        <v>7530</v>
      </c>
      <c r="P4092" s="27" t="str">
        <f t="shared" si="190"/>
        <v>vermelho</v>
      </c>
    </row>
    <row r="4093" spans="1:16" ht="25.5">
      <c r="A4093" s="3" t="s">
        <v>4</v>
      </c>
      <c r="B4093" s="3" t="s">
        <v>3067</v>
      </c>
      <c r="C4093" s="4">
        <v>261</v>
      </c>
      <c r="D4093" s="3" t="s">
        <v>9</v>
      </c>
      <c r="E4093" s="3" t="s">
        <v>10</v>
      </c>
      <c r="F4093" s="5">
        <v>0</v>
      </c>
      <c r="G4093" s="5">
        <v>78</v>
      </c>
      <c r="H4093" s="6">
        <v>0</v>
      </c>
      <c r="I4093" s="22">
        <v>4373.22</v>
      </c>
      <c r="J4093" s="24">
        <f t="shared" si="189"/>
        <v>3.030257463893234E-5</v>
      </c>
      <c r="K4093" s="25">
        <f t="shared" si="191"/>
        <v>0.98524332553045935</v>
      </c>
      <c r="L4093" s="26" t="s">
        <v>7518</v>
      </c>
      <c r="M4093" s="28"/>
      <c r="N4093" s="28"/>
      <c r="O4093" s="20">
        <v>3817.8</v>
      </c>
      <c r="P4093" s="27" t="str">
        <f t="shared" si="190"/>
        <v>laranja</v>
      </c>
    </row>
    <row r="4094" spans="1:16" ht="25.5">
      <c r="A4094" s="3" t="s">
        <v>6996</v>
      </c>
      <c r="B4094" s="3" t="s">
        <v>6997</v>
      </c>
      <c r="C4094" s="4">
        <v>266</v>
      </c>
      <c r="D4094" s="3" t="s">
        <v>80</v>
      </c>
      <c r="E4094" s="3" t="s">
        <v>10</v>
      </c>
      <c r="F4094" s="5">
        <v>300</v>
      </c>
      <c r="G4094" s="5">
        <v>60</v>
      </c>
      <c r="H4094" s="6">
        <v>18442.05</v>
      </c>
      <c r="I4094" s="22">
        <v>4372.1400000000003</v>
      </c>
      <c r="J4094" s="24">
        <f t="shared" si="189"/>
        <v>3.0295091187239987E-5</v>
      </c>
      <c r="K4094" s="25">
        <f t="shared" si="191"/>
        <v>0.98527362062164658</v>
      </c>
      <c r="L4094" s="26" t="s">
        <v>7518</v>
      </c>
      <c r="M4094" s="28"/>
      <c r="N4094" s="28"/>
      <c r="O4094" s="20" t="s">
        <v>7530</v>
      </c>
      <c r="P4094" s="27" t="str">
        <f t="shared" si="190"/>
        <v>vermelho</v>
      </c>
    </row>
    <row r="4095" spans="1:16" ht="25.5">
      <c r="A4095" s="3" t="s">
        <v>4</v>
      </c>
      <c r="B4095" s="3" t="s">
        <v>3068</v>
      </c>
      <c r="C4095" s="4">
        <v>267</v>
      </c>
      <c r="D4095" s="3" t="s">
        <v>125</v>
      </c>
      <c r="E4095" s="3" t="s">
        <v>16</v>
      </c>
      <c r="F4095" s="5">
        <v>132</v>
      </c>
      <c r="G4095" s="5">
        <v>72</v>
      </c>
      <c r="H4095" s="6">
        <v>7075.68</v>
      </c>
      <c r="I4095" s="22">
        <v>4367.5200000000004</v>
      </c>
      <c r="J4095" s="24">
        <f t="shared" si="189"/>
        <v>3.0263078643889352E-5</v>
      </c>
      <c r="K4095" s="25">
        <f t="shared" si="191"/>
        <v>0.98530388370029043</v>
      </c>
      <c r="L4095" s="26" t="s">
        <v>7518</v>
      </c>
      <c r="M4095" s="28"/>
      <c r="N4095" s="28"/>
      <c r="O4095" s="20">
        <v>6807.72</v>
      </c>
      <c r="P4095" s="27" t="str">
        <f t="shared" si="190"/>
        <v>verde</v>
      </c>
    </row>
    <row r="4096" spans="1:16" ht="25.5">
      <c r="A4096" s="3" t="s">
        <v>4</v>
      </c>
      <c r="B4096" s="3" t="s">
        <v>3069</v>
      </c>
      <c r="C4096" s="4">
        <v>194</v>
      </c>
      <c r="D4096" s="3" t="s">
        <v>145</v>
      </c>
      <c r="E4096" s="3" t="s">
        <v>16</v>
      </c>
      <c r="F4096" s="5">
        <v>72</v>
      </c>
      <c r="G4096" s="5">
        <v>78</v>
      </c>
      <c r="H4096" s="6">
        <v>3478.44</v>
      </c>
      <c r="I4096" s="22">
        <v>4365.78</v>
      </c>
      <c r="J4096" s="24">
        <f t="shared" si="189"/>
        <v>3.0251021971718328E-5</v>
      </c>
      <c r="K4096" s="25">
        <f t="shared" si="191"/>
        <v>0.98533413472226217</v>
      </c>
      <c r="L4096" s="26" t="s">
        <v>7518</v>
      </c>
      <c r="M4096" s="28"/>
      <c r="N4096" s="28"/>
      <c r="O4096" s="20">
        <v>2556.48</v>
      </c>
      <c r="P4096" s="27" t="str">
        <f t="shared" si="190"/>
        <v>laranja</v>
      </c>
    </row>
    <row r="4097" spans="1:16" ht="25.5">
      <c r="A4097" s="3" t="s">
        <v>4</v>
      </c>
      <c r="B4097" s="3" t="s">
        <v>3070</v>
      </c>
      <c r="C4097" s="4">
        <v>299</v>
      </c>
      <c r="D4097" s="3" t="s">
        <v>111</v>
      </c>
      <c r="E4097" s="3" t="s">
        <v>49</v>
      </c>
      <c r="F4097" s="5">
        <v>120</v>
      </c>
      <c r="G4097" s="5">
        <v>72</v>
      </c>
      <c r="H4097" s="6">
        <v>6606.72</v>
      </c>
      <c r="I4097" s="22">
        <v>4362.3360000000002</v>
      </c>
      <c r="J4097" s="24">
        <f t="shared" si="189"/>
        <v>3.0227158075766039E-5</v>
      </c>
      <c r="K4097" s="25">
        <f t="shared" si="191"/>
        <v>0.98536436188033794</v>
      </c>
      <c r="L4097" s="26" t="s">
        <v>7518</v>
      </c>
      <c r="M4097" s="28"/>
      <c r="N4097" s="28"/>
      <c r="O4097" s="20">
        <v>14991.12</v>
      </c>
      <c r="P4097" s="27" t="str">
        <f t="shared" si="190"/>
        <v>verde</v>
      </c>
    </row>
    <row r="4098" spans="1:16" ht="25.5">
      <c r="A4098" s="3" t="s">
        <v>4</v>
      </c>
      <c r="B4098" s="3" t="s">
        <v>3071</v>
      </c>
      <c r="C4098" s="4">
        <v>61</v>
      </c>
      <c r="D4098" s="3" t="s">
        <v>48</v>
      </c>
      <c r="E4098" s="3" t="s">
        <v>49</v>
      </c>
      <c r="F4098" s="5">
        <v>312</v>
      </c>
      <c r="G4098" s="5">
        <v>60</v>
      </c>
      <c r="H4098" s="6">
        <v>18223.5</v>
      </c>
      <c r="I4098" s="22">
        <v>4361.3999999999996</v>
      </c>
      <c r="J4098" s="24">
        <f t="shared" si="189"/>
        <v>3.0220672417632658E-5</v>
      </c>
      <c r="K4098" s="25">
        <f t="shared" si="191"/>
        <v>0.98539458255275558</v>
      </c>
      <c r="L4098" s="26" t="s">
        <v>7518</v>
      </c>
      <c r="M4098" s="28"/>
      <c r="N4098" s="28"/>
      <c r="O4098" s="20">
        <v>9706.56</v>
      </c>
      <c r="P4098" s="27" t="str">
        <f t="shared" si="190"/>
        <v>verde</v>
      </c>
    </row>
    <row r="4099" spans="1:16" ht="38.25">
      <c r="A4099" s="3" t="s">
        <v>4</v>
      </c>
      <c r="B4099" s="3" t="s">
        <v>3072</v>
      </c>
      <c r="C4099" s="4">
        <v>273</v>
      </c>
      <c r="D4099" s="3" t="s">
        <v>149</v>
      </c>
      <c r="E4099" s="3" t="s">
        <v>16</v>
      </c>
      <c r="F4099" s="5">
        <v>66</v>
      </c>
      <c r="G4099" s="5">
        <v>88</v>
      </c>
      <c r="H4099" s="6">
        <v>2980.14</v>
      </c>
      <c r="I4099" s="22">
        <v>4361.0929999999998</v>
      </c>
      <c r="J4099" s="24">
        <f t="shared" ref="J4099:J4162" si="192">I4099/$I$6364</f>
        <v>3.0218545177197888E-5</v>
      </c>
      <c r="K4099" s="25">
        <f t="shared" si="191"/>
        <v>0.98542480109793273</v>
      </c>
      <c r="L4099" s="26" t="s">
        <v>7518</v>
      </c>
      <c r="M4099" s="28"/>
      <c r="N4099" s="28"/>
      <c r="O4099" s="20" t="s">
        <v>7530</v>
      </c>
      <c r="P4099" s="27" t="str">
        <f t="shared" ref="P4099:P4162" si="193">IF(O4099&lt;=0,"vermelho",IFERROR(IF(O4099/I4099&lt;=0.5098,"amarelo",IF(O4099/I4099&lt;1,"laranja","verde")),"vermelho"))</f>
        <v>vermelho</v>
      </c>
    </row>
    <row r="4100" spans="1:16" ht="38.25">
      <c r="A4100" s="3" t="s">
        <v>4</v>
      </c>
      <c r="B4100" s="3" t="s">
        <v>3073</v>
      </c>
      <c r="C4100" s="4">
        <v>11</v>
      </c>
      <c r="D4100" s="3" t="s">
        <v>61</v>
      </c>
      <c r="E4100" s="3" t="s">
        <v>10</v>
      </c>
      <c r="F4100" s="5">
        <v>0</v>
      </c>
      <c r="G4100" s="5">
        <v>72</v>
      </c>
      <c r="H4100" s="6">
        <v>0</v>
      </c>
      <c r="I4100" s="22">
        <v>4359.8999999999996</v>
      </c>
      <c r="J4100" s="24">
        <f t="shared" si="192"/>
        <v>3.0210278734726608E-5</v>
      </c>
      <c r="K4100" s="25">
        <f t="shared" ref="K4100:K4163" si="194">J4100+K4099</f>
        <v>0.98545501137666747</v>
      </c>
      <c r="L4100" s="26" t="s">
        <v>7518</v>
      </c>
      <c r="M4100" s="28"/>
      <c r="N4100" s="28"/>
      <c r="O4100" s="20" t="s">
        <v>7530</v>
      </c>
      <c r="P4100" s="27" t="str">
        <f t="shared" si="193"/>
        <v>vermelho</v>
      </c>
    </row>
    <row r="4101" spans="1:16" ht="25.5">
      <c r="A4101" s="3" t="s">
        <v>4</v>
      </c>
      <c r="B4101" s="3" t="s">
        <v>3074</v>
      </c>
      <c r="C4101" s="4">
        <v>261</v>
      </c>
      <c r="D4101" s="3" t="s">
        <v>9</v>
      </c>
      <c r="E4101" s="3" t="s">
        <v>10</v>
      </c>
      <c r="F4101" s="5">
        <v>0</v>
      </c>
      <c r="G4101" s="5">
        <v>84</v>
      </c>
      <c r="H4101" s="6">
        <v>0</v>
      </c>
      <c r="I4101" s="22">
        <v>4353.24</v>
      </c>
      <c r="J4101" s="24">
        <f t="shared" si="192"/>
        <v>3.0164130782623746E-5</v>
      </c>
      <c r="K4101" s="25">
        <f t="shared" si="194"/>
        <v>0.98548517550745007</v>
      </c>
      <c r="L4101" s="26" t="s">
        <v>7518</v>
      </c>
      <c r="M4101" s="28"/>
      <c r="N4101" s="28"/>
      <c r="O4101" s="20">
        <v>2617.92</v>
      </c>
      <c r="P4101" s="27" t="str">
        <f t="shared" si="193"/>
        <v>laranja</v>
      </c>
    </row>
    <row r="4102" spans="1:16" ht="25.5">
      <c r="A4102" s="3" t="s">
        <v>4</v>
      </c>
      <c r="B4102" s="3" t="s">
        <v>3075</v>
      </c>
      <c r="C4102" s="4">
        <v>328</v>
      </c>
      <c r="D4102" s="3" t="s">
        <v>215</v>
      </c>
      <c r="E4102" s="3" t="s">
        <v>41</v>
      </c>
      <c r="F4102" s="5">
        <v>315</v>
      </c>
      <c r="G4102" s="5">
        <v>84</v>
      </c>
      <c r="H4102" s="6">
        <v>21781.98</v>
      </c>
      <c r="I4102" s="22">
        <v>4341</v>
      </c>
      <c r="J4102" s="24">
        <f t="shared" si="192"/>
        <v>3.0079318330110374E-5</v>
      </c>
      <c r="K4102" s="25">
        <f t="shared" si="194"/>
        <v>0.98551525482578017</v>
      </c>
      <c r="L4102" s="26" t="s">
        <v>7518</v>
      </c>
      <c r="M4102" s="28"/>
      <c r="N4102" s="28"/>
      <c r="O4102" s="20" t="s">
        <v>7530</v>
      </c>
      <c r="P4102" s="27" t="str">
        <f t="shared" si="193"/>
        <v>vermelho</v>
      </c>
    </row>
    <row r="4103" spans="1:16" ht="38.25">
      <c r="A4103" s="3" t="s">
        <v>4</v>
      </c>
      <c r="B4103" s="3" t="s">
        <v>3076</v>
      </c>
      <c r="C4103" s="4">
        <v>217</v>
      </c>
      <c r="D4103" s="3" t="s">
        <v>91</v>
      </c>
      <c r="E4103" s="3" t="s">
        <v>16</v>
      </c>
      <c r="F4103" s="5">
        <v>243</v>
      </c>
      <c r="G4103" s="5">
        <v>72</v>
      </c>
      <c r="H4103" s="6">
        <v>14418.54</v>
      </c>
      <c r="I4103" s="22">
        <v>4319.28</v>
      </c>
      <c r="J4103" s="24">
        <f t="shared" si="192"/>
        <v>2.9928817801630758E-5</v>
      </c>
      <c r="K4103" s="25">
        <f t="shared" si="194"/>
        <v>0.98554518364358179</v>
      </c>
      <c r="L4103" s="26" t="s">
        <v>7518</v>
      </c>
      <c r="M4103" s="28"/>
      <c r="N4103" s="28"/>
      <c r="O4103" s="20" t="s">
        <v>7530</v>
      </c>
      <c r="P4103" s="27" t="str">
        <f t="shared" si="193"/>
        <v>vermelho</v>
      </c>
    </row>
    <row r="4104" spans="1:16" ht="25.5">
      <c r="A4104" s="3" t="s">
        <v>4</v>
      </c>
      <c r="B4104" s="3" t="s">
        <v>3077</v>
      </c>
      <c r="C4104" s="4">
        <v>299</v>
      </c>
      <c r="D4104" s="3" t="s">
        <v>111</v>
      </c>
      <c r="E4104" s="3" t="s">
        <v>49</v>
      </c>
      <c r="F4104" s="5">
        <v>54</v>
      </c>
      <c r="G4104" s="5">
        <v>84</v>
      </c>
      <c r="H4104" s="6">
        <v>3387.06</v>
      </c>
      <c r="I4104" s="22">
        <v>4319.16</v>
      </c>
      <c r="J4104" s="24">
        <f t="shared" si="192"/>
        <v>2.9927986306998276E-5</v>
      </c>
      <c r="K4104" s="25">
        <f t="shared" si="194"/>
        <v>0.98557511162988876</v>
      </c>
      <c r="L4104" s="26" t="s">
        <v>7518</v>
      </c>
      <c r="M4104" s="28"/>
      <c r="N4104" s="28"/>
      <c r="O4104" s="20" t="s">
        <v>7530</v>
      </c>
      <c r="P4104" s="27" t="str">
        <f t="shared" si="193"/>
        <v>vermelho</v>
      </c>
    </row>
    <row r="4105" spans="1:16" ht="25.5">
      <c r="A4105" s="3" t="s">
        <v>4</v>
      </c>
      <c r="B4105" s="3" t="s">
        <v>3078</v>
      </c>
      <c r="C4105" s="4">
        <v>178</v>
      </c>
      <c r="D4105" s="3" t="s">
        <v>74</v>
      </c>
      <c r="E4105" s="3" t="s">
        <v>7</v>
      </c>
      <c r="F4105" s="5">
        <v>42</v>
      </c>
      <c r="G4105" s="5">
        <v>84</v>
      </c>
      <c r="H4105" s="6">
        <v>2741.58</v>
      </c>
      <c r="I4105" s="22">
        <v>4314.4799999999996</v>
      </c>
      <c r="J4105" s="24">
        <f t="shared" si="192"/>
        <v>2.9895558016331396E-5</v>
      </c>
      <c r="K4105" s="25">
        <f t="shared" si="194"/>
        <v>0.98560500718790511</v>
      </c>
      <c r="L4105" s="26" t="s">
        <v>7518</v>
      </c>
      <c r="M4105" s="28"/>
      <c r="N4105" s="28"/>
      <c r="O4105" s="20" t="s">
        <v>7530</v>
      </c>
      <c r="P4105" s="27" t="str">
        <f t="shared" si="193"/>
        <v>vermelho</v>
      </c>
    </row>
    <row r="4106" spans="1:16" ht="38.25">
      <c r="A4106" s="3" t="s">
        <v>4</v>
      </c>
      <c r="B4106" s="3" t="s">
        <v>3079</v>
      </c>
      <c r="C4106" s="4">
        <v>331</v>
      </c>
      <c r="D4106" s="3" t="s">
        <v>603</v>
      </c>
      <c r="E4106" s="3" t="s">
        <v>13</v>
      </c>
      <c r="F4106" s="5">
        <v>0</v>
      </c>
      <c r="G4106" s="5">
        <v>84</v>
      </c>
      <c r="H4106" s="6">
        <v>0</v>
      </c>
      <c r="I4106" s="22">
        <v>4309.5600000000004</v>
      </c>
      <c r="J4106" s="24">
        <f t="shared" si="192"/>
        <v>2.9861466736399557E-5</v>
      </c>
      <c r="K4106" s="25">
        <f t="shared" si="194"/>
        <v>0.98563486865464156</v>
      </c>
      <c r="L4106" s="26" t="s">
        <v>7518</v>
      </c>
      <c r="M4106" s="28"/>
      <c r="N4106" s="28"/>
      <c r="O4106" s="20" t="s">
        <v>7530</v>
      </c>
      <c r="P4106" s="27" t="str">
        <f t="shared" si="193"/>
        <v>vermelho</v>
      </c>
    </row>
    <row r="4107" spans="1:16" ht="25.5">
      <c r="A4107" s="3" t="s">
        <v>4</v>
      </c>
      <c r="B4107" s="3" t="s">
        <v>3080</v>
      </c>
      <c r="C4107" s="4">
        <v>23</v>
      </c>
      <c r="D4107" s="3" t="s">
        <v>87</v>
      </c>
      <c r="E4107" s="3" t="s">
        <v>7</v>
      </c>
      <c r="F4107" s="5">
        <v>0</v>
      </c>
      <c r="G4107" s="5">
        <v>66</v>
      </c>
      <c r="H4107" s="6">
        <v>0</v>
      </c>
      <c r="I4107" s="22">
        <v>4308.0889999999999</v>
      </c>
      <c r="J4107" s="24">
        <f t="shared" si="192"/>
        <v>2.9851273998029685E-5</v>
      </c>
      <c r="K4107" s="25">
        <f t="shared" si="194"/>
        <v>0.98566471992863958</v>
      </c>
      <c r="L4107" s="26" t="s">
        <v>7518</v>
      </c>
      <c r="M4107" s="28"/>
      <c r="N4107" s="28"/>
      <c r="O4107" s="20">
        <v>1597.92</v>
      </c>
      <c r="P4107" s="27" t="str">
        <f t="shared" si="193"/>
        <v>amarelo</v>
      </c>
    </row>
    <row r="4108" spans="1:16">
      <c r="A4108" s="3" t="s">
        <v>6998</v>
      </c>
      <c r="B4108" s="3" t="s">
        <v>6999</v>
      </c>
      <c r="C4108" s="4">
        <v>240</v>
      </c>
      <c r="D4108" s="3" t="s">
        <v>69</v>
      </c>
      <c r="E4108" s="3" t="s">
        <v>16</v>
      </c>
      <c r="F4108" s="5">
        <v>489</v>
      </c>
      <c r="G4108" s="5">
        <v>81</v>
      </c>
      <c r="H4108" s="6">
        <v>28003.05</v>
      </c>
      <c r="I4108" s="22">
        <v>4304.6099999999997</v>
      </c>
      <c r="J4108" s="24">
        <f t="shared" si="192"/>
        <v>2.9827167582809586E-5</v>
      </c>
      <c r="K4108" s="25">
        <f t="shared" si="194"/>
        <v>0.9856945470962224</v>
      </c>
      <c r="L4108" s="26" t="s">
        <v>7518</v>
      </c>
      <c r="M4108" s="28"/>
      <c r="N4108" s="28"/>
      <c r="O4108" s="20" t="s">
        <v>7530</v>
      </c>
      <c r="P4108" s="27" t="str">
        <f t="shared" si="193"/>
        <v>vermelho</v>
      </c>
    </row>
    <row r="4109" spans="1:16" ht="25.5">
      <c r="A4109" s="3" t="s">
        <v>4</v>
      </c>
      <c r="B4109" s="3" t="s">
        <v>3081</v>
      </c>
      <c r="C4109" s="4">
        <v>296</v>
      </c>
      <c r="D4109" s="3" t="s">
        <v>282</v>
      </c>
      <c r="E4109" s="3" t="s">
        <v>10</v>
      </c>
      <c r="F4109" s="5">
        <v>0</v>
      </c>
      <c r="G4109" s="5">
        <v>60</v>
      </c>
      <c r="H4109" s="6">
        <v>0</v>
      </c>
      <c r="I4109" s="22">
        <v>4304.3999999999996</v>
      </c>
      <c r="J4109" s="24">
        <f t="shared" si="192"/>
        <v>2.9825712467202738E-5</v>
      </c>
      <c r="K4109" s="25">
        <f t="shared" si="194"/>
        <v>0.98572437280868963</v>
      </c>
      <c r="L4109" s="26" t="s">
        <v>7518</v>
      </c>
      <c r="M4109" s="28"/>
      <c r="N4109" s="28"/>
      <c r="O4109" s="20" t="s">
        <v>7530</v>
      </c>
      <c r="P4109" s="27" t="str">
        <f t="shared" si="193"/>
        <v>vermelho</v>
      </c>
    </row>
    <row r="4110" spans="1:16" ht="25.5">
      <c r="A4110" s="3" t="s">
        <v>4</v>
      </c>
      <c r="B4110" s="3" t="s">
        <v>3082</v>
      </c>
      <c r="C4110" s="4">
        <v>93</v>
      </c>
      <c r="D4110" s="3" t="s">
        <v>20</v>
      </c>
      <c r="E4110" s="3" t="s">
        <v>7</v>
      </c>
      <c r="F4110" s="5">
        <v>0</v>
      </c>
      <c r="G4110" s="5">
        <v>102</v>
      </c>
      <c r="H4110" s="6">
        <v>0</v>
      </c>
      <c r="I4110" s="22">
        <v>4300.5</v>
      </c>
      <c r="J4110" s="24">
        <f t="shared" si="192"/>
        <v>2.9798688891647006E-5</v>
      </c>
      <c r="K4110" s="25">
        <f t="shared" si="194"/>
        <v>0.98575417149758127</v>
      </c>
      <c r="L4110" s="26" t="s">
        <v>7518</v>
      </c>
      <c r="M4110" s="28"/>
      <c r="N4110" s="28"/>
      <c r="O4110" s="20" t="s">
        <v>7530</v>
      </c>
      <c r="P4110" s="27" t="str">
        <f t="shared" si="193"/>
        <v>vermelho</v>
      </c>
    </row>
    <row r="4111" spans="1:16" ht="25.5">
      <c r="A4111" s="3" t="s">
        <v>4</v>
      </c>
      <c r="B4111" s="3" t="s">
        <v>3083</v>
      </c>
      <c r="C4111" s="4">
        <v>296</v>
      </c>
      <c r="D4111" s="3" t="s">
        <v>282</v>
      </c>
      <c r="E4111" s="3" t="s">
        <v>10</v>
      </c>
      <c r="F4111" s="5">
        <v>0</v>
      </c>
      <c r="G4111" s="5">
        <v>66</v>
      </c>
      <c r="H4111" s="6">
        <v>0</v>
      </c>
      <c r="I4111" s="22">
        <v>4286.16</v>
      </c>
      <c r="J4111" s="24">
        <f t="shared" si="192"/>
        <v>2.9699325283065164E-5</v>
      </c>
      <c r="K4111" s="25">
        <f t="shared" si="194"/>
        <v>0.98578387082286434</v>
      </c>
      <c r="L4111" s="26" t="s">
        <v>7518</v>
      </c>
      <c r="M4111" s="28"/>
      <c r="N4111" s="28"/>
      <c r="O4111" s="20" t="s">
        <v>7530</v>
      </c>
      <c r="P4111" s="27" t="str">
        <f t="shared" si="193"/>
        <v>vermelho</v>
      </c>
    </row>
    <row r="4112" spans="1:16" ht="38.25">
      <c r="A4112" s="3" t="s">
        <v>4</v>
      </c>
      <c r="B4112" s="3" t="s">
        <v>3084</v>
      </c>
      <c r="C4112" s="4">
        <v>371</v>
      </c>
      <c r="D4112" s="3" t="s">
        <v>82</v>
      </c>
      <c r="E4112" s="3" t="s">
        <v>49</v>
      </c>
      <c r="F4112" s="5">
        <v>0</v>
      </c>
      <c r="G4112" s="5">
        <v>96</v>
      </c>
      <c r="H4112" s="6">
        <v>0</v>
      </c>
      <c r="I4112" s="22">
        <v>4282.5600000000004</v>
      </c>
      <c r="J4112" s="24">
        <f t="shared" si="192"/>
        <v>2.9674380444090647E-5</v>
      </c>
      <c r="K4112" s="25">
        <f t="shared" si="194"/>
        <v>0.98581354520330844</v>
      </c>
      <c r="L4112" s="26" t="s">
        <v>7518</v>
      </c>
      <c r="M4112" s="28"/>
      <c r="N4112" s="28"/>
      <c r="O4112" s="20" t="s">
        <v>7530</v>
      </c>
      <c r="P4112" s="27" t="str">
        <f t="shared" si="193"/>
        <v>vermelho</v>
      </c>
    </row>
    <row r="4113" spans="1:16" ht="38.25">
      <c r="A4113" s="3" t="s">
        <v>4</v>
      </c>
      <c r="B4113" s="3" t="s">
        <v>3085</v>
      </c>
      <c r="C4113" s="4">
        <v>11</v>
      </c>
      <c r="D4113" s="3" t="s">
        <v>61</v>
      </c>
      <c r="E4113" s="3" t="s">
        <v>10</v>
      </c>
      <c r="F4113" s="5">
        <v>0</v>
      </c>
      <c r="G4113" s="5">
        <v>72</v>
      </c>
      <c r="H4113" s="6">
        <v>0</v>
      </c>
      <c r="I4113" s="22">
        <v>4280.2020000000002</v>
      </c>
      <c r="J4113" s="24">
        <f t="shared" si="192"/>
        <v>2.9658041574562332E-5</v>
      </c>
      <c r="K4113" s="25">
        <f t="shared" si="194"/>
        <v>0.98584320324488295</v>
      </c>
      <c r="L4113" s="26" t="s">
        <v>7518</v>
      </c>
      <c r="M4113" s="28"/>
      <c r="N4113" s="28"/>
      <c r="O4113" s="20" t="s">
        <v>7530</v>
      </c>
      <c r="P4113" s="27" t="str">
        <f t="shared" si="193"/>
        <v>vermelho</v>
      </c>
    </row>
    <row r="4114" spans="1:16" ht="25.5">
      <c r="A4114" s="3" t="s">
        <v>4</v>
      </c>
      <c r="B4114" s="3" t="s">
        <v>3086</v>
      </c>
      <c r="C4114" s="4">
        <v>264</v>
      </c>
      <c r="D4114" s="3" t="s">
        <v>40</v>
      </c>
      <c r="E4114" s="3" t="s">
        <v>7</v>
      </c>
      <c r="F4114" s="5">
        <v>0</v>
      </c>
      <c r="G4114" s="5">
        <v>96</v>
      </c>
      <c r="H4114" s="6">
        <v>0</v>
      </c>
      <c r="I4114" s="22">
        <v>4273.92</v>
      </c>
      <c r="J4114" s="24">
        <f t="shared" si="192"/>
        <v>2.9614512830551792E-5</v>
      </c>
      <c r="K4114" s="25">
        <f t="shared" si="194"/>
        <v>0.98587281775771352</v>
      </c>
      <c r="L4114" s="26" t="s">
        <v>7518</v>
      </c>
      <c r="M4114" s="28"/>
      <c r="N4114" s="28"/>
      <c r="O4114" s="20" t="s">
        <v>7530</v>
      </c>
      <c r="P4114" s="27" t="str">
        <f t="shared" si="193"/>
        <v>vermelho</v>
      </c>
    </row>
    <row r="4115" spans="1:16" ht="25.5">
      <c r="A4115" s="3" t="s">
        <v>4</v>
      </c>
      <c r="B4115" s="3" t="s">
        <v>3087</v>
      </c>
      <c r="C4115" s="4">
        <v>187</v>
      </c>
      <c r="D4115" s="3" t="s">
        <v>96</v>
      </c>
      <c r="E4115" s="3" t="s">
        <v>7</v>
      </c>
      <c r="F4115" s="5">
        <v>327</v>
      </c>
      <c r="G4115" s="5">
        <v>72</v>
      </c>
      <c r="H4115" s="6">
        <v>19683.143</v>
      </c>
      <c r="I4115" s="22">
        <v>4266.6000000000004</v>
      </c>
      <c r="J4115" s="24">
        <f t="shared" si="192"/>
        <v>2.9563791657970269E-5</v>
      </c>
      <c r="K4115" s="25">
        <f t="shared" si="194"/>
        <v>0.98590238154937149</v>
      </c>
      <c r="L4115" s="26" t="s">
        <v>7518</v>
      </c>
      <c r="M4115" s="28"/>
      <c r="N4115" s="28"/>
      <c r="O4115" s="20" t="s">
        <v>7530</v>
      </c>
      <c r="P4115" s="27" t="str">
        <f t="shared" si="193"/>
        <v>vermelho</v>
      </c>
    </row>
    <row r="4116" spans="1:16" ht="51">
      <c r="A4116" s="3" t="s">
        <v>4</v>
      </c>
      <c r="B4116" s="3" t="s">
        <v>3088</v>
      </c>
      <c r="C4116" s="4">
        <v>292</v>
      </c>
      <c r="D4116" s="3" t="s">
        <v>57</v>
      </c>
      <c r="E4116" s="3" t="s">
        <v>49</v>
      </c>
      <c r="F4116" s="5">
        <v>54</v>
      </c>
      <c r="G4116" s="5">
        <v>72</v>
      </c>
      <c r="H4116" s="6">
        <v>3545.46</v>
      </c>
      <c r="I4116" s="22">
        <v>4266.4799999999996</v>
      </c>
      <c r="J4116" s="24">
        <f t="shared" si="192"/>
        <v>2.9562960163337777E-5</v>
      </c>
      <c r="K4116" s="25">
        <f t="shared" si="194"/>
        <v>0.98593194450953481</v>
      </c>
      <c r="L4116" s="26" t="s">
        <v>7518</v>
      </c>
      <c r="M4116" s="28"/>
      <c r="N4116" s="28"/>
      <c r="O4116" s="20" t="s">
        <v>7530</v>
      </c>
      <c r="P4116" s="27" t="str">
        <f t="shared" si="193"/>
        <v>vermelho</v>
      </c>
    </row>
    <row r="4117" spans="1:16" ht="38.25">
      <c r="A4117" s="3" t="s">
        <v>7000</v>
      </c>
      <c r="B4117" s="3" t="s">
        <v>7001</v>
      </c>
      <c r="C4117" s="4">
        <v>292</v>
      </c>
      <c r="D4117" s="3" t="s">
        <v>57</v>
      </c>
      <c r="E4117" s="3" t="s">
        <v>49</v>
      </c>
      <c r="F4117" s="5">
        <v>240</v>
      </c>
      <c r="G4117" s="5">
        <v>123</v>
      </c>
      <c r="H4117" s="6">
        <v>10623</v>
      </c>
      <c r="I4117" s="22">
        <v>4243.0200000000004</v>
      </c>
      <c r="J4117" s="24">
        <f t="shared" si="192"/>
        <v>2.9400402962687154E-5</v>
      </c>
      <c r="K4117" s="25">
        <f t="shared" si="194"/>
        <v>0.98596134491249754</v>
      </c>
      <c r="L4117" s="26" t="s">
        <v>7518</v>
      </c>
      <c r="M4117" s="28"/>
      <c r="N4117" s="28"/>
      <c r="O4117" s="20" t="s">
        <v>7530</v>
      </c>
      <c r="P4117" s="27" t="str">
        <f t="shared" si="193"/>
        <v>vermelho</v>
      </c>
    </row>
    <row r="4118" spans="1:16">
      <c r="A4118" s="3" t="s">
        <v>7002</v>
      </c>
      <c r="B4118" s="3" t="s">
        <v>7003</v>
      </c>
      <c r="C4118" s="4">
        <v>217</v>
      </c>
      <c r="D4118" s="3" t="s">
        <v>91</v>
      </c>
      <c r="E4118" s="3" t="s">
        <v>16</v>
      </c>
      <c r="F4118" s="5">
        <v>420</v>
      </c>
      <c r="G4118" s="5">
        <v>72</v>
      </c>
      <c r="H4118" s="6">
        <v>24026.31</v>
      </c>
      <c r="I4118" s="22">
        <v>4237.92</v>
      </c>
      <c r="J4118" s="24">
        <f t="shared" si="192"/>
        <v>2.9365064440806577E-5</v>
      </c>
      <c r="K4118" s="25">
        <f t="shared" si="194"/>
        <v>0.98599070997693838</v>
      </c>
      <c r="L4118" s="26" t="s">
        <v>7518</v>
      </c>
      <c r="M4118" s="28"/>
      <c r="N4118" s="28"/>
      <c r="O4118" s="20" t="s">
        <v>7530</v>
      </c>
      <c r="P4118" s="27" t="str">
        <f t="shared" si="193"/>
        <v>vermelho</v>
      </c>
    </row>
    <row r="4119" spans="1:16" ht="25.5">
      <c r="A4119" s="3" t="s">
        <v>4</v>
      </c>
      <c r="B4119" s="3" t="s">
        <v>3089</v>
      </c>
      <c r="C4119" s="4">
        <v>194</v>
      </c>
      <c r="D4119" s="3" t="s">
        <v>145</v>
      </c>
      <c r="E4119" s="3" t="s">
        <v>16</v>
      </c>
      <c r="F4119" s="5">
        <v>0</v>
      </c>
      <c r="G4119" s="5">
        <v>66</v>
      </c>
      <c r="H4119" s="6">
        <v>0</v>
      </c>
      <c r="I4119" s="22">
        <v>4234.5600000000004</v>
      </c>
      <c r="J4119" s="24">
        <f t="shared" si="192"/>
        <v>2.9341782591097028E-5</v>
      </c>
      <c r="K4119" s="25">
        <f t="shared" si="194"/>
        <v>0.98602005175952945</v>
      </c>
      <c r="L4119" s="26" t="s">
        <v>7518</v>
      </c>
      <c r="M4119" s="28"/>
      <c r="N4119" s="28"/>
      <c r="O4119" s="20" t="s">
        <v>7530</v>
      </c>
      <c r="P4119" s="27" t="str">
        <f t="shared" si="193"/>
        <v>vermelho</v>
      </c>
    </row>
    <row r="4120" spans="1:16">
      <c r="A4120" s="3" t="s">
        <v>4</v>
      </c>
      <c r="B4120" s="3" t="s">
        <v>3090</v>
      </c>
      <c r="C4120" s="4">
        <v>315</v>
      </c>
      <c r="D4120" s="3" t="s">
        <v>63</v>
      </c>
      <c r="E4120" s="3" t="s">
        <v>7</v>
      </c>
      <c r="F4120" s="5">
        <v>0</v>
      </c>
      <c r="G4120" s="5">
        <v>66</v>
      </c>
      <c r="H4120" s="6">
        <v>0</v>
      </c>
      <c r="I4120" s="22">
        <v>4232.9399999999996</v>
      </c>
      <c r="J4120" s="24">
        <f t="shared" si="192"/>
        <v>2.9330557413558486E-5</v>
      </c>
      <c r="K4120" s="25">
        <f t="shared" si="194"/>
        <v>0.98604938231694306</v>
      </c>
      <c r="L4120" s="26" t="s">
        <v>7518</v>
      </c>
      <c r="M4120" s="28"/>
      <c r="N4120" s="28"/>
      <c r="O4120" s="20" t="s">
        <v>7530</v>
      </c>
      <c r="P4120" s="27" t="str">
        <f t="shared" si="193"/>
        <v>vermelho</v>
      </c>
    </row>
    <row r="4121" spans="1:16">
      <c r="A4121" s="3" t="s">
        <v>4</v>
      </c>
      <c r="B4121" s="3" t="s">
        <v>3091</v>
      </c>
      <c r="C4121" s="4">
        <v>315</v>
      </c>
      <c r="D4121" s="3" t="s">
        <v>63</v>
      </c>
      <c r="E4121" s="3" t="s">
        <v>7</v>
      </c>
      <c r="F4121" s="5">
        <v>0</v>
      </c>
      <c r="G4121" s="5">
        <v>66</v>
      </c>
      <c r="H4121" s="6">
        <v>0</v>
      </c>
      <c r="I4121" s="22">
        <v>4232.9399999999996</v>
      </c>
      <c r="J4121" s="24">
        <f t="shared" si="192"/>
        <v>2.9330557413558486E-5</v>
      </c>
      <c r="K4121" s="25">
        <f t="shared" si="194"/>
        <v>0.98607871287435667</v>
      </c>
      <c r="L4121" s="26" t="s">
        <v>7518</v>
      </c>
      <c r="M4121" s="28"/>
      <c r="N4121" s="28"/>
      <c r="O4121" s="20" t="s">
        <v>7530</v>
      </c>
      <c r="P4121" s="27" t="str">
        <f t="shared" si="193"/>
        <v>vermelho</v>
      </c>
    </row>
    <row r="4122" spans="1:16" ht="38.25">
      <c r="A4122" s="3" t="s">
        <v>4</v>
      </c>
      <c r="B4122" s="3" t="s">
        <v>3092</v>
      </c>
      <c r="C4122" s="4">
        <v>11</v>
      </c>
      <c r="D4122" s="3" t="s">
        <v>61</v>
      </c>
      <c r="E4122" s="3" t="s">
        <v>10</v>
      </c>
      <c r="F4122" s="5">
        <v>288</v>
      </c>
      <c r="G4122" s="5">
        <v>96</v>
      </c>
      <c r="H4122" s="6">
        <v>14171.4</v>
      </c>
      <c r="I4122" s="22">
        <v>4218.72</v>
      </c>
      <c r="J4122" s="24">
        <f t="shared" si="192"/>
        <v>2.9232025299609132E-5</v>
      </c>
      <c r="K4122" s="25">
        <f t="shared" si="194"/>
        <v>0.98610794489965625</v>
      </c>
      <c r="L4122" s="26" t="s">
        <v>7518</v>
      </c>
      <c r="M4122" s="28"/>
      <c r="N4122" s="28"/>
      <c r="O4122" s="20" t="s">
        <v>7530</v>
      </c>
      <c r="P4122" s="27" t="str">
        <f t="shared" si="193"/>
        <v>vermelho</v>
      </c>
    </row>
    <row r="4123" spans="1:16" ht="25.5">
      <c r="A4123" s="3" t="s">
        <v>4</v>
      </c>
      <c r="B4123" s="3" t="s">
        <v>3093</v>
      </c>
      <c r="C4123" s="4">
        <v>299</v>
      </c>
      <c r="D4123" s="3" t="s">
        <v>111</v>
      </c>
      <c r="E4123" s="3" t="s">
        <v>49</v>
      </c>
      <c r="F4123" s="5">
        <v>0</v>
      </c>
      <c r="G4123" s="5">
        <v>99</v>
      </c>
      <c r="H4123" s="6">
        <v>0</v>
      </c>
      <c r="I4123" s="22">
        <v>4214.88</v>
      </c>
      <c r="J4123" s="24">
        <f t="shared" si="192"/>
        <v>2.920541747136964E-5</v>
      </c>
      <c r="K4123" s="25">
        <f t="shared" si="194"/>
        <v>0.98613715031712768</v>
      </c>
      <c r="L4123" s="26" t="s">
        <v>7518</v>
      </c>
      <c r="M4123" s="28"/>
      <c r="N4123" s="28"/>
      <c r="O4123" s="20" t="s">
        <v>7530</v>
      </c>
      <c r="P4123" s="27" t="str">
        <f t="shared" si="193"/>
        <v>vermelho</v>
      </c>
    </row>
    <row r="4124" spans="1:16" ht="25.5">
      <c r="A4124" s="3" t="s">
        <v>4</v>
      </c>
      <c r="B4124" s="3" t="s">
        <v>3094</v>
      </c>
      <c r="C4124" s="4">
        <v>315</v>
      </c>
      <c r="D4124" s="3" t="s">
        <v>63</v>
      </c>
      <c r="E4124" s="3" t="s">
        <v>7</v>
      </c>
      <c r="F4124" s="5">
        <v>0</v>
      </c>
      <c r="G4124" s="5">
        <v>72</v>
      </c>
      <c r="H4124" s="6">
        <v>0</v>
      </c>
      <c r="I4124" s="22">
        <v>4211.28</v>
      </c>
      <c r="J4124" s="24">
        <f t="shared" si="192"/>
        <v>2.9180472632395117E-5</v>
      </c>
      <c r="K4124" s="25">
        <f t="shared" si="194"/>
        <v>0.98616633078976002</v>
      </c>
      <c r="L4124" s="26" t="s">
        <v>7518</v>
      </c>
      <c r="M4124" s="28"/>
      <c r="N4124" s="28"/>
      <c r="O4124" s="20" t="s">
        <v>7530</v>
      </c>
      <c r="P4124" s="27" t="str">
        <f t="shared" si="193"/>
        <v>vermelho</v>
      </c>
    </row>
    <row r="4125" spans="1:16" ht="25.5">
      <c r="A4125" s="3" t="s">
        <v>4</v>
      </c>
      <c r="B4125" s="3" t="s">
        <v>3095</v>
      </c>
      <c r="C4125" s="4">
        <v>187</v>
      </c>
      <c r="D4125" s="3" t="s">
        <v>96</v>
      </c>
      <c r="E4125" s="3" t="s">
        <v>7</v>
      </c>
      <c r="F4125" s="5">
        <v>183</v>
      </c>
      <c r="G4125" s="5">
        <v>96</v>
      </c>
      <c r="H4125" s="6">
        <v>10677.33</v>
      </c>
      <c r="I4125" s="22">
        <v>4207.92</v>
      </c>
      <c r="J4125" s="24">
        <f t="shared" si="192"/>
        <v>2.9157190782685567E-5</v>
      </c>
      <c r="K4125" s="25">
        <f t="shared" si="194"/>
        <v>0.98619548798054268</v>
      </c>
      <c r="L4125" s="26" t="s">
        <v>7518</v>
      </c>
      <c r="M4125" s="28"/>
      <c r="N4125" s="28"/>
      <c r="O4125" s="20">
        <v>2669.64</v>
      </c>
      <c r="P4125" s="27" t="str">
        <f t="shared" si="193"/>
        <v>laranja</v>
      </c>
    </row>
    <row r="4126" spans="1:16" ht="25.5">
      <c r="A4126" s="3" t="s">
        <v>4</v>
      </c>
      <c r="B4126" s="3" t="s">
        <v>3096</v>
      </c>
      <c r="C4126" s="4">
        <v>327</v>
      </c>
      <c r="D4126" s="3" t="s">
        <v>100</v>
      </c>
      <c r="E4126" s="3" t="s">
        <v>7</v>
      </c>
      <c r="F4126" s="5">
        <v>60</v>
      </c>
      <c r="G4126" s="5">
        <v>66</v>
      </c>
      <c r="H4126" s="6">
        <v>2856.7620000000002</v>
      </c>
      <c r="I4126" s="22">
        <v>4205.34</v>
      </c>
      <c r="J4126" s="24">
        <f t="shared" si="192"/>
        <v>2.9139313648087161E-5</v>
      </c>
      <c r="K4126" s="25">
        <f t="shared" si="194"/>
        <v>0.9862246272941908</v>
      </c>
      <c r="L4126" s="26" t="s">
        <v>7518</v>
      </c>
      <c r="M4126" s="28"/>
      <c r="N4126" s="28"/>
      <c r="O4126" s="20" t="s">
        <v>7530</v>
      </c>
      <c r="P4126" s="27" t="str">
        <f t="shared" si="193"/>
        <v>vermelho</v>
      </c>
    </row>
    <row r="4127" spans="1:16" ht="25.5">
      <c r="A4127" s="3" t="s">
        <v>4</v>
      </c>
      <c r="B4127" s="3" t="s">
        <v>3097</v>
      </c>
      <c r="C4127" s="4">
        <v>197</v>
      </c>
      <c r="D4127" s="3" t="s">
        <v>66</v>
      </c>
      <c r="E4127" s="3" t="s">
        <v>41</v>
      </c>
      <c r="F4127" s="5">
        <v>93</v>
      </c>
      <c r="G4127" s="5">
        <v>75</v>
      </c>
      <c r="H4127" s="6">
        <v>5691.99</v>
      </c>
      <c r="I4127" s="22">
        <v>4203.6899999999996</v>
      </c>
      <c r="J4127" s="24">
        <f t="shared" si="192"/>
        <v>2.9127880596890502E-5</v>
      </c>
      <c r="K4127" s="25">
        <f t="shared" si="194"/>
        <v>0.98625375517478764</v>
      </c>
      <c r="L4127" s="26" t="s">
        <v>7518</v>
      </c>
      <c r="M4127" s="28"/>
      <c r="N4127" s="28"/>
      <c r="O4127" s="20" t="s">
        <v>7530</v>
      </c>
      <c r="P4127" s="27" t="str">
        <f t="shared" si="193"/>
        <v>vermelho</v>
      </c>
    </row>
    <row r="4128" spans="1:16" ht="25.5">
      <c r="A4128" s="3" t="s">
        <v>4</v>
      </c>
      <c r="B4128" s="3" t="s">
        <v>3098</v>
      </c>
      <c r="C4128" s="4">
        <v>273</v>
      </c>
      <c r="D4128" s="3" t="s">
        <v>149</v>
      </c>
      <c r="E4128" s="3" t="s">
        <v>16</v>
      </c>
      <c r="F4128" s="5">
        <v>120</v>
      </c>
      <c r="G4128" s="5">
        <v>66</v>
      </c>
      <c r="H4128" s="6">
        <v>6738</v>
      </c>
      <c r="I4128" s="22">
        <v>4198.92</v>
      </c>
      <c r="J4128" s="24">
        <f t="shared" si="192"/>
        <v>2.9094828685249263E-5</v>
      </c>
      <c r="K4128" s="25">
        <f t="shared" si="194"/>
        <v>0.98628285000347293</v>
      </c>
      <c r="L4128" s="26" t="s">
        <v>7518</v>
      </c>
      <c r="M4128" s="28"/>
      <c r="N4128" s="28"/>
      <c r="O4128" s="20" t="s">
        <v>7530</v>
      </c>
      <c r="P4128" s="27" t="str">
        <f t="shared" si="193"/>
        <v>vermelho</v>
      </c>
    </row>
    <row r="4129" spans="1:16" ht="25.5">
      <c r="A4129" s="3" t="s">
        <v>4</v>
      </c>
      <c r="B4129" s="3" t="s">
        <v>3099</v>
      </c>
      <c r="C4129" s="4">
        <v>299</v>
      </c>
      <c r="D4129" s="3" t="s">
        <v>111</v>
      </c>
      <c r="E4129" s="3" t="s">
        <v>49</v>
      </c>
      <c r="F4129" s="5">
        <v>90</v>
      </c>
      <c r="G4129" s="5">
        <v>78</v>
      </c>
      <c r="H4129" s="6">
        <v>5278.86</v>
      </c>
      <c r="I4129" s="22">
        <v>4198.17</v>
      </c>
      <c r="J4129" s="24">
        <f t="shared" si="192"/>
        <v>2.9089631843796239E-5</v>
      </c>
      <c r="K4129" s="25">
        <f t="shared" si="194"/>
        <v>0.98631193963531671</v>
      </c>
      <c r="L4129" s="26" t="s">
        <v>7518</v>
      </c>
      <c r="M4129" s="28"/>
      <c r="N4129" s="28"/>
      <c r="O4129" s="20">
        <v>2006.22</v>
      </c>
      <c r="P4129" s="27" t="str">
        <f t="shared" si="193"/>
        <v>amarelo</v>
      </c>
    </row>
    <row r="4130" spans="1:16" ht="25.5">
      <c r="A4130" s="3" t="s">
        <v>4</v>
      </c>
      <c r="B4130" s="3" t="s">
        <v>3100</v>
      </c>
      <c r="C4130" s="4">
        <v>296</v>
      </c>
      <c r="D4130" s="3" t="s">
        <v>282</v>
      </c>
      <c r="E4130" s="3" t="s">
        <v>10</v>
      </c>
      <c r="F4130" s="5">
        <v>0</v>
      </c>
      <c r="G4130" s="5">
        <v>87</v>
      </c>
      <c r="H4130" s="6">
        <v>0</v>
      </c>
      <c r="I4130" s="22">
        <v>4194.5110000000004</v>
      </c>
      <c r="J4130" s="24">
        <f t="shared" si="192"/>
        <v>2.9064278186627415E-5</v>
      </c>
      <c r="K4130" s="25">
        <f t="shared" si="194"/>
        <v>0.98634100391350332</v>
      </c>
      <c r="L4130" s="26" t="s">
        <v>7518</v>
      </c>
      <c r="M4130" s="28"/>
      <c r="N4130" s="28"/>
      <c r="O4130" s="20" t="s">
        <v>7530</v>
      </c>
      <c r="P4130" s="27" t="str">
        <f t="shared" si="193"/>
        <v>vermelho</v>
      </c>
    </row>
    <row r="4131" spans="1:16" ht="25.5">
      <c r="A4131" s="3" t="s">
        <v>4</v>
      </c>
      <c r="B4131" s="3" t="s">
        <v>3101</v>
      </c>
      <c r="C4131" s="4">
        <v>194</v>
      </c>
      <c r="D4131" s="3" t="s">
        <v>145</v>
      </c>
      <c r="E4131" s="3" t="s">
        <v>16</v>
      </c>
      <c r="F4131" s="5">
        <v>276</v>
      </c>
      <c r="G4131" s="5">
        <v>66</v>
      </c>
      <c r="H4131" s="6">
        <v>14493.24</v>
      </c>
      <c r="I4131" s="22">
        <v>4191.54</v>
      </c>
      <c r="J4131" s="24">
        <f t="shared" si="192"/>
        <v>2.9043691765351493E-5</v>
      </c>
      <c r="K4131" s="25">
        <f t="shared" si="194"/>
        <v>0.9863700476052687</v>
      </c>
      <c r="L4131" s="26" t="s">
        <v>7518</v>
      </c>
      <c r="M4131" s="28"/>
      <c r="N4131" s="28"/>
      <c r="O4131" s="20">
        <v>19350.330000000002</v>
      </c>
      <c r="P4131" s="27" t="str">
        <f t="shared" si="193"/>
        <v>verde</v>
      </c>
    </row>
    <row r="4132" spans="1:16" ht="25.5">
      <c r="A4132" s="3" t="s">
        <v>4</v>
      </c>
      <c r="B4132" s="3" t="s">
        <v>3102</v>
      </c>
      <c r="C4132" s="4">
        <v>218</v>
      </c>
      <c r="D4132" s="3" t="s">
        <v>104</v>
      </c>
      <c r="E4132" s="3" t="s">
        <v>16</v>
      </c>
      <c r="F4132" s="5">
        <v>0</v>
      </c>
      <c r="G4132" s="5">
        <v>84</v>
      </c>
      <c r="H4132" s="6">
        <v>0</v>
      </c>
      <c r="I4132" s="22">
        <v>4187.16</v>
      </c>
      <c r="J4132" s="24">
        <f t="shared" si="192"/>
        <v>2.9013342211265826E-5</v>
      </c>
      <c r="K4132" s="25">
        <f t="shared" si="194"/>
        <v>0.98639906094747998</v>
      </c>
      <c r="L4132" s="26" t="s">
        <v>7518</v>
      </c>
      <c r="M4132" s="28"/>
      <c r="N4132" s="28"/>
      <c r="O4132" s="20" t="s">
        <v>7530</v>
      </c>
      <c r="P4132" s="27" t="str">
        <f t="shared" si="193"/>
        <v>vermelho</v>
      </c>
    </row>
    <row r="4133" spans="1:16" ht="25.5">
      <c r="A4133" s="3" t="s">
        <v>4</v>
      </c>
      <c r="B4133" s="3" t="s">
        <v>3103</v>
      </c>
      <c r="C4133" s="4">
        <v>93</v>
      </c>
      <c r="D4133" s="3" t="s">
        <v>20</v>
      </c>
      <c r="E4133" s="3" t="s">
        <v>7</v>
      </c>
      <c r="F4133" s="5">
        <v>144</v>
      </c>
      <c r="G4133" s="5">
        <v>66</v>
      </c>
      <c r="H4133" s="6">
        <v>7363.2749999999996</v>
      </c>
      <c r="I4133" s="22">
        <v>4184.34</v>
      </c>
      <c r="J4133" s="24">
        <f t="shared" si="192"/>
        <v>2.8993802087402452E-5</v>
      </c>
      <c r="K4133" s="25">
        <f t="shared" si="194"/>
        <v>0.98642805474956741</v>
      </c>
      <c r="L4133" s="26" t="s">
        <v>7518</v>
      </c>
      <c r="M4133" s="28"/>
      <c r="N4133" s="28"/>
      <c r="O4133" s="20" t="s">
        <v>7530</v>
      </c>
      <c r="P4133" s="27" t="str">
        <f t="shared" si="193"/>
        <v>vermelho</v>
      </c>
    </row>
    <row r="4134" spans="1:16">
      <c r="A4134" s="3" t="s">
        <v>4</v>
      </c>
      <c r="B4134" s="3" t="s">
        <v>3104</v>
      </c>
      <c r="C4134" s="4">
        <v>232</v>
      </c>
      <c r="D4134" s="3" t="s">
        <v>174</v>
      </c>
      <c r="E4134" s="3" t="s">
        <v>16</v>
      </c>
      <c r="F4134" s="5">
        <v>0</v>
      </c>
      <c r="G4134" s="5">
        <v>84</v>
      </c>
      <c r="H4134" s="6">
        <v>0</v>
      </c>
      <c r="I4134" s="22">
        <v>4184.04</v>
      </c>
      <c r="J4134" s="24">
        <f t="shared" si="192"/>
        <v>2.8991723350821242E-5</v>
      </c>
      <c r="K4134" s="25">
        <f t="shared" si="194"/>
        <v>0.98645704647291821</v>
      </c>
      <c r="L4134" s="26" t="s">
        <v>7518</v>
      </c>
      <c r="M4134" s="28"/>
      <c r="N4134" s="28"/>
      <c r="O4134" s="20" t="s">
        <v>7530</v>
      </c>
      <c r="P4134" s="27" t="str">
        <f t="shared" si="193"/>
        <v>vermelho</v>
      </c>
    </row>
    <row r="4135" spans="1:16">
      <c r="A4135" s="3" t="s">
        <v>4</v>
      </c>
      <c r="B4135" s="3" t="s">
        <v>3105</v>
      </c>
      <c r="C4135" s="4">
        <v>232</v>
      </c>
      <c r="D4135" s="3" t="s">
        <v>174</v>
      </c>
      <c r="E4135" s="3" t="s">
        <v>16</v>
      </c>
      <c r="F4135" s="5">
        <v>492</v>
      </c>
      <c r="G4135" s="5">
        <v>84</v>
      </c>
      <c r="H4135" s="6">
        <v>25137.72</v>
      </c>
      <c r="I4135" s="22">
        <v>4184.04</v>
      </c>
      <c r="J4135" s="24">
        <f t="shared" si="192"/>
        <v>2.8991723350821242E-5</v>
      </c>
      <c r="K4135" s="25">
        <f t="shared" si="194"/>
        <v>0.98648603819626901</v>
      </c>
      <c r="L4135" s="26" t="s">
        <v>7518</v>
      </c>
      <c r="M4135" s="28"/>
      <c r="N4135" s="28"/>
      <c r="O4135" s="20">
        <v>23659.8</v>
      </c>
      <c r="P4135" s="27" t="str">
        <f t="shared" si="193"/>
        <v>verde</v>
      </c>
    </row>
    <row r="4136" spans="1:16" ht="25.5">
      <c r="A4136" s="3" t="s">
        <v>4</v>
      </c>
      <c r="B4136" s="3" t="s">
        <v>3106</v>
      </c>
      <c r="C4136" s="4">
        <v>61</v>
      </c>
      <c r="D4136" s="3" t="s">
        <v>48</v>
      </c>
      <c r="E4136" s="3" t="s">
        <v>49</v>
      </c>
      <c r="F4136" s="5">
        <v>180</v>
      </c>
      <c r="G4136" s="5">
        <v>69</v>
      </c>
      <c r="H4136" s="6">
        <v>10690.2</v>
      </c>
      <c r="I4136" s="22">
        <v>4182.63</v>
      </c>
      <c r="J4136" s="24">
        <f t="shared" si="192"/>
        <v>2.8981953288889554E-5</v>
      </c>
      <c r="K4136" s="25">
        <f t="shared" si="194"/>
        <v>0.98651502014955794</v>
      </c>
      <c r="L4136" s="26" t="s">
        <v>7518</v>
      </c>
      <c r="M4136" s="28"/>
      <c r="N4136" s="28"/>
      <c r="O4136" s="20">
        <v>10086.75</v>
      </c>
      <c r="P4136" s="27" t="str">
        <f t="shared" si="193"/>
        <v>verde</v>
      </c>
    </row>
    <row r="4137" spans="1:16">
      <c r="A4137" s="3" t="s">
        <v>4</v>
      </c>
      <c r="B4137" s="3" t="s">
        <v>3107</v>
      </c>
      <c r="C4137" s="4">
        <v>264</v>
      </c>
      <c r="D4137" s="3" t="s">
        <v>40</v>
      </c>
      <c r="E4137" s="3" t="s">
        <v>41</v>
      </c>
      <c r="F4137" s="5">
        <v>0</v>
      </c>
      <c r="G4137" s="5">
        <v>132</v>
      </c>
      <c r="H4137" s="6">
        <v>0</v>
      </c>
      <c r="I4137" s="22">
        <v>4181.16</v>
      </c>
      <c r="J4137" s="24">
        <f t="shared" si="192"/>
        <v>2.8971767479641625E-5</v>
      </c>
      <c r="K4137" s="25">
        <f t="shared" si="194"/>
        <v>0.98654399191703757</v>
      </c>
      <c r="L4137" s="26" t="s">
        <v>7518</v>
      </c>
      <c r="M4137" s="28"/>
      <c r="N4137" s="28"/>
      <c r="O4137" s="20" t="s">
        <v>7530</v>
      </c>
      <c r="P4137" s="27" t="str">
        <f t="shared" si="193"/>
        <v>vermelho</v>
      </c>
    </row>
    <row r="4138" spans="1:16" ht="25.5">
      <c r="A4138" s="3" t="s">
        <v>4</v>
      </c>
      <c r="B4138" s="3" t="s">
        <v>3108</v>
      </c>
      <c r="C4138" s="4">
        <v>321</v>
      </c>
      <c r="D4138" s="3" t="s">
        <v>136</v>
      </c>
      <c r="E4138" s="3" t="s">
        <v>41</v>
      </c>
      <c r="F4138" s="5">
        <v>0</v>
      </c>
      <c r="G4138" s="5">
        <v>54</v>
      </c>
      <c r="H4138" s="6">
        <v>0</v>
      </c>
      <c r="I4138" s="22">
        <v>4174.8</v>
      </c>
      <c r="J4138" s="24">
        <f t="shared" si="192"/>
        <v>2.8927698264119969E-5</v>
      </c>
      <c r="K4138" s="25">
        <f t="shared" si="194"/>
        <v>0.98657291961530169</v>
      </c>
      <c r="L4138" s="26" t="s">
        <v>7518</v>
      </c>
      <c r="M4138" s="28"/>
      <c r="N4138" s="28"/>
      <c r="O4138" s="20" t="s">
        <v>7530</v>
      </c>
      <c r="P4138" s="27" t="str">
        <f t="shared" si="193"/>
        <v>vermelho</v>
      </c>
    </row>
    <row r="4139" spans="1:16" ht="25.5">
      <c r="A4139" s="3" t="s">
        <v>4</v>
      </c>
      <c r="B4139" s="3" t="s">
        <v>3109</v>
      </c>
      <c r="C4139" s="4">
        <v>299</v>
      </c>
      <c r="D4139" s="3" t="s">
        <v>111</v>
      </c>
      <c r="E4139" s="3" t="s">
        <v>49</v>
      </c>
      <c r="F4139" s="5">
        <v>0</v>
      </c>
      <c r="G4139" s="5">
        <v>96</v>
      </c>
      <c r="H4139" s="6">
        <v>0</v>
      </c>
      <c r="I4139" s="22">
        <v>4172.76</v>
      </c>
      <c r="J4139" s="24">
        <f t="shared" si="192"/>
        <v>2.8913562855367741E-5</v>
      </c>
      <c r="K4139" s="25">
        <f t="shared" si="194"/>
        <v>0.98660183317815708</v>
      </c>
      <c r="L4139" s="26" t="s">
        <v>7518</v>
      </c>
      <c r="M4139" s="28"/>
      <c r="N4139" s="28"/>
      <c r="O4139" s="20" t="s">
        <v>7530</v>
      </c>
      <c r="P4139" s="27" t="str">
        <f t="shared" si="193"/>
        <v>vermelho</v>
      </c>
    </row>
    <row r="4140" spans="1:16" ht="25.5">
      <c r="A4140" s="3" t="s">
        <v>4</v>
      </c>
      <c r="B4140" s="3" t="s">
        <v>3110</v>
      </c>
      <c r="C4140" s="4">
        <v>194</v>
      </c>
      <c r="D4140" s="3" t="s">
        <v>145</v>
      </c>
      <c r="E4140" s="3" t="s">
        <v>16</v>
      </c>
      <c r="F4140" s="5">
        <v>342</v>
      </c>
      <c r="G4140" s="5">
        <v>60</v>
      </c>
      <c r="H4140" s="6">
        <v>20298</v>
      </c>
      <c r="I4140" s="22">
        <v>4172.6400000000003</v>
      </c>
      <c r="J4140" s="24">
        <f t="shared" si="192"/>
        <v>2.8912731360735259E-5</v>
      </c>
      <c r="K4140" s="25">
        <f t="shared" si="194"/>
        <v>0.98663074590951783</v>
      </c>
      <c r="L4140" s="26" t="s">
        <v>7518</v>
      </c>
      <c r="M4140" s="28"/>
      <c r="N4140" s="28"/>
      <c r="O4140" s="20" t="s">
        <v>7530</v>
      </c>
      <c r="P4140" s="27" t="str">
        <f t="shared" si="193"/>
        <v>vermelho</v>
      </c>
    </row>
    <row r="4141" spans="1:16" ht="25.5">
      <c r="A4141" s="3" t="s">
        <v>4</v>
      </c>
      <c r="B4141" s="3" t="s">
        <v>3111</v>
      </c>
      <c r="C4141" s="4">
        <v>266</v>
      </c>
      <c r="D4141" s="3" t="s">
        <v>80</v>
      </c>
      <c r="E4141" s="3" t="s">
        <v>10</v>
      </c>
      <c r="F4141" s="5">
        <v>0</v>
      </c>
      <c r="G4141" s="5">
        <v>75</v>
      </c>
      <c r="H4141" s="6">
        <v>0</v>
      </c>
      <c r="I4141" s="22">
        <v>4167.6000000000004</v>
      </c>
      <c r="J4141" s="24">
        <f t="shared" si="192"/>
        <v>2.8877808586170928E-5</v>
      </c>
      <c r="K4141" s="25">
        <f t="shared" si="194"/>
        <v>0.98665962371810401</v>
      </c>
      <c r="L4141" s="26" t="s">
        <v>7518</v>
      </c>
      <c r="M4141" s="28"/>
      <c r="N4141" s="28"/>
      <c r="O4141" s="20" t="s">
        <v>7530</v>
      </c>
      <c r="P4141" s="27" t="str">
        <f t="shared" si="193"/>
        <v>vermelho</v>
      </c>
    </row>
    <row r="4142" spans="1:16" ht="25.5">
      <c r="A4142" s="3" t="s">
        <v>4</v>
      </c>
      <c r="B4142" s="3" t="s">
        <v>3112</v>
      </c>
      <c r="C4142" s="4">
        <v>334</v>
      </c>
      <c r="D4142" s="3" t="s">
        <v>531</v>
      </c>
      <c r="E4142" s="3" t="s">
        <v>7</v>
      </c>
      <c r="F4142" s="5">
        <v>0</v>
      </c>
      <c r="G4142" s="5">
        <v>84</v>
      </c>
      <c r="H4142" s="6">
        <v>0</v>
      </c>
      <c r="I4142" s="22">
        <v>4160.6289999999999</v>
      </c>
      <c r="J4142" s="24">
        <f t="shared" si="192"/>
        <v>2.8829505677145541E-5</v>
      </c>
      <c r="K4142" s="25">
        <f t="shared" si="194"/>
        <v>0.98668845322378118</v>
      </c>
      <c r="L4142" s="26" t="s">
        <v>7518</v>
      </c>
      <c r="M4142" s="28"/>
      <c r="N4142" s="28"/>
      <c r="O4142" s="20" t="s">
        <v>7530</v>
      </c>
      <c r="P4142" s="27" t="str">
        <f t="shared" si="193"/>
        <v>vermelho</v>
      </c>
    </row>
    <row r="4143" spans="1:16" ht="25.5">
      <c r="A4143" s="3" t="s">
        <v>4</v>
      </c>
      <c r="B4143" s="3" t="s">
        <v>3113</v>
      </c>
      <c r="C4143" s="4">
        <v>327</v>
      </c>
      <c r="D4143" s="3" t="s">
        <v>100</v>
      </c>
      <c r="E4143" s="3" t="s">
        <v>7</v>
      </c>
      <c r="F4143" s="5">
        <v>0</v>
      </c>
      <c r="G4143" s="5">
        <v>72</v>
      </c>
      <c r="H4143" s="6">
        <v>0</v>
      </c>
      <c r="I4143" s="22">
        <v>4155.6000000000004</v>
      </c>
      <c r="J4143" s="24">
        <f t="shared" si="192"/>
        <v>2.8794659122922524E-5</v>
      </c>
      <c r="K4143" s="25">
        <f t="shared" si="194"/>
        <v>0.98671724788290416</v>
      </c>
      <c r="L4143" s="26" t="s">
        <v>7518</v>
      </c>
      <c r="M4143" s="28"/>
      <c r="N4143" s="28"/>
      <c r="O4143" s="20" t="s">
        <v>7530</v>
      </c>
      <c r="P4143" s="27" t="str">
        <f t="shared" si="193"/>
        <v>vermelho</v>
      </c>
    </row>
    <row r="4144" spans="1:16" ht="25.5">
      <c r="A4144" s="3" t="s">
        <v>4</v>
      </c>
      <c r="B4144" s="3" t="s">
        <v>3114</v>
      </c>
      <c r="C4144" s="4">
        <v>93</v>
      </c>
      <c r="D4144" s="3" t="s">
        <v>20</v>
      </c>
      <c r="E4144" s="3" t="s">
        <v>7</v>
      </c>
      <c r="F4144" s="5">
        <v>444</v>
      </c>
      <c r="G4144" s="5">
        <v>72</v>
      </c>
      <c r="H4144" s="6">
        <v>25147.200000000001</v>
      </c>
      <c r="I4144" s="22">
        <v>4154.6400000000003</v>
      </c>
      <c r="J4144" s="24">
        <f t="shared" si="192"/>
        <v>2.8788007165862653E-5</v>
      </c>
      <c r="K4144" s="25">
        <f t="shared" si="194"/>
        <v>0.98674603589007004</v>
      </c>
      <c r="L4144" s="26" t="s">
        <v>7518</v>
      </c>
      <c r="M4144" s="28"/>
      <c r="N4144" s="28"/>
      <c r="O4144" s="20" t="s">
        <v>7530</v>
      </c>
      <c r="P4144" s="27" t="str">
        <f t="shared" si="193"/>
        <v>vermelho</v>
      </c>
    </row>
    <row r="4145" spans="1:16" ht="25.5">
      <c r="A4145" s="3" t="s">
        <v>7004</v>
      </c>
      <c r="B4145" s="3" t="s">
        <v>7005</v>
      </c>
      <c r="C4145" s="4">
        <v>218</v>
      </c>
      <c r="D4145" s="3" t="s">
        <v>104</v>
      </c>
      <c r="E4145" s="3" t="s">
        <v>16</v>
      </c>
      <c r="F4145" s="5">
        <v>0</v>
      </c>
      <c r="G4145" s="5">
        <v>72</v>
      </c>
      <c r="H4145" s="6">
        <v>0</v>
      </c>
      <c r="I4145" s="22">
        <v>4154.3999999999996</v>
      </c>
      <c r="J4145" s="24">
        <f t="shared" si="192"/>
        <v>2.8786344176597678E-5</v>
      </c>
      <c r="K4145" s="25">
        <f t="shared" si="194"/>
        <v>0.98677482223424662</v>
      </c>
      <c r="L4145" s="26" t="s">
        <v>7518</v>
      </c>
      <c r="M4145" s="28"/>
      <c r="N4145" s="28"/>
      <c r="O4145" s="20" t="s">
        <v>7530</v>
      </c>
      <c r="P4145" s="27" t="str">
        <f t="shared" si="193"/>
        <v>vermelho</v>
      </c>
    </row>
    <row r="4146" spans="1:16">
      <c r="A4146" s="3" t="s">
        <v>4</v>
      </c>
      <c r="B4146" s="3" t="s">
        <v>3115</v>
      </c>
      <c r="C4146" s="4">
        <v>315</v>
      </c>
      <c r="D4146" s="3" t="s">
        <v>63</v>
      </c>
      <c r="E4146" s="3" t="s">
        <v>7</v>
      </c>
      <c r="F4146" s="5">
        <v>135</v>
      </c>
      <c r="G4146" s="5">
        <v>60</v>
      </c>
      <c r="H4146" s="6">
        <v>8896.65</v>
      </c>
      <c r="I4146" s="22">
        <v>4151.3999999999996</v>
      </c>
      <c r="J4146" s="24">
        <f t="shared" si="192"/>
        <v>2.8765556810785579E-5</v>
      </c>
      <c r="K4146" s="25">
        <f t="shared" si="194"/>
        <v>0.98680358779105737</v>
      </c>
      <c r="L4146" s="26" t="s">
        <v>7518</v>
      </c>
      <c r="M4146" s="28"/>
      <c r="N4146" s="28"/>
      <c r="O4146" s="20" t="s">
        <v>7530</v>
      </c>
      <c r="P4146" s="27" t="str">
        <f t="shared" si="193"/>
        <v>vermelho</v>
      </c>
    </row>
    <row r="4147" spans="1:16" ht="25.5">
      <c r="A4147" s="3" t="s">
        <v>4</v>
      </c>
      <c r="B4147" s="3" t="s">
        <v>3116</v>
      </c>
      <c r="C4147" s="4">
        <v>208</v>
      </c>
      <c r="D4147" s="3" t="s">
        <v>15</v>
      </c>
      <c r="E4147" s="3" t="s">
        <v>16</v>
      </c>
      <c r="F4147" s="5">
        <v>0</v>
      </c>
      <c r="G4147" s="5">
        <v>72</v>
      </c>
      <c r="H4147" s="6">
        <v>0</v>
      </c>
      <c r="I4147" s="22">
        <v>4151.28</v>
      </c>
      <c r="J4147" s="24">
        <f t="shared" si="192"/>
        <v>2.8764725316153094E-5</v>
      </c>
      <c r="K4147" s="25">
        <f t="shared" si="194"/>
        <v>0.98683235251637347</v>
      </c>
      <c r="L4147" s="26" t="s">
        <v>7518</v>
      </c>
      <c r="M4147" s="28"/>
      <c r="N4147" s="28"/>
      <c r="O4147" s="20" t="s">
        <v>7530</v>
      </c>
      <c r="P4147" s="27" t="str">
        <f t="shared" si="193"/>
        <v>vermelho</v>
      </c>
    </row>
    <row r="4148" spans="1:16" ht="25.5">
      <c r="A4148" s="3" t="s">
        <v>4</v>
      </c>
      <c r="B4148" s="3" t="s">
        <v>3117</v>
      </c>
      <c r="C4148" s="4">
        <v>320</v>
      </c>
      <c r="D4148" s="3" t="s">
        <v>218</v>
      </c>
      <c r="E4148" s="3" t="s">
        <v>49</v>
      </c>
      <c r="F4148" s="5">
        <v>0</v>
      </c>
      <c r="G4148" s="5">
        <v>72</v>
      </c>
      <c r="H4148" s="6">
        <v>0</v>
      </c>
      <c r="I4148" s="22">
        <v>4149.3599999999997</v>
      </c>
      <c r="J4148" s="24">
        <f t="shared" si="192"/>
        <v>2.8751421402033348E-5</v>
      </c>
      <c r="K4148" s="25">
        <f t="shared" si="194"/>
        <v>0.98686110393777549</v>
      </c>
      <c r="L4148" s="26" t="s">
        <v>7518</v>
      </c>
      <c r="M4148" s="28"/>
      <c r="N4148" s="28"/>
      <c r="O4148" s="20" t="s">
        <v>7530</v>
      </c>
      <c r="P4148" s="27" t="str">
        <f t="shared" si="193"/>
        <v>vermelho</v>
      </c>
    </row>
    <row r="4149" spans="1:16" ht="25.5">
      <c r="A4149" s="3" t="s">
        <v>4</v>
      </c>
      <c r="B4149" s="3" t="s">
        <v>3118</v>
      </c>
      <c r="C4149" s="4">
        <v>270</v>
      </c>
      <c r="D4149" s="3" t="s">
        <v>266</v>
      </c>
      <c r="E4149" s="3" t="s">
        <v>49</v>
      </c>
      <c r="F4149" s="5">
        <v>0</v>
      </c>
      <c r="G4149" s="5">
        <v>72</v>
      </c>
      <c r="H4149" s="6">
        <v>0</v>
      </c>
      <c r="I4149" s="22">
        <v>4144.68</v>
      </c>
      <c r="J4149" s="24">
        <f t="shared" si="192"/>
        <v>2.8718993111366477E-5</v>
      </c>
      <c r="K4149" s="25">
        <f t="shared" si="194"/>
        <v>0.9868898229308869</v>
      </c>
      <c r="L4149" s="26" t="s">
        <v>7518</v>
      </c>
      <c r="M4149" s="28"/>
      <c r="N4149" s="28"/>
      <c r="O4149" s="20" t="s">
        <v>7530</v>
      </c>
      <c r="P4149" s="27" t="str">
        <f t="shared" si="193"/>
        <v>vermelho</v>
      </c>
    </row>
    <row r="4150" spans="1:16" ht="25.5">
      <c r="A4150" s="3" t="s">
        <v>4</v>
      </c>
      <c r="B4150" s="3" t="s">
        <v>3119</v>
      </c>
      <c r="C4150" s="4">
        <v>23</v>
      </c>
      <c r="D4150" s="3" t="s">
        <v>87</v>
      </c>
      <c r="E4150" s="3" t="s">
        <v>7</v>
      </c>
      <c r="F4150" s="5">
        <v>75</v>
      </c>
      <c r="G4150" s="5">
        <v>66</v>
      </c>
      <c r="H4150" s="6">
        <v>4527.2250000000004</v>
      </c>
      <c r="I4150" s="22">
        <v>4141.99</v>
      </c>
      <c r="J4150" s="24">
        <f t="shared" si="192"/>
        <v>2.8700353773354954E-5</v>
      </c>
      <c r="K4150" s="25">
        <f t="shared" si="194"/>
        <v>0.98691852328466023</v>
      </c>
      <c r="L4150" s="26" t="s">
        <v>7518</v>
      </c>
      <c r="M4150" s="28"/>
      <c r="N4150" s="28"/>
      <c r="O4150" s="20" t="s">
        <v>7530</v>
      </c>
      <c r="P4150" s="27" t="str">
        <f t="shared" si="193"/>
        <v>vermelho</v>
      </c>
    </row>
    <row r="4151" spans="1:16" ht="25.5">
      <c r="A4151" s="3" t="s">
        <v>4</v>
      </c>
      <c r="B4151" s="3" t="s">
        <v>3120</v>
      </c>
      <c r="C4151" s="4">
        <v>267</v>
      </c>
      <c r="D4151" s="3" t="s">
        <v>125</v>
      </c>
      <c r="E4151" s="3" t="s">
        <v>16</v>
      </c>
      <c r="F4151" s="5">
        <v>144</v>
      </c>
      <c r="G4151" s="5">
        <v>72</v>
      </c>
      <c r="H4151" s="6">
        <v>9224.0400000000009</v>
      </c>
      <c r="I4151" s="22">
        <v>4133.28</v>
      </c>
      <c r="J4151" s="24">
        <f t="shared" si="192"/>
        <v>2.8640001121280488E-5</v>
      </c>
      <c r="K4151" s="25">
        <f t="shared" si="194"/>
        <v>0.98694716328578147</v>
      </c>
      <c r="L4151" s="26" t="s">
        <v>7518</v>
      </c>
      <c r="M4151" s="28"/>
      <c r="N4151" s="28"/>
      <c r="O4151" s="20" t="s">
        <v>7530</v>
      </c>
      <c r="P4151" s="27" t="str">
        <f t="shared" si="193"/>
        <v>vermelho</v>
      </c>
    </row>
    <row r="4152" spans="1:16" ht="51">
      <c r="A4152" s="3" t="s">
        <v>4</v>
      </c>
      <c r="B4152" s="3" t="s">
        <v>3121</v>
      </c>
      <c r="C4152" s="4">
        <v>282</v>
      </c>
      <c r="D4152" s="3" t="s">
        <v>12</v>
      </c>
      <c r="E4152" s="3" t="s">
        <v>13</v>
      </c>
      <c r="F4152" s="5">
        <v>0</v>
      </c>
      <c r="G4152" s="5">
        <v>78</v>
      </c>
      <c r="H4152" s="6">
        <v>0</v>
      </c>
      <c r="I4152" s="22">
        <v>4133.22</v>
      </c>
      <c r="J4152" s="24">
        <f t="shared" si="192"/>
        <v>2.8639585373964248E-5</v>
      </c>
      <c r="K4152" s="25">
        <f t="shared" si="194"/>
        <v>0.98697580287115538</v>
      </c>
      <c r="L4152" s="26" t="s">
        <v>7518</v>
      </c>
      <c r="M4152" s="28"/>
      <c r="N4152" s="28"/>
      <c r="O4152" s="20" t="s">
        <v>7530</v>
      </c>
      <c r="P4152" s="27" t="str">
        <f t="shared" si="193"/>
        <v>vermelho</v>
      </c>
    </row>
    <row r="4153" spans="1:16" ht="25.5">
      <c r="A4153" s="3" t="s">
        <v>4</v>
      </c>
      <c r="B4153" s="3" t="s">
        <v>3122</v>
      </c>
      <c r="C4153" s="4">
        <v>240</v>
      </c>
      <c r="D4153" s="3" t="s">
        <v>69</v>
      </c>
      <c r="E4153" s="3" t="s">
        <v>16</v>
      </c>
      <c r="F4153" s="5">
        <v>0</v>
      </c>
      <c r="G4153" s="5">
        <v>72</v>
      </c>
      <c r="H4153" s="6">
        <v>0</v>
      </c>
      <c r="I4153" s="22">
        <v>4129.08</v>
      </c>
      <c r="J4153" s="24">
        <f t="shared" si="192"/>
        <v>2.8610898809143546E-5</v>
      </c>
      <c r="K4153" s="25">
        <f t="shared" si="194"/>
        <v>0.98700441376996451</v>
      </c>
      <c r="L4153" s="26" t="s">
        <v>7518</v>
      </c>
      <c r="M4153" s="28"/>
      <c r="N4153" s="28"/>
      <c r="O4153" s="20" t="s">
        <v>7530</v>
      </c>
      <c r="P4153" s="27" t="str">
        <f t="shared" si="193"/>
        <v>vermelho</v>
      </c>
    </row>
    <row r="4154" spans="1:16" ht="25.5">
      <c r="A4154" s="3" t="s">
        <v>4</v>
      </c>
      <c r="B4154" s="3" t="s">
        <v>3123</v>
      </c>
      <c r="C4154" s="4">
        <v>232</v>
      </c>
      <c r="D4154" s="3" t="s">
        <v>174</v>
      </c>
      <c r="E4154" s="3" t="s">
        <v>16</v>
      </c>
      <c r="F4154" s="5">
        <v>0</v>
      </c>
      <c r="G4154" s="5">
        <v>78</v>
      </c>
      <c r="H4154" s="6">
        <v>0</v>
      </c>
      <c r="I4154" s="22">
        <v>4128.78</v>
      </c>
      <c r="J4154" s="24">
        <f t="shared" si="192"/>
        <v>2.8608820072562335E-5</v>
      </c>
      <c r="K4154" s="25">
        <f t="shared" si="194"/>
        <v>0.98703302259003711</v>
      </c>
      <c r="L4154" s="26" t="s">
        <v>7518</v>
      </c>
      <c r="M4154" s="28"/>
      <c r="N4154" s="28"/>
      <c r="O4154" s="20">
        <v>2987.88</v>
      </c>
      <c r="P4154" s="27" t="str">
        <f t="shared" si="193"/>
        <v>laranja</v>
      </c>
    </row>
    <row r="4155" spans="1:16" ht="38.25">
      <c r="A4155" s="3" t="s">
        <v>4</v>
      </c>
      <c r="B4155" s="3" t="s">
        <v>3124</v>
      </c>
      <c r="C4155" s="4">
        <v>292</v>
      </c>
      <c r="D4155" s="3" t="s">
        <v>57</v>
      </c>
      <c r="E4155" s="3" t="s">
        <v>49</v>
      </c>
      <c r="F4155" s="5">
        <v>477</v>
      </c>
      <c r="G4155" s="5">
        <v>72</v>
      </c>
      <c r="H4155" s="6">
        <v>23613.963</v>
      </c>
      <c r="I4155" s="22">
        <v>4123.08</v>
      </c>
      <c r="J4155" s="24">
        <f t="shared" si="192"/>
        <v>2.8569324077519344E-5</v>
      </c>
      <c r="K4155" s="25">
        <f t="shared" si="194"/>
        <v>0.98706159191411458</v>
      </c>
      <c r="L4155" s="26" t="s">
        <v>7518</v>
      </c>
      <c r="M4155" s="28"/>
      <c r="N4155" s="28"/>
      <c r="O4155" s="20" t="s">
        <v>7530</v>
      </c>
      <c r="P4155" s="27" t="str">
        <f t="shared" si="193"/>
        <v>vermelho</v>
      </c>
    </row>
    <row r="4156" spans="1:16">
      <c r="A4156" s="3" t="s">
        <v>4</v>
      </c>
      <c r="B4156" s="3" t="s">
        <v>3125</v>
      </c>
      <c r="C4156" s="4">
        <v>315</v>
      </c>
      <c r="D4156" s="3" t="s">
        <v>63</v>
      </c>
      <c r="E4156" s="3" t="s">
        <v>7</v>
      </c>
      <c r="F4156" s="5">
        <v>0</v>
      </c>
      <c r="G4156" s="5">
        <v>72</v>
      </c>
      <c r="H4156" s="6">
        <v>0</v>
      </c>
      <c r="I4156" s="22">
        <v>4122.7359999999999</v>
      </c>
      <c r="J4156" s="24">
        <f t="shared" si="192"/>
        <v>2.8566940459572889E-5</v>
      </c>
      <c r="K4156" s="25">
        <f t="shared" si="194"/>
        <v>0.98709015885457418</v>
      </c>
      <c r="L4156" s="26" t="s">
        <v>7518</v>
      </c>
      <c r="M4156" s="28"/>
      <c r="N4156" s="28"/>
      <c r="O4156" s="20" t="s">
        <v>7530</v>
      </c>
      <c r="P4156" s="27" t="str">
        <f t="shared" si="193"/>
        <v>vermelho</v>
      </c>
    </row>
    <row r="4157" spans="1:16" ht="25.5">
      <c r="A4157" s="3" t="s">
        <v>4</v>
      </c>
      <c r="B4157" s="3" t="s">
        <v>3126</v>
      </c>
      <c r="C4157" s="4">
        <v>321</v>
      </c>
      <c r="D4157" s="3" t="s">
        <v>136</v>
      </c>
      <c r="E4157" s="3" t="s">
        <v>41</v>
      </c>
      <c r="F4157" s="5">
        <v>0</v>
      </c>
      <c r="G4157" s="5">
        <v>54</v>
      </c>
      <c r="H4157" s="6">
        <v>0</v>
      </c>
      <c r="I4157" s="22">
        <v>4114.8</v>
      </c>
      <c r="J4157" s="24">
        <f t="shared" si="192"/>
        <v>2.8511950947877946E-5</v>
      </c>
      <c r="K4157" s="25">
        <f t="shared" si="194"/>
        <v>0.98711867080552207</v>
      </c>
      <c r="L4157" s="26" t="s">
        <v>7518</v>
      </c>
      <c r="M4157" s="28"/>
      <c r="N4157" s="28"/>
      <c r="O4157" s="20" t="s">
        <v>7530</v>
      </c>
      <c r="P4157" s="27" t="str">
        <f t="shared" si="193"/>
        <v>vermelho</v>
      </c>
    </row>
    <row r="4158" spans="1:16" ht="25.5">
      <c r="A4158" s="3" t="s">
        <v>4</v>
      </c>
      <c r="B4158" s="3" t="s">
        <v>3127</v>
      </c>
      <c r="C4158" s="4">
        <v>217</v>
      </c>
      <c r="D4158" s="3" t="s">
        <v>91</v>
      </c>
      <c r="E4158" s="3" t="s">
        <v>16</v>
      </c>
      <c r="F4158" s="5">
        <v>0</v>
      </c>
      <c r="G4158" s="5">
        <v>57</v>
      </c>
      <c r="H4158" s="6">
        <v>0</v>
      </c>
      <c r="I4158" s="22">
        <v>4101.8999999999996</v>
      </c>
      <c r="J4158" s="24">
        <f t="shared" si="192"/>
        <v>2.8422565274885907E-5</v>
      </c>
      <c r="K4158" s="25">
        <f t="shared" si="194"/>
        <v>0.98714709337079698</v>
      </c>
      <c r="L4158" s="26" t="s">
        <v>7518</v>
      </c>
      <c r="M4158" s="28"/>
      <c r="N4158" s="28"/>
      <c r="O4158" s="20" t="s">
        <v>7530</v>
      </c>
      <c r="P4158" s="27" t="str">
        <f t="shared" si="193"/>
        <v>vermelho</v>
      </c>
    </row>
    <row r="4159" spans="1:16" ht="25.5">
      <c r="A4159" s="3" t="s">
        <v>4</v>
      </c>
      <c r="B4159" s="3" t="s">
        <v>3128</v>
      </c>
      <c r="C4159" s="4">
        <v>266</v>
      </c>
      <c r="D4159" s="3" t="s">
        <v>80</v>
      </c>
      <c r="E4159" s="3" t="s">
        <v>10</v>
      </c>
      <c r="F4159" s="5">
        <v>0</v>
      </c>
      <c r="G4159" s="5">
        <v>84</v>
      </c>
      <c r="H4159" s="6">
        <v>0</v>
      </c>
      <c r="I4159" s="22">
        <v>4101.84</v>
      </c>
      <c r="J4159" s="24">
        <f t="shared" si="192"/>
        <v>2.8422149527569671E-5</v>
      </c>
      <c r="K4159" s="25">
        <f t="shared" si="194"/>
        <v>0.98717551552032456</v>
      </c>
      <c r="L4159" s="26" t="s">
        <v>7518</v>
      </c>
      <c r="M4159" s="28"/>
      <c r="N4159" s="28"/>
      <c r="O4159" s="20" t="s">
        <v>7530</v>
      </c>
      <c r="P4159" s="27" t="str">
        <f t="shared" si="193"/>
        <v>vermelho</v>
      </c>
    </row>
    <row r="4160" spans="1:16" ht="25.5">
      <c r="A4160" s="3" t="s">
        <v>4</v>
      </c>
      <c r="B4160" s="3" t="s">
        <v>3129</v>
      </c>
      <c r="C4160" s="4">
        <v>218</v>
      </c>
      <c r="D4160" s="3" t="s">
        <v>104</v>
      </c>
      <c r="E4160" s="3" t="s">
        <v>16</v>
      </c>
      <c r="F4160" s="5">
        <v>78</v>
      </c>
      <c r="G4160" s="5">
        <v>84</v>
      </c>
      <c r="H4160" s="6">
        <v>3390.66</v>
      </c>
      <c r="I4160" s="22">
        <v>4101.72</v>
      </c>
      <c r="J4160" s="24">
        <f t="shared" si="192"/>
        <v>2.8421318032937185E-5</v>
      </c>
      <c r="K4160" s="25">
        <f t="shared" si="194"/>
        <v>0.9872039368383575</v>
      </c>
      <c r="L4160" s="26" t="s">
        <v>7518</v>
      </c>
      <c r="M4160" s="28"/>
      <c r="N4160" s="28"/>
      <c r="O4160" s="20" t="s">
        <v>7530</v>
      </c>
      <c r="P4160" s="27" t="str">
        <f t="shared" si="193"/>
        <v>vermelho</v>
      </c>
    </row>
    <row r="4161" spans="1:16" ht="25.5">
      <c r="A4161" s="3" t="s">
        <v>4</v>
      </c>
      <c r="B4161" s="3" t="s">
        <v>3130</v>
      </c>
      <c r="C4161" s="4">
        <v>261</v>
      </c>
      <c r="D4161" s="3" t="s">
        <v>9</v>
      </c>
      <c r="E4161" s="3" t="s">
        <v>10</v>
      </c>
      <c r="F4161" s="5">
        <v>0</v>
      </c>
      <c r="G4161" s="5">
        <v>72</v>
      </c>
      <c r="H4161" s="6">
        <v>0</v>
      </c>
      <c r="I4161" s="22">
        <v>4101.12</v>
      </c>
      <c r="J4161" s="24">
        <f t="shared" si="192"/>
        <v>2.8417160559774764E-5</v>
      </c>
      <c r="K4161" s="25">
        <f t="shared" si="194"/>
        <v>0.98723235399891729</v>
      </c>
      <c r="L4161" s="26" t="s">
        <v>7518</v>
      </c>
      <c r="M4161" s="28">
        <v>-1.3269128519587463E-2</v>
      </c>
      <c r="N4161" s="28"/>
      <c r="O4161" s="20" t="s">
        <v>7530</v>
      </c>
      <c r="P4161" s="27" t="str">
        <f t="shared" si="193"/>
        <v>vermelho</v>
      </c>
    </row>
    <row r="4162" spans="1:16" ht="25.5">
      <c r="A4162" s="3" t="s">
        <v>4</v>
      </c>
      <c r="B4162" s="3" t="s">
        <v>3131</v>
      </c>
      <c r="C4162" s="4">
        <v>23</v>
      </c>
      <c r="D4162" s="3" t="s">
        <v>87</v>
      </c>
      <c r="E4162" s="3" t="s">
        <v>7</v>
      </c>
      <c r="F4162" s="5">
        <v>0</v>
      </c>
      <c r="G4162" s="5">
        <v>60</v>
      </c>
      <c r="H4162" s="6">
        <v>0</v>
      </c>
      <c r="I4162" s="22">
        <v>4097.22</v>
      </c>
      <c r="J4162" s="24">
        <f t="shared" si="192"/>
        <v>2.8390136984219037E-5</v>
      </c>
      <c r="K4162" s="25">
        <f t="shared" si="194"/>
        <v>0.98726074413590148</v>
      </c>
      <c r="L4162" s="26" t="s">
        <v>7518</v>
      </c>
      <c r="M4162" s="28"/>
      <c r="N4162" s="28"/>
      <c r="O4162" s="20">
        <v>3725.82</v>
      </c>
      <c r="P4162" s="27" t="str">
        <f t="shared" si="193"/>
        <v>laranja</v>
      </c>
    </row>
    <row r="4163" spans="1:16" ht="25.5">
      <c r="A4163" s="3" t="s">
        <v>4</v>
      </c>
      <c r="B4163" s="3" t="s">
        <v>3132</v>
      </c>
      <c r="C4163" s="4">
        <v>167</v>
      </c>
      <c r="D4163" s="3" t="s">
        <v>251</v>
      </c>
      <c r="E4163" s="3" t="s">
        <v>49</v>
      </c>
      <c r="F4163" s="5">
        <v>0</v>
      </c>
      <c r="G4163" s="5">
        <v>72</v>
      </c>
      <c r="H4163" s="6">
        <v>0</v>
      </c>
      <c r="I4163" s="22">
        <v>4097.04</v>
      </c>
      <c r="J4163" s="24">
        <f t="shared" ref="J4163:J4226" si="195">I4163/$I$6364</f>
        <v>2.8388889742270308E-5</v>
      </c>
      <c r="K4163" s="25">
        <f t="shared" si="194"/>
        <v>0.98728913302564381</v>
      </c>
      <c r="L4163" s="26" t="s">
        <v>7518</v>
      </c>
      <c r="M4163" s="28"/>
      <c r="N4163" s="28"/>
      <c r="O4163" s="20">
        <v>11808.42</v>
      </c>
      <c r="P4163" s="27" t="str">
        <f t="shared" ref="P4163:P4226" si="196">IF(O4163&lt;=0,"vermelho",IFERROR(IF(O4163/I4163&lt;=0.5098,"amarelo",IF(O4163/I4163&lt;1,"laranja","verde")),"vermelho"))</f>
        <v>verde</v>
      </c>
    </row>
    <row r="4164" spans="1:16" ht="25.5">
      <c r="A4164" s="3" t="s">
        <v>4</v>
      </c>
      <c r="B4164" s="3" t="s">
        <v>3133</v>
      </c>
      <c r="C4164" s="4">
        <v>327</v>
      </c>
      <c r="D4164" s="3" t="s">
        <v>100</v>
      </c>
      <c r="E4164" s="3" t="s">
        <v>7</v>
      </c>
      <c r="F4164" s="5">
        <v>0</v>
      </c>
      <c r="G4164" s="5">
        <v>78</v>
      </c>
      <c r="H4164" s="6">
        <v>0</v>
      </c>
      <c r="I4164" s="22">
        <v>4087.92</v>
      </c>
      <c r="J4164" s="24">
        <f t="shared" si="195"/>
        <v>2.8325696150201521E-5</v>
      </c>
      <c r="K4164" s="25">
        <f t="shared" ref="K4164:K4227" si="197">J4164+K4163</f>
        <v>0.98731745872179399</v>
      </c>
      <c r="L4164" s="26" t="s">
        <v>7518</v>
      </c>
      <c r="M4164" s="28"/>
      <c r="N4164" s="28"/>
      <c r="O4164" s="20" t="s">
        <v>7530</v>
      </c>
      <c r="P4164" s="27" t="str">
        <f t="shared" si="196"/>
        <v>vermelho</v>
      </c>
    </row>
    <row r="4165" spans="1:16" ht="25.5">
      <c r="A4165" s="3" t="s">
        <v>4</v>
      </c>
      <c r="B4165" s="3" t="s">
        <v>829</v>
      </c>
      <c r="C4165" s="4">
        <v>264</v>
      </c>
      <c r="D4165" s="3" t="s">
        <v>40</v>
      </c>
      <c r="E4165" s="3" t="s">
        <v>7</v>
      </c>
      <c r="F4165" s="5">
        <v>0</v>
      </c>
      <c r="G4165" s="5">
        <v>60</v>
      </c>
      <c r="H4165" s="6">
        <v>0</v>
      </c>
      <c r="I4165" s="22">
        <v>4082.28</v>
      </c>
      <c r="J4165" s="24">
        <f t="shared" si="195"/>
        <v>2.8286615902474773E-5</v>
      </c>
      <c r="K4165" s="25">
        <f t="shared" si="197"/>
        <v>0.98734574533769648</v>
      </c>
      <c r="L4165" s="26" t="s">
        <v>7518</v>
      </c>
      <c r="M4165" s="28">
        <v>-2.2768641725871144E-2</v>
      </c>
      <c r="N4165" s="28"/>
      <c r="O4165" s="20">
        <v>11118.84</v>
      </c>
      <c r="P4165" s="27" t="str">
        <f t="shared" si="196"/>
        <v>verde</v>
      </c>
    </row>
    <row r="4166" spans="1:16" ht="25.5">
      <c r="A4166" s="3" t="s">
        <v>7006</v>
      </c>
      <c r="B4166" s="3" t="s">
        <v>7007</v>
      </c>
      <c r="C4166" s="4">
        <v>31</v>
      </c>
      <c r="D4166" s="3" t="s">
        <v>194</v>
      </c>
      <c r="E4166" s="3" t="s">
        <v>16</v>
      </c>
      <c r="F4166" s="5">
        <v>96</v>
      </c>
      <c r="G4166" s="5">
        <v>60</v>
      </c>
      <c r="H4166" s="6">
        <v>6363.36</v>
      </c>
      <c r="I4166" s="22">
        <v>4078.68</v>
      </c>
      <c r="J4166" s="24">
        <f t="shared" si="195"/>
        <v>2.8261671063500249E-5</v>
      </c>
      <c r="K4166" s="25">
        <f t="shared" si="197"/>
        <v>0.98737400700875999</v>
      </c>
      <c r="L4166" s="26" t="s">
        <v>7518</v>
      </c>
      <c r="M4166" s="28"/>
      <c r="N4166" s="28"/>
      <c r="O4166" s="20" t="s">
        <v>7530</v>
      </c>
      <c r="P4166" s="27" t="str">
        <f t="shared" si="196"/>
        <v>vermelho</v>
      </c>
    </row>
    <row r="4167" spans="1:16" ht="25.5">
      <c r="A4167" s="3" t="s">
        <v>4</v>
      </c>
      <c r="B4167" s="3" t="s">
        <v>3134</v>
      </c>
      <c r="C4167" s="4">
        <v>327</v>
      </c>
      <c r="D4167" s="3" t="s">
        <v>100</v>
      </c>
      <c r="E4167" s="3" t="s">
        <v>7</v>
      </c>
      <c r="F4167" s="5">
        <v>0</v>
      </c>
      <c r="G4167" s="5">
        <v>54</v>
      </c>
      <c r="H4167" s="6">
        <v>0</v>
      </c>
      <c r="I4167" s="22">
        <v>4074.84</v>
      </c>
      <c r="J4167" s="24">
        <f t="shared" si="195"/>
        <v>2.8235063235260761E-5</v>
      </c>
      <c r="K4167" s="25">
        <f t="shared" si="197"/>
        <v>0.98740224207199523</v>
      </c>
      <c r="L4167" s="26" t="s">
        <v>7518</v>
      </c>
      <c r="M4167" s="28"/>
      <c r="N4167" s="28"/>
      <c r="O4167" s="20" t="s">
        <v>7530</v>
      </c>
      <c r="P4167" s="27" t="str">
        <f t="shared" si="196"/>
        <v>vermelho</v>
      </c>
    </row>
    <row r="4168" spans="1:16" ht="25.5">
      <c r="A4168" s="3" t="s">
        <v>4</v>
      </c>
      <c r="B4168" s="3" t="s">
        <v>3135</v>
      </c>
      <c r="C4168" s="4">
        <v>187</v>
      </c>
      <c r="D4168" s="3" t="s">
        <v>96</v>
      </c>
      <c r="E4168" s="3" t="s">
        <v>7</v>
      </c>
      <c r="F4168" s="5">
        <v>60</v>
      </c>
      <c r="G4168" s="5">
        <v>78</v>
      </c>
      <c r="H4168" s="6">
        <v>3245.4</v>
      </c>
      <c r="I4168" s="22">
        <v>4074.6</v>
      </c>
      <c r="J4168" s="24">
        <f t="shared" si="195"/>
        <v>2.8233400245995789E-5</v>
      </c>
      <c r="K4168" s="25">
        <f t="shared" si="197"/>
        <v>0.98743047547224128</v>
      </c>
      <c r="L4168" s="26" t="s">
        <v>7518</v>
      </c>
      <c r="M4168" s="28"/>
      <c r="N4168" s="28"/>
      <c r="O4168" s="20" t="s">
        <v>7530</v>
      </c>
      <c r="P4168" s="27" t="str">
        <f t="shared" si="196"/>
        <v>vermelho</v>
      </c>
    </row>
    <row r="4169" spans="1:16">
      <c r="A4169" s="3" t="s">
        <v>4</v>
      </c>
      <c r="B4169" s="3" t="s">
        <v>3136</v>
      </c>
      <c r="C4169" s="4">
        <v>217</v>
      </c>
      <c r="D4169" s="3" t="s">
        <v>91</v>
      </c>
      <c r="E4169" s="3" t="s">
        <v>16</v>
      </c>
      <c r="F4169" s="5">
        <v>60</v>
      </c>
      <c r="G4169" s="5">
        <v>69</v>
      </c>
      <c r="H4169" s="6">
        <v>4193.3999999999996</v>
      </c>
      <c r="I4169" s="22">
        <v>4073.31</v>
      </c>
      <c r="J4169" s="24">
        <f t="shared" si="195"/>
        <v>2.8224461678696588E-5</v>
      </c>
      <c r="K4169" s="25">
        <f t="shared" si="197"/>
        <v>0.98745869993391999</v>
      </c>
      <c r="L4169" s="26" t="s">
        <v>7518</v>
      </c>
      <c r="M4169" s="28"/>
      <c r="N4169" s="28"/>
      <c r="O4169" s="20" t="s">
        <v>7530</v>
      </c>
      <c r="P4169" s="27" t="str">
        <f t="shared" si="196"/>
        <v>vermelho</v>
      </c>
    </row>
    <row r="4170" spans="1:16" ht="25.5">
      <c r="A4170" s="3" t="s">
        <v>4</v>
      </c>
      <c r="B4170" s="3" t="s">
        <v>3137</v>
      </c>
      <c r="C4170" s="4">
        <v>273</v>
      </c>
      <c r="D4170" s="3" t="s">
        <v>149</v>
      </c>
      <c r="E4170" s="3" t="s">
        <v>16</v>
      </c>
      <c r="F4170" s="5">
        <v>0</v>
      </c>
      <c r="G4170" s="5">
        <v>72</v>
      </c>
      <c r="H4170" s="6">
        <v>0</v>
      </c>
      <c r="I4170" s="22">
        <v>4062.48</v>
      </c>
      <c r="J4170" s="24">
        <f t="shared" si="195"/>
        <v>2.8149419288114903E-5</v>
      </c>
      <c r="K4170" s="25">
        <f t="shared" si="197"/>
        <v>0.98748684935320807</v>
      </c>
      <c r="L4170" s="26" t="s">
        <v>7518</v>
      </c>
      <c r="M4170" s="28"/>
      <c r="N4170" s="28"/>
      <c r="O4170" s="20">
        <v>4385.4399999999996</v>
      </c>
      <c r="P4170" s="27" t="str">
        <f t="shared" si="196"/>
        <v>verde</v>
      </c>
    </row>
    <row r="4171" spans="1:16" ht="25.5">
      <c r="A4171" s="3" t="s">
        <v>4</v>
      </c>
      <c r="B4171" s="3" t="s">
        <v>3138</v>
      </c>
      <c r="C4171" s="4">
        <v>296</v>
      </c>
      <c r="D4171" s="3" t="s">
        <v>282</v>
      </c>
      <c r="E4171" s="3" t="s">
        <v>10</v>
      </c>
      <c r="F4171" s="5">
        <v>0</v>
      </c>
      <c r="G4171" s="5">
        <v>84</v>
      </c>
      <c r="H4171" s="6">
        <v>0</v>
      </c>
      <c r="I4171" s="22">
        <v>4062.0210000000002</v>
      </c>
      <c r="J4171" s="24">
        <f t="shared" si="195"/>
        <v>2.8146238821145651E-5</v>
      </c>
      <c r="K4171" s="25">
        <f t="shared" si="197"/>
        <v>0.98751499559202927</v>
      </c>
      <c r="L4171" s="26" t="s">
        <v>7518</v>
      </c>
      <c r="M4171" s="28">
        <v>5.520935820696733E-3</v>
      </c>
      <c r="N4171" s="28"/>
      <c r="O4171" s="20">
        <v>4062.0210000000002</v>
      </c>
      <c r="P4171" s="27" t="str">
        <f t="shared" si="196"/>
        <v>verde</v>
      </c>
    </row>
    <row r="4172" spans="1:16" ht="38.25">
      <c r="A4172" s="3" t="s">
        <v>4</v>
      </c>
      <c r="B4172" s="3" t="s">
        <v>3139</v>
      </c>
      <c r="C4172" s="4">
        <v>38</v>
      </c>
      <c r="D4172" s="3" t="s">
        <v>184</v>
      </c>
      <c r="E4172" s="3" t="s">
        <v>49</v>
      </c>
      <c r="F4172" s="5">
        <v>78</v>
      </c>
      <c r="G4172" s="5">
        <v>72</v>
      </c>
      <c r="H4172" s="6">
        <v>3801.78</v>
      </c>
      <c r="I4172" s="22">
        <v>4061.82</v>
      </c>
      <c r="J4172" s="24">
        <f t="shared" si="195"/>
        <v>2.8144846067636243E-5</v>
      </c>
      <c r="K4172" s="25">
        <f t="shared" si="197"/>
        <v>0.98754314043809688</v>
      </c>
      <c r="L4172" s="26" t="s">
        <v>7518</v>
      </c>
      <c r="M4172" s="28"/>
      <c r="N4172" s="28"/>
      <c r="O4172" s="20">
        <v>7158.69</v>
      </c>
      <c r="P4172" s="27" t="str">
        <f t="shared" si="196"/>
        <v>verde</v>
      </c>
    </row>
    <row r="4173" spans="1:16" ht="38.25">
      <c r="A4173" s="3" t="s">
        <v>4</v>
      </c>
      <c r="B4173" s="3" t="s">
        <v>3140</v>
      </c>
      <c r="C4173" s="4">
        <v>371</v>
      </c>
      <c r="D4173" s="3" t="s">
        <v>82</v>
      </c>
      <c r="E4173" s="3" t="s">
        <v>49</v>
      </c>
      <c r="F4173" s="5">
        <v>84</v>
      </c>
      <c r="G4173" s="5">
        <v>66</v>
      </c>
      <c r="H4173" s="6">
        <v>4583.16</v>
      </c>
      <c r="I4173" s="22">
        <v>4061.49</v>
      </c>
      <c r="J4173" s="24">
        <f t="shared" si="195"/>
        <v>2.8142559457396906E-5</v>
      </c>
      <c r="K4173" s="25">
        <f t="shared" si="197"/>
        <v>0.98757128299755426</v>
      </c>
      <c r="L4173" s="26" t="s">
        <v>7518</v>
      </c>
      <c r="M4173" s="28"/>
      <c r="N4173" s="28"/>
      <c r="O4173" s="20">
        <v>3995.04</v>
      </c>
      <c r="P4173" s="27" t="str">
        <f t="shared" si="196"/>
        <v>laranja</v>
      </c>
    </row>
    <row r="4174" spans="1:16" ht="25.5">
      <c r="A4174" s="3" t="s">
        <v>4</v>
      </c>
      <c r="B4174" s="3" t="s">
        <v>3141</v>
      </c>
      <c r="C4174" s="4">
        <v>231</v>
      </c>
      <c r="D4174" s="3" t="s">
        <v>52</v>
      </c>
      <c r="E4174" s="3" t="s">
        <v>7</v>
      </c>
      <c r="F4174" s="5">
        <v>216</v>
      </c>
      <c r="G4174" s="5">
        <v>60</v>
      </c>
      <c r="H4174" s="6">
        <v>13322.82</v>
      </c>
      <c r="I4174" s="22">
        <v>4061.4</v>
      </c>
      <c r="J4174" s="24">
        <f t="shared" si="195"/>
        <v>2.8141935836422546E-5</v>
      </c>
      <c r="K4174" s="25">
        <f t="shared" si="197"/>
        <v>0.9875994249333907</v>
      </c>
      <c r="L4174" s="26" t="s">
        <v>7518</v>
      </c>
      <c r="M4174" s="28"/>
      <c r="N4174" s="28"/>
      <c r="O4174" s="20">
        <v>4687.92</v>
      </c>
      <c r="P4174" s="27" t="str">
        <f t="shared" si="196"/>
        <v>verde</v>
      </c>
    </row>
    <row r="4175" spans="1:16" ht="25.5">
      <c r="A4175" s="3" t="s">
        <v>4</v>
      </c>
      <c r="B4175" s="3" t="s">
        <v>3142</v>
      </c>
      <c r="C4175" s="4">
        <v>31</v>
      </c>
      <c r="D4175" s="3" t="s">
        <v>194</v>
      </c>
      <c r="E4175" s="3" t="s">
        <v>16</v>
      </c>
      <c r="F4175" s="5">
        <v>0</v>
      </c>
      <c r="G4175" s="5">
        <v>72</v>
      </c>
      <c r="H4175" s="6">
        <v>0</v>
      </c>
      <c r="I4175" s="22">
        <v>4055.76</v>
      </c>
      <c r="J4175" s="24">
        <f t="shared" si="195"/>
        <v>2.8102855588695798E-5</v>
      </c>
      <c r="K4175" s="25">
        <f t="shared" si="197"/>
        <v>0.98762752778897944</v>
      </c>
      <c r="L4175" s="26" t="s">
        <v>7518</v>
      </c>
      <c r="M4175" s="28"/>
      <c r="N4175" s="28"/>
      <c r="O4175" s="20" t="s">
        <v>7530</v>
      </c>
      <c r="P4175" s="27" t="str">
        <f t="shared" si="196"/>
        <v>vermelho</v>
      </c>
    </row>
    <row r="4176" spans="1:16" ht="25.5">
      <c r="A4176" s="3" t="s">
        <v>4</v>
      </c>
      <c r="B4176" s="3" t="s">
        <v>3143</v>
      </c>
      <c r="C4176" s="4">
        <v>194</v>
      </c>
      <c r="D4176" s="3" t="s">
        <v>145</v>
      </c>
      <c r="E4176" s="3" t="s">
        <v>16</v>
      </c>
      <c r="F4176" s="5">
        <v>114</v>
      </c>
      <c r="G4176" s="5">
        <v>60</v>
      </c>
      <c r="H4176" s="6">
        <v>7486.23</v>
      </c>
      <c r="I4176" s="22">
        <v>4055.4</v>
      </c>
      <c r="J4176" s="24">
        <f t="shared" si="195"/>
        <v>2.8100361104798345E-5</v>
      </c>
      <c r="K4176" s="25">
        <f t="shared" si="197"/>
        <v>0.98765562815008423</v>
      </c>
      <c r="L4176" s="26" t="s">
        <v>7518</v>
      </c>
      <c r="M4176" s="28"/>
      <c r="N4176" s="28"/>
      <c r="O4176" s="20">
        <v>2237.16</v>
      </c>
      <c r="P4176" s="27" t="str">
        <f t="shared" si="196"/>
        <v>laranja</v>
      </c>
    </row>
    <row r="4177" spans="1:16">
      <c r="A4177" s="3" t="s">
        <v>4</v>
      </c>
      <c r="B4177" s="3" t="s">
        <v>3144</v>
      </c>
      <c r="C4177" s="4">
        <v>232</v>
      </c>
      <c r="D4177" s="3" t="s">
        <v>174</v>
      </c>
      <c r="E4177" s="3" t="s">
        <v>16</v>
      </c>
      <c r="F4177" s="5">
        <v>162</v>
      </c>
      <c r="G4177" s="5">
        <v>66</v>
      </c>
      <c r="H4177" s="6">
        <v>9493.92</v>
      </c>
      <c r="I4177" s="22">
        <v>4050.78</v>
      </c>
      <c r="J4177" s="24">
        <f t="shared" si="195"/>
        <v>2.806834856144771E-5</v>
      </c>
      <c r="K4177" s="25">
        <f t="shared" si="197"/>
        <v>0.98768369649864562</v>
      </c>
      <c r="L4177" s="26" t="s">
        <v>7518</v>
      </c>
      <c r="M4177" s="28"/>
      <c r="N4177" s="28"/>
      <c r="O4177" s="20" t="s">
        <v>7530</v>
      </c>
      <c r="P4177" s="27" t="str">
        <f t="shared" si="196"/>
        <v>vermelho</v>
      </c>
    </row>
    <row r="4178" spans="1:16" ht="25.5">
      <c r="A4178" s="3" t="s">
        <v>4</v>
      </c>
      <c r="B4178" s="3" t="s">
        <v>3145</v>
      </c>
      <c r="C4178" s="4">
        <v>218</v>
      </c>
      <c r="D4178" s="3" t="s">
        <v>104</v>
      </c>
      <c r="E4178" s="3" t="s">
        <v>16</v>
      </c>
      <c r="F4178" s="5">
        <v>210</v>
      </c>
      <c r="G4178" s="5">
        <v>84</v>
      </c>
      <c r="H4178" s="6">
        <v>10767.9</v>
      </c>
      <c r="I4178" s="22">
        <v>4048.44</v>
      </c>
      <c r="J4178" s="24">
        <f t="shared" si="195"/>
        <v>2.8052134416114268E-5</v>
      </c>
      <c r="K4178" s="25">
        <f t="shared" si="197"/>
        <v>0.98771174863306177</v>
      </c>
      <c r="L4178" s="26" t="s">
        <v>7518</v>
      </c>
      <c r="M4178" s="28"/>
      <c r="N4178" s="28"/>
      <c r="O4178" s="20" t="s">
        <v>7530</v>
      </c>
      <c r="P4178" s="27" t="str">
        <f t="shared" si="196"/>
        <v>vermelho</v>
      </c>
    </row>
    <row r="4179" spans="1:16" ht="38.25">
      <c r="A4179" s="3" t="s">
        <v>4</v>
      </c>
      <c r="B4179" s="3" t="s">
        <v>3146</v>
      </c>
      <c r="C4179" s="4">
        <v>34</v>
      </c>
      <c r="D4179" s="3" t="s">
        <v>54</v>
      </c>
      <c r="E4179" s="3" t="s">
        <v>49</v>
      </c>
      <c r="F4179" s="5">
        <v>48</v>
      </c>
      <c r="G4179" s="5">
        <v>96</v>
      </c>
      <c r="H4179" s="6">
        <v>2481.1799999999998</v>
      </c>
      <c r="I4179" s="22">
        <v>4048.08</v>
      </c>
      <c r="J4179" s="24">
        <f t="shared" si="195"/>
        <v>2.8049639932216815E-5</v>
      </c>
      <c r="K4179" s="25">
        <f t="shared" si="197"/>
        <v>0.98773979827299396</v>
      </c>
      <c r="L4179" s="26" t="s">
        <v>7518</v>
      </c>
      <c r="M4179" s="28"/>
      <c r="N4179" s="28"/>
      <c r="O4179" s="20" t="s">
        <v>7530</v>
      </c>
      <c r="P4179" s="27" t="str">
        <f t="shared" si="196"/>
        <v>vermelho</v>
      </c>
    </row>
    <row r="4180" spans="1:16" ht="51">
      <c r="A4180" s="3" t="s">
        <v>4</v>
      </c>
      <c r="B4180" s="3" t="s">
        <v>3147</v>
      </c>
      <c r="C4180" s="4">
        <v>282</v>
      </c>
      <c r="D4180" s="3" t="s">
        <v>12</v>
      </c>
      <c r="E4180" s="3" t="s">
        <v>13</v>
      </c>
      <c r="F4180" s="5">
        <v>168</v>
      </c>
      <c r="G4180" s="5">
        <v>72</v>
      </c>
      <c r="H4180" s="6">
        <v>9325.23</v>
      </c>
      <c r="I4180" s="22">
        <v>4047.9119999999998</v>
      </c>
      <c r="J4180" s="24">
        <f t="shared" si="195"/>
        <v>2.8048475839731336E-5</v>
      </c>
      <c r="K4180" s="25">
        <f t="shared" si="197"/>
        <v>0.98776784674883367</v>
      </c>
      <c r="L4180" s="26" t="s">
        <v>7518</v>
      </c>
      <c r="M4180" s="28"/>
      <c r="N4180" s="28"/>
      <c r="O4180" s="20" t="s">
        <v>7530</v>
      </c>
      <c r="P4180" s="27" t="str">
        <f t="shared" si="196"/>
        <v>vermelho</v>
      </c>
    </row>
    <row r="4181" spans="1:16">
      <c r="A4181" s="3" t="s">
        <v>4</v>
      </c>
      <c r="B4181" s="3" t="s">
        <v>3148</v>
      </c>
      <c r="C4181" s="4">
        <v>217</v>
      </c>
      <c r="D4181" s="3" t="s">
        <v>91</v>
      </c>
      <c r="E4181" s="3" t="s">
        <v>16</v>
      </c>
      <c r="F4181" s="5">
        <v>168</v>
      </c>
      <c r="G4181" s="5">
        <v>72</v>
      </c>
      <c r="H4181" s="6">
        <v>7956.12</v>
      </c>
      <c r="I4181" s="22">
        <v>4038.48</v>
      </c>
      <c r="J4181" s="24">
        <f t="shared" si="195"/>
        <v>2.7983120361618092E-5</v>
      </c>
      <c r="K4181" s="25">
        <f t="shared" si="197"/>
        <v>0.98779582986919523</v>
      </c>
      <c r="L4181" s="26" t="s">
        <v>7518</v>
      </c>
      <c r="M4181" s="28"/>
      <c r="N4181" s="28"/>
      <c r="O4181" s="20" t="s">
        <v>7530</v>
      </c>
      <c r="P4181" s="27" t="str">
        <f t="shared" si="196"/>
        <v>vermelho</v>
      </c>
    </row>
    <row r="4182" spans="1:16">
      <c r="A4182" s="3" t="s">
        <v>4</v>
      </c>
      <c r="B4182" s="3" t="s">
        <v>3149</v>
      </c>
      <c r="C4182" s="4">
        <v>315</v>
      </c>
      <c r="D4182" s="3" t="s">
        <v>63</v>
      </c>
      <c r="E4182" s="3" t="s">
        <v>7</v>
      </c>
      <c r="F4182" s="5">
        <v>126</v>
      </c>
      <c r="G4182" s="5">
        <v>69</v>
      </c>
      <c r="H4182" s="6">
        <v>6860.16</v>
      </c>
      <c r="I4182" s="22">
        <v>4034.82</v>
      </c>
      <c r="J4182" s="24">
        <f t="shared" si="195"/>
        <v>2.7957759775327332E-5</v>
      </c>
      <c r="K4182" s="25">
        <f t="shared" si="197"/>
        <v>0.98782378762897061</v>
      </c>
      <c r="L4182" s="26" t="s">
        <v>7518</v>
      </c>
      <c r="M4182" s="28"/>
      <c r="N4182" s="28"/>
      <c r="O4182" s="20" t="s">
        <v>7530</v>
      </c>
      <c r="P4182" s="27" t="str">
        <f t="shared" si="196"/>
        <v>vermelho</v>
      </c>
    </row>
    <row r="4183" spans="1:16" ht="25.5">
      <c r="A4183" s="3" t="s">
        <v>4</v>
      </c>
      <c r="B4183" s="3" t="s">
        <v>3150</v>
      </c>
      <c r="C4183" s="4">
        <v>39</v>
      </c>
      <c r="D4183" s="3" t="s">
        <v>26</v>
      </c>
      <c r="E4183" s="3" t="s">
        <v>13</v>
      </c>
      <c r="F4183" s="5">
        <v>96</v>
      </c>
      <c r="G4183" s="5">
        <v>63</v>
      </c>
      <c r="H4183" s="6">
        <v>4981.32</v>
      </c>
      <c r="I4183" s="22">
        <v>4034.7</v>
      </c>
      <c r="J4183" s="24">
        <f t="shared" si="195"/>
        <v>2.7956928280694843E-5</v>
      </c>
      <c r="K4183" s="25">
        <f t="shared" si="197"/>
        <v>0.98785174455725133</v>
      </c>
      <c r="L4183" s="26" t="s">
        <v>7518</v>
      </c>
      <c r="M4183" s="28"/>
      <c r="N4183" s="28"/>
      <c r="O4183" s="20" t="s">
        <v>7530</v>
      </c>
      <c r="P4183" s="27" t="str">
        <f t="shared" si="196"/>
        <v>vermelho</v>
      </c>
    </row>
    <row r="4184" spans="1:16">
      <c r="A4184" s="3" t="s">
        <v>4</v>
      </c>
      <c r="B4184" s="3" t="s">
        <v>3151</v>
      </c>
      <c r="C4184" s="4">
        <v>15</v>
      </c>
      <c r="D4184" s="3" t="s">
        <v>18</v>
      </c>
      <c r="E4184" s="3" t="s">
        <v>16</v>
      </c>
      <c r="F4184" s="5">
        <v>264</v>
      </c>
      <c r="G4184" s="5">
        <v>84</v>
      </c>
      <c r="H4184" s="6">
        <v>15123.24</v>
      </c>
      <c r="I4184" s="22">
        <v>4031.16</v>
      </c>
      <c r="J4184" s="24">
        <f t="shared" si="195"/>
        <v>2.7932399189036565E-5</v>
      </c>
      <c r="K4184" s="25">
        <f t="shared" si="197"/>
        <v>0.98787967695644041</v>
      </c>
      <c r="L4184" s="26" t="s">
        <v>7518</v>
      </c>
      <c r="M4184" s="28"/>
      <c r="N4184" s="28"/>
      <c r="O4184" s="20" t="s">
        <v>7530</v>
      </c>
      <c r="P4184" s="27" t="str">
        <f t="shared" si="196"/>
        <v>vermelho</v>
      </c>
    </row>
    <row r="4185" spans="1:16" ht="25.5">
      <c r="A4185" s="3" t="s">
        <v>4</v>
      </c>
      <c r="B4185" s="3" t="s">
        <v>3152</v>
      </c>
      <c r="C4185" s="4">
        <v>266</v>
      </c>
      <c r="D4185" s="3" t="s">
        <v>80</v>
      </c>
      <c r="E4185" s="3" t="s">
        <v>10</v>
      </c>
      <c r="F4185" s="5">
        <v>240</v>
      </c>
      <c r="G4185" s="5">
        <v>72</v>
      </c>
      <c r="H4185" s="6">
        <v>14279.55</v>
      </c>
      <c r="I4185" s="22">
        <v>4026.24</v>
      </c>
      <c r="J4185" s="24">
        <f t="shared" si="195"/>
        <v>2.7898307909104717E-5</v>
      </c>
      <c r="K4185" s="25">
        <f t="shared" si="197"/>
        <v>0.98790757526434947</v>
      </c>
      <c r="L4185" s="26" t="s">
        <v>7518</v>
      </c>
      <c r="M4185" s="28"/>
      <c r="N4185" s="28"/>
      <c r="O4185" s="20" t="s">
        <v>7530</v>
      </c>
      <c r="P4185" s="27" t="str">
        <f t="shared" si="196"/>
        <v>vermelho</v>
      </c>
    </row>
    <row r="4186" spans="1:16" ht="25.5">
      <c r="A4186" s="3" t="s">
        <v>4</v>
      </c>
      <c r="B4186" s="3" t="s">
        <v>3153</v>
      </c>
      <c r="C4186" s="4">
        <v>194</v>
      </c>
      <c r="D4186" s="3" t="s">
        <v>145</v>
      </c>
      <c r="E4186" s="3" t="s">
        <v>16</v>
      </c>
      <c r="F4186" s="5">
        <v>144</v>
      </c>
      <c r="G4186" s="5">
        <v>96</v>
      </c>
      <c r="H4186" s="6">
        <v>7666.92</v>
      </c>
      <c r="I4186" s="22">
        <v>4020.24</v>
      </c>
      <c r="J4186" s="24">
        <f t="shared" si="195"/>
        <v>2.7856733177480515E-5</v>
      </c>
      <c r="K4186" s="25">
        <f t="shared" si="197"/>
        <v>0.98793543199752698</v>
      </c>
      <c r="L4186" s="26" t="s">
        <v>7518</v>
      </c>
      <c r="M4186" s="28"/>
      <c r="N4186" s="28"/>
      <c r="O4186" s="20">
        <v>7843.56</v>
      </c>
      <c r="P4186" s="27" t="str">
        <f t="shared" si="196"/>
        <v>verde</v>
      </c>
    </row>
    <row r="4187" spans="1:16" ht="25.5">
      <c r="A4187" s="3" t="s">
        <v>4</v>
      </c>
      <c r="B4187" s="3" t="s">
        <v>3154</v>
      </c>
      <c r="C4187" s="4">
        <v>327</v>
      </c>
      <c r="D4187" s="3" t="s">
        <v>100</v>
      </c>
      <c r="E4187" s="3" t="s">
        <v>7</v>
      </c>
      <c r="F4187" s="5">
        <v>0</v>
      </c>
      <c r="G4187" s="5">
        <v>60</v>
      </c>
      <c r="H4187" s="6">
        <v>0</v>
      </c>
      <c r="I4187" s="22">
        <v>4009.44</v>
      </c>
      <c r="J4187" s="24">
        <f t="shared" si="195"/>
        <v>2.7781898660556954E-5</v>
      </c>
      <c r="K4187" s="25">
        <f t="shared" si="197"/>
        <v>0.98796321389618758</v>
      </c>
      <c r="L4187" s="26" t="s">
        <v>7518</v>
      </c>
      <c r="M4187" s="28"/>
      <c r="N4187" s="28"/>
      <c r="O4187" s="20" t="s">
        <v>7530</v>
      </c>
      <c r="P4187" s="27" t="str">
        <f t="shared" si="196"/>
        <v>vermelho</v>
      </c>
    </row>
    <row r="4188" spans="1:16">
      <c r="A4188" s="3" t="s">
        <v>7008</v>
      </c>
      <c r="B4188" s="3" t="s">
        <v>7009</v>
      </c>
      <c r="C4188" s="4">
        <v>217</v>
      </c>
      <c r="D4188" s="3" t="s">
        <v>91</v>
      </c>
      <c r="E4188" s="3" t="s">
        <v>16</v>
      </c>
      <c r="F4188" s="5">
        <v>0</v>
      </c>
      <c r="G4188" s="5">
        <v>66</v>
      </c>
      <c r="H4188" s="6">
        <v>0</v>
      </c>
      <c r="I4188" s="22">
        <v>4004.04</v>
      </c>
      <c r="J4188" s="24">
        <f t="shared" si="195"/>
        <v>2.7744481402095173E-5</v>
      </c>
      <c r="K4188" s="25">
        <f t="shared" si="197"/>
        <v>0.98799095837758966</v>
      </c>
      <c r="L4188" s="26" t="s">
        <v>7518</v>
      </c>
      <c r="M4188" s="28"/>
      <c r="N4188" s="28"/>
      <c r="O4188" s="20" t="s">
        <v>7530</v>
      </c>
      <c r="P4188" s="27" t="str">
        <f t="shared" si="196"/>
        <v>vermelho</v>
      </c>
    </row>
    <row r="4189" spans="1:16" ht="25.5">
      <c r="A4189" s="3" t="s">
        <v>7010</v>
      </c>
      <c r="B4189" s="3" t="s">
        <v>7011</v>
      </c>
      <c r="C4189" s="4">
        <v>93</v>
      </c>
      <c r="D4189" s="3" t="s">
        <v>20</v>
      </c>
      <c r="E4189" s="3" t="s">
        <v>7</v>
      </c>
      <c r="F4189" s="5">
        <v>306</v>
      </c>
      <c r="G4189" s="5">
        <v>66</v>
      </c>
      <c r="H4189" s="6">
        <v>14879.58</v>
      </c>
      <c r="I4189" s="22">
        <v>3997.14</v>
      </c>
      <c r="J4189" s="24">
        <f t="shared" si="195"/>
        <v>2.7696670460727339E-5</v>
      </c>
      <c r="K4189" s="25">
        <f t="shared" si="197"/>
        <v>0.98801865504805042</v>
      </c>
      <c r="L4189" s="26" t="s">
        <v>7518</v>
      </c>
      <c r="M4189" s="28"/>
      <c r="N4189" s="28"/>
      <c r="O4189" s="20" t="s">
        <v>7530</v>
      </c>
      <c r="P4189" s="27" t="str">
        <f t="shared" si="196"/>
        <v>vermelho</v>
      </c>
    </row>
    <row r="4190" spans="1:16" ht="25.5">
      <c r="A4190" s="3" t="s">
        <v>4</v>
      </c>
      <c r="B4190" s="3" t="s">
        <v>3155</v>
      </c>
      <c r="C4190" s="4">
        <v>31</v>
      </c>
      <c r="D4190" s="3" t="s">
        <v>194</v>
      </c>
      <c r="E4190" s="3" t="s">
        <v>16</v>
      </c>
      <c r="F4190" s="5">
        <v>0</v>
      </c>
      <c r="G4190" s="5">
        <v>72</v>
      </c>
      <c r="H4190" s="6">
        <v>0</v>
      </c>
      <c r="I4190" s="22">
        <v>3995.04</v>
      </c>
      <c r="J4190" s="24">
        <f t="shared" si="195"/>
        <v>2.7682119304658868E-5</v>
      </c>
      <c r="K4190" s="25">
        <f t="shared" si="197"/>
        <v>0.98804633716735513</v>
      </c>
      <c r="L4190" s="26" t="s">
        <v>7518</v>
      </c>
      <c r="M4190" s="28"/>
      <c r="N4190" s="28"/>
      <c r="O4190" s="20" t="s">
        <v>7530</v>
      </c>
      <c r="P4190" s="27" t="str">
        <f t="shared" si="196"/>
        <v>vermelho</v>
      </c>
    </row>
    <row r="4191" spans="1:16" ht="51">
      <c r="A4191" s="3" t="s">
        <v>4</v>
      </c>
      <c r="B4191" s="3" t="s">
        <v>3156</v>
      </c>
      <c r="C4191" s="4">
        <v>282</v>
      </c>
      <c r="D4191" s="3" t="s">
        <v>12</v>
      </c>
      <c r="E4191" s="3" t="s">
        <v>13</v>
      </c>
      <c r="F4191" s="5">
        <v>674</v>
      </c>
      <c r="G4191" s="5">
        <v>60</v>
      </c>
      <c r="H4191" s="6">
        <v>21747.284</v>
      </c>
      <c r="I4191" s="22">
        <v>3994.8</v>
      </c>
      <c r="J4191" s="24">
        <f t="shared" si="195"/>
        <v>2.76804563153939E-5</v>
      </c>
      <c r="K4191" s="25">
        <f t="shared" si="197"/>
        <v>0.98807401762367053</v>
      </c>
      <c r="L4191" s="26" t="s">
        <v>7518</v>
      </c>
      <c r="M4191" s="28"/>
      <c r="N4191" s="28"/>
      <c r="O4191" s="20" t="s">
        <v>7530</v>
      </c>
      <c r="P4191" s="27" t="str">
        <f t="shared" si="196"/>
        <v>vermelho</v>
      </c>
    </row>
    <row r="4192" spans="1:16" ht="25.5">
      <c r="A4192" s="3" t="s">
        <v>4</v>
      </c>
      <c r="B4192" s="3" t="s">
        <v>3157</v>
      </c>
      <c r="C4192" s="4">
        <v>240</v>
      </c>
      <c r="D4192" s="3" t="s">
        <v>69</v>
      </c>
      <c r="E4192" s="3" t="s">
        <v>16</v>
      </c>
      <c r="F4192" s="5">
        <v>42</v>
      </c>
      <c r="G4192" s="5">
        <v>60</v>
      </c>
      <c r="H4192" s="6">
        <v>2936.1</v>
      </c>
      <c r="I4192" s="22">
        <v>3989.64</v>
      </c>
      <c r="J4192" s="24">
        <f t="shared" si="195"/>
        <v>2.7644702046197084E-5</v>
      </c>
      <c r="K4192" s="25">
        <f t="shared" si="197"/>
        <v>0.98810166232571672</v>
      </c>
      <c r="L4192" s="26" t="s">
        <v>7518</v>
      </c>
      <c r="M4192" s="28"/>
      <c r="N4192" s="28"/>
      <c r="O4192" s="20" t="s">
        <v>7530</v>
      </c>
      <c r="P4192" s="27" t="str">
        <f t="shared" si="196"/>
        <v>vermelho</v>
      </c>
    </row>
    <row r="4193" spans="1:16" ht="38.25">
      <c r="A4193" s="3" t="s">
        <v>4</v>
      </c>
      <c r="B4193" s="3" t="s">
        <v>3158</v>
      </c>
      <c r="C4193" s="4">
        <v>331</v>
      </c>
      <c r="D4193" s="3" t="s">
        <v>603</v>
      </c>
      <c r="E4193" s="3" t="s">
        <v>13</v>
      </c>
      <c r="F4193" s="5">
        <v>0</v>
      </c>
      <c r="G4193" s="5">
        <v>78</v>
      </c>
      <c r="H4193" s="6">
        <v>0</v>
      </c>
      <c r="I4193" s="22">
        <v>3987.36</v>
      </c>
      <c r="J4193" s="24">
        <f t="shared" si="195"/>
        <v>2.7628903648179892E-5</v>
      </c>
      <c r="K4193" s="25">
        <f t="shared" si="197"/>
        <v>0.98812929122936488</v>
      </c>
      <c r="L4193" s="26" t="s">
        <v>7518</v>
      </c>
      <c r="M4193" s="28"/>
      <c r="N4193" s="28"/>
      <c r="O4193" s="20" t="s">
        <v>7530</v>
      </c>
      <c r="P4193" s="27" t="str">
        <f t="shared" si="196"/>
        <v>vermelho</v>
      </c>
    </row>
    <row r="4194" spans="1:16" ht="25.5">
      <c r="A4194" s="3" t="s">
        <v>4</v>
      </c>
      <c r="B4194" s="3" t="s">
        <v>3159</v>
      </c>
      <c r="C4194" s="4">
        <v>264</v>
      </c>
      <c r="D4194" s="3" t="s">
        <v>40</v>
      </c>
      <c r="E4194" s="3" t="s">
        <v>41</v>
      </c>
      <c r="F4194" s="5">
        <v>0</v>
      </c>
      <c r="G4194" s="5">
        <v>84</v>
      </c>
      <c r="H4194" s="6">
        <v>0</v>
      </c>
      <c r="I4194" s="22">
        <v>3977.9369999999999</v>
      </c>
      <c r="J4194" s="24">
        <f t="shared" si="195"/>
        <v>2.7563610532164077E-5</v>
      </c>
      <c r="K4194" s="25">
        <f t="shared" si="197"/>
        <v>0.98815685483989701</v>
      </c>
      <c r="L4194" s="26" t="s">
        <v>7518</v>
      </c>
      <c r="M4194" s="28"/>
      <c r="N4194" s="28"/>
      <c r="O4194" s="20" t="s">
        <v>7530</v>
      </c>
      <c r="P4194" s="27" t="str">
        <f t="shared" si="196"/>
        <v>vermelho</v>
      </c>
    </row>
    <row r="4195" spans="1:16" ht="25.5">
      <c r="A4195" s="3" t="s">
        <v>4</v>
      </c>
      <c r="B4195" s="3" t="s">
        <v>3160</v>
      </c>
      <c r="C4195" s="4">
        <v>31</v>
      </c>
      <c r="D4195" s="3" t="s">
        <v>194</v>
      </c>
      <c r="E4195" s="3" t="s">
        <v>16</v>
      </c>
      <c r="F4195" s="5">
        <v>204</v>
      </c>
      <c r="G4195" s="5">
        <v>66</v>
      </c>
      <c r="H4195" s="6">
        <v>11457.84</v>
      </c>
      <c r="I4195" s="22">
        <v>3971.34</v>
      </c>
      <c r="J4195" s="24">
        <f t="shared" si="195"/>
        <v>2.7517899114743271E-5</v>
      </c>
      <c r="K4195" s="25">
        <f t="shared" si="197"/>
        <v>0.98818437273901172</v>
      </c>
      <c r="L4195" s="26" t="s">
        <v>7518</v>
      </c>
      <c r="M4195" s="28"/>
      <c r="N4195" s="28">
        <v>8.4019939995473136E-2</v>
      </c>
      <c r="O4195" s="20">
        <v>2769.6</v>
      </c>
      <c r="P4195" s="27" t="str">
        <f t="shared" si="196"/>
        <v>laranja</v>
      </c>
    </row>
    <row r="4196" spans="1:16" ht="25.5">
      <c r="A4196" s="3" t="s">
        <v>7012</v>
      </c>
      <c r="B4196" s="3" t="s">
        <v>7013</v>
      </c>
      <c r="C4196" s="4">
        <v>194</v>
      </c>
      <c r="D4196" s="3" t="s">
        <v>145</v>
      </c>
      <c r="E4196" s="3" t="s">
        <v>16</v>
      </c>
      <c r="F4196" s="5">
        <v>132</v>
      </c>
      <c r="G4196" s="5">
        <v>120</v>
      </c>
      <c r="H4196" s="6">
        <v>7330.68</v>
      </c>
      <c r="I4196" s="22">
        <v>3965.88</v>
      </c>
      <c r="J4196" s="24">
        <f t="shared" si="195"/>
        <v>2.7480066108965244E-5</v>
      </c>
      <c r="K4196" s="25">
        <f t="shared" si="197"/>
        <v>0.98821185280512069</v>
      </c>
      <c r="L4196" s="26" t="s">
        <v>7518</v>
      </c>
      <c r="M4196" s="28"/>
      <c r="N4196" s="28"/>
      <c r="O4196" s="20" t="s">
        <v>7530</v>
      </c>
      <c r="P4196" s="27" t="str">
        <f t="shared" si="196"/>
        <v>vermelho</v>
      </c>
    </row>
    <row r="4197" spans="1:16" ht="25.5">
      <c r="A4197" s="3" t="s">
        <v>4</v>
      </c>
      <c r="B4197" s="3" t="s">
        <v>3161</v>
      </c>
      <c r="C4197" s="4">
        <v>327</v>
      </c>
      <c r="D4197" s="3" t="s">
        <v>100</v>
      </c>
      <c r="E4197" s="3" t="s">
        <v>7</v>
      </c>
      <c r="F4197" s="5">
        <v>0</v>
      </c>
      <c r="G4197" s="5">
        <v>75</v>
      </c>
      <c r="H4197" s="6">
        <v>0</v>
      </c>
      <c r="I4197" s="22">
        <v>3961.5</v>
      </c>
      <c r="J4197" s="24">
        <f t="shared" si="195"/>
        <v>2.7449716554879577E-5</v>
      </c>
      <c r="K4197" s="25">
        <f t="shared" si="197"/>
        <v>0.98823930252167558</v>
      </c>
      <c r="L4197" s="26" t="s">
        <v>7518</v>
      </c>
      <c r="M4197" s="28"/>
      <c r="N4197" s="28"/>
      <c r="O4197" s="20">
        <v>11055.99</v>
      </c>
      <c r="P4197" s="27" t="str">
        <f t="shared" si="196"/>
        <v>verde</v>
      </c>
    </row>
    <row r="4198" spans="1:16" ht="25.5">
      <c r="A4198" s="3" t="s">
        <v>4</v>
      </c>
      <c r="B4198" s="3" t="s">
        <v>3162</v>
      </c>
      <c r="C4198" s="4">
        <v>197</v>
      </c>
      <c r="D4198" s="3" t="s">
        <v>66</v>
      </c>
      <c r="E4198" s="3" t="s">
        <v>41</v>
      </c>
      <c r="F4198" s="5">
        <v>261</v>
      </c>
      <c r="G4198" s="5">
        <v>66</v>
      </c>
      <c r="H4198" s="6">
        <v>13716.39</v>
      </c>
      <c r="I4198" s="22">
        <v>3954.9</v>
      </c>
      <c r="J4198" s="24">
        <f t="shared" si="195"/>
        <v>2.7403984350092954E-5</v>
      </c>
      <c r="K4198" s="25">
        <f t="shared" si="197"/>
        <v>0.98826670650602566</v>
      </c>
      <c r="L4198" s="26" t="s">
        <v>7518</v>
      </c>
      <c r="M4198" s="28">
        <v>-5.2604224116582381E-2</v>
      </c>
      <c r="N4198" s="28"/>
      <c r="O4198" s="20" t="s">
        <v>7530</v>
      </c>
      <c r="P4198" s="27" t="str">
        <f t="shared" si="196"/>
        <v>vermelho</v>
      </c>
    </row>
    <row r="4199" spans="1:16">
      <c r="A4199" s="3" t="s">
        <v>7014</v>
      </c>
      <c r="B4199" s="3" t="s">
        <v>7015</v>
      </c>
      <c r="C4199" s="4">
        <v>217</v>
      </c>
      <c r="D4199" s="3" t="s">
        <v>91</v>
      </c>
      <c r="E4199" s="3" t="s">
        <v>16</v>
      </c>
      <c r="F4199" s="5">
        <v>60</v>
      </c>
      <c r="G4199" s="5">
        <v>72</v>
      </c>
      <c r="H4199" s="6">
        <v>3475.08</v>
      </c>
      <c r="I4199" s="22">
        <v>3953.28</v>
      </c>
      <c r="J4199" s="24">
        <f t="shared" si="195"/>
        <v>2.7392759172554422E-5</v>
      </c>
      <c r="K4199" s="25">
        <f t="shared" si="197"/>
        <v>0.98829409926519818</v>
      </c>
      <c r="L4199" s="26" t="s">
        <v>7518</v>
      </c>
      <c r="M4199" s="28"/>
      <c r="N4199" s="28"/>
      <c r="O4199" s="20" t="s">
        <v>7530</v>
      </c>
      <c r="P4199" s="27" t="str">
        <f t="shared" si="196"/>
        <v>vermelho</v>
      </c>
    </row>
    <row r="4200" spans="1:16" ht="38.25">
      <c r="A4200" s="3" t="s">
        <v>4</v>
      </c>
      <c r="B4200" s="3" t="s">
        <v>3163</v>
      </c>
      <c r="C4200" s="4">
        <v>38</v>
      </c>
      <c r="D4200" s="3" t="s">
        <v>184</v>
      </c>
      <c r="E4200" s="3" t="s">
        <v>49</v>
      </c>
      <c r="F4200" s="5">
        <v>0</v>
      </c>
      <c r="G4200" s="5">
        <v>63</v>
      </c>
      <c r="H4200" s="6">
        <v>0</v>
      </c>
      <c r="I4200" s="22">
        <v>3950.37</v>
      </c>
      <c r="J4200" s="24">
        <f t="shared" si="195"/>
        <v>2.7372595427716682E-5</v>
      </c>
      <c r="K4200" s="25">
        <f t="shared" si="197"/>
        <v>0.98832147186062591</v>
      </c>
      <c r="L4200" s="26" t="s">
        <v>7518</v>
      </c>
      <c r="M4200" s="28"/>
      <c r="N4200" s="28"/>
      <c r="O4200" s="20" t="s">
        <v>7530</v>
      </c>
      <c r="P4200" s="27" t="str">
        <f t="shared" si="196"/>
        <v>vermelho</v>
      </c>
    </row>
    <row r="4201" spans="1:16" ht="25.5">
      <c r="A4201" s="3" t="s">
        <v>4</v>
      </c>
      <c r="B4201" s="3" t="s">
        <v>3164</v>
      </c>
      <c r="C4201" s="4">
        <v>19</v>
      </c>
      <c r="D4201" s="3" t="s">
        <v>72</v>
      </c>
      <c r="E4201" s="3" t="s">
        <v>41</v>
      </c>
      <c r="F4201" s="5">
        <v>144</v>
      </c>
      <c r="G4201" s="5">
        <v>60</v>
      </c>
      <c r="H4201" s="6">
        <v>7210.92</v>
      </c>
      <c r="I4201" s="22">
        <v>3947.4</v>
      </c>
      <c r="J4201" s="24">
        <f t="shared" si="195"/>
        <v>2.7352015935562703E-5</v>
      </c>
      <c r="K4201" s="25">
        <f t="shared" si="197"/>
        <v>0.98834882387656142</v>
      </c>
      <c r="L4201" s="26" t="s">
        <v>7518</v>
      </c>
      <c r="M4201" s="28"/>
      <c r="N4201" s="28"/>
      <c r="O4201" s="20" t="s">
        <v>7530</v>
      </c>
      <c r="P4201" s="27" t="str">
        <f t="shared" si="196"/>
        <v>vermelho</v>
      </c>
    </row>
    <row r="4202" spans="1:16" ht="25.5">
      <c r="A4202" s="3" t="s">
        <v>4</v>
      </c>
      <c r="B4202" s="3" t="s">
        <v>3165</v>
      </c>
      <c r="C4202" s="4">
        <v>93</v>
      </c>
      <c r="D4202" s="3" t="s">
        <v>20</v>
      </c>
      <c r="E4202" s="3" t="s">
        <v>7</v>
      </c>
      <c r="F4202" s="5">
        <v>0</v>
      </c>
      <c r="G4202" s="5">
        <v>66</v>
      </c>
      <c r="H4202" s="6">
        <v>0</v>
      </c>
      <c r="I4202" s="22">
        <v>3947.34</v>
      </c>
      <c r="J4202" s="24">
        <f t="shared" si="195"/>
        <v>2.735160018824646E-5</v>
      </c>
      <c r="K4202" s="25">
        <f t="shared" si="197"/>
        <v>0.98837617547674972</v>
      </c>
      <c r="L4202" s="26" t="s">
        <v>7518</v>
      </c>
      <c r="M4202" s="28"/>
      <c r="N4202" s="28"/>
      <c r="O4202" s="20" t="s">
        <v>7530</v>
      </c>
      <c r="P4202" s="27" t="str">
        <f t="shared" si="196"/>
        <v>vermelho</v>
      </c>
    </row>
    <row r="4203" spans="1:16" ht="25.5">
      <c r="A4203" s="3" t="s">
        <v>4</v>
      </c>
      <c r="B4203" s="3" t="s">
        <v>3166</v>
      </c>
      <c r="C4203" s="4">
        <v>273</v>
      </c>
      <c r="D4203" s="3" t="s">
        <v>149</v>
      </c>
      <c r="E4203" s="3" t="s">
        <v>16</v>
      </c>
      <c r="F4203" s="5">
        <v>156</v>
      </c>
      <c r="G4203" s="5">
        <v>72</v>
      </c>
      <c r="H4203" s="6">
        <v>9063.66</v>
      </c>
      <c r="I4203" s="22">
        <v>3943.8</v>
      </c>
      <c r="J4203" s="24">
        <f t="shared" si="195"/>
        <v>2.7327071096588182E-5</v>
      </c>
      <c r="K4203" s="25">
        <f t="shared" si="197"/>
        <v>0.98840350254784626</v>
      </c>
      <c r="L4203" s="26" t="s">
        <v>7518</v>
      </c>
      <c r="M4203" s="28"/>
      <c r="N4203" s="28">
        <v>4.2281774519840019E-2</v>
      </c>
      <c r="O4203" s="20">
        <v>3089.28</v>
      </c>
      <c r="P4203" s="27" t="str">
        <f t="shared" si="196"/>
        <v>laranja</v>
      </c>
    </row>
    <row r="4204" spans="1:16" ht="25.5">
      <c r="A4204" s="3" t="s">
        <v>4</v>
      </c>
      <c r="B4204" s="3" t="s">
        <v>3167</v>
      </c>
      <c r="C4204" s="4">
        <v>296</v>
      </c>
      <c r="D4204" s="3" t="s">
        <v>282</v>
      </c>
      <c r="E4204" s="3" t="s">
        <v>10</v>
      </c>
      <c r="F4204" s="5">
        <v>0</v>
      </c>
      <c r="G4204" s="5">
        <v>69</v>
      </c>
      <c r="H4204" s="6">
        <v>0</v>
      </c>
      <c r="I4204" s="22">
        <v>3942.9659999999999</v>
      </c>
      <c r="J4204" s="24">
        <f t="shared" si="195"/>
        <v>2.7321292208892416E-5</v>
      </c>
      <c r="K4204" s="25">
        <f t="shared" si="197"/>
        <v>0.98843082384005509</v>
      </c>
      <c r="L4204" s="26" t="s">
        <v>7518</v>
      </c>
      <c r="M4204" s="28"/>
      <c r="N4204" s="28"/>
      <c r="O4204" s="20" t="s">
        <v>7530</v>
      </c>
      <c r="P4204" s="27" t="str">
        <f t="shared" si="196"/>
        <v>vermelho</v>
      </c>
    </row>
    <row r="4205" spans="1:16" ht="25.5">
      <c r="A4205" s="3" t="s">
        <v>4</v>
      </c>
      <c r="B4205" s="3" t="s">
        <v>3168</v>
      </c>
      <c r="C4205" s="4">
        <v>208</v>
      </c>
      <c r="D4205" s="3" t="s">
        <v>15</v>
      </c>
      <c r="E4205" s="3" t="s">
        <v>16</v>
      </c>
      <c r="F4205" s="5">
        <v>180</v>
      </c>
      <c r="G4205" s="5">
        <v>60</v>
      </c>
      <c r="H4205" s="6">
        <v>9396.6</v>
      </c>
      <c r="I4205" s="22">
        <v>3941.52</v>
      </c>
      <c r="J4205" s="24">
        <f t="shared" si="195"/>
        <v>2.7311272698570983E-5</v>
      </c>
      <c r="K4205" s="25">
        <f t="shared" si="197"/>
        <v>0.98845813511275371</v>
      </c>
      <c r="L4205" s="26" t="s">
        <v>7518</v>
      </c>
      <c r="M4205" s="28"/>
      <c r="N4205" s="28"/>
      <c r="O4205" s="20" t="s">
        <v>7530</v>
      </c>
      <c r="P4205" s="27" t="str">
        <f t="shared" si="196"/>
        <v>vermelho</v>
      </c>
    </row>
    <row r="4206" spans="1:16" ht="38.25">
      <c r="A4206" s="3" t="s">
        <v>4</v>
      </c>
      <c r="B4206" s="3" t="s">
        <v>3169</v>
      </c>
      <c r="C4206" s="4">
        <v>45</v>
      </c>
      <c r="D4206" s="3" t="s">
        <v>23</v>
      </c>
      <c r="E4206" s="3" t="s">
        <v>7</v>
      </c>
      <c r="F4206" s="5">
        <v>108</v>
      </c>
      <c r="G4206" s="5">
        <v>60</v>
      </c>
      <c r="H4206" s="6">
        <v>7042.92</v>
      </c>
      <c r="I4206" s="22">
        <v>3941.52</v>
      </c>
      <c r="J4206" s="24">
        <f t="shared" si="195"/>
        <v>2.7311272698570983E-5</v>
      </c>
      <c r="K4206" s="25">
        <f t="shared" si="197"/>
        <v>0.98848544638545233</v>
      </c>
      <c r="L4206" s="26" t="s">
        <v>7518</v>
      </c>
      <c r="M4206" s="28"/>
      <c r="N4206" s="28"/>
      <c r="O4206" s="20" t="s">
        <v>7530</v>
      </c>
      <c r="P4206" s="27" t="str">
        <f t="shared" si="196"/>
        <v>vermelho</v>
      </c>
    </row>
    <row r="4207" spans="1:16" ht="25.5">
      <c r="A4207" s="3" t="s">
        <v>4</v>
      </c>
      <c r="B4207" s="3" t="s">
        <v>3170</v>
      </c>
      <c r="C4207" s="4">
        <v>53</v>
      </c>
      <c r="D4207" s="3" t="s">
        <v>34</v>
      </c>
      <c r="E4207" s="3" t="s">
        <v>16</v>
      </c>
      <c r="F4207" s="5">
        <v>0</v>
      </c>
      <c r="G4207" s="5">
        <v>84</v>
      </c>
      <c r="H4207" s="6">
        <v>0</v>
      </c>
      <c r="I4207" s="22">
        <v>3937.92</v>
      </c>
      <c r="J4207" s="24">
        <f t="shared" si="195"/>
        <v>2.7286327859596462E-5</v>
      </c>
      <c r="K4207" s="25">
        <f t="shared" si="197"/>
        <v>0.98851273271331197</v>
      </c>
      <c r="L4207" s="26" t="s">
        <v>7518</v>
      </c>
      <c r="M4207" s="28"/>
      <c r="N4207" s="28"/>
      <c r="O4207" s="20">
        <v>4047.84</v>
      </c>
      <c r="P4207" s="27" t="str">
        <f t="shared" si="196"/>
        <v>verde</v>
      </c>
    </row>
    <row r="4208" spans="1:16" ht="38.25">
      <c r="A4208" s="3" t="s">
        <v>4</v>
      </c>
      <c r="B4208" s="3" t="s">
        <v>3171</v>
      </c>
      <c r="C4208" s="4">
        <v>331</v>
      </c>
      <c r="D4208" s="3" t="s">
        <v>603</v>
      </c>
      <c r="E4208" s="3" t="s">
        <v>13</v>
      </c>
      <c r="F4208" s="5">
        <v>129</v>
      </c>
      <c r="G4208" s="5">
        <v>96</v>
      </c>
      <c r="H4208" s="6">
        <v>6492.3869999999997</v>
      </c>
      <c r="I4208" s="22">
        <v>3922.2</v>
      </c>
      <c r="J4208" s="24">
        <f t="shared" si="195"/>
        <v>2.7177402062741052E-5</v>
      </c>
      <c r="K4208" s="25">
        <f t="shared" si="197"/>
        <v>0.98853991011537468</v>
      </c>
      <c r="L4208" s="26" t="s">
        <v>7518</v>
      </c>
      <c r="M4208" s="28"/>
      <c r="N4208" s="28"/>
      <c r="O4208" s="20" t="s">
        <v>7530</v>
      </c>
      <c r="P4208" s="27" t="str">
        <f t="shared" si="196"/>
        <v>vermelho</v>
      </c>
    </row>
    <row r="4209" spans="1:16" ht="25.5">
      <c r="A4209" s="3" t="s">
        <v>4</v>
      </c>
      <c r="B4209" s="3" t="s">
        <v>3172</v>
      </c>
      <c r="C4209" s="4">
        <v>273</v>
      </c>
      <c r="D4209" s="3" t="s">
        <v>149</v>
      </c>
      <c r="E4209" s="3" t="s">
        <v>16</v>
      </c>
      <c r="F4209" s="5">
        <v>72</v>
      </c>
      <c r="G4209" s="5">
        <v>72</v>
      </c>
      <c r="H4209" s="6">
        <v>3392.46</v>
      </c>
      <c r="I4209" s="22">
        <v>3917.28</v>
      </c>
      <c r="J4209" s="24">
        <f t="shared" si="195"/>
        <v>2.7143310782809207E-5</v>
      </c>
      <c r="K4209" s="25">
        <f t="shared" si="197"/>
        <v>0.98856705342615747</v>
      </c>
      <c r="L4209" s="26" t="s">
        <v>7518</v>
      </c>
      <c r="M4209" s="28"/>
      <c r="N4209" s="28"/>
      <c r="O4209" s="20" t="s">
        <v>7530</v>
      </c>
      <c r="P4209" s="27" t="str">
        <f t="shared" si="196"/>
        <v>vermelho</v>
      </c>
    </row>
    <row r="4210" spans="1:16" ht="38.25">
      <c r="A4210" s="3" t="s">
        <v>4</v>
      </c>
      <c r="B4210" s="3" t="s">
        <v>3173</v>
      </c>
      <c r="C4210" s="4">
        <v>11</v>
      </c>
      <c r="D4210" s="3" t="s">
        <v>61</v>
      </c>
      <c r="E4210" s="3" t="s">
        <v>10</v>
      </c>
      <c r="F4210" s="5">
        <v>552</v>
      </c>
      <c r="G4210" s="5">
        <v>72</v>
      </c>
      <c r="H4210" s="6">
        <v>29864.73</v>
      </c>
      <c r="I4210" s="22">
        <v>3912</v>
      </c>
      <c r="J4210" s="24">
        <f t="shared" si="195"/>
        <v>2.7106725018979909E-5</v>
      </c>
      <c r="K4210" s="25">
        <f t="shared" si="197"/>
        <v>0.9885941601511764</v>
      </c>
      <c r="L4210" s="26" t="s">
        <v>7518</v>
      </c>
      <c r="M4210" s="28"/>
      <c r="N4210" s="28"/>
      <c r="O4210" s="20" t="s">
        <v>7530</v>
      </c>
      <c r="P4210" s="27" t="str">
        <f t="shared" si="196"/>
        <v>vermelho</v>
      </c>
    </row>
    <row r="4211" spans="1:16" ht="25.5">
      <c r="A4211" s="3" t="s">
        <v>4</v>
      </c>
      <c r="B4211" s="3" t="s">
        <v>3174</v>
      </c>
      <c r="C4211" s="4">
        <v>337</v>
      </c>
      <c r="D4211" s="3" t="s">
        <v>202</v>
      </c>
      <c r="E4211" s="3" t="s">
        <v>16</v>
      </c>
      <c r="F4211" s="5">
        <v>72</v>
      </c>
      <c r="G4211" s="5">
        <v>60</v>
      </c>
      <c r="H4211" s="6">
        <v>4971.6000000000004</v>
      </c>
      <c r="I4211" s="22">
        <v>3911.76</v>
      </c>
      <c r="J4211" s="24">
        <f t="shared" si="195"/>
        <v>2.7105062029714941E-5</v>
      </c>
      <c r="K4211" s="25">
        <f t="shared" si="197"/>
        <v>0.98862126521320615</v>
      </c>
      <c r="L4211" s="26" t="s">
        <v>7518</v>
      </c>
      <c r="M4211" s="28"/>
      <c r="N4211" s="28"/>
      <c r="O4211" s="20" t="s">
        <v>7530</v>
      </c>
      <c r="P4211" s="27" t="str">
        <f t="shared" si="196"/>
        <v>vermelho</v>
      </c>
    </row>
    <row r="4212" spans="1:16" ht="25.5">
      <c r="A4212" s="3" t="s">
        <v>7016</v>
      </c>
      <c r="B4212" s="3" t="s">
        <v>7017</v>
      </c>
      <c r="C4212" s="4">
        <v>273</v>
      </c>
      <c r="D4212" s="3" t="s">
        <v>149</v>
      </c>
      <c r="E4212" s="3" t="s">
        <v>16</v>
      </c>
      <c r="F4212" s="5">
        <v>0</v>
      </c>
      <c r="G4212" s="5">
        <v>72</v>
      </c>
      <c r="H4212" s="6">
        <v>0</v>
      </c>
      <c r="I4212" s="22">
        <v>3911.76</v>
      </c>
      <c r="J4212" s="24">
        <f t="shared" si="195"/>
        <v>2.7105062029714941E-5</v>
      </c>
      <c r="K4212" s="25">
        <f t="shared" si="197"/>
        <v>0.98864837027523589</v>
      </c>
      <c r="L4212" s="26" t="s">
        <v>7518</v>
      </c>
      <c r="M4212" s="28"/>
      <c r="N4212" s="28"/>
      <c r="O4212" s="20" t="s">
        <v>7530</v>
      </c>
      <c r="P4212" s="27" t="str">
        <f t="shared" si="196"/>
        <v>vermelho</v>
      </c>
    </row>
    <row r="4213" spans="1:16" ht="38.25">
      <c r="A4213" s="3" t="s">
        <v>7018</v>
      </c>
      <c r="B4213" s="3" t="s">
        <v>7019</v>
      </c>
      <c r="C4213" s="4">
        <v>371</v>
      </c>
      <c r="D4213" s="3" t="s">
        <v>82</v>
      </c>
      <c r="E4213" s="3" t="s">
        <v>49</v>
      </c>
      <c r="F4213" s="5">
        <v>66</v>
      </c>
      <c r="G4213" s="5">
        <v>108</v>
      </c>
      <c r="H4213" s="6">
        <v>2582.1179999999999</v>
      </c>
      <c r="I4213" s="22">
        <v>3907.26</v>
      </c>
      <c r="J4213" s="24">
        <f t="shared" si="195"/>
        <v>2.7073880980996789E-5</v>
      </c>
      <c r="K4213" s="25">
        <f t="shared" si="197"/>
        <v>0.98867544415621689</v>
      </c>
      <c r="L4213" s="26" t="s">
        <v>7518</v>
      </c>
      <c r="M4213" s="28"/>
      <c r="N4213" s="28"/>
      <c r="O4213" s="20">
        <v>1582.0920000000001</v>
      </c>
      <c r="P4213" s="27" t="str">
        <f t="shared" si="196"/>
        <v>amarelo</v>
      </c>
    </row>
    <row r="4214" spans="1:16" ht="25.5">
      <c r="A4214" s="3" t="s">
        <v>4</v>
      </c>
      <c r="B4214" s="3" t="s">
        <v>2177</v>
      </c>
      <c r="C4214" s="4">
        <v>264</v>
      </c>
      <c r="D4214" s="3" t="s">
        <v>40</v>
      </c>
      <c r="E4214" s="3" t="s">
        <v>7</v>
      </c>
      <c r="F4214" s="5">
        <v>0</v>
      </c>
      <c r="G4214" s="5">
        <v>54</v>
      </c>
      <c r="H4214" s="6">
        <v>0</v>
      </c>
      <c r="I4214" s="22">
        <v>3896.1</v>
      </c>
      <c r="J4214" s="24">
        <f t="shared" si="195"/>
        <v>2.699655198017577E-5</v>
      </c>
      <c r="K4214" s="25">
        <f t="shared" si="197"/>
        <v>0.98870244070819702</v>
      </c>
      <c r="L4214" s="26" t="s">
        <v>7518</v>
      </c>
      <c r="M4214" s="28"/>
      <c r="N4214" s="28"/>
      <c r="O4214" s="20" t="s">
        <v>7530</v>
      </c>
      <c r="P4214" s="27" t="str">
        <f t="shared" si="196"/>
        <v>vermelho</v>
      </c>
    </row>
    <row r="4215" spans="1:16" ht="25.5">
      <c r="A4215" s="3" t="s">
        <v>4</v>
      </c>
      <c r="B4215" s="3" t="s">
        <v>3175</v>
      </c>
      <c r="C4215" s="4">
        <v>197</v>
      </c>
      <c r="D4215" s="3" t="s">
        <v>66</v>
      </c>
      <c r="E4215" s="3" t="s">
        <v>41</v>
      </c>
      <c r="F4215" s="5">
        <v>0</v>
      </c>
      <c r="G4215" s="5">
        <v>66</v>
      </c>
      <c r="H4215" s="6">
        <v>0</v>
      </c>
      <c r="I4215" s="22">
        <v>3888.36</v>
      </c>
      <c r="J4215" s="24">
        <f t="shared" si="195"/>
        <v>2.6942920576380551E-5</v>
      </c>
      <c r="K4215" s="25">
        <f t="shared" si="197"/>
        <v>0.98872938362877338</v>
      </c>
      <c r="L4215" s="26" t="s">
        <v>7518</v>
      </c>
      <c r="M4215" s="28"/>
      <c r="N4215" s="28"/>
      <c r="O4215" s="20" t="s">
        <v>7530</v>
      </c>
      <c r="P4215" s="27" t="str">
        <f t="shared" si="196"/>
        <v>vermelho</v>
      </c>
    </row>
    <row r="4216" spans="1:16" ht="25.5">
      <c r="A4216" s="3" t="s">
        <v>4</v>
      </c>
      <c r="B4216" s="3" t="s">
        <v>3176</v>
      </c>
      <c r="C4216" s="4">
        <v>328</v>
      </c>
      <c r="D4216" s="3" t="s">
        <v>215</v>
      </c>
      <c r="E4216" s="3" t="s">
        <v>41</v>
      </c>
      <c r="F4216" s="5">
        <v>0</v>
      </c>
      <c r="G4216" s="5">
        <v>96</v>
      </c>
      <c r="H4216" s="6">
        <v>0</v>
      </c>
      <c r="I4216" s="22">
        <v>3888.24</v>
      </c>
      <c r="J4216" s="24">
        <f t="shared" si="195"/>
        <v>2.6942089081748065E-5</v>
      </c>
      <c r="K4216" s="25">
        <f t="shared" si="197"/>
        <v>0.9887563257178551</v>
      </c>
      <c r="L4216" s="26" t="s">
        <v>7518</v>
      </c>
      <c r="M4216" s="28"/>
      <c r="N4216" s="28"/>
      <c r="O4216" s="20" t="s">
        <v>7530</v>
      </c>
      <c r="P4216" s="27" t="str">
        <f t="shared" si="196"/>
        <v>vermelho</v>
      </c>
    </row>
    <row r="4217" spans="1:16" ht="25.5">
      <c r="A4217" s="3" t="s">
        <v>4</v>
      </c>
      <c r="B4217" s="3" t="s">
        <v>3177</v>
      </c>
      <c r="C4217" s="4">
        <v>178</v>
      </c>
      <c r="D4217" s="3" t="s">
        <v>74</v>
      </c>
      <c r="E4217" s="3" t="s">
        <v>7</v>
      </c>
      <c r="F4217" s="5">
        <v>210</v>
      </c>
      <c r="G4217" s="5">
        <v>60</v>
      </c>
      <c r="H4217" s="6">
        <v>11749.86</v>
      </c>
      <c r="I4217" s="22">
        <v>3888.24</v>
      </c>
      <c r="J4217" s="24">
        <f t="shared" si="195"/>
        <v>2.6942089081748065E-5</v>
      </c>
      <c r="K4217" s="25">
        <f t="shared" si="197"/>
        <v>0.98878326780693682</v>
      </c>
      <c r="L4217" s="26" t="s">
        <v>7518</v>
      </c>
      <c r="M4217" s="28"/>
      <c r="N4217" s="28"/>
      <c r="O4217" s="20" t="s">
        <v>7530</v>
      </c>
      <c r="P4217" s="27" t="str">
        <f t="shared" si="196"/>
        <v>vermelho</v>
      </c>
    </row>
    <row r="4218" spans="1:16" ht="25.5">
      <c r="A4218" s="3" t="s">
        <v>4</v>
      </c>
      <c r="B4218" s="3" t="s">
        <v>3178</v>
      </c>
      <c r="C4218" s="4">
        <v>337</v>
      </c>
      <c r="D4218" s="3" t="s">
        <v>202</v>
      </c>
      <c r="E4218" s="3" t="s">
        <v>16</v>
      </c>
      <c r="F4218" s="5">
        <v>0</v>
      </c>
      <c r="G4218" s="5">
        <v>69</v>
      </c>
      <c r="H4218" s="6">
        <v>0</v>
      </c>
      <c r="I4218" s="22">
        <v>3886.181</v>
      </c>
      <c r="J4218" s="24">
        <f t="shared" si="195"/>
        <v>2.6927822019679028E-5</v>
      </c>
      <c r="K4218" s="25">
        <f t="shared" si="197"/>
        <v>0.98881019562895645</v>
      </c>
      <c r="L4218" s="26" t="s">
        <v>7518</v>
      </c>
      <c r="M4218" s="28"/>
      <c r="N4218" s="28"/>
      <c r="O4218" s="20" t="s">
        <v>7530</v>
      </c>
      <c r="P4218" s="27" t="str">
        <f t="shared" si="196"/>
        <v>vermelho</v>
      </c>
    </row>
    <row r="4219" spans="1:16">
      <c r="A4219" s="3" t="s">
        <v>7020</v>
      </c>
      <c r="B4219" s="3" t="s">
        <v>7021</v>
      </c>
      <c r="C4219" s="4">
        <v>15</v>
      </c>
      <c r="D4219" s="3" t="s">
        <v>18</v>
      </c>
      <c r="E4219" s="3" t="s">
        <v>16</v>
      </c>
      <c r="F4219" s="5">
        <v>0</v>
      </c>
      <c r="G4219" s="5">
        <v>78</v>
      </c>
      <c r="H4219" s="6">
        <v>0</v>
      </c>
      <c r="I4219" s="22">
        <v>3885.18</v>
      </c>
      <c r="J4219" s="24">
        <f t="shared" si="195"/>
        <v>2.6920885968619723E-5</v>
      </c>
      <c r="K4219" s="25">
        <f t="shared" si="197"/>
        <v>0.98883711651492512</v>
      </c>
      <c r="L4219" s="26" t="s">
        <v>7518</v>
      </c>
      <c r="M4219" s="28"/>
      <c r="N4219" s="28"/>
      <c r="O4219" s="20" t="s">
        <v>7530</v>
      </c>
      <c r="P4219" s="27" t="str">
        <f t="shared" si="196"/>
        <v>vermelho</v>
      </c>
    </row>
    <row r="4220" spans="1:16" ht="25.5">
      <c r="A4220" s="3" t="s">
        <v>4</v>
      </c>
      <c r="B4220" s="3" t="s">
        <v>3179</v>
      </c>
      <c r="C4220" s="4">
        <v>74</v>
      </c>
      <c r="D4220" s="3" t="s">
        <v>6</v>
      </c>
      <c r="E4220" s="3" t="s">
        <v>7</v>
      </c>
      <c r="F4220" s="5">
        <v>48</v>
      </c>
      <c r="G4220" s="5">
        <v>60</v>
      </c>
      <c r="H4220" s="6">
        <v>3160.08</v>
      </c>
      <c r="I4220" s="22">
        <v>3875.4</v>
      </c>
      <c r="J4220" s="24">
        <f t="shared" si="195"/>
        <v>2.6853119156072276E-5</v>
      </c>
      <c r="K4220" s="25">
        <f t="shared" si="197"/>
        <v>0.98886396963408119</v>
      </c>
      <c r="L4220" s="26" t="s">
        <v>7518</v>
      </c>
      <c r="M4220" s="28"/>
      <c r="N4220" s="28"/>
      <c r="O4220" s="20" t="s">
        <v>7530</v>
      </c>
      <c r="P4220" s="27" t="str">
        <f t="shared" si="196"/>
        <v>vermelho</v>
      </c>
    </row>
    <row r="4221" spans="1:16">
      <c r="A4221" s="3" t="s">
        <v>4</v>
      </c>
      <c r="B4221" s="3" t="s">
        <v>3180</v>
      </c>
      <c r="C4221" s="4">
        <v>315</v>
      </c>
      <c r="D4221" s="3" t="s">
        <v>63</v>
      </c>
      <c r="E4221" s="3" t="s">
        <v>7</v>
      </c>
      <c r="F4221" s="5">
        <v>99</v>
      </c>
      <c r="G4221" s="5">
        <v>72</v>
      </c>
      <c r="H4221" s="6">
        <v>5378.01</v>
      </c>
      <c r="I4221" s="22">
        <v>3874.8</v>
      </c>
      <c r="J4221" s="24">
        <f t="shared" si="195"/>
        <v>2.6848961682909854E-5</v>
      </c>
      <c r="K4221" s="25">
        <f t="shared" si="197"/>
        <v>0.98889081859576411</v>
      </c>
      <c r="L4221" s="26" t="s">
        <v>7518</v>
      </c>
      <c r="M4221" s="28"/>
      <c r="N4221" s="28"/>
      <c r="O4221" s="20" t="s">
        <v>7530</v>
      </c>
      <c r="P4221" s="27" t="str">
        <f t="shared" si="196"/>
        <v>vermelho</v>
      </c>
    </row>
    <row r="4222" spans="1:16" ht="25.5">
      <c r="A4222" s="3" t="s">
        <v>4</v>
      </c>
      <c r="B4222" s="3" t="s">
        <v>3181</v>
      </c>
      <c r="C4222" s="4">
        <v>317</v>
      </c>
      <c r="D4222" s="3" t="s">
        <v>78</v>
      </c>
      <c r="E4222" s="3" t="s">
        <v>10</v>
      </c>
      <c r="F4222" s="5">
        <v>0</v>
      </c>
      <c r="G4222" s="5">
        <v>60</v>
      </c>
      <c r="H4222" s="6">
        <v>0</v>
      </c>
      <c r="I4222" s="22">
        <v>3864.84</v>
      </c>
      <c r="J4222" s="24">
        <f t="shared" si="195"/>
        <v>2.6779947628413679E-5</v>
      </c>
      <c r="K4222" s="25">
        <f t="shared" si="197"/>
        <v>0.98891759854339256</v>
      </c>
      <c r="L4222" s="26" t="s">
        <v>7518</v>
      </c>
      <c r="M4222" s="28"/>
      <c r="N4222" s="28"/>
      <c r="O4222" s="20" t="s">
        <v>7530</v>
      </c>
      <c r="P4222" s="27" t="str">
        <f t="shared" si="196"/>
        <v>vermelho</v>
      </c>
    </row>
    <row r="4223" spans="1:16" ht="25.5">
      <c r="A4223" s="3" t="s">
        <v>4</v>
      </c>
      <c r="B4223" s="3" t="s">
        <v>3182</v>
      </c>
      <c r="C4223" s="4">
        <v>296</v>
      </c>
      <c r="D4223" s="3" t="s">
        <v>282</v>
      </c>
      <c r="E4223" s="3" t="s">
        <v>10</v>
      </c>
      <c r="F4223" s="5">
        <v>0</v>
      </c>
      <c r="G4223" s="5">
        <v>69</v>
      </c>
      <c r="H4223" s="6">
        <v>0</v>
      </c>
      <c r="I4223" s="22">
        <v>3864.03</v>
      </c>
      <c r="J4223" s="24">
        <f t="shared" si="195"/>
        <v>2.6774335039644413E-5</v>
      </c>
      <c r="K4223" s="25">
        <f t="shared" si="197"/>
        <v>0.98894437287843218</v>
      </c>
      <c r="L4223" s="26" t="s">
        <v>7518</v>
      </c>
      <c r="M4223" s="28"/>
      <c r="N4223" s="28"/>
      <c r="O4223" s="20" t="s">
        <v>7530</v>
      </c>
      <c r="P4223" s="27" t="str">
        <f t="shared" si="196"/>
        <v>vermelho</v>
      </c>
    </row>
    <row r="4224" spans="1:16" ht="51">
      <c r="A4224" s="3" t="s">
        <v>4</v>
      </c>
      <c r="B4224" s="3" t="s">
        <v>3183</v>
      </c>
      <c r="C4224" s="4">
        <v>282</v>
      </c>
      <c r="D4224" s="3" t="s">
        <v>12</v>
      </c>
      <c r="E4224" s="3" t="s">
        <v>13</v>
      </c>
      <c r="F4224" s="5">
        <v>0</v>
      </c>
      <c r="G4224" s="5">
        <v>60</v>
      </c>
      <c r="H4224" s="6">
        <v>0</v>
      </c>
      <c r="I4224" s="22">
        <v>3861.6</v>
      </c>
      <c r="J4224" s="24">
        <f t="shared" si="195"/>
        <v>2.6757497273336608E-5</v>
      </c>
      <c r="K4224" s="25">
        <f t="shared" si="197"/>
        <v>0.9889711303757055</v>
      </c>
      <c r="L4224" s="26" t="s">
        <v>7518</v>
      </c>
      <c r="M4224" s="28"/>
      <c r="N4224" s="28"/>
      <c r="O4224" s="20" t="s">
        <v>7530</v>
      </c>
      <c r="P4224" s="27" t="str">
        <f t="shared" si="196"/>
        <v>vermelho</v>
      </c>
    </row>
    <row r="4225" spans="1:16" ht="25.5">
      <c r="A4225" s="3" t="s">
        <v>4</v>
      </c>
      <c r="B4225" s="3" t="s">
        <v>3184</v>
      </c>
      <c r="C4225" s="4">
        <v>337</v>
      </c>
      <c r="D4225" s="3" t="s">
        <v>202</v>
      </c>
      <c r="E4225" s="3" t="s">
        <v>16</v>
      </c>
      <c r="F4225" s="5">
        <v>156</v>
      </c>
      <c r="G4225" s="5">
        <v>72</v>
      </c>
      <c r="H4225" s="6">
        <v>6912.24</v>
      </c>
      <c r="I4225" s="22">
        <v>3858.48</v>
      </c>
      <c r="J4225" s="24">
        <f t="shared" si="195"/>
        <v>2.6735878412892023E-5</v>
      </c>
      <c r="K4225" s="25">
        <f t="shared" si="197"/>
        <v>0.98899786625411834</v>
      </c>
      <c r="L4225" s="26" t="s">
        <v>7518</v>
      </c>
      <c r="M4225" s="28"/>
      <c r="N4225" s="28"/>
      <c r="O4225" s="20" t="s">
        <v>7530</v>
      </c>
      <c r="P4225" s="27" t="str">
        <f t="shared" si="196"/>
        <v>vermelho</v>
      </c>
    </row>
    <row r="4226" spans="1:16" ht="25.5">
      <c r="A4226" s="3" t="s">
        <v>4</v>
      </c>
      <c r="B4226" s="3" t="s">
        <v>3185</v>
      </c>
      <c r="C4226" s="4">
        <v>232</v>
      </c>
      <c r="D4226" s="3" t="s">
        <v>174</v>
      </c>
      <c r="E4226" s="3" t="s">
        <v>16</v>
      </c>
      <c r="F4226" s="5">
        <v>624</v>
      </c>
      <c r="G4226" s="5">
        <v>60</v>
      </c>
      <c r="H4226" s="6">
        <v>35650.26</v>
      </c>
      <c r="I4226" s="22">
        <v>3857.28</v>
      </c>
      <c r="J4226" s="24">
        <f t="shared" si="195"/>
        <v>2.6727563466567184E-5</v>
      </c>
      <c r="K4226" s="25">
        <f t="shared" si="197"/>
        <v>0.9890245938175849</v>
      </c>
      <c r="L4226" s="26" t="s">
        <v>7518</v>
      </c>
      <c r="M4226" s="28"/>
      <c r="N4226" s="28"/>
      <c r="O4226" s="20">
        <v>5758.8</v>
      </c>
      <c r="P4226" s="27" t="str">
        <f t="shared" si="196"/>
        <v>verde</v>
      </c>
    </row>
    <row r="4227" spans="1:16" ht="25.5">
      <c r="A4227" s="3" t="s">
        <v>4</v>
      </c>
      <c r="B4227" s="3" t="s">
        <v>3186</v>
      </c>
      <c r="C4227" s="4">
        <v>187</v>
      </c>
      <c r="D4227" s="3" t="s">
        <v>96</v>
      </c>
      <c r="E4227" s="3" t="s">
        <v>7</v>
      </c>
      <c r="F4227" s="5">
        <v>51</v>
      </c>
      <c r="G4227" s="5">
        <v>72</v>
      </c>
      <c r="H4227" s="6">
        <v>3201.12</v>
      </c>
      <c r="I4227" s="22">
        <v>3849.2240000000002</v>
      </c>
      <c r="J4227" s="24">
        <f t="shared" ref="J4227:J4290" si="198">I4227/$I$6364</f>
        <v>2.6671742460239755E-5</v>
      </c>
      <c r="K4227" s="25">
        <f t="shared" si="197"/>
        <v>0.98905126556004519</v>
      </c>
      <c r="L4227" s="26" t="s">
        <v>7518</v>
      </c>
      <c r="M4227" s="28"/>
      <c r="N4227" s="28"/>
      <c r="O4227" s="20" t="s">
        <v>7530</v>
      </c>
      <c r="P4227" s="27" t="str">
        <f t="shared" ref="P4227:P4290" si="199">IF(O4227&lt;=0,"vermelho",IFERROR(IF(O4227/I4227&lt;=0.5098,"amarelo",IF(O4227/I4227&lt;1,"laranja","verde")),"vermelho"))</f>
        <v>vermelho</v>
      </c>
    </row>
    <row r="4228" spans="1:16" ht="25.5">
      <c r="A4228" s="3" t="s">
        <v>4</v>
      </c>
      <c r="B4228" s="3" t="s">
        <v>3187</v>
      </c>
      <c r="C4228" s="4">
        <v>337</v>
      </c>
      <c r="D4228" s="3" t="s">
        <v>202</v>
      </c>
      <c r="E4228" s="3" t="s">
        <v>16</v>
      </c>
      <c r="F4228" s="5">
        <v>0</v>
      </c>
      <c r="G4228" s="5">
        <v>72</v>
      </c>
      <c r="H4228" s="6">
        <v>0</v>
      </c>
      <c r="I4228" s="22">
        <v>3846.72</v>
      </c>
      <c r="J4228" s="24">
        <f t="shared" si="198"/>
        <v>2.6654391938908587E-5</v>
      </c>
      <c r="K4228" s="25">
        <f t="shared" ref="K4228:K4291" si="200">J4228+K4227</f>
        <v>0.98907791995198413</v>
      </c>
      <c r="L4228" s="26" t="s">
        <v>7518</v>
      </c>
      <c r="M4228" s="28"/>
      <c r="N4228" s="28"/>
      <c r="O4228" s="20">
        <v>3728.64</v>
      </c>
      <c r="P4228" s="27" t="str">
        <f t="shared" si="199"/>
        <v>laranja</v>
      </c>
    </row>
    <row r="4229" spans="1:16">
      <c r="A4229" s="3" t="s">
        <v>4</v>
      </c>
      <c r="B4229" s="3" t="s">
        <v>3188</v>
      </c>
      <c r="C4229" s="4">
        <v>217</v>
      </c>
      <c r="D4229" s="3" t="s">
        <v>91</v>
      </c>
      <c r="E4229" s="3" t="s">
        <v>16</v>
      </c>
      <c r="F4229" s="5">
        <v>96</v>
      </c>
      <c r="G4229" s="5">
        <v>66</v>
      </c>
      <c r="H4229" s="6">
        <v>5201.04</v>
      </c>
      <c r="I4229" s="22">
        <v>3842.7</v>
      </c>
      <c r="J4229" s="24">
        <f t="shared" si="198"/>
        <v>2.662653686872037E-5</v>
      </c>
      <c r="K4229" s="25">
        <f t="shared" si="200"/>
        <v>0.98910454648885282</v>
      </c>
      <c r="L4229" s="26" t="s">
        <v>7518</v>
      </c>
      <c r="M4229" s="28"/>
      <c r="N4229" s="28"/>
      <c r="O4229" s="20" t="s">
        <v>7530</v>
      </c>
      <c r="P4229" s="27" t="str">
        <f t="shared" si="199"/>
        <v>vermelho</v>
      </c>
    </row>
    <row r="4230" spans="1:16" ht="38.25">
      <c r="A4230" s="3" t="s">
        <v>4</v>
      </c>
      <c r="B4230" s="3" t="s">
        <v>3189</v>
      </c>
      <c r="C4230" s="4">
        <v>371</v>
      </c>
      <c r="D4230" s="3" t="s">
        <v>82</v>
      </c>
      <c r="E4230" s="3" t="s">
        <v>49</v>
      </c>
      <c r="F4230" s="5">
        <v>72</v>
      </c>
      <c r="G4230" s="5">
        <v>84</v>
      </c>
      <c r="H4230" s="6">
        <v>3129.84</v>
      </c>
      <c r="I4230" s="22">
        <v>3839.16</v>
      </c>
      <c r="J4230" s="24">
        <f t="shared" si="198"/>
        <v>2.6602007777062089E-5</v>
      </c>
      <c r="K4230" s="25">
        <f t="shared" si="200"/>
        <v>0.98913114849662986</v>
      </c>
      <c r="L4230" s="26" t="s">
        <v>7518</v>
      </c>
      <c r="M4230" s="28"/>
      <c r="N4230" s="28"/>
      <c r="O4230" s="20" t="s">
        <v>7530</v>
      </c>
      <c r="P4230" s="27" t="str">
        <f t="shared" si="199"/>
        <v>vermelho</v>
      </c>
    </row>
    <row r="4231" spans="1:16" ht="38.25">
      <c r="A4231" s="3" t="s">
        <v>4</v>
      </c>
      <c r="B4231" s="3" t="s">
        <v>3190</v>
      </c>
      <c r="C4231" s="4">
        <v>143</v>
      </c>
      <c r="D4231" s="3" t="s">
        <v>44</v>
      </c>
      <c r="E4231" s="3" t="s">
        <v>41</v>
      </c>
      <c r="F4231" s="5">
        <v>54</v>
      </c>
      <c r="G4231" s="5">
        <v>48</v>
      </c>
      <c r="H4231" s="6">
        <v>3232.02</v>
      </c>
      <c r="I4231" s="22">
        <v>3835.2</v>
      </c>
      <c r="J4231" s="24">
        <f t="shared" si="198"/>
        <v>2.6574568454190119E-5</v>
      </c>
      <c r="K4231" s="25">
        <f t="shared" si="200"/>
        <v>0.98915772306508409</v>
      </c>
      <c r="L4231" s="26" t="s">
        <v>7518</v>
      </c>
      <c r="M4231" s="28"/>
      <c r="N4231" s="28"/>
      <c r="O4231" s="20" t="s">
        <v>7530</v>
      </c>
      <c r="P4231" s="27" t="str">
        <f t="shared" si="199"/>
        <v>vermelho</v>
      </c>
    </row>
    <row r="4232" spans="1:16" ht="38.25">
      <c r="A4232" s="3" t="s">
        <v>4</v>
      </c>
      <c r="B4232" s="3" t="s">
        <v>3191</v>
      </c>
      <c r="C4232" s="4">
        <v>143</v>
      </c>
      <c r="D4232" s="3" t="s">
        <v>44</v>
      </c>
      <c r="E4232" s="3" t="s">
        <v>41</v>
      </c>
      <c r="F4232" s="5">
        <v>96</v>
      </c>
      <c r="G4232" s="5">
        <v>60</v>
      </c>
      <c r="H4232" s="6">
        <v>5473.32</v>
      </c>
      <c r="I4232" s="22">
        <v>3834.96</v>
      </c>
      <c r="J4232" s="24">
        <f t="shared" si="198"/>
        <v>2.6572905464925151E-5</v>
      </c>
      <c r="K4232" s="25">
        <f t="shared" si="200"/>
        <v>0.98918429597054902</v>
      </c>
      <c r="L4232" s="26" t="s">
        <v>7518</v>
      </c>
      <c r="M4232" s="28"/>
      <c r="N4232" s="28"/>
      <c r="O4232" s="20">
        <v>5901.12</v>
      </c>
      <c r="P4232" s="27" t="str">
        <f t="shared" si="199"/>
        <v>verde</v>
      </c>
    </row>
    <row r="4233" spans="1:16" ht="25.5">
      <c r="A4233" s="3" t="s">
        <v>4</v>
      </c>
      <c r="B4233" s="3" t="s">
        <v>3192</v>
      </c>
      <c r="C4233" s="4">
        <v>39</v>
      </c>
      <c r="D4233" s="3" t="s">
        <v>26</v>
      </c>
      <c r="E4233" s="3" t="s">
        <v>13</v>
      </c>
      <c r="F4233" s="5">
        <v>276</v>
      </c>
      <c r="G4233" s="5">
        <v>60</v>
      </c>
      <c r="H4233" s="6">
        <v>15444.96</v>
      </c>
      <c r="I4233" s="22">
        <v>3834.96</v>
      </c>
      <c r="J4233" s="24">
        <f t="shared" si="198"/>
        <v>2.6572905464925151E-5</v>
      </c>
      <c r="K4233" s="25">
        <f t="shared" si="200"/>
        <v>0.98921086887601395</v>
      </c>
      <c r="L4233" s="26" t="s">
        <v>7518</v>
      </c>
      <c r="M4233" s="28"/>
      <c r="N4233" s="28"/>
      <c r="O4233" s="20" t="s">
        <v>7530</v>
      </c>
      <c r="P4233" s="27" t="str">
        <f t="shared" si="199"/>
        <v>vermelho</v>
      </c>
    </row>
    <row r="4234" spans="1:16" ht="38.25">
      <c r="A4234" s="3" t="s">
        <v>7022</v>
      </c>
      <c r="B4234" s="3" t="s">
        <v>7023</v>
      </c>
      <c r="C4234" s="4">
        <v>45</v>
      </c>
      <c r="D4234" s="3" t="s">
        <v>23</v>
      </c>
      <c r="E4234" s="3" t="s">
        <v>7</v>
      </c>
      <c r="F4234" s="5">
        <v>0</v>
      </c>
      <c r="G4234" s="5">
        <v>60</v>
      </c>
      <c r="H4234" s="6">
        <v>0</v>
      </c>
      <c r="I4234" s="22">
        <v>3834.96</v>
      </c>
      <c r="J4234" s="24">
        <f t="shared" si="198"/>
        <v>2.6572905464925151E-5</v>
      </c>
      <c r="K4234" s="25">
        <f t="shared" si="200"/>
        <v>0.98923744178147888</v>
      </c>
      <c r="L4234" s="26" t="s">
        <v>7518</v>
      </c>
      <c r="M4234" s="28"/>
      <c r="N4234" s="28"/>
      <c r="O4234" s="20">
        <v>9449.25</v>
      </c>
      <c r="P4234" s="27" t="str">
        <f t="shared" si="199"/>
        <v>verde</v>
      </c>
    </row>
    <row r="4235" spans="1:16">
      <c r="A4235" s="3" t="s">
        <v>4</v>
      </c>
      <c r="B4235" s="3" t="s">
        <v>3193</v>
      </c>
      <c r="C4235" s="4">
        <v>264</v>
      </c>
      <c r="D4235" s="3" t="s">
        <v>40</v>
      </c>
      <c r="E4235" s="3" t="s">
        <v>41</v>
      </c>
      <c r="F4235" s="5">
        <v>0</v>
      </c>
      <c r="G4235" s="5">
        <v>81</v>
      </c>
      <c r="H4235" s="6">
        <v>0</v>
      </c>
      <c r="I4235" s="22">
        <v>3832.92</v>
      </c>
      <c r="J4235" s="24">
        <f t="shared" si="198"/>
        <v>2.6558770056172923E-5</v>
      </c>
      <c r="K4235" s="25">
        <f t="shared" si="200"/>
        <v>0.98926400055153507</v>
      </c>
      <c r="L4235" s="26" t="s">
        <v>7518</v>
      </c>
      <c r="M4235" s="28"/>
      <c r="N4235" s="28"/>
      <c r="O4235" s="20" t="s">
        <v>7530</v>
      </c>
      <c r="P4235" s="27" t="str">
        <f t="shared" si="199"/>
        <v>vermelho</v>
      </c>
    </row>
    <row r="4236" spans="1:16">
      <c r="A4236" s="3" t="s">
        <v>4</v>
      </c>
      <c r="B4236" s="3" t="s">
        <v>3194</v>
      </c>
      <c r="C4236" s="4">
        <v>15</v>
      </c>
      <c r="D4236" s="3" t="s">
        <v>18</v>
      </c>
      <c r="E4236" s="3" t="s">
        <v>16</v>
      </c>
      <c r="F4236" s="5">
        <v>96</v>
      </c>
      <c r="G4236" s="5">
        <v>66</v>
      </c>
      <c r="H4236" s="6">
        <v>5396.4</v>
      </c>
      <c r="I4236" s="22">
        <v>3830.58</v>
      </c>
      <c r="J4236" s="24">
        <f t="shared" si="198"/>
        <v>2.6542555910839481E-5</v>
      </c>
      <c r="K4236" s="25">
        <f t="shared" si="200"/>
        <v>0.98929054310744591</v>
      </c>
      <c r="L4236" s="26" t="s">
        <v>7518</v>
      </c>
      <c r="M4236" s="28"/>
      <c r="N4236" s="28"/>
      <c r="O4236" s="20" t="s">
        <v>7530</v>
      </c>
      <c r="P4236" s="27" t="str">
        <f t="shared" si="199"/>
        <v>vermelho</v>
      </c>
    </row>
    <row r="4237" spans="1:16" ht="25.5">
      <c r="A4237" s="3" t="s">
        <v>4</v>
      </c>
      <c r="B4237" s="3" t="s">
        <v>3195</v>
      </c>
      <c r="C4237" s="4">
        <v>328</v>
      </c>
      <c r="D4237" s="3" t="s">
        <v>215</v>
      </c>
      <c r="E4237" s="3" t="s">
        <v>41</v>
      </c>
      <c r="F4237" s="5">
        <v>0</v>
      </c>
      <c r="G4237" s="5">
        <v>63</v>
      </c>
      <c r="H4237" s="6">
        <v>0</v>
      </c>
      <c r="I4237" s="22">
        <v>3830.37</v>
      </c>
      <c r="J4237" s="24">
        <f t="shared" si="198"/>
        <v>2.6541100795232636E-5</v>
      </c>
      <c r="K4237" s="25">
        <f t="shared" si="200"/>
        <v>0.98931708420824116</v>
      </c>
      <c r="L4237" s="26" t="s">
        <v>7518</v>
      </c>
      <c r="M4237" s="28"/>
      <c r="N4237" s="28"/>
      <c r="O4237" s="20" t="s">
        <v>7530</v>
      </c>
      <c r="P4237" s="27" t="str">
        <f t="shared" si="199"/>
        <v>vermelho</v>
      </c>
    </row>
    <row r="4238" spans="1:16" ht="38.25">
      <c r="A4238" s="3" t="s">
        <v>4</v>
      </c>
      <c r="B4238" s="3" t="s">
        <v>3196</v>
      </c>
      <c r="C4238" s="4">
        <v>38</v>
      </c>
      <c r="D4238" s="3" t="s">
        <v>184</v>
      </c>
      <c r="E4238" s="3" t="s">
        <v>49</v>
      </c>
      <c r="F4238" s="5">
        <v>0</v>
      </c>
      <c r="G4238" s="5">
        <v>54</v>
      </c>
      <c r="H4238" s="6">
        <v>0</v>
      </c>
      <c r="I4238" s="22">
        <v>3827.46</v>
      </c>
      <c r="J4238" s="24">
        <f t="shared" si="198"/>
        <v>2.6520937050394899E-5</v>
      </c>
      <c r="K4238" s="25">
        <f t="shared" si="200"/>
        <v>0.98934360514529152</v>
      </c>
      <c r="L4238" s="26" t="s">
        <v>7518</v>
      </c>
      <c r="M4238" s="28"/>
      <c r="N4238" s="28"/>
      <c r="O4238" s="20" t="s">
        <v>7530</v>
      </c>
      <c r="P4238" s="27" t="str">
        <f t="shared" si="199"/>
        <v>vermelho</v>
      </c>
    </row>
    <row r="4239" spans="1:16" ht="25.5">
      <c r="A4239" s="3" t="s">
        <v>4</v>
      </c>
      <c r="B4239" s="3" t="s">
        <v>3197</v>
      </c>
      <c r="C4239" s="4">
        <v>316</v>
      </c>
      <c r="D4239" s="3" t="s">
        <v>247</v>
      </c>
      <c r="E4239" s="3" t="s">
        <v>10</v>
      </c>
      <c r="F4239" s="5">
        <v>156</v>
      </c>
      <c r="G4239" s="5">
        <v>48</v>
      </c>
      <c r="H4239" s="6">
        <v>7937.58</v>
      </c>
      <c r="I4239" s="22">
        <v>3826.44</v>
      </c>
      <c r="J4239" s="24">
        <f t="shared" si="198"/>
        <v>2.6513869346018782E-5</v>
      </c>
      <c r="K4239" s="25">
        <f t="shared" si="200"/>
        <v>0.98937011901463756</v>
      </c>
      <c r="L4239" s="26" t="s">
        <v>7518</v>
      </c>
      <c r="M4239" s="28"/>
      <c r="N4239" s="28"/>
      <c r="O4239" s="20" t="s">
        <v>7530</v>
      </c>
      <c r="P4239" s="27" t="str">
        <f t="shared" si="199"/>
        <v>vermelho</v>
      </c>
    </row>
    <row r="4240" spans="1:16" ht="25.5">
      <c r="A4240" s="3" t="s">
        <v>4</v>
      </c>
      <c r="B4240" s="3" t="s">
        <v>3198</v>
      </c>
      <c r="C4240" s="4">
        <v>264</v>
      </c>
      <c r="D4240" s="3" t="s">
        <v>40</v>
      </c>
      <c r="E4240" s="3" t="s">
        <v>41</v>
      </c>
      <c r="F4240" s="5">
        <v>0</v>
      </c>
      <c r="G4240" s="5">
        <v>66</v>
      </c>
      <c r="H4240" s="6">
        <v>0</v>
      </c>
      <c r="I4240" s="22">
        <v>3822.41</v>
      </c>
      <c r="J4240" s="24">
        <f t="shared" si="198"/>
        <v>2.6485944984611193E-5</v>
      </c>
      <c r="K4240" s="25">
        <f t="shared" si="200"/>
        <v>0.98939660495962223</v>
      </c>
      <c r="L4240" s="26" t="s">
        <v>7518</v>
      </c>
      <c r="M4240" s="28"/>
      <c r="N4240" s="28"/>
      <c r="O4240" s="20" t="s">
        <v>7530</v>
      </c>
      <c r="P4240" s="27" t="str">
        <f t="shared" si="199"/>
        <v>vermelho</v>
      </c>
    </row>
    <row r="4241" spans="1:16" ht="25.5">
      <c r="A4241" s="3" t="s">
        <v>4</v>
      </c>
      <c r="B4241" s="3" t="s">
        <v>3199</v>
      </c>
      <c r="C4241" s="4">
        <v>231</v>
      </c>
      <c r="D4241" s="3" t="s">
        <v>52</v>
      </c>
      <c r="E4241" s="3" t="s">
        <v>7</v>
      </c>
      <c r="F4241" s="5">
        <v>0</v>
      </c>
      <c r="G4241" s="5">
        <v>72</v>
      </c>
      <c r="H4241" s="6">
        <v>0</v>
      </c>
      <c r="I4241" s="22">
        <v>3815.28</v>
      </c>
      <c r="J4241" s="24">
        <f t="shared" si="198"/>
        <v>2.6436540345197767E-5</v>
      </c>
      <c r="K4241" s="25">
        <f t="shared" si="200"/>
        <v>0.9894230414999674</v>
      </c>
      <c r="L4241" s="26" t="s">
        <v>7518</v>
      </c>
      <c r="M4241" s="28"/>
      <c r="N4241" s="28"/>
      <c r="O4241" s="20" t="s">
        <v>7530</v>
      </c>
      <c r="P4241" s="27" t="str">
        <f t="shared" si="199"/>
        <v>vermelho</v>
      </c>
    </row>
    <row r="4242" spans="1:16" ht="38.25">
      <c r="A4242" s="3" t="s">
        <v>4</v>
      </c>
      <c r="B4242" s="3" t="s">
        <v>3200</v>
      </c>
      <c r="C4242" s="4">
        <v>11</v>
      </c>
      <c r="D4242" s="3" t="s">
        <v>61</v>
      </c>
      <c r="E4242" s="3" t="s">
        <v>10</v>
      </c>
      <c r="F4242" s="5">
        <v>0</v>
      </c>
      <c r="G4242" s="5">
        <v>48</v>
      </c>
      <c r="H4242" s="6">
        <v>0</v>
      </c>
      <c r="I4242" s="22">
        <v>3810.6439999999998</v>
      </c>
      <c r="J4242" s="24">
        <f t="shared" si="198"/>
        <v>2.640441693589613E-5</v>
      </c>
      <c r="K4242" s="25">
        <f t="shared" si="200"/>
        <v>0.98944944591690331</v>
      </c>
      <c r="L4242" s="26" t="s">
        <v>7518</v>
      </c>
      <c r="M4242" s="28"/>
      <c r="N4242" s="28"/>
      <c r="O4242" s="20" t="s">
        <v>7530</v>
      </c>
      <c r="P4242" s="27" t="str">
        <f t="shared" si="199"/>
        <v>vermelho</v>
      </c>
    </row>
    <row r="4243" spans="1:16" ht="25.5">
      <c r="A4243" s="3" t="s">
        <v>4</v>
      </c>
      <c r="B4243" s="3" t="s">
        <v>3201</v>
      </c>
      <c r="C4243" s="4">
        <v>335</v>
      </c>
      <c r="D4243" s="3" t="s">
        <v>36</v>
      </c>
      <c r="E4243" s="3" t="s">
        <v>7</v>
      </c>
      <c r="F4243" s="5">
        <v>0</v>
      </c>
      <c r="G4243" s="5">
        <v>51</v>
      </c>
      <c r="H4243" s="6">
        <v>0</v>
      </c>
      <c r="I4243" s="22">
        <v>3808.5</v>
      </c>
      <c r="J4243" s="24">
        <f t="shared" si="198"/>
        <v>2.6389560898462419E-5</v>
      </c>
      <c r="K4243" s="25">
        <f t="shared" si="200"/>
        <v>0.98947583547780182</v>
      </c>
      <c r="L4243" s="26" t="s">
        <v>7518</v>
      </c>
      <c r="M4243" s="28"/>
      <c r="N4243" s="28"/>
      <c r="O4243" s="20">
        <v>3808.5</v>
      </c>
      <c r="P4243" s="27" t="str">
        <f t="shared" si="199"/>
        <v>verde</v>
      </c>
    </row>
    <row r="4244" spans="1:16" ht="25.5">
      <c r="A4244" s="3" t="s">
        <v>4</v>
      </c>
      <c r="B4244" s="3" t="s">
        <v>3202</v>
      </c>
      <c r="C4244" s="4">
        <v>315</v>
      </c>
      <c r="D4244" s="3" t="s">
        <v>63</v>
      </c>
      <c r="E4244" s="3" t="s">
        <v>7</v>
      </c>
      <c r="F4244" s="5">
        <v>0</v>
      </c>
      <c r="G4244" s="5">
        <v>60</v>
      </c>
      <c r="H4244" s="6">
        <v>0</v>
      </c>
      <c r="I4244" s="22">
        <v>3803.4</v>
      </c>
      <c r="J4244" s="24">
        <f t="shared" si="198"/>
        <v>2.6354222376581845E-5</v>
      </c>
      <c r="K4244" s="25">
        <f t="shared" si="200"/>
        <v>0.98950218970017845</v>
      </c>
      <c r="L4244" s="26" t="s">
        <v>7518</v>
      </c>
      <c r="M4244" s="28"/>
      <c r="N4244" s="28"/>
      <c r="O4244" s="20" t="s">
        <v>7530</v>
      </c>
      <c r="P4244" s="27" t="str">
        <f t="shared" si="199"/>
        <v>vermelho</v>
      </c>
    </row>
    <row r="4245" spans="1:16" ht="25.5">
      <c r="A4245" s="3" t="s">
        <v>4</v>
      </c>
      <c r="B4245" s="3" t="s">
        <v>3203</v>
      </c>
      <c r="C4245" s="4">
        <v>232</v>
      </c>
      <c r="D4245" s="3" t="s">
        <v>174</v>
      </c>
      <c r="E4245" s="3" t="s">
        <v>16</v>
      </c>
      <c r="F4245" s="5">
        <v>0</v>
      </c>
      <c r="G4245" s="5">
        <v>72</v>
      </c>
      <c r="H4245" s="6">
        <v>0</v>
      </c>
      <c r="I4245" s="22">
        <v>3803.28</v>
      </c>
      <c r="J4245" s="24">
        <f t="shared" si="198"/>
        <v>2.6353390881949363E-5</v>
      </c>
      <c r="K4245" s="25">
        <f t="shared" si="200"/>
        <v>0.98952854309106042</v>
      </c>
      <c r="L4245" s="26" t="s">
        <v>7518</v>
      </c>
      <c r="M4245" s="28"/>
      <c r="N4245" s="28"/>
      <c r="O4245" s="20" t="s">
        <v>7530</v>
      </c>
      <c r="P4245" s="27" t="str">
        <f t="shared" si="199"/>
        <v>vermelho</v>
      </c>
    </row>
    <row r="4246" spans="1:16" ht="25.5">
      <c r="A4246" s="3" t="s">
        <v>4</v>
      </c>
      <c r="B4246" s="3" t="s">
        <v>3204</v>
      </c>
      <c r="C4246" s="4">
        <v>299</v>
      </c>
      <c r="D4246" s="3" t="s">
        <v>111</v>
      </c>
      <c r="E4246" s="3" t="s">
        <v>49</v>
      </c>
      <c r="F4246" s="5">
        <v>0</v>
      </c>
      <c r="G4246" s="5">
        <v>93</v>
      </c>
      <c r="H4246" s="6">
        <v>0</v>
      </c>
      <c r="I4246" s="22">
        <v>3803.16</v>
      </c>
      <c r="J4246" s="24">
        <f t="shared" si="198"/>
        <v>2.6352559387316878E-5</v>
      </c>
      <c r="K4246" s="25">
        <f t="shared" si="200"/>
        <v>0.98955489565044774</v>
      </c>
      <c r="L4246" s="26" t="s">
        <v>7518</v>
      </c>
      <c r="M4246" s="28"/>
      <c r="N4246" s="28"/>
      <c r="O4246" s="20" t="s">
        <v>7530</v>
      </c>
      <c r="P4246" s="27" t="str">
        <f t="shared" si="199"/>
        <v>vermelho</v>
      </c>
    </row>
    <row r="4247" spans="1:16" ht="38.25">
      <c r="A4247" s="3" t="s">
        <v>4</v>
      </c>
      <c r="B4247" s="3" t="s">
        <v>3205</v>
      </c>
      <c r="C4247" s="4">
        <v>292</v>
      </c>
      <c r="D4247" s="3" t="s">
        <v>57</v>
      </c>
      <c r="E4247" s="3" t="s">
        <v>49</v>
      </c>
      <c r="F4247" s="5">
        <v>72</v>
      </c>
      <c r="G4247" s="5">
        <v>66</v>
      </c>
      <c r="H4247" s="6">
        <v>4493.28</v>
      </c>
      <c r="I4247" s="22">
        <v>3799.05</v>
      </c>
      <c r="J4247" s="24">
        <f t="shared" si="198"/>
        <v>2.6324080696154302E-5</v>
      </c>
      <c r="K4247" s="25">
        <f t="shared" si="200"/>
        <v>0.98958121973114388</v>
      </c>
      <c r="L4247" s="26" t="s">
        <v>7518</v>
      </c>
      <c r="M4247" s="28"/>
      <c r="N4247" s="28"/>
      <c r="O4247" s="20" t="s">
        <v>7530</v>
      </c>
      <c r="P4247" s="27" t="str">
        <f t="shared" si="199"/>
        <v>vermelho</v>
      </c>
    </row>
    <row r="4248" spans="1:16" ht="25.5">
      <c r="A4248" s="3" t="s">
        <v>4</v>
      </c>
      <c r="B4248" s="3" t="s">
        <v>3206</v>
      </c>
      <c r="C4248" s="4">
        <v>39</v>
      </c>
      <c r="D4248" s="3" t="s">
        <v>26</v>
      </c>
      <c r="E4248" s="3" t="s">
        <v>13</v>
      </c>
      <c r="F4248" s="5">
        <v>108</v>
      </c>
      <c r="G4248" s="5">
        <v>72</v>
      </c>
      <c r="H4248" s="6">
        <v>4798.92</v>
      </c>
      <c r="I4248" s="22">
        <v>3795.36</v>
      </c>
      <c r="J4248" s="24">
        <f t="shared" si="198"/>
        <v>2.6298512236205415E-5</v>
      </c>
      <c r="K4248" s="25">
        <f t="shared" si="200"/>
        <v>0.98960751824338011</v>
      </c>
      <c r="L4248" s="26" t="s">
        <v>7518</v>
      </c>
      <c r="M4248" s="28"/>
      <c r="N4248" s="28"/>
      <c r="O4248" s="20">
        <v>2727.12</v>
      </c>
      <c r="P4248" s="27" t="str">
        <f t="shared" si="199"/>
        <v>laranja</v>
      </c>
    </row>
    <row r="4249" spans="1:16" ht="25.5">
      <c r="A4249" s="3" t="s">
        <v>4</v>
      </c>
      <c r="B4249" s="3" t="s">
        <v>3207</v>
      </c>
      <c r="C4249" s="4">
        <v>19</v>
      </c>
      <c r="D4249" s="3" t="s">
        <v>72</v>
      </c>
      <c r="E4249" s="3" t="s">
        <v>41</v>
      </c>
      <c r="F4249" s="5">
        <v>0</v>
      </c>
      <c r="G4249" s="5">
        <v>120</v>
      </c>
      <c r="H4249" s="6">
        <v>0</v>
      </c>
      <c r="I4249" s="22">
        <v>3781.68</v>
      </c>
      <c r="J4249" s="24">
        <f t="shared" si="198"/>
        <v>2.6203721848102233E-5</v>
      </c>
      <c r="K4249" s="25">
        <f t="shared" si="200"/>
        <v>0.98963372196522825</v>
      </c>
      <c r="L4249" s="26" t="s">
        <v>7518</v>
      </c>
      <c r="M4249" s="28"/>
      <c r="N4249" s="28"/>
      <c r="O4249" s="20" t="s">
        <v>7530</v>
      </c>
      <c r="P4249" s="27" t="str">
        <f t="shared" si="199"/>
        <v>vermelho</v>
      </c>
    </row>
    <row r="4250" spans="1:16" ht="38.25">
      <c r="A4250" s="3" t="s">
        <v>4</v>
      </c>
      <c r="B4250" s="3" t="s">
        <v>3208</v>
      </c>
      <c r="C4250" s="4">
        <v>38</v>
      </c>
      <c r="D4250" s="3" t="s">
        <v>184</v>
      </c>
      <c r="E4250" s="3" t="s">
        <v>49</v>
      </c>
      <c r="F4250" s="5">
        <v>0</v>
      </c>
      <c r="G4250" s="5">
        <v>90</v>
      </c>
      <c r="H4250" s="6">
        <v>0</v>
      </c>
      <c r="I4250" s="22">
        <v>3781.5</v>
      </c>
      <c r="J4250" s="24">
        <f t="shared" si="198"/>
        <v>2.6202474606153508E-5</v>
      </c>
      <c r="K4250" s="25">
        <f t="shared" si="200"/>
        <v>0.98965992443983442</v>
      </c>
      <c r="L4250" s="26" t="s">
        <v>7518</v>
      </c>
      <c r="M4250" s="28"/>
      <c r="N4250" s="28"/>
      <c r="O4250" s="20" t="s">
        <v>7530</v>
      </c>
      <c r="P4250" s="27" t="str">
        <f t="shared" si="199"/>
        <v>vermelho</v>
      </c>
    </row>
    <row r="4251" spans="1:16" ht="38.25">
      <c r="A4251" s="3" t="s">
        <v>4</v>
      </c>
      <c r="B4251" s="3" t="s">
        <v>3209</v>
      </c>
      <c r="C4251" s="4">
        <v>331</v>
      </c>
      <c r="D4251" s="3" t="s">
        <v>603</v>
      </c>
      <c r="E4251" s="3" t="s">
        <v>13</v>
      </c>
      <c r="F4251" s="5">
        <v>0</v>
      </c>
      <c r="G4251" s="5">
        <v>72</v>
      </c>
      <c r="H4251" s="6">
        <v>0</v>
      </c>
      <c r="I4251" s="22">
        <v>3779.52</v>
      </c>
      <c r="J4251" s="24">
        <f t="shared" si="198"/>
        <v>2.618875494471752E-5</v>
      </c>
      <c r="K4251" s="25">
        <f t="shared" si="200"/>
        <v>0.98968611319477917</v>
      </c>
      <c r="L4251" s="26" t="s">
        <v>7518</v>
      </c>
      <c r="M4251" s="28"/>
      <c r="N4251" s="28">
        <v>1.1213792500460876E-3</v>
      </c>
      <c r="O4251" s="20">
        <v>4615.9260000000004</v>
      </c>
      <c r="P4251" s="27" t="str">
        <f t="shared" si="199"/>
        <v>verde</v>
      </c>
    </row>
    <row r="4252" spans="1:16" ht="25.5">
      <c r="A4252" s="3" t="s">
        <v>4</v>
      </c>
      <c r="B4252" s="3" t="s">
        <v>3210</v>
      </c>
      <c r="C4252" s="4">
        <v>93</v>
      </c>
      <c r="D4252" s="3" t="s">
        <v>20</v>
      </c>
      <c r="E4252" s="3" t="s">
        <v>7</v>
      </c>
      <c r="F4252" s="5">
        <v>0</v>
      </c>
      <c r="G4252" s="5">
        <v>54</v>
      </c>
      <c r="H4252" s="6">
        <v>0</v>
      </c>
      <c r="I4252" s="22">
        <v>3779.46</v>
      </c>
      <c r="J4252" s="24">
        <f t="shared" si="198"/>
        <v>2.618833919740128E-5</v>
      </c>
      <c r="K4252" s="25">
        <f t="shared" si="200"/>
        <v>0.9897123015339766</v>
      </c>
      <c r="L4252" s="26" t="s">
        <v>7518</v>
      </c>
      <c r="M4252" s="28"/>
      <c r="N4252" s="28"/>
      <c r="O4252" s="20" t="s">
        <v>7530</v>
      </c>
      <c r="P4252" s="27" t="str">
        <f t="shared" si="199"/>
        <v>vermelho</v>
      </c>
    </row>
    <row r="4253" spans="1:16" ht="38.25">
      <c r="A4253" s="3" t="s">
        <v>4</v>
      </c>
      <c r="B4253" s="3" t="s">
        <v>3211</v>
      </c>
      <c r="C4253" s="4">
        <v>34</v>
      </c>
      <c r="D4253" s="3" t="s">
        <v>54</v>
      </c>
      <c r="E4253" s="3" t="s">
        <v>49</v>
      </c>
      <c r="F4253" s="5">
        <v>60</v>
      </c>
      <c r="G4253" s="5">
        <v>60</v>
      </c>
      <c r="H4253" s="6">
        <v>3109.32</v>
      </c>
      <c r="I4253" s="22">
        <v>3777.24</v>
      </c>
      <c r="J4253" s="24">
        <f t="shared" si="198"/>
        <v>2.6172956546700324E-5</v>
      </c>
      <c r="K4253" s="25">
        <f t="shared" si="200"/>
        <v>0.98973847449052332</v>
      </c>
      <c r="L4253" s="26" t="s">
        <v>7518</v>
      </c>
      <c r="M4253" s="28"/>
      <c r="N4253" s="28"/>
      <c r="O4253" s="20" t="s">
        <v>7530</v>
      </c>
      <c r="P4253" s="27" t="str">
        <f t="shared" si="199"/>
        <v>vermelho</v>
      </c>
    </row>
    <row r="4254" spans="1:16">
      <c r="A4254" s="3" t="s">
        <v>4</v>
      </c>
      <c r="B4254" s="3" t="s">
        <v>3212</v>
      </c>
      <c r="C4254" s="4">
        <v>232</v>
      </c>
      <c r="D4254" s="3" t="s">
        <v>174</v>
      </c>
      <c r="E4254" s="3" t="s">
        <v>16</v>
      </c>
      <c r="F4254" s="5">
        <v>180</v>
      </c>
      <c r="G4254" s="5">
        <v>84</v>
      </c>
      <c r="H4254" s="6">
        <v>10164.6</v>
      </c>
      <c r="I4254" s="22">
        <v>3774.12</v>
      </c>
      <c r="J4254" s="24">
        <f t="shared" si="198"/>
        <v>2.6151337686255739E-5</v>
      </c>
      <c r="K4254" s="25">
        <f t="shared" si="200"/>
        <v>0.98976462582820957</v>
      </c>
      <c r="L4254" s="26" t="s">
        <v>7518</v>
      </c>
      <c r="M4254" s="28"/>
      <c r="N4254" s="28"/>
      <c r="O4254" s="20" t="s">
        <v>7530</v>
      </c>
      <c r="P4254" s="27" t="str">
        <f t="shared" si="199"/>
        <v>vermelho</v>
      </c>
    </row>
    <row r="4255" spans="1:16" ht="25.5">
      <c r="A4255" s="3" t="s">
        <v>4</v>
      </c>
      <c r="B4255" s="3" t="s">
        <v>3213</v>
      </c>
      <c r="C4255" s="4">
        <v>194</v>
      </c>
      <c r="D4255" s="3" t="s">
        <v>145</v>
      </c>
      <c r="E4255" s="3" t="s">
        <v>16</v>
      </c>
      <c r="F4255" s="5">
        <v>0</v>
      </c>
      <c r="G4255" s="5">
        <v>96</v>
      </c>
      <c r="H4255" s="6">
        <v>0</v>
      </c>
      <c r="I4255" s="22">
        <v>3771.48</v>
      </c>
      <c r="J4255" s="24">
        <f t="shared" si="198"/>
        <v>2.613304480434109E-5</v>
      </c>
      <c r="K4255" s="25">
        <f t="shared" si="200"/>
        <v>0.98979075887301393</v>
      </c>
      <c r="L4255" s="26" t="s">
        <v>7518</v>
      </c>
      <c r="M4255" s="28"/>
      <c r="N4255" s="28"/>
      <c r="O4255" s="20" t="s">
        <v>7530</v>
      </c>
      <c r="P4255" s="27" t="str">
        <f t="shared" si="199"/>
        <v>vermelho</v>
      </c>
    </row>
    <row r="4256" spans="1:16" ht="25.5">
      <c r="A4256" s="3" t="s">
        <v>4</v>
      </c>
      <c r="B4256" s="3" t="s">
        <v>3214</v>
      </c>
      <c r="C4256" s="4">
        <v>317</v>
      </c>
      <c r="D4256" s="3" t="s">
        <v>78</v>
      </c>
      <c r="E4256" s="3" t="s">
        <v>10</v>
      </c>
      <c r="F4256" s="5">
        <v>60</v>
      </c>
      <c r="G4256" s="5">
        <v>72</v>
      </c>
      <c r="H4256" s="6">
        <v>3477.84</v>
      </c>
      <c r="I4256" s="22">
        <v>3769.2</v>
      </c>
      <c r="J4256" s="24">
        <f t="shared" si="198"/>
        <v>2.6117246406323891E-5</v>
      </c>
      <c r="K4256" s="25">
        <f t="shared" si="200"/>
        <v>0.98981687611942026</v>
      </c>
      <c r="L4256" s="26" t="s">
        <v>7518</v>
      </c>
      <c r="M4256" s="28"/>
      <c r="N4256" s="28"/>
      <c r="O4256" s="20">
        <v>5727.12</v>
      </c>
      <c r="P4256" s="27" t="str">
        <f t="shared" si="199"/>
        <v>verde</v>
      </c>
    </row>
    <row r="4257" spans="1:16">
      <c r="A4257" s="3" t="s">
        <v>4</v>
      </c>
      <c r="B4257" s="3" t="s">
        <v>3215</v>
      </c>
      <c r="C4257" s="4">
        <v>232</v>
      </c>
      <c r="D4257" s="3" t="s">
        <v>174</v>
      </c>
      <c r="E4257" s="3" t="s">
        <v>16</v>
      </c>
      <c r="F4257" s="5">
        <v>0</v>
      </c>
      <c r="G4257" s="5">
        <v>84</v>
      </c>
      <c r="H4257" s="6">
        <v>0</v>
      </c>
      <c r="I4257" s="22">
        <v>3769.08</v>
      </c>
      <c r="J4257" s="24">
        <f t="shared" si="198"/>
        <v>2.6116414911691408E-5</v>
      </c>
      <c r="K4257" s="25">
        <f t="shared" si="200"/>
        <v>0.98984299253433194</v>
      </c>
      <c r="L4257" s="26" t="s">
        <v>7518</v>
      </c>
      <c r="M4257" s="28"/>
      <c r="N4257" s="28"/>
      <c r="O4257" s="20">
        <v>3259.8</v>
      </c>
      <c r="P4257" s="27" t="str">
        <f t="shared" si="199"/>
        <v>laranja</v>
      </c>
    </row>
    <row r="4258" spans="1:16" ht="38.25">
      <c r="A4258" s="3" t="s">
        <v>4</v>
      </c>
      <c r="B4258" s="3" t="s">
        <v>3216</v>
      </c>
      <c r="C4258" s="4">
        <v>327</v>
      </c>
      <c r="D4258" s="3" t="s">
        <v>100</v>
      </c>
      <c r="E4258" s="3" t="s">
        <v>7</v>
      </c>
      <c r="F4258" s="5">
        <v>0</v>
      </c>
      <c r="G4258" s="5">
        <v>84</v>
      </c>
      <c r="H4258" s="6">
        <v>0</v>
      </c>
      <c r="I4258" s="22">
        <v>3755.04</v>
      </c>
      <c r="J4258" s="24">
        <f t="shared" si="198"/>
        <v>2.6019130039690776E-5</v>
      </c>
      <c r="K4258" s="25">
        <f t="shared" si="200"/>
        <v>0.98986901166437169</v>
      </c>
      <c r="L4258" s="26" t="s">
        <v>7518</v>
      </c>
      <c r="M4258" s="28"/>
      <c r="N4258" s="28"/>
      <c r="O4258" s="20" t="s">
        <v>7530</v>
      </c>
      <c r="P4258" s="27" t="str">
        <f t="shared" si="199"/>
        <v>vermelho</v>
      </c>
    </row>
    <row r="4259" spans="1:16" ht="25.5">
      <c r="A4259" s="3" t="s">
        <v>4</v>
      </c>
      <c r="B4259" s="3" t="s">
        <v>3217</v>
      </c>
      <c r="C4259" s="4">
        <v>19</v>
      </c>
      <c r="D4259" s="3" t="s">
        <v>72</v>
      </c>
      <c r="E4259" s="3" t="s">
        <v>41</v>
      </c>
      <c r="F4259" s="5">
        <v>0</v>
      </c>
      <c r="G4259" s="5">
        <v>60</v>
      </c>
      <c r="H4259" s="6">
        <v>0</v>
      </c>
      <c r="I4259" s="22">
        <v>3750.72</v>
      </c>
      <c r="J4259" s="24">
        <f t="shared" si="198"/>
        <v>2.5989196232921349E-5</v>
      </c>
      <c r="K4259" s="25">
        <f t="shared" si="200"/>
        <v>0.98989500086060456</v>
      </c>
      <c r="L4259" s="26" t="s">
        <v>7518</v>
      </c>
      <c r="M4259" s="28"/>
      <c r="N4259" s="28"/>
      <c r="O4259" s="20" t="s">
        <v>7530</v>
      </c>
      <c r="P4259" s="27" t="str">
        <f t="shared" si="199"/>
        <v>vermelho</v>
      </c>
    </row>
    <row r="4260" spans="1:16" ht="25.5">
      <c r="A4260" s="3" t="s">
        <v>4</v>
      </c>
      <c r="B4260" s="3" t="s">
        <v>2106</v>
      </c>
      <c r="C4260" s="4">
        <v>264</v>
      </c>
      <c r="D4260" s="3" t="s">
        <v>40</v>
      </c>
      <c r="E4260" s="3" t="s">
        <v>7</v>
      </c>
      <c r="F4260" s="5">
        <v>0</v>
      </c>
      <c r="G4260" s="5">
        <v>60</v>
      </c>
      <c r="H4260" s="6">
        <v>0</v>
      </c>
      <c r="I4260" s="22">
        <v>3749.07</v>
      </c>
      <c r="J4260" s="24">
        <f t="shared" si="198"/>
        <v>2.5977763181724694E-5</v>
      </c>
      <c r="K4260" s="25">
        <f t="shared" si="200"/>
        <v>0.98992097862378625</v>
      </c>
      <c r="L4260" s="26" t="s">
        <v>7518</v>
      </c>
      <c r="M4260" s="28"/>
      <c r="N4260" s="28"/>
      <c r="O4260" s="20" t="s">
        <v>7530</v>
      </c>
      <c r="P4260" s="27" t="str">
        <f t="shared" si="199"/>
        <v>vermelho</v>
      </c>
    </row>
    <row r="4261" spans="1:16" ht="25.5">
      <c r="A4261" s="3" t="s">
        <v>4</v>
      </c>
      <c r="B4261" s="3" t="s">
        <v>3218</v>
      </c>
      <c r="C4261" s="4">
        <v>15</v>
      </c>
      <c r="D4261" s="3" t="s">
        <v>18</v>
      </c>
      <c r="E4261" s="3" t="s">
        <v>16</v>
      </c>
      <c r="F4261" s="5">
        <v>144</v>
      </c>
      <c r="G4261" s="5">
        <v>72</v>
      </c>
      <c r="H4261" s="6">
        <v>7410.84</v>
      </c>
      <c r="I4261" s="22">
        <v>3749.04</v>
      </c>
      <c r="J4261" s="24">
        <f t="shared" si="198"/>
        <v>2.5977555308066574E-5</v>
      </c>
      <c r="K4261" s="25">
        <f t="shared" si="200"/>
        <v>0.98994695617909434</v>
      </c>
      <c r="L4261" s="26" t="s">
        <v>7518</v>
      </c>
      <c r="M4261" s="28"/>
      <c r="N4261" s="28"/>
      <c r="O4261" s="20" t="s">
        <v>7530</v>
      </c>
      <c r="P4261" s="27" t="str">
        <f t="shared" si="199"/>
        <v>vermelho</v>
      </c>
    </row>
    <row r="4262" spans="1:16" ht="25.5">
      <c r="A4262" s="3" t="s">
        <v>4</v>
      </c>
      <c r="B4262" s="3" t="s">
        <v>3219</v>
      </c>
      <c r="C4262" s="4">
        <v>329</v>
      </c>
      <c r="D4262" s="3" t="s">
        <v>729</v>
      </c>
      <c r="E4262" s="3" t="s">
        <v>13</v>
      </c>
      <c r="F4262" s="5">
        <v>0</v>
      </c>
      <c r="G4262" s="5">
        <v>60</v>
      </c>
      <c r="H4262" s="6">
        <v>0</v>
      </c>
      <c r="I4262" s="22">
        <v>3744.6</v>
      </c>
      <c r="J4262" s="24">
        <f t="shared" si="198"/>
        <v>2.5946790006664662E-5</v>
      </c>
      <c r="K4262" s="25">
        <f t="shared" si="200"/>
        <v>0.98997290296910101</v>
      </c>
      <c r="L4262" s="26" t="s">
        <v>7518</v>
      </c>
      <c r="M4262" s="28"/>
      <c r="N4262" s="28"/>
      <c r="O4262" s="20" t="s">
        <v>7530</v>
      </c>
      <c r="P4262" s="27" t="str">
        <f t="shared" si="199"/>
        <v>vermelho</v>
      </c>
    </row>
    <row r="4263" spans="1:16" ht="38.25">
      <c r="A4263" s="3" t="s">
        <v>4</v>
      </c>
      <c r="B4263" s="3" t="s">
        <v>3220</v>
      </c>
      <c r="C4263" s="4">
        <v>331</v>
      </c>
      <c r="D4263" s="3" t="s">
        <v>603</v>
      </c>
      <c r="E4263" s="3" t="s">
        <v>13</v>
      </c>
      <c r="F4263" s="5">
        <v>0</v>
      </c>
      <c r="G4263" s="5">
        <v>72</v>
      </c>
      <c r="H4263" s="6">
        <v>0</v>
      </c>
      <c r="I4263" s="22">
        <v>3739.2</v>
      </c>
      <c r="J4263" s="24">
        <f t="shared" si="198"/>
        <v>2.5909372748202881E-5</v>
      </c>
      <c r="K4263" s="25">
        <f t="shared" si="200"/>
        <v>0.98999881234184917</v>
      </c>
      <c r="L4263" s="26" t="s">
        <v>7518</v>
      </c>
      <c r="M4263" s="28"/>
      <c r="N4263" s="28"/>
      <c r="O4263" s="20" t="s">
        <v>7530</v>
      </c>
      <c r="P4263" s="27" t="str">
        <f t="shared" si="199"/>
        <v>vermelho</v>
      </c>
    </row>
    <row r="4264" spans="1:16" ht="38.25">
      <c r="A4264" s="3" t="s">
        <v>4</v>
      </c>
      <c r="B4264" s="3" t="s">
        <v>3221</v>
      </c>
      <c r="C4264" s="4">
        <v>331</v>
      </c>
      <c r="D4264" s="3" t="s">
        <v>603</v>
      </c>
      <c r="E4264" s="3" t="s">
        <v>13</v>
      </c>
      <c r="F4264" s="5">
        <v>0</v>
      </c>
      <c r="G4264" s="5">
        <v>72</v>
      </c>
      <c r="H4264" s="6">
        <v>0</v>
      </c>
      <c r="I4264" s="22">
        <v>3739.2</v>
      </c>
      <c r="J4264" s="24">
        <f t="shared" si="198"/>
        <v>2.5909372748202881E-5</v>
      </c>
      <c r="K4264" s="25">
        <f t="shared" si="200"/>
        <v>0.99002472171459732</v>
      </c>
      <c r="L4264" s="26" t="s">
        <v>7518</v>
      </c>
      <c r="M4264" s="28"/>
      <c r="N4264" s="28"/>
      <c r="O4264" s="20" t="s">
        <v>7530</v>
      </c>
      <c r="P4264" s="27" t="str">
        <f t="shared" si="199"/>
        <v>vermelho</v>
      </c>
    </row>
    <row r="4265" spans="1:16" ht="25.5">
      <c r="A4265" s="3" t="s">
        <v>4</v>
      </c>
      <c r="B4265" s="3" t="s">
        <v>3222</v>
      </c>
      <c r="C4265" s="4">
        <v>240</v>
      </c>
      <c r="D4265" s="3" t="s">
        <v>69</v>
      </c>
      <c r="E4265" s="3" t="s">
        <v>16</v>
      </c>
      <c r="F4265" s="5">
        <v>342</v>
      </c>
      <c r="G4265" s="5">
        <v>72</v>
      </c>
      <c r="H4265" s="6">
        <v>19021.32</v>
      </c>
      <c r="I4265" s="22">
        <v>3735.54</v>
      </c>
      <c r="J4265" s="24">
        <f t="shared" si="198"/>
        <v>2.5884012161912118E-5</v>
      </c>
      <c r="K4265" s="25">
        <f t="shared" si="200"/>
        <v>0.99005060572675918</v>
      </c>
      <c r="L4265" s="26" t="s">
        <v>7518</v>
      </c>
      <c r="M4265" s="28"/>
      <c r="N4265" s="28"/>
      <c r="O4265" s="20">
        <v>10608.27</v>
      </c>
      <c r="P4265" s="27" t="str">
        <f t="shared" si="199"/>
        <v>verde</v>
      </c>
    </row>
    <row r="4266" spans="1:16">
      <c r="A4266" s="3" t="s">
        <v>4</v>
      </c>
      <c r="B4266" s="3" t="s">
        <v>3223</v>
      </c>
      <c r="C4266" s="4">
        <v>231</v>
      </c>
      <c r="D4266" s="3" t="s">
        <v>52</v>
      </c>
      <c r="E4266" s="3" t="s">
        <v>7</v>
      </c>
      <c r="F4266" s="5">
        <v>192</v>
      </c>
      <c r="G4266" s="5">
        <v>60</v>
      </c>
      <c r="H4266" s="6">
        <v>11543.52</v>
      </c>
      <c r="I4266" s="22">
        <v>3732.72</v>
      </c>
      <c r="J4266" s="24">
        <f t="shared" si="198"/>
        <v>2.5864472038048743E-5</v>
      </c>
      <c r="K4266" s="25">
        <f t="shared" si="200"/>
        <v>0.99007647019879719</v>
      </c>
      <c r="L4266" s="26" t="s">
        <v>7518</v>
      </c>
      <c r="M4266" s="28">
        <v>9.1054734542216544E-3</v>
      </c>
      <c r="N4266" s="28"/>
      <c r="O4266" s="20" t="s">
        <v>7530</v>
      </c>
      <c r="P4266" s="27" t="str">
        <f t="shared" si="199"/>
        <v>vermelho</v>
      </c>
    </row>
    <row r="4267" spans="1:16" ht="25.5">
      <c r="A4267" s="3" t="s">
        <v>4</v>
      </c>
      <c r="B4267" s="3" t="s">
        <v>3224</v>
      </c>
      <c r="C4267" s="4">
        <v>316</v>
      </c>
      <c r="D4267" s="3" t="s">
        <v>247</v>
      </c>
      <c r="E4267" s="3" t="s">
        <v>10</v>
      </c>
      <c r="F4267" s="5">
        <v>108</v>
      </c>
      <c r="G4267" s="5">
        <v>66</v>
      </c>
      <c r="H4267" s="6">
        <v>2887.44</v>
      </c>
      <c r="I4267" s="22">
        <v>3731.43</v>
      </c>
      <c r="J4267" s="24">
        <f t="shared" si="198"/>
        <v>2.5855533470749538E-5</v>
      </c>
      <c r="K4267" s="25">
        <f t="shared" si="200"/>
        <v>0.99010232573226797</v>
      </c>
      <c r="L4267" s="26" t="s">
        <v>7518</v>
      </c>
      <c r="M4267" s="28"/>
      <c r="N4267" s="28"/>
      <c r="O4267" s="20" t="s">
        <v>7530</v>
      </c>
      <c r="P4267" s="27" t="str">
        <f t="shared" si="199"/>
        <v>vermelho</v>
      </c>
    </row>
    <row r="4268" spans="1:16">
      <c r="A4268" s="3" t="s">
        <v>4</v>
      </c>
      <c r="B4268" s="3" t="s">
        <v>3225</v>
      </c>
      <c r="C4268" s="4">
        <v>167</v>
      </c>
      <c r="D4268" s="3" t="s">
        <v>251</v>
      </c>
      <c r="E4268" s="3" t="s">
        <v>49</v>
      </c>
      <c r="F4268" s="5">
        <v>0</v>
      </c>
      <c r="G4268" s="5">
        <v>72</v>
      </c>
      <c r="H4268" s="6">
        <v>0</v>
      </c>
      <c r="I4268" s="22">
        <v>3728.64</v>
      </c>
      <c r="J4268" s="24">
        <f t="shared" si="198"/>
        <v>2.5836201220544284E-5</v>
      </c>
      <c r="K4268" s="25">
        <f t="shared" si="200"/>
        <v>0.99012816193348852</v>
      </c>
      <c r="L4268" s="26" t="s">
        <v>7518</v>
      </c>
      <c r="M4268" s="28"/>
      <c r="N4268" s="28"/>
      <c r="O4268" s="20" t="s">
        <v>7530</v>
      </c>
      <c r="P4268" s="27" t="str">
        <f t="shared" si="199"/>
        <v>vermelho</v>
      </c>
    </row>
    <row r="4269" spans="1:16" ht="51">
      <c r="A4269" s="3" t="s">
        <v>4</v>
      </c>
      <c r="B4269" s="3" t="s">
        <v>3226</v>
      </c>
      <c r="C4269" s="4">
        <v>282</v>
      </c>
      <c r="D4269" s="3" t="s">
        <v>12</v>
      </c>
      <c r="E4269" s="3" t="s">
        <v>13</v>
      </c>
      <c r="F4269" s="5">
        <v>294</v>
      </c>
      <c r="G4269" s="5">
        <v>60</v>
      </c>
      <c r="H4269" s="6">
        <v>16415.775000000001</v>
      </c>
      <c r="I4269" s="22">
        <v>3728.4</v>
      </c>
      <c r="J4269" s="24">
        <f t="shared" si="198"/>
        <v>2.5834538231279319E-5</v>
      </c>
      <c r="K4269" s="25">
        <f t="shared" si="200"/>
        <v>0.99015399647171976</v>
      </c>
      <c r="L4269" s="26" t="s">
        <v>7518</v>
      </c>
      <c r="M4269" s="28"/>
      <c r="N4269" s="28"/>
      <c r="O4269" s="20" t="s">
        <v>7530</v>
      </c>
      <c r="P4269" s="27" t="str">
        <f t="shared" si="199"/>
        <v>vermelho</v>
      </c>
    </row>
    <row r="4270" spans="1:16" ht="25.5">
      <c r="A4270" s="3" t="s">
        <v>4</v>
      </c>
      <c r="B4270" s="3" t="s">
        <v>3227</v>
      </c>
      <c r="C4270" s="4">
        <v>297</v>
      </c>
      <c r="D4270" s="3" t="s">
        <v>115</v>
      </c>
      <c r="E4270" s="3" t="s">
        <v>41</v>
      </c>
      <c r="F4270" s="5">
        <v>432</v>
      </c>
      <c r="G4270" s="5">
        <v>84</v>
      </c>
      <c r="H4270" s="6">
        <v>26600.1</v>
      </c>
      <c r="I4270" s="22">
        <v>3725.4</v>
      </c>
      <c r="J4270" s="24">
        <f t="shared" si="198"/>
        <v>2.5813750865467217E-5</v>
      </c>
      <c r="K4270" s="25">
        <f t="shared" si="200"/>
        <v>0.99017981022258528</v>
      </c>
      <c r="L4270" s="26" t="s">
        <v>7518</v>
      </c>
      <c r="M4270" s="28"/>
      <c r="N4270" s="28"/>
      <c r="O4270" s="20" t="s">
        <v>7530</v>
      </c>
      <c r="P4270" s="27" t="str">
        <f t="shared" si="199"/>
        <v>vermelho</v>
      </c>
    </row>
    <row r="4271" spans="1:16">
      <c r="A4271" s="3" t="s">
        <v>4</v>
      </c>
      <c r="B4271" s="3" t="s">
        <v>3228</v>
      </c>
      <c r="C4271" s="4">
        <v>232</v>
      </c>
      <c r="D4271" s="3" t="s">
        <v>174</v>
      </c>
      <c r="E4271" s="3" t="s">
        <v>16</v>
      </c>
      <c r="F4271" s="5">
        <v>0</v>
      </c>
      <c r="G4271" s="5">
        <v>72</v>
      </c>
      <c r="H4271" s="6">
        <v>0</v>
      </c>
      <c r="I4271" s="22">
        <v>3719.52</v>
      </c>
      <c r="J4271" s="24">
        <f t="shared" si="198"/>
        <v>2.5773007628475497E-5</v>
      </c>
      <c r="K4271" s="25">
        <f t="shared" si="200"/>
        <v>0.99020558323021379</v>
      </c>
      <c r="L4271" s="26" t="s">
        <v>7518</v>
      </c>
      <c r="M4271" s="28">
        <v>-2.5330141881855332E-3</v>
      </c>
      <c r="N4271" s="28"/>
      <c r="O4271" s="20">
        <v>3719.52</v>
      </c>
      <c r="P4271" s="27" t="str">
        <f t="shared" si="199"/>
        <v>verde</v>
      </c>
    </row>
    <row r="4272" spans="1:16" ht="25.5">
      <c r="A4272" s="3" t="s">
        <v>4</v>
      </c>
      <c r="B4272" s="3" t="s">
        <v>3229</v>
      </c>
      <c r="C4272" s="4">
        <v>270</v>
      </c>
      <c r="D4272" s="3" t="s">
        <v>266</v>
      </c>
      <c r="E4272" s="3" t="s">
        <v>49</v>
      </c>
      <c r="F4272" s="5">
        <v>120</v>
      </c>
      <c r="G4272" s="5">
        <v>60</v>
      </c>
      <c r="H4272" s="6">
        <v>6418.8</v>
      </c>
      <c r="I4272" s="22">
        <v>3719.4</v>
      </c>
      <c r="J4272" s="24">
        <f t="shared" si="198"/>
        <v>2.5772176133843015E-5</v>
      </c>
      <c r="K4272" s="25">
        <f t="shared" si="200"/>
        <v>0.99023135540634766</v>
      </c>
      <c r="L4272" s="26" t="s">
        <v>7518</v>
      </c>
      <c r="M4272" s="28"/>
      <c r="N4272" s="28"/>
      <c r="O4272" s="20" t="s">
        <v>7530</v>
      </c>
      <c r="P4272" s="27" t="str">
        <f t="shared" si="199"/>
        <v>vermelho</v>
      </c>
    </row>
    <row r="4273" spans="1:16" ht="25.5">
      <c r="A4273" s="3" t="s">
        <v>4</v>
      </c>
      <c r="B4273" s="3" t="s">
        <v>3230</v>
      </c>
      <c r="C4273" s="4">
        <v>261</v>
      </c>
      <c r="D4273" s="3" t="s">
        <v>9</v>
      </c>
      <c r="E4273" s="3" t="s">
        <v>10</v>
      </c>
      <c r="F4273" s="5">
        <v>276</v>
      </c>
      <c r="G4273" s="5">
        <v>51</v>
      </c>
      <c r="H4273" s="6">
        <v>14782.8</v>
      </c>
      <c r="I4273" s="22">
        <v>3715.26</v>
      </c>
      <c r="J4273" s="24">
        <f t="shared" si="198"/>
        <v>2.5743489569022316E-5</v>
      </c>
      <c r="K4273" s="25">
        <f t="shared" si="200"/>
        <v>0.99025709889591673</v>
      </c>
      <c r="L4273" s="26" t="s">
        <v>7518</v>
      </c>
      <c r="M4273" s="28"/>
      <c r="N4273" s="28"/>
      <c r="O4273" s="20" t="s">
        <v>7530</v>
      </c>
      <c r="P4273" s="27" t="str">
        <f t="shared" si="199"/>
        <v>vermelho</v>
      </c>
    </row>
    <row r="4274" spans="1:16">
      <c r="A4274" s="3" t="s">
        <v>4</v>
      </c>
      <c r="B4274" s="3" t="s">
        <v>3231</v>
      </c>
      <c r="C4274" s="4">
        <v>240</v>
      </c>
      <c r="D4274" s="3" t="s">
        <v>69</v>
      </c>
      <c r="E4274" s="3" t="s">
        <v>16</v>
      </c>
      <c r="F4274" s="5">
        <v>0</v>
      </c>
      <c r="G4274" s="5">
        <v>72</v>
      </c>
      <c r="H4274" s="6">
        <v>0</v>
      </c>
      <c r="I4274" s="22">
        <v>3708.09</v>
      </c>
      <c r="J4274" s="24">
        <f t="shared" si="198"/>
        <v>2.5693807764731394E-5</v>
      </c>
      <c r="K4274" s="25">
        <f t="shared" si="200"/>
        <v>0.99028279270368147</v>
      </c>
      <c r="L4274" s="26" t="s">
        <v>7518</v>
      </c>
      <c r="M4274" s="28"/>
      <c r="N4274" s="28"/>
      <c r="O4274" s="20" t="s">
        <v>7530</v>
      </c>
      <c r="P4274" s="27" t="str">
        <f t="shared" si="199"/>
        <v>vermelho</v>
      </c>
    </row>
    <row r="4275" spans="1:16" ht="25.5">
      <c r="A4275" s="3" t="s">
        <v>4</v>
      </c>
      <c r="B4275" s="3" t="s">
        <v>3232</v>
      </c>
      <c r="C4275" s="4">
        <v>261</v>
      </c>
      <c r="D4275" s="3" t="s">
        <v>9</v>
      </c>
      <c r="E4275" s="3" t="s">
        <v>10</v>
      </c>
      <c r="F4275" s="5">
        <v>36</v>
      </c>
      <c r="G4275" s="5">
        <v>54</v>
      </c>
      <c r="H4275" s="6">
        <v>2316.2399999999998</v>
      </c>
      <c r="I4275" s="22">
        <v>3695.94</v>
      </c>
      <c r="J4275" s="24">
        <f t="shared" si="198"/>
        <v>2.5609618933192382E-5</v>
      </c>
      <c r="K4275" s="25">
        <f t="shared" si="200"/>
        <v>0.99030840232261463</v>
      </c>
      <c r="L4275" s="26" t="s">
        <v>7518</v>
      </c>
      <c r="M4275" s="28"/>
      <c r="N4275" s="28"/>
      <c r="O4275" s="20" t="s">
        <v>7530</v>
      </c>
      <c r="P4275" s="27" t="str">
        <f t="shared" si="199"/>
        <v>vermelho</v>
      </c>
    </row>
    <row r="4276" spans="1:16">
      <c r="A4276" s="3" t="s">
        <v>7024</v>
      </c>
      <c r="B4276" s="3" t="s">
        <v>7025</v>
      </c>
      <c r="C4276" s="4">
        <v>217</v>
      </c>
      <c r="D4276" s="3" t="s">
        <v>91</v>
      </c>
      <c r="E4276" s="3" t="s">
        <v>16</v>
      </c>
      <c r="F4276" s="5">
        <v>120</v>
      </c>
      <c r="G4276" s="5">
        <v>72</v>
      </c>
      <c r="H4276" s="6">
        <v>5673.36</v>
      </c>
      <c r="I4276" s="22">
        <v>3695.28</v>
      </c>
      <c r="J4276" s="24">
        <f t="shared" si="198"/>
        <v>2.5605045712713721E-5</v>
      </c>
      <c r="K4276" s="25">
        <f t="shared" si="200"/>
        <v>0.99033400736832733</v>
      </c>
      <c r="L4276" s="26" t="s">
        <v>7518</v>
      </c>
      <c r="M4276" s="28"/>
      <c r="N4276" s="28"/>
      <c r="O4276" s="20">
        <v>3762.48</v>
      </c>
      <c r="P4276" s="27" t="str">
        <f t="shared" si="199"/>
        <v>verde</v>
      </c>
    </row>
    <row r="4277" spans="1:16" ht="25.5">
      <c r="A4277" s="3" t="s">
        <v>7026</v>
      </c>
      <c r="B4277" s="3" t="s">
        <v>7027</v>
      </c>
      <c r="C4277" s="4">
        <v>218</v>
      </c>
      <c r="D4277" s="3" t="s">
        <v>104</v>
      </c>
      <c r="E4277" s="3" t="s">
        <v>16</v>
      </c>
      <c r="F4277" s="5">
        <v>1644</v>
      </c>
      <c r="G4277" s="5">
        <v>84</v>
      </c>
      <c r="H4277" s="6">
        <v>91224.78</v>
      </c>
      <c r="I4277" s="22">
        <v>3695.16</v>
      </c>
      <c r="J4277" s="24">
        <f t="shared" si="198"/>
        <v>2.5604214218081236E-5</v>
      </c>
      <c r="K4277" s="25">
        <f t="shared" si="200"/>
        <v>0.99035961158254537</v>
      </c>
      <c r="L4277" s="26" t="s">
        <v>7518</v>
      </c>
      <c r="M4277" s="28"/>
      <c r="N4277" s="28"/>
      <c r="O4277" s="20" t="s">
        <v>7530</v>
      </c>
      <c r="P4277" s="27" t="str">
        <f t="shared" si="199"/>
        <v>vermelho</v>
      </c>
    </row>
    <row r="4278" spans="1:16" ht="25.5">
      <c r="A4278" s="3" t="s">
        <v>4</v>
      </c>
      <c r="B4278" s="3" t="s">
        <v>3233</v>
      </c>
      <c r="C4278" s="4">
        <v>232</v>
      </c>
      <c r="D4278" s="3" t="s">
        <v>174</v>
      </c>
      <c r="E4278" s="3" t="s">
        <v>16</v>
      </c>
      <c r="F4278" s="5">
        <v>534</v>
      </c>
      <c r="G4278" s="5">
        <v>72</v>
      </c>
      <c r="H4278" s="6">
        <v>29084.639999999999</v>
      </c>
      <c r="I4278" s="22">
        <v>3694.8</v>
      </c>
      <c r="J4278" s="24">
        <f t="shared" si="198"/>
        <v>2.5601719734183786E-5</v>
      </c>
      <c r="K4278" s="25">
        <f t="shared" si="200"/>
        <v>0.99038521330227958</v>
      </c>
      <c r="L4278" s="26" t="s">
        <v>7518</v>
      </c>
      <c r="M4278" s="28"/>
      <c r="N4278" s="28"/>
      <c r="O4278" s="20">
        <v>3694.8</v>
      </c>
      <c r="P4278" s="27" t="str">
        <f t="shared" si="199"/>
        <v>verde</v>
      </c>
    </row>
    <row r="4279" spans="1:16" ht="25.5">
      <c r="A4279" s="3" t="s">
        <v>4</v>
      </c>
      <c r="B4279" s="3" t="s">
        <v>3234</v>
      </c>
      <c r="C4279" s="4">
        <v>273</v>
      </c>
      <c r="D4279" s="3" t="s">
        <v>149</v>
      </c>
      <c r="E4279" s="3" t="s">
        <v>16</v>
      </c>
      <c r="F4279" s="5">
        <v>51</v>
      </c>
      <c r="G4279" s="5">
        <v>60</v>
      </c>
      <c r="H4279" s="6">
        <v>3107.25</v>
      </c>
      <c r="I4279" s="22">
        <v>3694.2</v>
      </c>
      <c r="J4279" s="24">
        <f t="shared" si="198"/>
        <v>2.5597562261021364E-5</v>
      </c>
      <c r="K4279" s="25">
        <f t="shared" si="200"/>
        <v>0.99041081086454064</v>
      </c>
      <c r="L4279" s="26" t="s">
        <v>7518</v>
      </c>
      <c r="M4279" s="28"/>
      <c r="N4279" s="28"/>
      <c r="O4279" s="20" t="s">
        <v>7530</v>
      </c>
      <c r="P4279" s="27" t="str">
        <f t="shared" si="199"/>
        <v>vermelho</v>
      </c>
    </row>
    <row r="4280" spans="1:16">
      <c r="A4280" s="3" t="s">
        <v>4</v>
      </c>
      <c r="B4280" s="3" t="s">
        <v>3235</v>
      </c>
      <c r="C4280" s="4">
        <v>232</v>
      </c>
      <c r="D4280" s="3" t="s">
        <v>174</v>
      </c>
      <c r="E4280" s="3" t="s">
        <v>16</v>
      </c>
      <c r="F4280" s="5">
        <v>168</v>
      </c>
      <c r="G4280" s="5">
        <v>60</v>
      </c>
      <c r="H4280" s="6">
        <v>9503.8799999999992</v>
      </c>
      <c r="I4280" s="22">
        <v>3694.08</v>
      </c>
      <c r="J4280" s="24">
        <f t="shared" si="198"/>
        <v>2.5596730766388879E-5</v>
      </c>
      <c r="K4280" s="25">
        <f t="shared" si="200"/>
        <v>0.99043640759530704</v>
      </c>
      <c r="L4280" s="26" t="s">
        <v>7518</v>
      </c>
      <c r="M4280" s="28"/>
      <c r="N4280" s="28"/>
      <c r="O4280" s="20">
        <v>2824.8</v>
      </c>
      <c r="P4280" s="27" t="str">
        <f t="shared" si="199"/>
        <v>laranja</v>
      </c>
    </row>
    <row r="4281" spans="1:16" ht="25.5">
      <c r="A4281" s="3" t="s">
        <v>4</v>
      </c>
      <c r="B4281" s="3" t="s">
        <v>3236</v>
      </c>
      <c r="C4281" s="4">
        <v>321</v>
      </c>
      <c r="D4281" s="3" t="s">
        <v>136</v>
      </c>
      <c r="E4281" s="3" t="s">
        <v>41</v>
      </c>
      <c r="F4281" s="5">
        <v>0</v>
      </c>
      <c r="G4281" s="5">
        <v>60</v>
      </c>
      <c r="H4281" s="6">
        <v>0</v>
      </c>
      <c r="I4281" s="22">
        <v>3693.84</v>
      </c>
      <c r="J4281" s="24">
        <f t="shared" si="198"/>
        <v>2.5595067777123914E-5</v>
      </c>
      <c r="K4281" s="25">
        <f t="shared" si="200"/>
        <v>0.99046200266308415</v>
      </c>
      <c r="L4281" s="26" t="s">
        <v>7518</v>
      </c>
      <c r="M4281" s="28"/>
      <c r="N4281" s="28"/>
      <c r="O4281" s="20" t="s">
        <v>7530</v>
      </c>
      <c r="P4281" s="27" t="str">
        <f t="shared" si="199"/>
        <v>vermelho</v>
      </c>
    </row>
    <row r="4282" spans="1:16" ht="38.25">
      <c r="A4282" s="3" t="s">
        <v>7028</v>
      </c>
      <c r="B4282" s="3" t="s">
        <v>7029</v>
      </c>
      <c r="C4282" s="4">
        <v>292</v>
      </c>
      <c r="D4282" s="3" t="s">
        <v>57</v>
      </c>
      <c r="E4282" s="3" t="s">
        <v>49</v>
      </c>
      <c r="F4282" s="5">
        <v>84</v>
      </c>
      <c r="G4282" s="5">
        <v>84</v>
      </c>
      <c r="H4282" s="6">
        <v>3228.444</v>
      </c>
      <c r="I4282" s="22">
        <v>3691.56</v>
      </c>
      <c r="J4282" s="24">
        <f t="shared" si="198"/>
        <v>2.5579269379106715E-5</v>
      </c>
      <c r="K4282" s="25">
        <f t="shared" si="200"/>
        <v>0.99048758193246322</v>
      </c>
      <c r="L4282" s="26" t="s">
        <v>7518</v>
      </c>
      <c r="M4282" s="28"/>
      <c r="N4282" s="28"/>
      <c r="O4282" s="20" t="s">
        <v>7530</v>
      </c>
      <c r="P4282" s="27" t="str">
        <f t="shared" si="199"/>
        <v>vermelho</v>
      </c>
    </row>
    <row r="4283" spans="1:16" ht="38.25">
      <c r="A4283" s="3" t="s">
        <v>4</v>
      </c>
      <c r="B4283" s="3" t="s">
        <v>3237</v>
      </c>
      <c r="C4283" s="4">
        <v>38</v>
      </c>
      <c r="D4283" s="3" t="s">
        <v>184</v>
      </c>
      <c r="E4283" s="3" t="s">
        <v>49</v>
      </c>
      <c r="F4283" s="5">
        <v>84</v>
      </c>
      <c r="G4283" s="5">
        <v>60</v>
      </c>
      <c r="H4283" s="6">
        <v>5585.28</v>
      </c>
      <c r="I4283" s="22">
        <v>3691.2</v>
      </c>
      <c r="J4283" s="24">
        <f t="shared" si="198"/>
        <v>2.5576774895209262E-5</v>
      </c>
      <c r="K4283" s="25">
        <f t="shared" si="200"/>
        <v>0.99051315870735845</v>
      </c>
      <c r="L4283" s="26" t="s">
        <v>7518</v>
      </c>
      <c r="M4283" s="28">
        <v>5.444993826188807E-2</v>
      </c>
      <c r="N4283" s="28"/>
      <c r="O4283" s="20" t="s">
        <v>7530</v>
      </c>
      <c r="P4283" s="27" t="str">
        <f t="shared" si="199"/>
        <v>vermelho</v>
      </c>
    </row>
    <row r="4284" spans="1:16" ht="38.25">
      <c r="A4284" s="3" t="s">
        <v>4</v>
      </c>
      <c r="B4284" s="3" t="s">
        <v>3238</v>
      </c>
      <c r="C4284" s="4">
        <v>45</v>
      </c>
      <c r="D4284" s="3" t="s">
        <v>23</v>
      </c>
      <c r="E4284" s="3" t="s">
        <v>7</v>
      </c>
      <c r="F4284" s="5">
        <v>279</v>
      </c>
      <c r="G4284" s="5">
        <v>60</v>
      </c>
      <c r="H4284" s="6">
        <v>14988.15</v>
      </c>
      <c r="I4284" s="22">
        <v>3683.4</v>
      </c>
      <c r="J4284" s="24">
        <f t="shared" si="198"/>
        <v>2.55227277440978E-5</v>
      </c>
      <c r="K4284" s="25">
        <f t="shared" si="200"/>
        <v>0.9905386814351026</v>
      </c>
      <c r="L4284" s="26" t="s">
        <v>7518</v>
      </c>
      <c r="M4284" s="28"/>
      <c r="N4284" s="28"/>
      <c r="O4284" s="20">
        <v>4950.3599999999997</v>
      </c>
      <c r="P4284" s="27" t="str">
        <f t="shared" si="199"/>
        <v>verde</v>
      </c>
    </row>
    <row r="4285" spans="1:16" ht="25.5">
      <c r="A4285" s="3" t="s">
        <v>7030</v>
      </c>
      <c r="B4285" s="3" t="s">
        <v>7031</v>
      </c>
      <c r="C4285" s="4">
        <v>296</v>
      </c>
      <c r="D4285" s="3" t="s">
        <v>282</v>
      </c>
      <c r="E4285" s="3" t="s">
        <v>41</v>
      </c>
      <c r="F4285" s="5">
        <v>0</v>
      </c>
      <c r="G4285" s="5">
        <v>72</v>
      </c>
      <c r="H4285" s="6">
        <v>0</v>
      </c>
      <c r="I4285" s="22">
        <v>3676.7649999999999</v>
      </c>
      <c r="J4285" s="24">
        <f t="shared" si="198"/>
        <v>2.5476753020043369E-5</v>
      </c>
      <c r="K4285" s="25">
        <f t="shared" si="200"/>
        <v>0.9905641581881226</v>
      </c>
      <c r="L4285" s="26" t="s">
        <v>7518</v>
      </c>
      <c r="M4285" s="28"/>
      <c r="N4285" s="28"/>
      <c r="O4285" s="20" t="s">
        <v>7530</v>
      </c>
      <c r="P4285" s="27" t="str">
        <f t="shared" si="199"/>
        <v>vermelho</v>
      </c>
    </row>
    <row r="4286" spans="1:16" ht="25.5">
      <c r="A4286" s="3" t="s">
        <v>4</v>
      </c>
      <c r="B4286" s="3" t="s">
        <v>3239</v>
      </c>
      <c r="C4286" s="4">
        <v>218</v>
      </c>
      <c r="D4286" s="3" t="s">
        <v>104</v>
      </c>
      <c r="E4286" s="3" t="s">
        <v>16</v>
      </c>
      <c r="F4286" s="5">
        <v>0</v>
      </c>
      <c r="G4286" s="5">
        <v>72</v>
      </c>
      <c r="H4286" s="6">
        <v>0</v>
      </c>
      <c r="I4286" s="22">
        <v>3675.36</v>
      </c>
      <c r="J4286" s="24">
        <f t="shared" si="198"/>
        <v>2.546701760372137E-5</v>
      </c>
      <c r="K4286" s="25">
        <f t="shared" si="200"/>
        <v>0.99058962520572635</v>
      </c>
      <c r="L4286" s="26" t="s">
        <v>7518</v>
      </c>
      <c r="M4286" s="28"/>
      <c r="N4286" s="28"/>
      <c r="O4286" s="20" t="s">
        <v>7530</v>
      </c>
      <c r="P4286" s="27" t="str">
        <f t="shared" si="199"/>
        <v>vermelho</v>
      </c>
    </row>
    <row r="4287" spans="1:16" ht="25.5">
      <c r="A4287" s="3" t="s">
        <v>4</v>
      </c>
      <c r="B4287" s="3" t="s">
        <v>3240</v>
      </c>
      <c r="C4287" s="4">
        <v>218</v>
      </c>
      <c r="D4287" s="3" t="s">
        <v>104</v>
      </c>
      <c r="E4287" s="3" t="s">
        <v>16</v>
      </c>
      <c r="F4287" s="5">
        <v>0</v>
      </c>
      <c r="G4287" s="5">
        <v>72</v>
      </c>
      <c r="H4287" s="6">
        <v>0</v>
      </c>
      <c r="I4287" s="22">
        <v>3675.3</v>
      </c>
      <c r="J4287" s="24">
        <f t="shared" si="198"/>
        <v>2.5466601856405127E-5</v>
      </c>
      <c r="K4287" s="25">
        <f t="shared" si="200"/>
        <v>0.99061509180758278</v>
      </c>
      <c r="L4287" s="26" t="s">
        <v>7518</v>
      </c>
      <c r="M4287" s="28"/>
      <c r="N4287" s="28"/>
      <c r="O4287" s="20" t="s">
        <v>7530</v>
      </c>
      <c r="P4287" s="27" t="str">
        <f t="shared" si="199"/>
        <v>vermelho</v>
      </c>
    </row>
    <row r="4288" spans="1:16" ht="25.5">
      <c r="A4288" s="3" t="s">
        <v>4</v>
      </c>
      <c r="B4288" s="3" t="s">
        <v>3241</v>
      </c>
      <c r="C4288" s="4">
        <v>261</v>
      </c>
      <c r="D4288" s="3" t="s">
        <v>9</v>
      </c>
      <c r="E4288" s="3" t="s">
        <v>10</v>
      </c>
      <c r="F4288" s="5">
        <v>60</v>
      </c>
      <c r="G4288" s="5">
        <v>60</v>
      </c>
      <c r="H4288" s="6">
        <v>3204.36</v>
      </c>
      <c r="I4288" s="22">
        <v>3675.24</v>
      </c>
      <c r="J4288" s="24">
        <f t="shared" si="198"/>
        <v>2.5466186109088884E-5</v>
      </c>
      <c r="K4288" s="25">
        <f t="shared" si="200"/>
        <v>0.99064055799369188</v>
      </c>
      <c r="L4288" s="26" t="s">
        <v>7518</v>
      </c>
      <c r="M4288" s="28">
        <v>1.396920676865962E-2</v>
      </c>
      <c r="N4288" s="28"/>
      <c r="O4288" s="20" t="s">
        <v>7530</v>
      </c>
      <c r="P4288" s="27" t="str">
        <f t="shared" si="199"/>
        <v>vermelho</v>
      </c>
    </row>
    <row r="4289" spans="1:16" ht="25.5">
      <c r="A4289" s="3" t="s">
        <v>7032</v>
      </c>
      <c r="B4289" s="3" t="s">
        <v>7033</v>
      </c>
      <c r="C4289" s="4">
        <v>337</v>
      </c>
      <c r="D4289" s="3" t="s">
        <v>202</v>
      </c>
      <c r="E4289" s="3" t="s">
        <v>16</v>
      </c>
      <c r="F4289" s="5">
        <v>72</v>
      </c>
      <c r="G4289" s="5">
        <v>72</v>
      </c>
      <c r="H4289" s="6">
        <v>3491.28</v>
      </c>
      <c r="I4289" s="22">
        <v>3675.24</v>
      </c>
      <c r="J4289" s="24">
        <f t="shared" si="198"/>
        <v>2.5466186109088884E-5</v>
      </c>
      <c r="K4289" s="25">
        <f t="shared" si="200"/>
        <v>0.99066602417980099</v>
      </c>
      <c r="L4289" s="26" t="s">
        <v>7518</v>
      </c>
      <c r="M4289" s="28"/>
      <c r="N4289" s="28"/>
      <c r="O4289" s="20" t="s">
        <v>7530</v>
      </c>
      <c r="P4289" s="27" t="str">
        <f t="shared" si="199"/>
        <v>vermelho</v>
      </c>
    </row>
    <row r="4290" spans="1:16" ht="25.5">
      <c r="A4290" s="3" t="s">
        <v>4</v>
      </c>
      <c r="B4290" s="3" t="s">
        <v>3242</v>
      </c>
      <c r="C4290" s="4">
        <v>74</v>
      </c>
      <c r="D4290" s="3" t="s">
        <v>6</v>
      </c>
      <c r="E4290" s="3" t="s">
        <v>7</v>
      </c>
      <c r="F4290" s="5">
        <v>0</v>
      </c>
      <c r="G4290" s="5">
        <v>63</v>
      </c>
      <c r="H4290" s="6">
        <v>0</v>
      </c>
      <c r="I4290" s="22">
        <v>3671.97</v>
      </c>
      <c r="J4290" s="24">
        <f t="shared" si="198"/>
        <v>2.5443527880353694E-5</v>
      </c>
      <c r="K4290" s="25">
        <f t="shared" si="200"/>
        <v>0.99069146770768135</v>
      </c>
      <c r="L4290" s="26" t="s">
        <v>7518</v>
      </c>
      <c r="M4290" s="28"/>
      <c r="N4290" s="28"/>
      <c r="O4290" s="20" t="s">
        <v>7530</v>
      </c>
      <c r="P4290" s="27" t="str">
        <f t="shared" si="199"/>
        <v>vermelho</v>
      </c>
    </row>
    <row r="4291" spans="1:16" ht="38.25">
      <c r="A4291" s="3" t="s">
        <v>4</v>
      </c>
      <c r="B4291" s="3" t="s">
        <v>3243</v>
      </c>
      <c r="C4291" s="4">
        <v>45</v>
      </c>
      <c r="D4291" s="3" t="s">
        <v>23</v>
      </c>
      <c r="E4291" s="3" t="s">
        <v>7</v>
      </c>
      <c r="F4291" s="5">
        <v>48</v>
      </c>
      <c r="G4291" s="5">
        <v>48</v>
      </c>
      <c r="H4291" s="6">
        <v>2999.52</v>
      </c>
      <c r="I4291" s="22">
        <v>3671.52</v>
      </c>
      <c r="J4291" s="24">
        <f t="shared" ref="J4291:J4354" si="201">I4291/$I$6364</f>
        <v>2.5440409775481878E-5</v>
      </c>
      <c r="K4291" s="25">
        <f t="shared" si="200"/>
        <v>0.99071690811745683</v>
      </c>
      <c r="L4291" s="26" t="s">
        <v>7518</v>
      </c>
      <c r="M4291" s="28"/>
      <c r="N4291" s="28"/>
      <c r="O4291" s="20" t="s">
        <v>7530</v>
      </c>
      <c r="P4291" s="27" t="str">
        <f t="shared" ref="P4291:P4354" si="202">IF(O4291&lt;=0,"vermelho",IFERROR(IF(O4291/I4291&lt;=0.5098,"amarelo",IF(O4291/I4291&lt;1,"laranja","verde")),"vermelho"))</f>
        <v>vermelho</v>
      </c>
    </row>
    <row r="4292" spans="1:16" ht="25.5">
      <c r="A4292" s="3" t="s">
        <v>4</v>
      </c>
      <c r="B4292" s="3" t="s">
        <v>3244</v>
      </c>
      <c r="C4292" s="4">
        <v>296</v>
      </c>
      <c r="D4292" s="3" t="s">
        <v>282</v>
      </c>
      <c r="E4292" s="3" t="s">
        <v>10</v>
      </c>
      <c r="F4292" s="5">
        <v>0</v>
      </c>
      <c r="G4292" s="5">
        <v>87</v>
      </c>
      <c r="H4292" s="6">
        <v>0</v>
      </c>
      <c r="I4292" s="22">
        <v>3660.22</v>
      </c>
      <c r="J4292" s="24">
        <f t="shared" si="201"/>
        <v>2.536211069758963E-5</v>
      </c>
      <c r="K4292" s="25">
        <f t="shared" ref="K4292:K4355" si="203">J4292+K4291</f>
        <v>0.99074227022815442</v>
      </c>
      <c r="L4292" s="26" t="s">
        <v>7518</v>
      </c>
      <c r="M4292" s="28"/>
      <c r="N4292" s="28">
        <v>4.906801170279395E-2</v>
      </c>
      <c r="O4292" s="20">
        <v>3981.6509999999998</v>
      </c>
      <c r="P4292" s="27" t="str">
        <f t="shared" si="202"/>
        <v>verde</v>
      </c>
    </row>
    <row r="4293" spans="1:16" ht="25.5">
      <c r="A4293" s="3" t="s">
        <v>4</v>
      </c>
      <c r="B4293" s="3" t="s">
        <v>3245</v>
      </c>
      <c r="C4293" s="4">
        <v>328</v>
      </c>
      <c r="D4293" s="3" t="s">
        <v>215</v>
      </c>
      <c r="E4293" s="3" t="s">
        <v>41</v>
      </c>
      <c r="F4293" s="5">
        <v>0</v>
      </c>
      <c r="G4293" s="5">
        <v>66</v>
      </c>
      <c r="H4293" s="6">
        <v>0</v>
      </c>
      <c r="I4293" s="22">
        <v>3655.35</v>
      </c>
      <c r="J4293" s="24">
        <f t="shared" si="201"/>
        <v>2.5328365873754652E-5</v>
      </c>
      <c r="K4293" s="25">
        <f t="shared" si="203"/>
        <v>0.99076759859402819</v>
      </c>
      <c r="L4293" s="26" t="s">
        <v>7518</v>
      </c>
      <c r="M4293" s="28"/>
      <c r="N4293" s="28"/>
      <c r="O4293" s="20" t="s">
        <v>7530</v>
      </c>
      <c r="P4293" s="27" t="str">
        <f t="shared" si="202"/>
        <v>vermelho</v>
      </c>
    </row>
    <row r="4294" spans="1:16" ht="51">
      <c r="A4294" s="3" t="s">
        <v>4</v>
      </c>
      <c r="B4294" s="3" t="s">
        <v>3246</v>
      </c>
      <c r="C4294" s="4">
        <v>282</v>
      </c>
      <c r="D4294" s="3" t="s">
        <v>12</v>
      </c>
      <c r="E4294" s="3" t="s">
        <v>13</v>
      </c>
      <c r="F4294" s="5">
        <v>180</v>
      </c>
      <c r="G4294" s="5">
        <v>84</v>
      </c>
      <c r="H4294" s="6">
        <v>8626.26</v>
      </c>
      <c r="I4294" s="22">
        <v>3651.96</v>
      </c>
      <c r="J4294" s="24">
        <f t="shared" si="201"/>
        <v>2.530487615038698E-5</v>
      </c>
      <c r="K4294" s="25">
        <f t="shared" si="203"/>
        <v>0.99079290347017857</v>
      </c>
      <c r="L4294" s="26" t="s">
        <v>7518</v>
      </c>
      <c r="M4294" s="28"/>
      <c r="N4294" s="28"/>
      <c r="O4294" s="20" t="s">
        <v>7530</v>
      </c>
      <c r="P4294" s="27" t="str">
        <f t="shared" si="202"/>
        <v>vermelho</v>
      </c>
    </row>
    <row r="4295" spans="1:16" ht="25.5">
      <c r="A4295" s="3" t="s">
        <v>4</v>
      </c>
      <c r="B4295" s="3" t="s">
        <v>3247</v>
      </c>
      <c r="C4295" s="4">
        <v>267</v>
      </c>
      <c r="D4295" s="3" t="s">
        <v>125</v>
      </c>
      <c r="E4295" s="3" t="s">
        <v>16</v>
      </c>
      <c r="F4295" s="5">
        <v>0</v>
      </c>
      <c r="G4295" s="5">
        <v>60</v>
      </c>
      <c r="H4295" s="6">
        <v>0</v>
      </c>
      <c r="I4295" s="22">
        <v>3648.57</v>
      </c>
      <c r="J4295" s="24">
        <f t="shared" si="201"/>
        <v>2.5281386427019307E-5</v>
      </c>
      <c r="K4295" s="25">
        <f t="shared" si="203"/>
        <v>0.99081818485660555</v>
      </c>
      <c r="L4295" s="26" t="s">
        <v>7518</v>
      </c>
      <c r="M4295" s="28"/>
      <c r="N4295" s="28"/>
      <c r="O4295" s="20" t="s">
        <v>7530</v>
      </c>
      <c r="P4295" s="27" t="str">
        <f t="shared" si="202"/>
        <v>vermelho</v>
      </c>
    </row>
    <row r="4296" spans="1:16" ht="25.5">
      <c r="A4296" s="3" t="s">
        <v>4</v>
      </c>
      <c r="B4296" s="3" t="s">
        <v>3248</v>
      </c>
      <c r="C4296" s="4">
        <v>187</v>
      </c>
      <c r="D4296" s="3" t="s">
        <v>96</v>
      </c>
      <c r="E4296" s="3" t="s">
        <v>7</v>
      </c>
      <c r="F4296" s="5">
        <v>126</v>
      </c>
      <c r="G4296" s="5">
        <v>78</v>
      </c>
      <c r="H4296" s="6">
        <v>6316.866</v>
      </c>
      <c r="I4296" s="22">
        <v>3648.54</v>
      </c>
      <c r="J4296" s="24">
        <f t="shared" si="201"/>
        <v>2.5281178553361184E-5</v>
      </c>
      <c r="K4296" s="25">
        <f t="shared" si="203"/>
        <v>0.99084346603515894</v>
      </c>
      <c r="L4296" s="26" t="s">
        <v>7518</v>
      </c>
      <c r="M4296" s="28"/>
      <c r="N4296" s="28"/>
      <c r="O4296" s="20" t="s">
        <v>7530</v>
      </c>
      <c r="P4296" s="27" t="str">
        <f t="shared" si="202"/>
        <v>vermelho</v>
      </c>
    </row>
    <row r="4297" spans="1:16">
      <c r="A4297" s="3" t="s">
        <v>4</v>
      </c>
      <c r="B4297" s="3" t="s">
        <v>3249</v>
      </c>
      <c r="C4297" s="4">
        <v>217</v>
      </c>
      <c r="D4297" s="3" t="s">
        <v>91</v>
      </c>
      <c r="E4297" s="3" t="s">
        <v>16</v>
      </c>
      <c r="F4297" s="5">
        <v>0</v>
      </c>
      <c r="G4297" s="5">
        <v>60</v>
      </c>
      <c r="H4297" s="6">
        <v>0</v>
      </c>
      <c r="I4297" s="22">
        <v>3647.4</v>
      </c>
      <c r="J4297" s="24">
        <f t="shared" si="201"/>
        <v>2.5273279354352588E-5</v>
      </c>
      <c r="K4297" s="25">
        <f t="shared" si="203"/>
        <v>0.99086873931451325</v>
      </c>
      <c r="L4297" s="26" t="s">
        <v>7518</v>
      </c>
      <c r="M4297" s="28"/>
      <c r="N4297" s="28"/>
      <c r="O4297" s="20" t="s">
        <v>7530</v>
      </c>
      <c r="P4297" s="27" t="str">
        <f t="shared" si="202"/>
        <v>vermelho</v>
      </c>
    </row>
    <row r="4298" spans="1:16">
      <c r="A4298" s="3" t="s">
        <v>4</v>
      </c>
      <c r="B4298" s="3" t="s">
        <v>3250</v>
      </c>
      <c r="C4298" s="4">
        <v>232</v>
      </c>
      <c r="D4298" s="3" t="s">
        <v>174</v>
      </c>
      <c r="E4298" s="3" t="s">
        <v>16</v>
      </c>
      <c r="F4298" s="5">
        <v>0</v>
      </c>
      <c r="G4298" s="5">
        <v>72</v>
      </c>
      <c r="H4298" s="6">
        <v>0</v>
      </c>
      <c r="I4298" s="22">
        <v>3640.56</v>
      </c>
      <c r="J4298" s="24">
        <f t="shared" si="201"/>
        <v>2.5225884160300993E-5</v>
      </c>
      <c r="K4298" s="25">
        <f t="shared" si="203"/>
        <v>0.99089396519867357</v>
      </c>
      <c r="L4298" s="26" t="s">
        <v>7518</v>
      </c>
      <c r="M4298" s="28"/>
      <c r="N4298" s="28">
        <v>-2.1048339394725689E-2</v>
      </c>
      <c r="O4298" s="20">
        <v>6745.29</v>
      </c>
      <c r="P4298" s="27" t="str">
        <f t="shared" si="202"/>
        <v>verde</v>
      </c>
    </row>
    <row r="4299" spans="1:16" ht="25.5">
      <c r="A4299" s="3" t="s">
        <v>4</v>
      </c>
      <c r="B4299" s="3" t="s">
        <v>3251</v>
      </c>
      <c r="C4299" s="4">
        <v>317</v>
      </c>
      <c r="D4299" s="3" t="s">
        <v>78</v>
      </c>
      <c r="E4299" s="3" t="s">
        <v>10</v>
      </c>
      <c r="F4299" s="5">
        <v>144</v>
      </c>
      <c r="G4299" s="5">
        <v>72</v>
      </c>
      <c r="H4299" s="6">
        <v>9221.0400000000009</v>
      </c>
      <c r="I4299" s="22">
        <v>3635.28</v>
      </c>
      <c r="J4299" s="24">
        <f t="shared" si="201"/>
        <v>2.5189298396471698E-5</v>
      </c>
      <c r="K4299" s="25">
        <f t="shared" si="203"/>
        <v>0.99091915449707002</v>
      </c>
      <c r="L4299" s="26" t="s">
        <v>7518</v>
      </c>
      <c r="M4299" s="28"/>
      <c r="N4299" s="28"/>
      <c r="O4299" s="20" t="s">
        <v>7530</v>
      </c>
      <c r="P4299" s="27" t="str">
        <f t="shared" si="202"/>
        <v>vermelho</v>
      </c>
    </row>
    <row r="4300" spans="1:16">
      <c r="A4300" s="3" t="s">
        <v>4</v>
      </c>
      <c r="B4300" s="3" t="s">
        <v>2494</v>
      </c>
      <c r="C4300" s="4">
        <v>240</v>
      </c>
      <c r="D4300" s="3" t="s">
        <v>69</v>
      </c>
      <c r="E4300" s="3" t="s">
        <v>16</v>
      </c>
      <c r="F4300" s="5">
        <v>60</v>
      </c>
      <c r="G4300" s="5">
        <v>48</v>
      </c>
      <c r="H4300" s="6">
        <v>2875.32</v>
      </c>
      <c r="I4300" s="22">
        <v>3634.8</v>
      </c>
      <c r="J4300" s="24">
        <f t="shared" si="201"/>
        <v>2.5185972417941763E-5</v>
      </c>
      <c r="K4300" s="25">
        <f t="shared" si="203"/>
        <v>0.99094434046948798</v>
      </c>
      <c r="L4300" s="26" t="s">
        <v>7518</v>
      </c>
      <c r="M4300" s="28"/>
      <c r="N4300" s="28"/>
      <c r="O4300" s="20" t="s">
        <v>7530</v>
      </c>
      <c r="P4300" s="27" t="str">
        <f t="shared" si="202"/>
        <v>vermelho</v>
      </c>
    </row>
    <row r="4301" spans="1:16" ht="25.5">
      <c r="A4301" s="3" t="s">
        <v>4</v>
      </c>
      <c r="B4301" s="3" t="s">
        <v>3252</v>
      </c>
      <c r="C4301" s="4">
        <v>93</v>
      </c>
      <c r="D4301" s="3" t="s">
        <v>20</v>
      </c>
      <c r="E4301" s="3" t="s">
        <v>7</v>
      </c>
      <c r="F4301" s="5">
        <v>156</v>
      </c>
      <c r="G4301" s="5">
        <v>48</v>
      </c>
      <c r="H4301" s="6">
        <v>8023.5</v>
      </c>
      <c r="I4301" s="22">
        <v>3628.32</v>
      </c>
      <c r="J4301" s="24">
        <f t="shared" si="201"/>
        <v>2.5141071707787625E-5</v>
      </c>
      <c r="K4301" s="25">
        <f t="shared" si="203"/>
        <v>0.9909694815411958</v>
      </c>
      <c r="L4301" s="26" t="s">
        <v>7518</v>
      </c>
      <c r="M4301" s="28"/>
      <c r="N4301" s="28"/>
      <c r="O4301" s="20" t="s">
        <v>7530</v>
      </c>
      <c r="P4301" s="27" t="str">
        <f t="shared" si="202"/>
        <v>vermelho</v>
      </c>
    </row>
    <row r="4302" spans="1:16">
      <c r="A4302" s="3" t="s">
        <v>4</v>
      </c>
      <c r="B4302" s="3" t="s">
        <v>3253</v>
      </c>
      <c r="C4302" s="4">
        <v>315</v>
      </c>
      <c r="D4302" s="3" t="s">
        <v>63</v>
      </c>
      <c r="E4302" s="3" t="s">
        <v>7</v>
      </c>
      <c r="F4302" s="5">
        <v>108</v>
      </c>
      <c r="G4302" s="5">
        <v>63</v>
      </c>
      <c r="H4302" s="6">
        <v>3527.52</v>
      </c>
      <c r="I4302" s="22">
        <v>3626.37</v>
      </c>
      <c r="J4302" s="24">
        <f t="shared" si="201"/>
        <v>2.5127559920009756E-5</v>
      </c>
      <c r="K4302" s="25">
        <f t="shared" si="203"/>
        <v>0.99099460910111581</v>
      </c>
      <c r="L4302" s="26" t="s">
        <v>7518</v>
      </c>
      <c r="M4302" s="28"/>
      <c r="N4302" s="28"/>
      <c r="O4302" s="20">
        <v>2617.92</v>
      </c>
      <c r="P4302" s="27" t="str">
        <f t="shared" si="202"/>
        <v>laranja</v>
      </c>
    </row>
    <row r="4303" spans="1:16" ht="25.5">
      <c r="A4303" s="3" t="s">
        <v>4</v>
      </c>
      <c r="B4303" s="3" t="s">
        <v>3254</v>
      </c>
      <c r="C4303" s="4">
        <v>178</v>
      </c>
      <c r="D4303" s="3" t="s">
        <v>74</v>
      </c>
      <c r="E4303" s="3" t="s">
        <v>7</v>
      </c>
      <c r="F4303" s="5">
        <v>54</v>
      </c>
      <c r="G4303" s="5">
        <v>48</v>
      </c>
      <c r="H4303" s="6">
        <v>3765.78</v>
      </c>
      <c r="I4303" s="22">
        <v>3622.08</v>
      </c>
      <c r="J4303" s="24">
        <f t="shared" si="201"/>
        <v>2.5097833986898452E-5</v>
      </c>
      <c r="K4303" s="25">
        <f t="shared" si="203"/>
        <v>0.99101970693510266</v>
      </c>
      <c r="L4303" s="26" t="s">
        <v>7518</v>
      </c>
      <c r="M4303" s="28"/>
      <c r="N4303" s="28">
        <v>2.3825345203798531E-2</v>
      </c>
      <c r="O4303" s="20">
        <v>3002.88</v>
      </c>
      <c r="P4303" s="27" t="str">
        <f t="shared" si="202"/>
        <v>laranja</v>
      </c>
    </row>
    <row r="4304" spans="1:16" ht="25.5">
      <c r="A4304" s="3" t="s">
        <v>4</v>
      </c>
      <c r="B4304" s="3" t="s">
        <v>3255</v>
      </c>
      <c r="C4304" s="4">
        <v>208</v>
      </c>
      <c r="D4304" s="3" t="s">
        <v>15</v>
      </c>
      <c r="E4304" s="3" t="s">
        <v>16</v>
      </c>
      <c r="F4304" s="5">
        <v>0</v>
      </c>
      <c r="G4304" s="5">
        <v>60</v>
      </c>
      <c r="H4304" s="6">
        <v>0</v>
      </c>
      <c r="I4304" s="22">
        <v>3621.96</v>
      </c>
      <c r="J4304" s="24">
        <f t="shared" si="201"/>
        <v>2.509700249226597E-5</v>
      </c>
      <c r="K4304" s="25">
        <f t="shared" si="203"/>
        <v>0.99104480393759498</v>
      </c>
      <c r="L4304" s="26" t="s">
        <v>7518</v>
      </c>
      <c r="M4304" s="28"/>
      <c r="N4304" s="28"/>
      <c r="O4304" s="20" t="s">
        <v>7530</v>
      </c>
      <c r="P4304" s="27" t="str">
        <f t="shared" si="202"/>
        <v>vermelho</v>
      </c>
    </row>
    <row r="4305" spans="1:16" ht="25.5">
      <c r="A4305" s="3" t="s">
        <v>4</v>
      </c>
      <c r="B4305" s="3" t="s">
        <v>2108</v>
      </c>
      <c r="C4305" s="4">
        <v>261</v>
      </c>
      <c r="D4305" s="3" t="s">
        <v>9</v>
      </c>
      <c r="E4305" s="3" t="s">
        <v>10</v>
      </c>
      <c r="F4305" s="5">
        <v>0</v>
      </c>
      <c r="G4305" s="5">
        <v>60</v>
      </c>
      <c r="H4305" s="6">
        <v>0</v>
      </c>
      <c r="I4305" s="22">
        <v>3621.84</v>
      </c>
      <c r="J4305" s="24">
        <f t="shared" si="201"/>
        <v>2.5096170997633484E-5</v>
      </c>
      <c r="K4305" s="25">
        <f t="shared" si="203"/>
        <v>0.99106990010859264</v>
      </c>
      <c r="L4305" s="26" t="s">
        <v>7518</v>
      </c>
      <c r="M4305" s="28"/>
      <c r="N4305" s="28"/>
      <c r="O4305" s="20" t="s">
        <v>7530</v>
      </c>
      <c r="P4305" s="27" t="str">
        <f t="shared" si="202"/>
        <v>vermelho</v>
      </c>
    </row>
    <row r="4306" spans="1:16" ht="38.25">
      <c r="A4306" s="3" t="s">
        <v>4</v>
      </c>
      <c r="B4306" s="3" t="s">
        <v>3256</v>
      </c>
      <c r="C4306" s="4">
        <v>371</v>
      </c>
      <c r="D4306" s="3" t="s">
        <v>82</v>
      </c>
      <c r="E4306" s="3" t="s">
        <v>49</v>
      </c>
      <c r="F4306" s="5">
        <v>42</v>
      </c>
      <c r="G4306" s="5">
        <v>66</v>
      </c>
      <c r="H4306" s="6">
        <v>2345.58</v>
      </c>
      <c r="I4306" s="22">
        <v>3617.34</v>
      </c>
      <c r="J4306" s="24">
        <f t="shared" si="201"/>
        <v>2.5064989948915332E-5</v>
      </c>
      <c r="K4306" s="25">
        <f t="shared" si="203"/>
        <v>0.99109496509854156</v>
      </c>
      <c r="L4306" s="26" t="s">
        <v>7518</v>
      </c>
      <c r="M4306" s="28"/>
      <c r="N4306" s="28"/>
      <c r="O4306" s="20" t="s">
        <v>7530</v>
      </c>
      <c r="P4306" s="27" t="str">
        <f t="shared" si="202"/>
        <v>vermelho</v>
      </c>
    </row>
    <row r="4307" spans="1:16" ht="25.5">
      <c r="A4307" s="3" t="s">
        <v>4</v>
      </c>
      <c r="B4307" s="3" t="s">
        <v>3257</v>
      </c>
      <c r="C4307" s="4">
        <v>267</v>
      </c>
      <c r="D4307" s="3" t="s">
        <v>125</v>
      </c>
      <c r="E4307" s="3" t="s">
        <v>16</v>
      </c>
      <c r="F4307" s="5">
        <v>66</v>
      </c>
      <c r="G4307" s="5">
        <v>48</v>
      </c>
      <c r="H4307" s="6">
        <v>3869.34</v>
      </c>
      <c r="I4307" s="22">
        <v>3611.52</v>
      </c>
      <c r="J4307" s="24">
        <f t="shared" si="201"/>
        <v>2.5024662459239855E-5</v>
      </c>
      <c r="K4307" s="25">
        <f t="shared" si="203"/>
        <v>0.9911199897610008</v>
      </c>
      <c r="L4307" s="26" t="s">
        <v>7518</v>
      </c>
      <c r="M4307" s="28"/>
      <c r="N4307" s="28"/>
      <c r="O4307" s="20" t="s">
        <v>7530</v>
      </c>
      <c r="P4307" s="27" t="str">
        <f t="shared" si="202"/>
        <v>vermelho</v>
      </c>
    </row>
    <row r="4308" spans="1:16">
      <c r="A4308" s="3" t="s">
        <v>4</v>
      </c>
      <c r="B4308" s="3" t="s">
        <v>3258</v>
      </c>
      <c r="C4308" s="4">
        <v>232</v>
      </c>
      <c r="D4308" s="3" t="s">
        <v>174</v>
      </c>
      <c r="E4308" s="3" t="s">
        <v>16</v>
      </c>
      <c r="F4308" s="5">
        <v>0</v>
      </c>
      <c r="G4308" s="5">
        <v>72</v>
      </c>
      <c r="H4308" s="6">
        <v>0</v>
      </c>
      <c r="I4308" s="22">
        <v>3610.08</v>
      </c>
      <c r="J4308" s="24">
        <f t="shared" si="201"/>
        <v>2.5014684523650048E-5</v>
      </c>
      <c r="K4308" s="25">
        <f t="shared" si="203"/>
        <v>0.99114500444552445</v>
      </c>
      <c r="L4308" s="26" t="s">
        <v>7518</v>
      </c>
      <c r="M4308" s="28"/>
      <c r="N4308" s="28"/>
      <c r="O4308" s="20" t="s">
        <v>7530</v>
      </c>
      <c r="P4308" s="27" t="str">
        <f t="shared" si="202"/>
        <v>vermelho</v>
      </c>
    </row>
    <row r="4309" spans="1:16">
      <c r="A4309" s="3" t="s">
        <v>4</v>
      </c>
      <c r="B4309" s="3" t="s">
        <v>3259</v>
      </c>
      <c r="C4309" s="4">
        <v>315</v>
      </c>
      <c r="D4309" s="3" t="s">
        <v>63</v>
      </c>
      <c r="E4309" s="3" t="s">
        <v>7</v>
      </c>
      <c r="F4309" s="5">
        <v>540</v>
      </c>
      <c r="G4309" s="5">
        <v>54</v>
      </c>
      <c r="H4309" s="6">
        <v>30392.477999999999</v>
      </c>
      <c r="I4309" s="22">
        <v>3595.4119999999998</v>
      </c>
      <c r="J4309" s="24">
        <f t="shared" si="201"/>
        <v>2.4913048163072746E-5</v>
      </c>
      <c r="K4309" s="25">
        <f t="shared" si="203"/>
        <v>0.99116991749368755</v>
      </c>
      <c r="L4309" s="26" t="s">
        <v>7518</v>
      </c>
      <c r="M4309" s="28"/>
      <c r="N4309" s="28"/>
      <c r="O4309" s="20" t="s">
        <v>7530</v>
      </c>
      <c r="P4309" s="27" t="str">
        <f t="shared" si="202"/>
        <v>vermelho</v>
      </c>
    </row>
    <row r="4310" spans="1:16" ht="25.5">
      <c r="A4310" s="3" t="s">
        <v>4</v>
      </c>
      <c r="B4310" s="3" t="s">
        <v>3260</v>
      </c>
      <c r="C4310" s="4">
        <v>197</v>
      </c>
      <c r="D4310" s="3" t="s">
        <v>66</v>
      </c>
      <c r="E4310" s="3" t="s">
        <v>41</v>
      </c>
      <c r="F4310" s="5">
        <v>0</v>
      </c>
      <c r="G4310" s="5">
        <v>66</v>
      </c>
      <c r="H4310" s="6">
        <v>0</v>
      </c>
      <c r="I4310" s="22">
        <v>3595.26</v>
      </c>
      <c r="J4310" s="24">
        <f t="shared" si="201"/>
        <v>2.491199493653827E-5</v>
      </c>
      <c r="K4310" s="25">
        <f t="shared" si="203"/>
        <v>0.99119482948862403</v>
      </c>
      <c r="L4310" s="26" t="s">
        <v>7518</v>
      </c>
      <c r="M4310" s="28"/>
      <c r="N4310" s="28"/>
      <c r="O4310" s="20" t="s">
        <v>7530</v>
      </c>
      <c r="P4310" s="27" t="str">
        <f t="shared" si="202"/>
        <v>vermelho</v>
      </c>
    </row>
    <row r="4311" spans="1:16" ht="25.5">
      <c r="A4311" s="3" t="s">
        <v>7034</v>
      </c>
      <c r="B4311" s="3" t="s">
        <v>7035</v>
      </c>
      <c r="C4311" s="4">
        <v>19</v>
      </c>
      <c r="D4311" s="3" t="s">
        <v>72</v>
      </c>
      <c r="E4311" s="3" t="s">
        <v>41</v>
      </c>
      <c r="F4311" s="5">
        <v>0</v>
      </c>
      <c r="G4311" s="5">
        <v>60</v>
      </c>
      <c r="H4311" s="6">
        <v>0</v>
      </c>
      <c r="I4311" s="22">
        <v>3592.56</v>
      </c>
      <c r="J4311" s="24">
        <f t="shared" si="201"/>
        <v>2.4893286307307378E-5</v>
      </c>
      <c r="K4311" s="25">
        <f t="shared" si="203"/>
        <v>0.99121972277493131</v>
      </c>
      <c r="L4311" s="26" t="s">
        <v>7518</v>
      </c>
      <c r="M4311" s="28"/>
      <c r="N4311" s="28"/>
      <c r="O4311" s="20" t="s">
        <v>7530</v>
      </c>
      <c r="P4311" s="27" t="str">
        <f t="shared" si="202"/>
        <v>vermelho</v>
      </c>
    </row>
    <row r="4312" spans="1:16" ht="51">
      <c r="A4312" s="3" t="s">
        <v>4</v>
      </c>
      <c r="B4312" s="3" t="s">
        <v>3261</v>
      </c>
      <c r="C4312" s="4">
        <v>282</v>
      </c>
      <c r="D4312" s="3" t="s">
        <v>12</v>
      </c>
      <c r="E4312" s="3" t="s">
        <v>13</v>
      </c>
      <c r="F4312" s="5">
        <v>0</v>
      </c>
      <c r="G4312" s="5">
        <v>72</v>
      </c>
      <c r="H4312" s="6">
        <v>0</v>
      </c>
      <c r="I4312" s="22">
        <v>3589.2</v>
      </c>
      <c r="J4312" s="24">
        <f t="shared" si="201"/>
        <v>2.4870004457597822E-5</v>
      </c>
      <c r="K4312" s="25">
        <f t="shared" si="203"/>
        <v>0.99124459277938892</v>
      </c>
      <c r="L4312" s="26" t="s">
        <v>7518</v>
      </c>
      <c r="M4312" s="28"/>
      <c r="N4312" s="28"/>
      <c r="O4312" s="20" t="s">
        <v>7530</v>
      </c>
      <c r="P4312" s="27" t="str">
        <f t="shared" si="202"/>
        <v>vermelho</v>
      </c>
    </row>
    <row r="4313" spans="1:16" ht="38.25">
      <c r="A4313" s="3" t="s">
        <v>4</v>
      </c>
      <c r="B4313" s="3" t="s">
        <v>3262</v>
      </c>
      <c r="C4313" s="4">
        <v>217</v>
      </c>
      <c r="D4313" s="3" t="s">
        <v>91</v>
      </c>
      <c r="E4313" s="3" t="s">
        <v>16</v>
      </c>
      <c r="F4313" s="5">
        <v>108</v>
      </c>
      <c r="G4313" s="5">
        <v>72</v>
      </c>
      <c r="H4313" s="6">
        <v>5526.24</v>
      </c>
      <c r="I4313" s="22">
        <v>3586.32</v>
      </c>
      <c r="J4313" s="24">
        <f t="shared" si="201"/>
        <v>2.4850048586418208E-5</v>
      </c>
      <c r="K4313" s="25">
        <f t="shared" si="203"/>
        <v>0.99126944282797536</v>
      </c>
      <c r="L4313" s="26" t="s">
        <v>7518</v>
      </c>
      <c r="M4313" s="28"/>
      <c r="N4313" s="28"/>
      <c r="O4313" s="20" t="s">
        <v>7530</v>
      </c>
      <c r="P4313" s="27" t="str">
        <f t="shared" si="202"/>
        <v>vermelho</v>
      </c>
    </row>
    <row r="4314" spans="1:16">
      <c r="A4314" s="3" t="s">
        <v>4</v>
      </c>
      <c r="B4314" s="3" t="s">
        <v>3263</v>
      </c>
      <c r="C4314" s="4">
        <v>232</v>
      </c>
      <c r="D4314" s="3" t="s">
        <v>174</v>
      </c>
      <c r="E4314" s="3" t="s">
        <v>16</v>
      </c>
      <c r="F4314" s="5">
        <v>84</v>
      </c>
      <c r="G4314" s="5">
        <v>72</v>
      </c>
      <c r="H4314" s="6">
        <v>3756.6</v>
      </c>
      <c r="I4314" s="22">
        <v>3586.32</v>
      </c>
      <c r="J4314" s="24">
        <f t="shared" si="201"/>
        <v>2.4850048586418208E-5</v>
      </c>
      <c r="K4314" s="25">
        <f t="shared" si="203"/>
        <v>0.99129429287656179</v>
      </c>
      <c r="L4314" s="26" t="s">
        <v>7518</v>
      </c>
      <c r="M4314" s="28"/>
      <c r="N4314" s="28"/>
      <c r="O4314" s="20" t="s">
        <v>7530</v>
      </c>
      <c r="P4314" s="27" t="str">
        <f t="shared" si="202"/>
        <v>vermelho</v>
      </c>
    </row>
    <row r="4315" spans="1:16" ht="25.5">
      <c r="A4315" s="3" t="s">
        <v>4</v>
      </c>
      <c r="B4315" s="3" t="s">
        <v>3264</v>
      </c>
      <c r="C4315" s="4">
        <v>232</v>
      </c>
      <c r="D4315" s="3" t="s">
        <v>174</v>
      </c>
      <c r="E4315" s="3" t="s">
        <v>16</v>
      </c>
      <c r="F4315" s="5">
        <v>156</v>
      </c>
      <c r="G4315" s="5">
        <v>72</v>
      </c>
      <c r="H4315" s="6">
        <v>7065</v>
      </c>
      <c r="I4315" s="22">
        <v>3586.32</v>
      </c>
      <c r="J4315" s="24">
        <f t="shared" si="201"/>
        <v>2.4850048586418208E-5</v>
      </c>
      <c r="K4315" s="25">
        <f t="shared" si="203"/>
        <v>0.99131914292514822</v>
      </c>
      <c r="L4315" s="26" t="s">
        <v>7518</v>
      </c>
      <c r="M4315" s="28"/>
      <c r="N4315" s="28"/>
      <c r="O4315" s="20" t="s">
        <v>7530</v>
      </c>
      <c r="P4315" s="27" t="str">
        <f t="shared" si="202"/>
        <v>vermelho</v>
      </c>
    </row>
    <row r="4316" spans="1:16">
      <c r="A4316" s="3" t="s">
        <v>4</v>
      </c>
      <c r="B4316" s="3" t="s">
        <v>3265</v>
      </c>
      <c r="C4316" s="4">
        <v>232</v>
      </c>
      <c r="D4316" s="3" t="s">
        <v>174</v>
      </c>
      <c r="E4316" s="3" t="s">
        <v>16</v>
      </c>
      <c r="F4316" s="5">
        <v>72</v>
      </c>
      <c r="G4316" s="5">
        <v>60</v>
      </c>
      <c r="H4316" s="6">
        <v>4136.3999999999996</v>
      </c>
      <c r="I4316" s="22">
        <v>3586.08</v>
      </c>
      <c r="J4316" s="24">
        <f t="shared" si="201"/>
        <v>2.4848385597153237E-5</v>
      </c>
      <c r="K4316" s="25">
        <f t="shared" si="203"/>
        <v>0.99134399131074535</v>
      </c>
      <c r="L4316" s="26" t="s">
        <v>7518</v>
      </c>
      <c r="M4316" s="28"/>
      <c r="N4316" s="28"/>
      <c r="O4316" s="20" t="s">
        <v>7530</v>
      </c>
      <c r="P4316" s="27" t="str">
        <f t="shared" si="202"/>
        <v>vermelho</v>
      </c>
    </row>
    <row r="4317" spans="1:16" ht="25.5">
      <c r="A4317" s="3" t="s">
        <v>4</v>
      </c>
      <c r="B4317" s="3" t="s">
        <v>3266</v>
      </c>
      <c r="C4317" s="4">
        <v>217</v>
      </c>
      <c r="D4317" s="3" t="s">
        <v>91</v>
      </c>
      <c r="E4317" s="3" t="s">
        <v>16</v>
      </c>
      <c r="F4317" s="5">
        <v>60</v>
      </c>
      <c r="G4317" s="5">
        <v>60</v>
      </c>
      <c r="H4317" s="6">
        <v>2608.1999999999998</v>
      </c>
      <c r="I4317" s="22">
        <v>3586.08</v>
      </c>
      <c r="J4317" s="24">
        <f t="shared" si="201"/>
        <v>2.4848385597153237E-5</v>
      </c>
      <c r="K4317" s="25">
        <f t="shared" si="203"/>
        <v>0.99136883969634249</v>
      </c>
      <c r="L4317" s="26" t="s">
        <v>7518</v>
      </c>
      <c r="M4317" s="28"/>
      <c r="N4317" s="28"/>
      <c r="O4317" s="20">
        <v>2825.22</v>
      </c>
      <c r="P4317" s="27" t="str">
        <f t="shared" si="202"/>
        <v>laranja</v>
      </c>
    </row>
    <row r="4318" spans="1:16" ht="25.5">
      <c r="A4318" s="3" t="s">
        <v>4</v>
      </c>
      <c r="B4318" s="3" t="s">
        <v>3267</v>
      </c>
      <c r="C4318" s="4">
        <v>327</v>
      </c>
      <c r="D4318" s="3" t="s">
        <v>100</v>
      </c>
      <c r="E4318" s="3" t="s">
        <v>7</v>
      </c>
      <c r="F4318" s="5">
        <v>0</v>
      </c>
      <c r="G4318" s="5">
        <v>69</v>
      </c>
      <c r="H4318" s="6">
        <v>0</v>
      </c>
      <c r="I4318" s="22">
        <v>3582.15</v>
      </c>
      <c r="J4318" s="24">
        <f t="shared" si="201"/>
        <v>2.4821154147939386E-5</v>
      </c>
      <c r="K4318" s="25">
        <f t="shared" si="203"/>
        <v>0.99139366085049041</v>
      </c>
      <c r="L4318" s="26" t="s">
        <v>7518</v>
      </c>
      <c r="M4318" s="28"/>
      <c r="N4318" s="28">
        <v>5.0799796300660768E-2</v>
      </c>
      <c r="O4318" s="20">
        <v>16708.02</v>
      </c>
      <c r="P4318" s="27" t="str">
        <f t="shared" si="202"/>
        <v>verde</v>
      </c>
    </row>
    <row r="4319" spans="1:16" ht="25.5">
      <c r="A4319" s="3" t="s">
        <v>4</v>
      </c>
      <c r="B4319" s="3" t="s">
        <v>3268</v>
      </c>
      <c r="C4319" s="4">
        <v>74</v>
      </c>
      <c r="D4319" s="3" t="s">
        <v>6</v>
      </c>
      <c r="E4319" s="3" t="s">
        <v>7</v>
      </c>
      <c r="F4319" s="5">
        <v>0</v>
      </c>
      <c r="G4319" s="5">
        <v>54</v>
      </c>
      <c r="H4319" s="6">
        <v>0</v>
      </c>
      <c r="I4319" s="22">
        <v>3572.46</v>
      </c>
      <c r="J4319" s="24">
        <f t="shared" si="201"/>
        <v>2.4754010956366301E-5</v>
      </c>
      <c r="K4319" s="25">
        <f t="shared" si="203"/>
        <v>0.99141841486144677</v>
      </c>
      <c r="L4319" s="26" t="s">
        <v>7518</v>
      </c>
      <c r="M4319" s="28"/>
      <c r="N4319" s="28"/>
      <c r="O4319" s="20">
        <v>6808.35</v>
      </c>
      <c r="P4319" s="27" t="str">
        <f t="shared" si="202"/>
        <v>verde</v>
      </c>
    </row>
    <row r="4320" spans="1:16" ht="51">
      <c r="A4320" s="3" t="s">
        <v>4</v>
      </c>
      <c r="B4320" s="3" t="s">
        <v>3269</v>
      </c>
      <c r="C4320" s="4">
        <v>282</v>
      </c>
      <c r="D4320" s="3" t="s">
        <v>12</v>
      </c>
      <c r="E4320" s="3" t="s">
        <v>13</v>
      </c>
      <c r="F4320" s="5">
        <v>0</v>
      </c>
      <c r="G4320" s="5">
        <v>60</v>
      </c>
      <c r="H4320" s="6">
        <v>0</v>
      </c>
      <c r="I4320" s="22">
        <v>3568.8</v>
      </c>
      <c r="J4320" s="24">
        <f t="shared" si="201"/>
        <v>2.4728650370075538E-5</v>
      </c>
      <c r="K4320" s="25">
        <f t="shared" si="203"/>
        <v>0.99144314351181684</v>
      </c>
      <c r="L4320" s="26" t="s">
        <v>7518</v>
      </c>
      <c r="M4320" s="28"/>
      <c r="N4320" s="28"/>
      <c r="O4320" s="20" t="s">
        <v>7530</v>
      </c>
      <c r="P4320" s="27" t="str">
        <f t="shared" si="202"/>
        <v>vermelho</v>
      </c>
    </row>
    <row r="4321" spans="1:16" ht="25.5">
      <c r="A4321" s="3" t="s">
        <v>4</v>
      </c>
      <c r="B4321" s="3" t="s">
        <v>3270</v>
      </c>
      <c r="C4321" s="4">
        <v>194</v>
      </c>
      <c r="D4321" s="3" t="s">
        <v>145</v>
      </c>
      <c r="E4321" s="3" t="s">
        <v>16</v>
      </c>
      <c r="F4321" s="5">
        <v>0</v>
      </c>
      <c r="G4321" s="5">
        <v>72</v>
      </c>
      <c r="H4321" s="6">
        <v>0</v>
      </c>
      <c r="I4321" s="22">
        <v>3568.68</v>
      </c>
      <c r="J4321" s="24">
        <f t="shared" si="201"/>
        <v>2.4727818875443052E-5</v>
      </c>
      <c r="K4321" s="25">
        <f t="shared" si="203"/>
        <v>0.99146787133069225</v>
      </c>
      <c r="L4321" s="26" t="s">
        <v>7518</v>
      </c>
      <c r="M4321" s="28"/>
      <c r="N4321" s="28"/>
      <c r="O4321" s="20">
        <v>12328.92</v>
      </c>
      <c r="P4321" s="27" t="str">
        <f t="shared" si="202"/>
        <v>verde</v>
      </c>
    </row>
    <row r="4322" spans="1:16" ht="25.5">
      <c r="A4322" s="3" t="s">
        <v>4</v>
      </c>
      <c r="B4322" s="3" t="s">
        <v>3271</v>
      </c>
      <c r="C4322" s="4">
        <v>320</v>
      </c>
      <c r="D4322" s="3" t="s">
        <v>218</v>
      </c>
      <c r="E4322" s="3" t="s">
        <v>49</v>
      </c>
      <c r="F4322" s="5">
        <v>0</v>
      </c>
      <c r="G4322" s="5">
        <v>60</v>
      </c>
      <c r="H4322" s="6">
        <v>0</v>
      </c>
      <c r="I4322" s="22">
        <v>3568.68</v>
      </c>
      <c r="J4322" s="24">
        <f t="shared" si="201"/>
        <v>2.4727818875443052E-5</v>
      </c>
      <c r="K4322" s="25">
        <f t="shared" si="203"/>
        <v>0.99149259914956767</v>
      </c>
      <c r="L4322" s="26" t="s">
        <v>7518</v>
      </c>
      <c r="M4322" s="28"/>
      <c r="N4322" s="28"/>
      <c r="O4322" s="20" t="s">
        <v>7530</v>
      </c>
      <c r="P4322" s="27" t="str">
        <f t="shared" si="202"/>
        <v>vermelho</v>
      </c>
    </row>
    <row r="4323" spans="1:16" ht="25.5">
      <c r="A4323" s="3" t="s">
        <v>4</v>
      </c>
      <c r="B4323" s="3" t="s">
        <v>3272</v>
      </c>
      <c r="C4323" s="4">
        <v>317</v>
      </c>
      <c r="D4323" s="3" t="s">
        <v>78</v>
      </c>
      <c r="E4323" s="3" t="s">
        <v>10</v>
      </c>
      <c r="F4323" s="5">
        <v>0</v>
      </c>
      <c r="G4323" s="5">
        <v>69</v>
      </c>
      <c r="H4323" s="6">
        <v>0</v>
      </c>
      <c r="I4323" s="22">
        <v>3562.59</v>
      </c>
      <c r="J4323" s="24">
        <f t="shared" si="201"/>
        <v>2.4685620522844488E-5</v>
      </c>
      <c r="K4323" s="25">
        <f t="shared" si="203"/>
        <v>0.99151728477009049</v>
      </c>
      <c r="L4323" s="26" t="s">
        <v>7518</v>
      </c>
      <c r="M4323" s="28"/>
      <c r="N4323" s="28"/>
      <c r="O4323" s="20" t="s">
        <v>7530</v>
      </c>
      <c r="P4323" s="27" t="str">
        <f t="shared" si="202"/>
        <v>vermelho</v>
      </c>
    </row>
    <row r="4324" spans="1:16" ht="25.5">
      <c r="A4324" s="3" t="s">
        <v>4</v>
      </c>
      <c r="B4324" s="3" t="s">
        <v>3273</v>
      </c>
      <c r="C4324" s="4">
        <v>261</v>
      </c>
      <c r="D4324" s="3" t="s">
        <v>9</v>
      </c>
      <c r="E4324" s="3" t="s">
        <v>10</v>
      </c>
      <c r="F4324" s="5">
        <v>0</v>
      </c>
      <c r="G4324" s="5">
        <v>51</v>
      </c>
      <c r="H4324" s="6">
        <v>0</v>
      </c>
      <c r="I4324" s="22">
        <v>3555.42</v>
      </c>
      <c r="J4324" s="24">
        <f t="shared" si="201"/>
        <v>2.4635938718553566E-5</v>
      </c>
      <c r="K4324" s="25">
        <f t="shared" si="203"/>
        <v>0.99154192070880909</v>
      </c>
      <c r="L4324" s="26" t="s">
        <v>7518</v>
      </c>
      <c r="M4324" s="28"/>
      <c r="N4324" s="28"/>
      <c r="O4324" s="20" t="s">
        <v>7530</v>
      </c>
      <c r="P4324" s="27" t="str">
        <f t="shared" si="202"/>
        <v>vermelho</v>
      </c>
    </row>
    <row r="4325" spans="1:16" ht="38.25">
      <c r="A4325" s="3" t="s">
        <v>4</v>
      </c>
      <c r="B4325" s="3" t="s">
        <v>3274</v>
      </c>
      <c r="C4325" s="4">
        <v>270</v>
      </c>
      <c r="D4325" s="3" t="s">
        <v>266</v>
      </c>
      <c r="E4325" s="3" t="s">
        <v>49</v>
      </c>
      <c r="F4325" s="5">
        <v>156</v>
      </c>
      <c r="G4325" s="5">
        <v>48</v>
      </c>
      <c r="H4325" s="6">
        <v>10306.200000000001</v>
      </c>
      <c r="I4325" s="22">
        <v>3551.52</v>
      </c>
      <c r="J4325" s="24">
        <f t="shared" si="201"/>
        <v>2.4608915142997832E-5</v>
      </c>
      <c r="K4325" s="25">
        <f t="shared" si="203"/>
        <v>0.99156652962395209</v>
      </c>
      <c r="L4325" s="26" t="s">
        <v>7518</v>
      </c>
      <c r="M4325" s="28"/>
      <c r="N4325" s="28"/>
      <c r="O4325" s="20">
        <v>2225.4</v>
      </c>
      <c r="P4325" s="27" t="str">
        <f t="shared" si="202"/>
        <v>laranja</v>
      </c>
    </row>
    <row r="4326" spans="1:16" ht="25.5">
      <c r="A4326" s="3" t="s">
        <v>4</v>
      </c>
      <c r="B4326" s="3" t="s">
        <v>3275</v>
      </c>
      <c r="C4326" s="4">
        <v>273</v>
      </c>
      <c r="D4326" s="3" t="s">
        <v>149</v>
      </c>
      <c r="E4326" s="3" t="s">
        <v>16</v>
      </c>
      <c r="F4326" s="5">
        <v>108</v>
      </c>
      <c r="G4326" s="5">
        <v>54</v>
      </c>
      <c r="H4326" s="6">
        <v>6791.04</v>
      </c>
      <c r="I4326" s="22">
        <v>3549.4369999999999</v>
      </c>
      <c r="J4326" s="24">
        <f t="shared" si="201"/>
        <v>2.4594481782002295E-5</v>
      </c>
      <c r="K4326" s="25">
        <f t="shared" si="203"/>
        <v>0.99159112410573413</v>
      </c>
      <c r="L4326" s="26" t="s">
        <v>7518</v>
      </c>
      <c r="M4326" s="28"/>
      <c r="N4326" s="28"/>
      <c r="O4326" s="20" t="s">
        <v>7530</v>
      </c>
      <c r="P4326" s="27" t="str">
        <f t="shared" si="202"/>
        <v>vermelho</v>
      </c>
    </row>
    <row r="4327" spans="1:16">
      <c r="A4327" s="3" t="s">
        <v>7036</v>
      </c>
      <c r="B4327" s="3" t="s">
        <v>7037</v>
      </c>
      <c r="C4327" s="4">
        <v>231</v>
      </c>
      <c r="D4327" s="3" t="s">
        <v>52</v>
      </c>
      <c r="E4327" s="3" t="s">
        <v>7</v>
      </c>
      <c r="F4327" s="5">
        <v>135</v>
      </c>
      <c r="G4327" s="5">
        <v>72</v>
      </c>
      <c r="H4327" s="6">
        <v>8839.17</v>
      </c>
      <c r="I4327" s="22">
        <v>3548.88</v>
      </c>
      <c r="J4327" s="24">
        <f t="shared" si="201"/>
        <v>2.4590622261083186E-5</v>
      </c>
      <c r="K4327" s="25">
        <f t="shared" si="203"/>
        <v>0.99161571472799526</v>
      </c>
      <c r="L4327" s="26" t="s">
        <v>7518</v>
      </c>
      <c r="M4327" s="28"/>
      <c r="N4327" s="28"/>
      <c r="O4327" s="20" t="s">
        <v>7530</v>
      </c>
      <c r="P4327" s="27" t="str">
        <f t="shared" si="202"/>
        <v>vermelho</v>
      </c>
    </row>
    <row r="4328" spans="1:16">
      <c r="A4328" s="3" t="s">
        <v>4</v>
      </c>
      <c r="B4328" s="3" t="s">
        <v>3276</v>
      </c>
      <c r="C4328" s="4">
        <v>264</v>
      </c>
      <c r="D4328" s="3" t="s">
        <v>40</v>
      </c>
      <c r="E4328" s="3" t="s">
        <v>41</v>
      </c>
      <c r="F4328" s="5">
        <v>126</v>
      </c>
      <c r="G4328" s="5">
        <v>60</v>
      </c>
      <c r="H4328" s="6">
        <v>7876.74</v>
      </c>
      <c r="I4328" s="22">
        <v>3547.471</v>
      </c>
      <c r="J4328" s="24">
        <f t="shared" si="201"/>
        <v>2.4580859128273434E-5</v>
      </c>
      <c r="K4328" s="25">
        <f t="shared" si="203"/>
        <v>0.99164029558712352</v>
      </c>
      <c r="L4328" s="26" t="s">
        <v>7518</v>
      </c>
      <c r="M4328" s="28"/>
      <c r="N4328" s="28"/>
      <c r="O4328" s="20" t="s">
        <v>7530</v>
      </c>
      <c r="P4328" s="27" t="str">
        <f t="shared" si="202"/>
        <v>vermelho</v>
      </c>
    </row>
    <row r="4329" spans="1:16" ht="25.5">
      <c r="A4329" s="3" t="s">
        <v>4</v>
      </c>
      <c r="B4329" s="3" t="s">
        <v>3277</v>
      </c>
      <c r="C4329" s="4">
        <v>61</v>
      </c>
      <c r="D4329" s="3" t="s">
        <v>48</v>
      </c>
      <c r="E4329" s="3" t="s">
        <v>49</v>
      </c>
      <c r="F4329" s="5">
        <v>0</v>
      </c>
      <c r="G4329" s="5">
        <v>66</v>
      </c>
      <c r="H4329" s="6">
        <v>0</v>
      </c>
      <c r="I4329" s="22">
        <v>3547.26</v>
      </c>
      <c r="J4329" s="24">
        <f t="shared" si="201"/>
        <v>2.4579397083544651E-5</v>
      </c>
      <c r="K4329" s="25">
        <f t="shared" si="203"/>
        <v>0.99166487498420708</v>
      </c>
      <c r="L4329" s="26" t="s">
        <v>7518</v>
      </c>
      <c r="M4329" s="28"/>
      <c r="N4329" s="28"/>
      <c r="O4329" s="20">
        <v>3054.24</v>
      </c>
      <c r="P4329" s="27" t="str">
        <f t="shared" si="202"/>
        <v>laranja</v>
      </c>
    </row>
    <row r="4330" spans="1:16" ht="38.25">
      <c r="A4330" s="3" t="s">
        <v>4</v>
      </c>
      <c r="B4330" s="3" t="s">
        <v>3278</v>
      </c>
      <c r="C4330" s="4">
        <v>331</v>
      </c>
      <c r="D4330" s="3" t="s">
        <v>603</v>
      </c>
      <c r="E4330" s="3" t="s">
        <v>13</v>
      </c>
      <c r="F4330" s="5">
        <v>0</v>
      </c>
      <c r="G4330" s="5">
        <v>72</v>
      </c>
      <c r="H4330" s="6">
        <v>0</v>
      </c>
      <c r="I4330" s="22">
        <v>3547.2</v>
      </c>
      <c r="J4330" s="24">
        <f t="shared" si="201"/>
        <v>2.4578981336228405E-5</v>
      </c>
      <c r="K4330" s="25">
        <f t="shared" si="203"/>
        <v>0.99168945396554331</v>
      </c>
      <c r="L4330" s="26" t="s">
        <v>7518</v>
      </c>
      <c r="M4330" s="28"/>
      <c r="N4330" s="28"/>
      <c r="O4330" s="20" t="s">
        <v>7530</v>
      </c>
      <c r="P4330" s="27" t="str">
        <f t="shared" si="202"/>
        <v>vermelho</v>
      </c>
    </row>
    <row r="4331" spans="1:16" ht="38.25">
      <c r="A4331" s="3" t="s">
        <v>4</v>
      </c>
      <c r="B4331" s="3" t="s">
        <v>2494</v>
      </c>
      <c r="C4331" s="4">
        <v>45</v>
      </c>
      <c r="D4331" s="3" t="s">
        <v>23</v>
      </c>
      <c r="E4331" s="3" t="s">
        <v>7</v>
      </c>
      <c r="F4331" s="5">
        <v>282</v>
      </c>
      <c r="G4331" s="5">
        <v>72</v>
      </c>
      <c r="H4331" s="6">
        <v>14329.433999999999</v>
      </c>
      <c r="I4331" s="22">
        <v>3546.96</v>
      </c>
      <c r="J4331" s="24">
        <f t="shared" si="201"/>
        <v>2.457731834696344E-5</v>
      </c>
      <c r="K4331" s="25">
        <f t="shared" si="203"/>
        <v>0.99171403128389024</v>
      </c>
      <c r="L4331" s="26" t="s">
        <v>7518</v>
      </c>
      <c r="M4331" s="28"/>
      <c r="N4331" s="28"/>
      <c r="O4331" s="20" t="s">
        <v>7530</v>
      </c>
      <c r="P4331" s="27" t="str">
        <f t="shared" si="202"/>
        <v>vermelho</v>
      </c>
    </row>
    <row r="4332" spans="1:16" ht="25.5">
      <c r="A4332" s="3" t="s">
        <v>4</v>
      </c>
      <c r="B4332" s="3" t="s">
        <v>3279</v>
      </c>
      <c r="C4332" s="4">
        <v>194</v>
      </c>
      <c r="D4332" s="3" t="s">
        <v>145</v>
      </c>
      <c r="E4332" s="3" t="s">
        <v>16</v>
      </c>
      <c r="F4332" s="5">
        <v>48</v>
      </c>
      <c r="G4332" s="5">
        <v>57</v>
      </c>
      <c r="H4332" s="6">
        <v>3291.6</v>
      </c>
      <c r="I4332" s="22">
        <v>3545.97</v>
      </c>
      <c r="J4332" s="24">
        <f t="shared" si="201"/>
        <v>2.4570458516245446E-5</v>
      </c>
      <c r="K4332" s="25">
        <f t="shared" si="203"/>
        <v>0.99173860174240647</v>
      </c>
      <c r="L4332" s="26" t="s">
        <v>7518</v>
      </c>
      <c r="M4332" s="28"/>
      <c r="N4332" s="28"/>
      <c r="O4332" s="20">
        <v>3299.79</v>
      </c>
      <c r="P4332" s="27" t="str">
        <f t="shared" si="202"/>
        <v>laranja</v>
      </c>
    </row>
    <row r="4333" spans="1:16" ht="38.25">
      <c r="A4333" s="3" t="s">
        <v>4</v>
      </c>
      <c r="B4333" s="3" t="s">
        <v>3280</v>
      </c>
      <c r="C4333" s="4">
        <v>45</v>
      </c>
      <c r="D4333" s="3" t="s">
        <v>23</v>
      </c>
      <c r="E4333" s="3" t="s">
        <v>7</v>
      </c>
      <c r="F4333" s="5">
        <v>132</v>
      </c>
      <c r="G4333" s="5">
        <v>42</v>
      </c>
      <c r="H4333" s="6">
        <v>7366.68</v>
      </c>
      <c r="I4333" s="22">
        <v>3542.28</v>
      </c>
      <c r="J4333" s="24">
        <f t="shared" si="201"/>
        <v>2.4544890056296563E-5</v>
      </c>
      <c r="K4333" s="25">
        <f t="shared" si="203"/>
        <v>0.99176314663246279</v>
      </c>
      <c r="L4333" s="26" t="s">
        <v>7518</v>
      </c>
      <c r="M4333" s="28"/>
      <c r="N4333" s="28"/>
      <c r="O4333" s="20" t="s">
        <v>7530</v>
      </c>
      <c r="P4333" s="27" t="str">
        <f t="shared" si="202"/>
        <v>vermelho</v>
      </c>
    </row>
    <row r="4334" spans="1:16" ht="25.5">
      <c r="A4334" s="3" t="s">
        <v>4</v>
      </c>
      <c r="B4334" s="3" t="s">
        <v>3281</v>
      </c>
      <c r="C4334" s="4">
        <v>296</v>
      </c>
      <c r="D4334" s="3" t="s">
        <v>282</v>
      </c>
      <c r="E4334" s="3" t="s">
        <v>10</v>
      </c>
      <c r="F4334" s="5">
        <v>0</v>
      </c>
      <c r="G4334" s="5">
        <v>60</v>
      </c>
      <c r="H4334" s="6">
        <v>0</v>
      </c>
      <c r="I4334" s="22">
        <v>3542.0650000000001</v>
      </c>
      <c r="J4334" s="24">
        <f t="shared" si="201"/>
        <v>2.4543400295080027E-5</v>
      </c>
      <c r="K4334" s="25">
        <f t="shared" si="203"/>
        <v>0.99178769003275791</v>
      </c>
      <c r="L4334" s="26" t="s">
        <v>7518</v>
      </c>
      <c r="M4334" s="28"/>
      <c r="N4334" s="28"/>
      <c r="O4334" s="20" t="s">
        <v>7530</v>
      </c>
      <c r="P4334" s="27" t="str">
        <f t="shared" si="202"/>
        <v>vermelho</v>
      </c>
    </row>
    <row r="4335" spans="1:16" ht="25.5">
      <c r="A4335" s="3" t="s">
        <v>4</v>
      </c>
      <c r="B4335" s="3" t="s">
        <v>3282</v>
      </c>
      <c r="C4335" s="4">
        <v>335</v>
      </c>
      <c r="D4335" s="3" t="s">
        <v>36</v>
      </c>
      <c r="E4335" s="3" t="s">
        <v>7</v>
      </c>
      <c r="F4335" s="5">
        <v>144</v>
      </c>
      <c r="G4335" s="5">
        <v>54</v>
      </c>
      <c r="H4335" s="6">
        <v>8655.24</v>
      </c>
      <c r="I4335" s="22">
        <v>3542.04</v>
      </c>
      <c r="J4335" s="24">
        <f t="shared" si="201"/>
        <v>2.4543227067031592E-5</v>
      </c>
      <c r="K4335" s="25">
        <f t="shared" si="203"/>
        <v>0.99181223325982493</v>
      </c>
      <c r="L4335" s="26" t="s">
        <v>7518</v>
      </c>
      <c r="M4335" s="28"/>
      <c r="N4335" s="28"/>
      <c r="O4335" s="20">
        <v>4527</v>
      </c>
      <c r="P4335" s="27" t="str">
        <f t="shared" si="202"/>
        <v>verde</v>
      </c>
    </row>
    <row r="4336" spans="1:16" ht="51">
      <c r="A4336" s="3" t="s">
        <v>4</v>
      </c>
      <c r="B4336" s="3" t="s">
        <v>3283</v>
      </c>
      <c r="C4336" s="4">
        <v>282</v>
      </c>
      <c r="D4336" s="3" t="s">
        <v>12</v>
      </c>
      <c r="E4336" s="3" t="s">
        <v>13</v>
      </c>
      <c r="F4336" s="5">
        <v>0</v>
      </c>
      <c r="G4336" s="5">
        <v>60</v>
      </c>
      <c r="H4336" s="6">
        <v>0</v>
      </c>
      <c r="I4336" s="22">
        <v>3541.8</v>
      </c>
      <c r="J4336" s="24">
        <f t="shared" si="201"/>
        <v>2.4541564077766627E-5</v>
      </c>
      <c r="K4336" s="25">
        <f t="shared" si="203"/>
        <v>0.99183677482390264</v>
      </c>
      <c r="L4336" s="26" t="s">
        <v>7518</v>
      </c>
      <c r="M4336" s="28"/>
      <c r="N4336" s="28"/>
      <c r="O4336" s="20" t="s">
        <v>7530</v>
      </c>
      <c r="P4336" s="27" t="str">
        <f t="shared" si="202"/>
        <v>vermelho</v>
      </c>
    </row>
    <row r="4337" spans="1:16">
      <c r="A4337" s="3" t="s">
        <v>4</v>
      </c>
      <c r="B4337" s="3" t="s">
        <v>3284</v>
      </c>
      <c r="C4337" s="4">
        <v>217</v>
      </c>
      <c r="D4337" s="3" t="s">
        <v>91</v>
      </c>
      <c r="E4337" s="3" t="s">
        <v>16</v>
      </c>
      <c r="F4337" s="5">
        <v>0</v>
      </c>
      <c r="G4337" s="5">
        <v>60</v>
      </c>
      <c r="H4337" s="6">
        <v>0</v>
      </c>
      <c r="I4337" s="22">
        <v>3541.8</v>
      </c>
      <c r="J4337" s="24">
        <f t="shared" si="201"/>
        <v>2.4541564077766627E-5</v>
      </c>
      <c r="K4337" s="25">
        <f t="shared" si="203"/>
        <v>0.99186131638798036</v>
      </c>
      <c r="L4337" s="26" t="s">
        <v>7518</v>
      </c>
      <c r="M4337" s="28"/>
      <c r="N4337" s="28"/>
      <c r="O4337" s="20" t="s">
        <v>7530</v>
      </c>
      <c r="P4337" s="27" t="str">
        <f t="shared" si="202"/>
        <v>vermelho</v>
      </c>
    </row>
    <row r="4338" spans="1:16" ht="25.5">
      <c r="A4338" s="3" t="s">
        <v>4</v>
      </c>
      <c r="B4338" s="3" t="s">
        <v>3285</v>
      </c>
      <c r="C4338" s="4">
        <v>194</v>
      </c>
      <c r="D4338" s="3" t="s">
        <v>145</v>
      </c>
      <c r="E4338" s="3" t="s">
        <v>16</v>
      </c>
      <c r="F4338" s="5">
        <v>0</v>
      </c>
      <c r="G4338" s="5">
        <v>60</v>
      </c>
      <c r="H4338" s="6">
        <v>0</v>
      </c>
      <c r="I4338" s="22">
        <v>3539.4</v>
      </c>
      <c r="J4338" s="24">
        <f t="shared" si="201"/>
        <v>2.4524934185116946E-5</v>
      </c>
      <c r="K4338" s="25">
        <f t="shared" si="203"/>
        <v>0.99188584132216551</v>
      </c>
      <c r="L4338" s="26" t="s">
        <v>7518</v>
      </c>
      <c r="M4338" s="28"/>
      <c r="N4338" s="28"/>
      <c r="O4338" s="20" t="s">
        <v>7530</v>
      </c>
      <c r="P4338" s="27" t="str">
        <f t="shared" si="202"/>
        <v>vermelho</v>
      </c>
    </row>
    <row r="4339" spans="1:16" ht="25.5">
      <c r="A4339" s="3" t="s">
        <v>4</v>
      </c>
      <c r="B4339" s="3" t="s">
        <v>3286</v>
      </c>
      <c r="C4339" s="4">
        <v>240</v>
      </c>
      <c r="D4339" s="3" t="s">
        <v>69</v>
      </c>
      <c r="E4339" s="3" t="s">
        <v>16</v>
      </c>
      <c r="F4339" s="5">
        <v>279</v>
      </c>
      <c r="G4339" s="5">
        <v>66</v>
      </c>
      <c r="H4339" s="6">
        <v>14631.33</v>
      </c>
      <c r="I4339" s="22">
        <v>3531.45</v>
      </c>
      <c r="J4339" s="24">
        <f t="shared" si="201"/>
        <v>2.4469847665714875E-5</v>
      </c>
      <c r="K4339" s="25">
        <f t="shared" si="203"/>
        <v>0.99191031116983119</v>
      </c>
      <c r="L4339" s="26" t="s">
        <v>7518</v>
      </c>
      <c r="M4339" s="28"/>
      <c r="N4339" s="28"/>
      <c r="O4339" s="20" t="s">
        <v>7530</v>
      </c>
      <c r="P4339" s="27" t="str">
        <f t="shared" si="202"/>
        <v>vermelho</v>
      </c>
    </row>
    <row r="4340" spans="1:16">
      <c r="A4340" s="3" t="s">
        <v>4</v>
      </c>
      <c r="B4340" s="3" t="s">
        <v>3287</v>
      </c>
      <c r="C4340" s="4">
        <v>232</v>
      </c>
      <c r="D4340" s="3" t="s">
        <v>174</v>
      </c>
      <c r="E4340" s="3" t="s">
        <v>16</v>
      </c>
      <c r="F4340" s="5">
        <v>0</v>
      </c>
      <c r="G4340" s="5">
        <v>60</v>
      </c>
      <c r="H4340" s="6">
        <v>0</v>
      </c>
      <c r="I4340" s="22">
        <v>3531.36</v>
      </c>
      <c r="J4340" s="24">
        <f t="shared" si="201"/>
        <v>2.4469224044740516E-5</v>
      </c>
      <c r="K4340" s="25">
        <f t="shared" si="203"/>
        <v>0.99193478039387595</v>
      </c>
      <c r="L4340" s="26" t="s">
        <v>7518</v>
      </c>
      <c r="M4340" s="28"/>
      <c r="N4340" s="28"/>
      <c r="O4340" s="20" t="s">
        <v>7530</v>
      </c>
      <c r="P4340" s="27" t="str">
        <f t="shared" si="202"/>
        <v>vermelho</v>
      </c>
    </row>
    <row r="4341" spans="1:16" ht="25.5">
      <c r="A4341" s="3" t="s">
        <v>4</v>
      </c>
      <c r="B4341" s="3" t="s">
        <v>3288</v>
      </c>
      <c r="C4341" s="4">
        <v>264</v>
      </c>
      <c r="D4341" s="3" t="s">
        <v>40</v>
      </c>
      <c r="E4341" s="3" t="s">
        <v>41</v>
      </c>
      <c r="F4341" s="5">
        <v>0</v>
      </c>
      <c r="G4341" s="5">
        <v>78</v>
      </c>
      <c r="H4341" s="6">
        <v>0</v>
      </c>
      <c r="I4341" s="22">
        <v>3527.46</v>
      </c>
      <c r="J4341" s="24">
        <f t="shared" si="201"/>
        <v>2.4442200469184781E-5</v>
      </c>
      <c r="K4341" s="25">
        <f t="shared" si="203"/>
        <v>0.9919592225943451</v>
      </c>
      <c r="L4341" s="26" t="s">
        <v>7518</v>
      </c>
      <c r="M4341" s="28"/>
      <c r="N4341" s="28"/>
      <c r="O4341" s="20" t="s">
        <v>7530</v>
      </c>
      <c r="P4341" s="27" t="str">
        <f t="shared" si="202"/>
        <v>vermelho</v>
      </c>
    </row>
    <row r="4342" spans="1:16" ht="25.5">
      <c r="A4342" s="3" t="s">
        <v>4</v>
      </c>
      <c r="B4342" s="3" t="s">
        <v>3289</v>
      </c>
      <c r="C4342" s="4">
        <v>316</v>
      </c>
      <c r="D4342" s="3" t="s">
        <v>247</v>
      </c>
      <c r="E4342" s="3" t="s">
        <v>10</v>
      </c>
      <c r="F4342" s="5">
        <v>0</v>
      </c>
      <c r="G4342" s="5">
        <v>66</v>
      </c>
      <c r="H4342" s="6">
        <v>0</v>
      </c>
      <c r="I4342" s="22">
        <v>3527.16</v>
      </c>
      <c r="J4342" s="24">
        <f t="shared" si="201"/>
        <v>2.4440121732603571E-5</v>
      </c>
      <c r="K4342" s="25">
        <f t="shared" si="203"/>
        <v>0.99198366271607774</v>
      </c>
      <c r="L4342" s="26" t="s">
        <v>7518</v>
      </c>
      <c r="M4342" s="28"/>
      <c r="N4342" s="28"/>
      <c r="O4342" s="20">
        <v>3200.16</v>
      </c>
      <c r="P4342" s="27" t="str">
        <f t="shared" si="202"/>
        <v>laranja</v>
      </c>
    </row>
    <row r="4343" spans="1:16">
      <c r="A4343" s="3" t="s">
        <v>4</v>
      </c>
      <c r="B4343" s="3" t="s">
        <v>3290</v>
      </c>
      <c r="C4343" s="4">
        <v>231</v>
      </c>
      <c r="D4343" s="3" t="s">
        <v>52</v>
      </c>
      <c r="E4343" s="3" t="s">
        <v>7</v>
      </c>
      <c r="F4343" s="5">
        <v>138</v>
      </c>
      <c r="G4343" s="5">
        <v>54</v>
      </c>
      <c r="H4343" s="6">
        <v>7738.62</v>
      </c>
      <c r="I4343" s="22">
        <v>3524.46</v>
      </c>
      <c r="J4343" s="24">
        <f t="shared" si="201"/>
        <v>2.4421413103372682E-5</v>
      </c>
      <c r="K4343" s="25">
        <f t="shared" si="203"/>
        <v>0.99200808412918107</v>
      </c>
      <c r="L4343" s="26" t="s">
        <v>7518</v>
      </c>
      <c r="M4343" s="28"/>
      <c r="N4343" s="28"/>
      <c r="O4343" s="20" t="s">
        <v>7530</v>
      </c>
      <c r="P4343" s="27" t="str">
        <f t="shared" si="202"/>
        <v>vermelho</v>
      </c>
    </row>
    <row r="4344" spans="1:16" ht="25.5">
      <c r="A4344" s="3" t="s">
        <v>4</v>
      </c>
      <c r="B4344" s="3" t="s">
        <v>3291</v>
      </c>
      <c r="C4344" s="4">
        <v>320</v>
      </c>
      <c r="D4344" s="3" t="s">
        <v>218</v>
      </c>
      <c r="E4344" s="3" t="s">
        <v>49</v>
      </c>
      <c r="F4344" s="5">
        <v>135</v>
      </c>
      <c r="G4344" s="5">
        <v>63</v>
      </c>
      <c r="H4344" s="6">
        <v>8341.3799999999992</v>
      </c>
      <c r="I4344" s="22">
        <v>3518.37</v>
      </c>
      <c r="J4344" s="24">
        <f t="shared" si="201"/>
        <v>2.4379214750774114E-5</v>
      </c>
      <c r="K4344" s="25">
        <f t="shared" si="203"/>
        <v>0.9920324633439318</v>
      </c>
      <c r="L4344" s="26" t="s">
        <v>7518</v>
      </c>
      <c r="M4344" s="28"/>
      <c r="N4344" s="28"/>
      <c r="O4344" s="20" t="s">
        <v>7530</v>
      </c>
      <c r="P4344" s="27" t="str">
        <f t="shared" si="202"/>
        <v>vermelho</v>
      </c>
    </row>
    <row r="4345" spans="1:16" ht="25.5">
      <c r="A4345" s="3" t="s">
        <v>4</v>
      </c>
      <c r="B4345" s="3" t="s">
        <v>3292</v>
      </c>
      <c r="C4345" s="4">
        <v>337</v>
      </c>
      <c r="D4345" s="3" t="s">
        <v>202</v>
      </c>
      <c r="E4345" s="3" t="s">
        <v>16</v>
      </c>
      <c r="F4345" s="5">
        <v>36</v>
      </c>
      <c r="G4345" s="5">
        <v>72</v>
      </c>
      <c r="H4345" s="6">
        <v>1533.6</v>
      </c>
      <c r="I4345" s="22">
        <v>3515.76</v>
      </c>
      <c r="J4345" s="24">
        <f t="shared" si="201"/>
        <v>2.4361129742517588E-5</v>
      </c>
      <c r="K4345" s="25">
        <f t="shared" si="203"/>
        <v>0.99205682447367427</v>
      </c>
      <c r="L4345" s="26" t="s">
        <v>7518</v>
      </c>
      <c r="M4345" s="28"/>
      <c r="N4345" s="28"/>
      <c r="O4345" s="20" t="s">
        <v>7530</v>
      </c>
      <c r="P4345" s="27" t="str">
        <f t="shared" si="202"/>
        <v>vermelho</v>
      </c>
    </row>
    <row r="4346" spans="1:16" ht="25.5">
      <c r="A4346" s="3" t="s">
        <v>4</v>
      </c>
      <c r="B4346" s="3" t="s">
        <v>3293</v>
      </c>
      <c r="C4346" s="4">
        <v>218</v>
      </c>
      <c r="D4346" s="3" t="s">
        <v>104</v>
      </c>
      <c r="E4346" s="3" t="s">
        <v>16</v>
      </c>
      <c r="F4346" s="5">
        <v>0</v>
      </c>
      <c r="G4346" s="5">
        <v>72</v>
      </c>
      <c r="H4346" s="6">
        <v>0</v>
      </c>
      <c r="I4346" s="22">
        <v>3515.76</v>
      </c>
      <c r="J4346" s="24">
        <f t="shared" si="201"/>
        <v>2.4361129742517588E-5</v>
      </c>
      <c r="K4346" s="25">
        <f t="shared" si="203"/>
        <v>0.99208118560341674</v>
      </c>
      <c r="L4346" s="26" t="s">
        <v>7518</v>
      </c>
      <c r="M4346" s="28"/>
      <c r="N4346" s="28"/>
      <c r="O4346" s="20" t="s">
        <v>7530</v>
      </c>
      <c r="P4346" s="27" t="str">
        <f t="shared" si="202"/>
        <v>vermelho</v>
      </c>
    </row>
    <row r="4347" spans="1:16" ht="25.5">
      <c r="A4347" s="3" t="s">
        <v>4</v>
      </c>
      <c r="B4347" s="3" t="s">
        <v>3294</v>
      </c>
      <c r="C4347" s="4">
        <v>218</v>
      </c>
      <c r="D4347" s="3" t="s">
        <v>104</v>
      </c>
      <c r="E4347" s="3" t="s">
        <v>16</v>
      </c>
      <c r="F4347" s="5">
        <v>0</v>
      </c>
      <c r="G4347" s="5">
        <v>72</v>
      </c>
      <c r="H4347" s="6">
        <v>0</v>
      </c>
      <c r="I4347" s="22">
        <v>3515.76</v>
      </c>
      <c r="J4347" s="24">
        <f t="shared" si="201"/>
        <v>2.4361129742517588E-5</v>
      </c>
      <c r="K4347" s="25">
        <f t="shared" si="203"/>
        <v>0.9921055467331592</v>
      </c>
      <c r="L4347" s="26" t="s">
        <v>7518</v>
      </c>
      <c r="M4347" s="28"/>
      <c r="N4347" s="28"/>
      <c r="O4347" s="20">
        <v>7989.57</v>
      </c>
      <c r="P4347" s="27" t="str">
        <f t="shared" si="202"/>
        <v>verde</v>
      </c>
    </row>
    <row r="4348" spans="1:16" ht="25.5">
      <c r="A4348" s="3" t="s">
        <v>4</v>
      </c>
      <c r="B4348" s="3" t="s">
        <v>3295</v>
      </c>
      <c r="C4348" s="4">
        <v>267</v>
      </c>
      <c r="D4348" s="3" t="s">
        <v>125</v>
      </c>
      <c r="E4348" s="3" t="s">
        <v>16</v>
      </c>
      <c r="F4348" s="5">
        <v>312</v>
      </c>
      <c r="G4348" s="5">
        <v>72</v>
      </c>
      <c r="H4348" s="6">
        <v>16226.76</v>
      </c>
      <c r="I4348" s="22">
        <v>3515.76</v>
      </c>
      <c r="J4348" s="24">
        <f t="shared" si="201"/>
        <v>2.4361129742517588E-5</v>
      </c>
      <c r="K4348" s="25">
        <f t="shared" si="203"/>
        <v>0.99212990786290167</v>
      </c>
      <c r="L4348" s="26" t="s">
        <v>7518</v>
      </c>
      <c r="M4348" s="28"/>
      <c r="N4348" s="28"/>
      <c r="O4348" s="20">
        <v>3515.76</v>
      </c>
      <c r="P4348" s="27" t="str">
        <f t="shared" si="202"/>
        <v>verde</v>
      </c>
    </row>
    <row r="4349" spans="1:16" ht="25.5">
      <c r="A4349" s="3" t="s">
        <v>4</v>
      </c>
      <c r="B4349" s="3" t="s">
        <v>3296</v>
      </c>
      <c r="C4349" s="4">
        <v>261</v>
      </c>
      <c r="D4349" s="3" t="s">
        <v>9</v>
      </c>
      <c r="E4349" s="3" t="s">
        <v>10</v>
      </c>
      <c r="F4349" s="5">
        <v>126</v>
      </c>
      <c r="G4349" s="5">
        <v>48</v>
      </c>
      <c r="H4349" s="6">
        <v>6143.64</v>
      </c>
      <c r="I4349" s="22">
        <v>3515.52</v>
      </c>
      <c r="J4349" s="24">
        <f t="shared" si="201"/>
        <v>2.435946675325262E-5</v>
      </c>
      <c r="K4349" s="25">
        <f t="shared" si="203"/>
        <v>0.99215426732965495</v>
      </c>
      <c r="L4349" s="26" t="s">
        <v>7518</v>
      </c>
      <c r="M4349" s="28"/>
      <c r="N4349" s="28"/>
      <c r="O4349" s="20">
        <v>4527</v>
      </c>
      <c r="P4349" s="27" t="str">
        <f t="shared" si="202"/>
        <v>verde</v>
      </c>
    </row>
    <row r="4350" spans="1:16" ht="25.5">
      <c r="A4350" s="3" t="s">
        <v>4</v>
      </c>
      <c r="B4350" s="3" t="s">
        <v>3297</v>
      </c>
      <c r="C4350" s="4">
        <v>218</v>
      </c>
      <c r="D4350" s="3" t="s">
        <v>104</v>
      </c>
      <c r="E4350" s="3" t="s">
        <v>16</v>
      </c>
      <c r="F4350" s="5">
        <v>90</v>
      </c>
      <c r="G4350" s="5">
        <v>54</v>
      </c>
      <c r="H4350" s="6">
        <v>4833.66</v>
      </c>
      <c r="I4350" s="22">
        <v>3515.4</v>
      </c>
      <c r="J4350" s="24">
        <f t="shared" si="201"/>
        <v>2.4358635258620135E-5</v>
      </c>
      <c r="K4350" s="25">
        <f t="shared" si="203"/>
        <v>0.99217862596491357</v>
      </c>
      <c r="L4350" s="26" t="s">
        <v>7518</v>
      </c>
      <c r="M4350" s="28"/>
      <c r="N4350" s="28"/>
      <c r="O4350" s="20" t="s">
        <v>7530</v>
      </c>
      <c r="P4350" s="27" t="str">
        <f t="shared" si="202"/>
        <v>vermelho</v>
      </c>
    </row>
    <row r="4351" spans="1:16" ht="25.5">
      <c r="A4351" s="3" t="s">
        <v>4</v>
      </c>
      <c r="B4351" s="3" t="s">
        <v>3298</v>
      </c>
      <c r="C4351" s="4">
        <v>297</v>
      </c>
      <c r="D4351" s="3" t="s">
        <v>115</v>
      </c>
      <c r="E4351" s="3" t="s">
        <v>41</v>
      </c>
      <c r="F4351" s="5">
        <v>0</v>
      </c>
      <c r="G4351" s="5">
        <v>60</v>
      </c>
      <c r="H4351" s="6">
        <v>0</v>
      </c>
      <c r="I4351" s="22">
        <v>3515.28</v>
      </c>
      <c r="J4351" s="24">
        <f t="shared" si="201"/>
        <v>2.4357803763987652E-5</v>
      </c>
      <c r="K4351" s="25">
        <f t="shared" si="203"/>
        <v>0.99220298376867755</v>
      </c>
      <c r="L4351" s="26" t="s">
        <v>7518</v>
      </c>
      <c r="M4351" s="28"/>
      <c r="N4351" s="28"/>
      <c r="O4351" s="20" t="s">
        <v>7530</v>
      </c>
      <c r="P4351" s="27" t="str">
        <f t="shared" si="202"/>
        <v>vermelho</v>
      </c>
    </row>
    <row r="4352" spans="1:16">
      <c r="A4352" s="3" t="s">
        <v>4</v>
      </c>
      <c r="B4352" s="3" t="s">
        <v>3299</v>
      </c>
      <c r="C4352" s="4">
        <v>315</v>
      </c>
      <c r="D4352" s="3" t="s">
        <v>63</v>
      </c>
      <c r="E4352" s="3" t="s">
        <v>7</v>
      </c>
      <c r="F4352" s="5">
        <v>0</v>
      </c>
      <c r="G4352" s="5">
        <v>57</v>
      </c>
      <c r="H4352" s="6">
        <v>0</v>
      </c>
      <c r="I4352" s="22">
        <v>3511.32</v>
      </c>
      <c r="J4352" s="24">
        <f t="shared" si="201"/>
        <v>2.4330364441115679E-5</v>
      </c>
      <c r="K4352" s="25">
        <f t="shared" si="203"/>
        <v>0.99222731413311871</v>
      </c>
      <c r="L4352" s="26" t="s">
        <v>7518</v>
      </c>
      <c r="M4352" s="28"/>
      <c r="N4352" s="28"/>
      <c r="O4352" s="20">
        <v>15054.84</v>
      </c>
      <c r="P4352" s="27" t="str">
        <f t="shared" si="202"/>
        <v>verde</v>
      </c>
    </row>
    <row r="4353" spans="1:16" ht="25.5">
      <c r="A4353" s="3" t="s">
        <v>4</v>
      </c>
      <c r="B4353" s="3" t="s">
        <v>3300</v>
      </c>
      <c r="C4353" s="4">
        <v>187</v>
      </c>
      <c r="D4353" s="3" t="s">
        <v>96</v>
      </c>
      <c r="E4353" s="3" t="s">
        <v>7</v>
      </c>
      <c r="F4353" s="5">
        <v>0</v>
      </c>
      <c r="G4353" s="5">
        <v>60</v>
      </c>
      <c r="H4353" s="6">
        <v>0</v>
      </c>
      <c r="I4353" s="22">
        <v>3509.4</v>
      </c>
      <c r="J4353" s="24">
        <f t="shared" si="201"/>
        <v>2.4317060526995933E-5</v>
      </c>
      <c r="K4353" s="25">
        <f t="shared" si="203"/>
        <v>0.99225163119364568</v>
      </c>
      <c r="L4353" s="26" t="s">
        <v>7518</v>
      </c>
      <c r="M4353" s="28"/>
      <c r="N4353" s="28"/>
      <c r="O4353" s="20" t="s">
        <v>7530</v>
      </c>
      <c r="P4353" s="27" t="str">
        <f t="shared" si="202"/>
        <v>vermelho</v>
      </c>
    </row>
    <row r="4354" spans="1:16" ht="25.5">
      <c r="A4354" s="3" t="s">
        <v>4</v>
      </c>
      <c r="B4354" s="3" t="s">
        <v>3301</v>
      </c>
      <c r="C4354" s="4">
        <v>218</v>
      </c>
      <c r="D4354" s="3" t="s">
        <v>104</v>
      </c>
      <c r="E4354" s="3" t="s">
        <v>16</v>
      </c>
      <c r="F4354" s="5">
        <v>0</v>
      </c>
      <c r="G4354" s="5">
        <v>72</v>
      </c>
      <c r="H4354" s="6">
        <v>0</v>
      </c>
      <c r="I4354" s="22">
        <v>3509.28</v>
      </c>
      <c r="J4354" s="24">
        <f t="shared" si="201"/>
        <v>2.431622903236345E-5</v>
      </c>
      <c r="K4354" s="25">
        <f t="shared" si="203"/>
        <v>0.992275947422678</v>
      </c>
      <c r="L4354" s="26" t="s">
        <v>7518</v>
      </c>
      <c r="M4354" s="28"/>
      <c r="N4354" s="28"/>
      <c r="O4354" s="20" t="s">
        <v>7530</v>
      </c>
      <c r="P4354" s="27" t="str">
        <f t="shared" si="202"/>
        <v>vermelho</v>
      </c>
    </row>
    <row r="4355" spans="1:16" ht="25.5">
      <c r="A4355" s="3" t="s">
        <v>4</v>
      </c>
      <c r="B4355" s="3" t="s">
        <v>3302</v>
      </c>
      <c r="C4355" s="4">
        <v>240</v>
      </c>
      <c r="D4355" s="3" t="s">
        <v>69</v>
      </c>
      <c r="E4355" s="3" t="s">
        <v>16</v>
      </c>
      <c r="F4355" s="5">
        <v>0</v>
      </c>
      <c r="G4355" s="5">
        <v>60</v>
      </c>
      <c r="H4355" s="6">
        <v>0</v>
      </c>
      <c r="I4355" s="22">
        <v>3500.04</v>
      </c>
      <c r="J4355" s="24">
        <f t="shared" ref="J4355:J4418" si="204">I4355/$I$6364</f>
        <v>2.4252203945662178E-5</v>
      </c>
      <c r="K4355" s="25">
        <f t="shared" si="203"/>
        <v>0.99230019962662364</v>
      </c>
      <c r="L4355" s="26" t="s">
        <v>7518</v>
      </c>
      <c r="M4355" s="28"/>
      <c r="N4355" s="28"/>
      <c r="O4355" s="20" t="s">
        <v>7530</v>
      </c>
      <c r="P4355" s="27" t="str">
        <f t="shared" ref="P4355:P4418" si="205">IF(O4355&lt;=0,"vermelho",IFERROR(IF(O4355/I4355&lt;=0.5098,"amarelo",IF(O4355/I4355&lt;1,"laranja","verde")),"vermelho"))</f>
        <v>vermelho</v>
      </c>
    </row>
    <row r="4356" spans="1:16">
      <c r="A4356" s="3" t="s">
        <v>7038</v>
      </c>
      <c r="B4356" s="3" t="s">
        <v>7039</v>
      </c>
      <c r="C4356" s="4">
        <v>240</v>
      </c>
      <c r="D4356" s="3" t="s">
        <v>69</v>
      </c>
      <c r="E4356" s="3" t="s">
        <v>16</v>
      </c>
      <c r="F4356" s="5">
        <v>192</v>
      </c>
      <c r="G4356" s="5">
        <v>72</v>
      </c>
      <c r="H4356" s="6">
        <v>11087.52</v>
      </c>
      <c r="I4356" s="22">
        <v>3499.92</v>
      </c>
      <c r="J4356" s="24">
        <f t="shared" si="204"/>
        <v>2.4251372451029692E-5</v>
      </c>
      <c r="K4356" s="25">
        <f t="shared" ref="K4356:K4419" si="206">J4356+K4355</f>
        <v>0.99232445099907463</v>
      </c>
      <c r="L4356" s="26" t="s">
        <v>7518</v>
      </c>
      <c r="M4356" s="28"/>
      <c r="N4356" s="28"/>
      <c r="O4356" s="20" t="s">
        <v>7530</v>
      </c>
      <c r="P4356" s="27" t="str">
        <f t="shared" si="205"/>
        <v>vermelho</v>
      </c>
    </row>
    <row r="4357" spans="1:16" ht="25.5">
      <c r="A4357" s="3" t="s">
        <v>4</v>
      </c>
      <c r="B4357" s="3" t="s">
        <v>2185</v>
      </c>
      <c r="C4357" s="4">
        <v>19</v>
      </c>
      <c r="D4357" s="3" t="s">
        <v>72</v>
      </c>
      <c r="E4357" s="3" t="s">
        <v>10</v>
      </c>
      <c r="F4357" s="5">
        <v>228</v>
      </c>
      <c r="G4357" s="5">
        <v>69</v>
      </c>
      <c r="H4357" s="6">
        <v>11462.52</v>
      </c>
      <c r="I4357" s="22">
        <v>3493.59</v>
      </c>
      <c r="J4357" s="24">
        <f t="shared" si="204"/>
        <v>2.420751110916616E-5</v>
      </c>
      <c r="K4357" s="25">
        <f t="shared" si="206"/>
        <v>0.99234865851018383</v>
      </c>
      <c r="L4357" s="26" t="s">
        <v>7518</v>
      </c>
      <c r="M4357" s="28"/>
      <c r="N4357" s="28"/>
      <c r="O4357" s="20" t="s">
        <v>7530</v>
      </c>
      <c r="P4357" s="27" t="str">
        <f t="shared" si="205"/>
        <v>vermelho</v>
      </c>
    </row>
    <row r="4358" spans="1:16" ht="38.25">
      <c r="A4358" s="3" t="s">
        <v>4</v>
      </c>
      <c r="B4358" s="3" t="s">
        <v>3303</v>
      </c>
      <c r="C4358" s="4">
        <v>74</v>
      </c>
      <c r="D4358" s="3" t="s">
        <v>6</v>
      </c>
      <c r="E4358" s="3" t="s">
        <v>7</v>
      </c>
      <c r="F4358" s="5">
        <v>0</v>
      </c>
      <c r="G4358" s="5">
        <v>72</v>
      </c>
      <c r="H4358" s="6">
        <v>0</v>
      </c>
      <c r="I4358" s="22">
        <v>3491.64</v>
      </c>
      <c r="J4358" s="24">
        <f t="shared" si="204"/>
        <v>2.4193999321388295E-5</v>
      </c>
      <c r="K4358" s="25">
        <f t="shared" si="206"/>
        <v>0.99237285250950524</v>
      </c>
      <c r="L4358" s="26" t="s">
        <v>7518</v>
      </c>
      <c r="M4358" s="28"/>
      <c r="N4358" s="28"/>
      <c r="O4358" s="20">
        <v>2454.48</v>
      </c>
      <c r="P4358" s="27" t="str">
        <f t="shared" si="205"/>
        <v>laranja</v>
      </c>
    </row>
    <row r="4359" spans="1:16">
      <c r="A4359" s="3" t="s">
        <v>7040</v>
      </c>
      <c r="B4359" s="3" t="s">
        <v>7041</v>
      </c>
      <c r="C4359" s="4">
        <v>315</v>
      </c>
      <c r="D4359" s="3" t="s">
        <v>63</v>
      </c>
      <c r="E4359" s="3" t="s">
        <v>7</v>
      </c>
      <c r="F4359" s="5">
        <v>354</v>
      </c>
      <c r="G4359" s="5">
        <v>84</v>
      </c>
      <c r="H4359" s="6">
        <v>21886.02</v>
      </c>
      <c r="I4359" s="22">
        <v>3487.7069999999999</v>
      </c>
      <c r="J4359" s="24">
        <f t="shared" si="204"/>
        <v>2.4166747084808627E-5</v>
      </c>
      <c r="K4359" s="25">
        <f t="shared" si="206"/>
        <v>0.99239701925659007</v>
      </c>
      <c r="L4359" s="26" t="s">
        <v>7518</v>
      </c>
      <c r="M4359" s="28"/>
      <c r="N4359" s="28"/>
      <c r="O4359" s="20">
        <v>4629.3559999999998</v>
      </c>
      <c r="P4359" s="27" t="str">
        <f t="shared" si="205"/>
        <v>verde</v>
      </c>
    </row>
    <row r="4360" spans="1:16" ht="25.5">
      <c r="A4360" s="3" t="s">
        <v>4</v>
      </c>
      <c r="B4360" s="3" t="s">
        <v>3304</v>
      </c>
      <c r="C4360" s="4">
        <v>218</v>
      </c>
      <c r="D4360" s="3" t="s">
        <v>104</v>
      </c>
      <c r="E4360" s="3" t="s">
        <v>16</v>
      </c>
      <c r="F4360" s="5">
        <v>132</v>
      </c>
      <c r="G4360" s="5">
        <v>72</v>
      </c>
      <c r="H4360" s="6">
        <v>6827.64</v>
      </c>
      <c r="I4360" s="22">
        <v>3479.28</v>
      </c>
      <c r="J4360" s="24">
        <f t="shared" si="204"/>
        <v>2.4108355374242437E-5</v>
      </c>
      <c r="K4360" s="25">
        <f t="shared" si="206"/>
        <v>0.99242112761196433</v>
      </c>
      <c r="L4360" s="26" t="s">
        <v>7518</v>
      </c>
      <c r="M4360" s="28"/>
      <c r="N4360" s="28">
        <v>5.1987364045508251E-2</v>
      </c>
      <c r="O4360" s="20">
        <v>3249.24</v>
      </c>
      <c r="P4360" s="27" t="str">
        <f t="shared" si="205"/>
        <v>laranja</v>
      </c>
    </row>
    <row r="4361" spans="1:16">
      <c r="A4361" s="3" t="s">
        <v>4</v>
      </c>
      <c r="B4361" s="3" t="s">
        <v>3305</v>
      </c>
      <c r="C4361" s="4">
        <v>232</v>
      </c>
      <c r="D4361" s="3" t="s">
        <v>174</v>
      </c>
      <c r="E4361" s="3" t="s">
        <v>16</v>
      </c>
      <c r="F4361" s="5">
        <v>0</v>
      </c>
      <c r="G4361" s="5">
        <v>60</v>
      </c>
      <c r="H4361" s="6">
        <v>0</v>
      </c>
      <c r="I4361" s="22">
        <v>3477.36</v>
      </c>
      <c r="J4361" s="24">
        <f t="shared" si="204"/>
        <v>2.4095051460122695E-5</v>
      </c>
      <c r="K4361" s="25">
        <f t="shared" si="206"/>
        <v>0.9924452226634245</v>
      </c>
      <c r="L4361" s="26" t="s">
        <v>7518</v>
      </c>
      <c r="M4361" s="28"/>
      <c r="N4361" s="28"/>
      <c r="O4361" s="20" t="s">
        <v>7530</v>
      </c>
      <c r="P4361" s="27" t="str">
        <f t="shared" si="205"/>
        <v>vermelho</v>
      </c>
    </row>
    <row r="4362" spans="1:16" ht="25.5">
      <c r="A4362" s="3" t="s">
        <v>4</v>
      </c>
      <c r="B4362" s="3" t="s">
        <v>3306</v>
      </c>
      <c r="C4362" s="4">
        <v>261</v>
      </c>
      <c r="D4362" s="3" t="s">
        <v>9</v>
      </c>
      <c r="E4362" s="3" t="s">
        <v>10</v>
      </c>
      <c r="F4362" s="5">
        <v>72</v>
      </c>
      <c r="G4362" s="5">
        <v>72</v>
      </c>
      <c r="H4362" s="6">
        <v>3227.28</v>
      </c>
      <c r="I4362" s="22">
        <v>3469.56</v>
      </c>
      <c r="J4362" s="24">
        <f t="shared" si="204"/>
        <v>2.4041004309011229E-5</v>
      </c>
      <c r="K4362" s="25">
        <f t="shared" si="206"/>
        <v>0.99246926366773347</v>
      </c>
      <c r="L4362" s="26" t="s">
        <v>7518</v>
      </c>
      <c r="M4362" s="28"/>
      <c r="N4362" s="28"/>
      <c r="O4362" s="20">
        <v>8539.5300000000007</v>
      </c>
      <c r="P4362" s="27" t="str">
        <f t="shared" si="205"/>
        <v>verde</v>
      </c>
    </row>
    <row r="4363" spans="1:16">
      <c r="A4363" s="3" t="s">
        <v>4</v>
      </c>
      <c r="B4363" s="3" t="s">
        <v>3307</v>
      </c>
      <c r="C4363" s="4">
        <v>315</v>
      </c>
      <c r="D4363" s="3" t="s">
        <v>63</v>
      </c>
      <c r="E4363" s="3" t="s">
        <v>7</v>
      </c>
      <c r="F4363" s="5">
        <v>0</v>
      </c>
      <c r="G4363" s="5">
        <v>54</v>
      </c>
      <c r="H4363" s="6">
        <v>0</v>
      </c>
      <c r="I4363" s="22">
        <v>3467.46</v>
      </c>
      <c r="J4363" s="24">
        <f t="shared" si="204"/>
        <v>2.4026453152942758E-5</v>
      </c>
      <c r="K4363" s="25">
        <f t="shared" si="206"/>
        <v>0.99249329012088638</v>
      </c>
      <c r="L4363" s="26" t="s">
        <v>7518</v>
      </c>
      <c r="M4363" s="28"/>
      <c r="N4363" s="28"/>
      <c r="O4363" s="20">
        <v>3588.3</v>
      </c>
      <c r="P4363" s="27" t="str">
        <f t="shared" si="205"/>
        <v>verde</v>
      </c>
    </row>
    <row r="4364" spans="1:16" ht="25.5">
      <c r="A4364" s="3" t="s">
        <v>4</v>
      </c>
      <c r="B4364" s="3" t="s">
        <v>3308</v>
      </c>
      <c r="C4364" s="4">
        <v>218</v>
      </c>
      <c r="D4364" s="3" t="s">
        <v>104</v>
      </c>
      <c r="E4364" s="3" t="s">
        <v>16</v>
      </c>
      <c r="F4364" s="5">
        <v>0</v>
      </c>
      <c r="G4364" s="5">
        <v>66</v>
      </c>
      <c r="H4364" s="6">
        <v>0</v>
      </c>
      <c r="I4364" s="22">
        <v>3462.06</v>
      </c>
      <c r="J4364" s="24">
        <f t="shared" si="204"/>
        <v>2.3989035894480978E-5</v>
      </c>
      <c r="K4364" s="25">
        <f t="shared" si="206"/>
        <v>0.9925172791567809</v>
      </c>
      <c r="L4364" s="26" t="s">
        <v>7518</v>
      </c>
      <c r="M4364" s="28"/>
      <c r="N4364" s="28"/>
      <c r="O4364" s="20" t="s">
        <v>7530</v>
      </c>
      <c r="P4364" s="27" t="str">
        <f t="shared" si="205"/>
        <v>vermelho</v>
      </c>
    </row>
    <row r="4365" spans="1:16" ht="25.5">
      <c r="A4365" s="3" t="s">
        <v>4</v>
      </c>
      <c r="B4365" s="3" t="s">
        <v>3309</v>
      </c>
      <c r="C4365" s="4">
        <v>296</v>
      </c>
      <c r="D4365" s="3" t="s">
        <v>282</v>
      </c>
      <c r="E4365" s="3" t="s">
        <v>10</v>
      </c>
      <c r="F4365" s="5">
        <v>60</v>
      </c>
      <c r="G4365" s="5">
        <v>60</v>
      </c>
      <c r="H4365" s="6">
        <v>3141.84</v>
      </c>
      <c r="I4365" s="22">
        <v>3455.636</v>
      </c>
      <c r="J4365" s="24">
        <f t="shared" si="204"/>
        <v>2.3944523215155331E-5</v>
      </c>
      <c r="K4365" s="25">
        <f t="shared" si="206"/>
        <v>0.99254122367999609</v>
      </c>
      <c r="L4365" s="26" t="s">
        <v>7518</v>
      </c>
      <c r="M4365" s="28"/>
      <c r="N4365" s="28"/>
      <c r="O4365" s="20">
        <v>3455.636</v>
      </c>
      <c r="P4365" s="27" t="str">
        <f t="shared" si="205"/>
        <v>verde</v>
      </c>
    </row>
    <row r="4366" spans="1:16" ht="25.5">
      <c r="A4366" s="3" t="s">
        <v>4</v>
      </c>
      <c r="B4366" s="3" t="s">
        <v>3310</v>
      </c>
      <c r="C4366" s="4">
        <v>194</v>
      </c>
      <c r="D4366" s="3" t="s">
        <v>145</v>
      </c>
      <c r="E4366" s="3" t="s">
        <v>16</v>
      </c>
      <c r="F4366" s="5">
        <v>375</v>
      </c>
      <c r="G4366" s="5">
        <v>48</v>
      </c>
      <c r="H4366" s="6">
        <v>21036.57</v>
      </c>
      <c r="I4366" s="22">
        <v>3455.52</v>
      </c>
      <c r="J4366" s="24">
        <f t="shared" si="204"/>
        <v>2.3943719437010597E-5</v>
      </c>
      <c r="K4366" s="25">
        <f t="shared" si="206"/>
        <v>0.99256516739943312</v>
      </c>
      <c r="L4366" s="26" t="s">
        <v>7518</v>
      </c>
      <c r="M4366" s="28"/>
      <c r="N4366" s="28"/>
      <c r="O4366" s="20" t="s">
        <v>7530</v>
      </c>
      <c r="P4366" s="27" t="str">
        <f t="shared" si="205"/>
        <v>vermelho</v>
      </c>
    </row>
    <row r="4367" spans="1:16" ht="51">
      <c r="A4367" s="3" t="s">
        <v>4</v>
      </c>
      <c r="B4367" s="3" t="s">
        <v>3311</v>
      </c>
      <c r="C4367" s="4">
        <v>282</v>
      </c>
      <c r="D4367" s="3" t="s">
        <v>12</v>
      </c>
      <c r="E4367" s="3" t="s">
        <v>13</v>
      </c>
      <c r="F4367" s="5">
        <v>36</v>
      </c>
      <c r="G4367" s="5">
        <v>60</v>
      </c>
      <c r="H4367" s="6">
        <v>2195.64</v>
      </c>
      <c r="I4367" s="22">
        <v>3454.7820000000002</v>
      </c>
      <c r="J4367" s="24">
        <f t="shared" si="204"/>
        <v>2.3938605745020821E-5</v>
      </c>
      <c r="K4367" s="25">
        <f t="shared" si="206"/>
        <v>0.99258910600517813</v>
      </c>
      <c r="L4367" s="26" t="s">
        <v>7518</v>
      </c>
      <c r="M4367" s="28">
        <v>-2.6212323748177536E-2</v>
      </c>
      <c r="N4367" s="28"/>
      <c r="O4367" s="20">
        <v>3454.7820000000002</v>
      </c>
      <c r="P4367" s="27" t="str">
        <f t="shared" si="205"/>
        <v>verde</v>
      </c>
    </row>
    <row r="4368" spans="1:16" ht="38.25">
      <c r="A4368" s="3" t="s">
        <v>4</v>
      </c>
      <c r="B4368" s="3" t="s">
        <v>3312</v>
      </c>
      <c r="C4368" s="4">
        <v>292</v>
      </c>
      <c r="D4368" s="3" t="s">
        <v>57</v>
      </c>
      <c r="E4368" s="3" t="s">
        <v>49</v>
      </c>
      <c r="F4368" s="5">
        <v>228</v>
      </c>
      <c r="G4368" s="5">
        <v>72</v>
      </c>
      <c r="H4368" s="6">
        <v>9354.36</v>
      </c>
      <c r="I4368" s="22">
        <v>3451.92</v>
      </c>
      <c r="J4368" s="24">
        <f t="shared" si="204"/>
        <v>2.3918774598036077E-5</v>
      </c>
      <c r="K4368" s="25">
        <f t="shared" si="206"/>
        <v>0.9926130247797762</v>
      </c>
      <c r="L4368" s="26" t="s">
        <v>7518</v>
      </c>
      <c r="M4368" s="28"/>
      <c r="N4368" s="28"/>
      <c r="O4368" s="20" t="s">
        <v>7530</v>
      </c>
      <c r="P4368" s="27" t="str">
        <f t="shared" si="205"/>
        <v>vermelho</v>
      </c>
    </row>
    <row r="4369" spans="1:16" ht="25.5">
      <c r="A4369" s="3" t="s">
        <v>4</v>
      </c>
      <c r="B4369" s="3" t="s">
        <v>3313</v>
      </c>
      <c r="C4369" s="4">
        <v>327</v>
      </c>
      <c r="D4369" s="3" t="s">
        <v>100</v>
      </c>
      <c r="E4369" s="3" t="s">
        <v>7</v>
      </c>
      <c r="F4369" s="5">
        <v>0</v>
      </c>
      <c r="G4369" s="5">
        <v>54</v>
      </c>
      <c r="H4369" s="6">
        <v>0</v>
      </c>
      <c r="I4369" s="22">
        <v>3451.14</v>
      </c>
      <c r="J4369" s="24">
        <f t="shared" si="204"/>
        <v>2.3913369882924927E-5</v>
      </c>
      <c r="K4369" s="25">
        <f t="shared" si="206"/>
        <v>0.99263693814965914</v>
      </c>
      <c r="L4369" s="26" t="s">
        <v>7518</v>
      </c>
      <c r="M4369" s="28"/>
      <c r="N4369" s="28"/>
      <c r="O4369" s="20" t="s">
        <v>7530</v>
      </c>
      <c r="P4369" s="27" t="str">
        <f t="shared" si="205"/>
        <v>vermelho</v>
      </c>
    </row>
    <row r="4370" spans="1:16" ht="25.5">
      <c r="A4370" s="3" t="s">
        <v>4</v>
      </c>
      <c r="B4370" s="3" t="s">
        <v>3314</v>
      </c>
      <c r="C4370" s="4">
        <v>240</v>
      </c>
      <c r="D4370" s="3" t="s">
        <v>69</v>
      </c>
      <c r="E4370" s="3" t="s">
        <v>16</v>
      </c>
      <c r="F4370" s="5">
        <v>0</v>
      </c>
      <c r="G4370" s="5">
        <v>72</v>
      </c>
      <c r="H4370" s="6">
        <v>0</v>
      </c>
      <c r="I4370" s="22">
        <v>3448.89</v>
      </c>
      <c r="J4370" s="24">
        <f t="shared" si="204"/>
        <v>2.3897779358565851E-5</v>
      </c>
      <c r="K4370" s="25">
        <f t="shared" si="206"/>
        <v>0.99266083592901766</v>
      </c>
      <c r="L4370" s="26" t="s">
        <v>7518</v>
      </c>
      <c r="M4370" s="28"/>
      <c r="N4370" s="28"/>
      <c r="O4370" s="20" t="s">
        <v>7530</v>
      </c>
      <c r="P4370" s="27" t="str">
        <f t="shared" si="205"/>
        <v>vermelho</v>
      </c>
    </row>
    <row r="4371" spans="1:16" ht="25.5">
      <c r="A4371" s="3" t="s">
        <v>4</v>
      </c>
      <c r="B4371" s="3" t="s">
        <v>3315</v>
      </c>
      <c r="C4371" s="4">
        <v>267</v>
      </c>
      <c r="D4371" s="3" t="s">
        <v>125</v>
      </c>
      <c r="E4371" s="3" t="s">
        <v>16</v>
      </c>
      <c r="F4371" s="5">
        <v>0</v>
      </c>
      <c r="G4371" s="5">
        <v>72</v>
      </c>
      <c r="H4371" s="6">
        <v>0</v>
      </c>
      <c r="I4371" s="22">
        <v>3445.2</v>
      </c>
      <c r="J4371" s="24">
        <f t="shared" si="204"/>
        <v>2.3872210898616968E-5</v>
      </c>
      <c r="K4371" s="25">
        <f t="shared" si="206"/>
        <v>0.99268470813991627</v>
      </c>
      <c r="L4371" s="26" t="s">
        <v>7518</v>
      </c>
      <c r="M4371" s="28"/>
      <c r="N4371" s="28"/>
      <c r="O4371" s="20">
        <v>3445.2</v>
      </c>
      <c r="P4371" s="27" t="str">
        <f t="shared" si="205"/>
        <v>verde</v>
      </c>
    </row>
    <row r="4372" spans="1:16" ht="25.5">
      <c r="A4372" s="3" t="s">
        <v>4</v>
      </c>
      <c r="B4372" s="3" t="s">
        <v>3316</v>
      </c>
      <c r="C4372" s="4">
        <v>270</v>
      </c>
      <c r="D4372" s="3" t="s">
        <v>266</v>
      </c>
      <c r="E4372" s="3" t="s">
        <v>49</v>
      </c>
      <c r="F4372" s="5">
        <v>48</v>
      </c>
      <c r="G4372" s="5">
        <v>66</v>
      </c>
      <c r="H4372" s="6">
        <v>2096.9279999999999</v>
      </c>
      <c r="I4372" s="22">
        <v>3437.34</v>
      </c>
      <c r="J4372" s="24">
        <f t="shared" si="204"/>
        <v>2.3817748000189263E-5</v>
      </c>
      <c r="K4372" s="25">
        <f t="shared" si="206"/>
        <v>0.99270852588791647</v>
      </c>
      <c r="L4372" s="26" t="s">
        <v>7518</v>
      </c>
      <c r="M4372" s="28"/>
      <c r="N4372" s="28"/>
      <c r="O4372" s="20" t="s">
        <v>7530</v>
      </c>
      <c r="P4372" s="27" t="str">
        <f t="shared" si="205"/>
        <v>vermelho</v>
      </c>
    </row>
    <row r="4373" spans="1:16">
      <c r="A4373" s="3" t="s">
        <v>4</v>
      </c>
      <c r="B4373" s="3" t="s">
        <v>3317</v>
      </c>
      <c r="C4373" s="4">
        <v>15</v>
      </c>
      <c r="D4373" s="3" t="s">
        <v>18</v>
      </c>
      <c r="E4373" s="3" t="s">
        <v>16</v>
      </c>
      <c r="F4373" s="5">
        <v>180</v>
      </c>
      <c r="G4373" s="5">
        <v>72</v>
      </c>
      <c r="H4373" s="6">
        <v>8963.76</v>
      </c>
      <c r="I4373" s="22">
        <v>3435.84</v>
      </c>
      <c r="J4373" s="24">
        <f t="shared" si="204"/>
        <v>2.3807354317283213E-5</v>
      </c>
      <c r="K4373" s="25">
        <f t="shared" si="206"/>
        <v>0.99273233324223376</v>
      </c>
      <c r="L4373" s="26" t="s">
        <v>7518</v>
      </c>
      <c r="M4373" s="28"/>
      <c r="N4373" s="28"/>
      <c r="O4373" s="20" t="s">
        <v>7530</v>
      </c>
      <c r="P4373" s="27" t="str">
        <f t="shared" si="205"/>
        <v>vermelho</v>
      </c>
    </row>
    <row r="4374" spans="1:16" ht="25.5">
      <c r="A4374" s="3" t="s">
        <v>7042</v>
      </c>
      <c r="B4374" s="3" t="s">
        <v>7043</v>
      </c>
      <c r="C4374" s="4">
        <v>197</v>
      </c>
      <c r="D4374" s="3" t="s">
        <v>66</v>
      </c>
      <c r="E4374" s="3" t="s">
        <v>41</v>
      </c>
      <c r="F4374" s="5">
        <v>300</v>
      </c>
      <c r="G4374" s="5">
        <v>81</v>
      </c>
      <c r="H4374" s="6">
        <v>15435.69</v>
      </c>
      <c r="I4374" s="22">
        <v>3434.22</v>
      </c>
      <c r="J4374" s="24">
        <f t="shared" si="204"/>
        <v>2.3796129139744678E-5</v>
      </c>
      <c r="K4374" s="25">
        <f t="shared" si="206"/>
        <v>0.99275612937137347</v>
      </c>
      <c r="L4374" s="26" t="s">
        <v>7518</v>
      </c>
      <c r="M4374" s="28"/>
      <c r="N4374" s="28"/>
      <c r="O4374" s="20" t="s">
        <v>7530</v>
      </c>
      <c r="P4374" s="27" t="str">
        <f t="shared" si="205"/>
        <v>vermelho</v>
      </c>
    </row>
    <row r="4375" spans="1:16" ht="25.5">
      <c r="A4375" s="3" t="s">
        <v>4</v>
      </c>
      <c r="B4375" s="3" t="s">
        <v>3318</v>
      </c>
      <c r="C4375" s="4">
        <v>61</v>
      </c>
      <c r="D4375" s="3" t="s">
        <v>48</v>
      </c>
      <c r="E4375" s="3" t="s">
        <v>49</v>
      </c>
      <c r="F4375" s="5">
        <v>60</v>
      </c>
      <c r="G4375" s="5">
        <v>48</v>
      </c>
      <c r="H4375" s="6">
        <v>4800.3599999999997</v>
      </c>
      <c r="I4375" s="22">
        <v>3431.52</v>
      </c>
      <c r="J4375" s="24">
        <f t="shared" si="204"/>
        <v>2.3777420510513786E-5</v>
      </c>
      <c r="K4375" s="25">
        <f t="shared" si="206"/>
        <v>0.99277990679188399</v>
      </c>
      <c r="L4375" s="26" t="s">
        <v>7518</v>
      </c>
      <c r="M4375" s="28"/>
      <c r="N4375" s="28"/>
      <c r="O4375" s="20" t="s">
        <v>7530</v>
      </c>
      <c r="P4375" s="27" t="str">
        <f t="shared" si="205"/>
        <v>vermelho</v>
      </c>
    </row>
    <row r="4376" spans="1:16" ht="25.5">
      <c r="A4376" s="3" t="s">
        <v>4</v>
      </c>
      <c r="B4376" s="3" t="s">
        <v>3319</v>
      </c>
      <c r="C4376" s="4">
        <v>270</v>
      </c>
      <c r="D4376" s="3" t="s">
        <v>266</v>
      </c>
      <c r="E4376" s="3" t="s">
        <v>49</v>
      </c>
      <c r="F4376" s="5">
        <v>0</v>
      </c>
      <c r="G4376" s="5">
        <v>72</v>
      </c>
      <c r="H4376" s="6">
        <v>0</v>
      </c>
      <c r="I4376" s="22">
        <v>3431.28</v>
      </c>
      <c r="J4376" s="24">
        <f t="shared" si="204"/>
        <v>2.3775757521248822E-5</v>
      </c>
      <c r="K4376" s="25">
        <f t="shared" si="206"/>
        <v>0.99280368254940521</v>
      </c>
      <c r="L4376" s="26" t="s">
        <v>7518</v>
      </c>
      <c r="M4376" s="28"/>
      <c r="N4376" s="28"/>
      <c r="O4376" s="20" t="s">
        <v>7530</v>
      </c>
      <c r="P4376" s="27" t="str">
        <f t="shared" si="205"/>
        <v>vermelho</v>
      </c>
    </row>
    <row r="4377" spans="1:16" ht="25.5">
      <c r="A4377" s="3" t="s">
        <v>4</v>
      </c>
      <c r="B4377" s="3" t="s">
        <v>3320</v>
      </c>
      <c r="C4377" s="4">
        <v>217</v>
      </c>
      <c r="D4377" s="3" t="s">
        <v>91</v>
      </c>
      <c r="E4377" s="3" t="s">
        <v>16</v>
      </c>
      <c r="F4377" s="5">
        <v>69</v>
      </c>
      <c r="G4377" s="5">
        <v>66</v>
      </c>
      <c r="H4377" s="6">
        <v>3044.82</v>
      </c>
      <c r="I4377" s="22">
        <v>3429.6</v>
      </c>
      <c r="J4377" s="24">
        <f t="shared" si="204"/>
        <v>2.376411659639404E-5</v>
      </c>
      <c r="K4377" s="25">
        <f t="shared" si="206"/>
        <v>0.99282744666600165</v>
      </c>
      <c r="L4377" s="26" t="s">
        <v>7518</v>
      </c>
      <c r="M4377" s="28"/>
      <c r="N4377" s="28"/>
      <c r="O4377" s="20" t="s">
        <v>7530</v>
      </c>
      <c r="P4377" s="27" t="str">
        <f t="shared" si="205"/>
        <v>vermelho</v>
      </c>
    </row>
    <row r="4378" spans="1:16" ht="38.25">
      <c r="A4378" s="3" t="s">
        <v>4</v>
      </c>
      <c r="B4378" s="3" t="s">
        <v>3321</v>
      </c>
      <c r="C4378" s="4">
        <v>11</v>
      </c>
      <c r="D4378" s="3" t="s">
        <v>61</v>
      </c>
      <c r="E4378" s="3" t="s">
        <v>10</v>
      </c>
      <c r="F4378" s="5">
        <v>0</v>
      </c>
      <c r="G4378" s="5">
        <v>54</v>
      </c>
      <c r="H4378" s="6">
        <v>0</v>
      </c>
      <c r="I4378" s="22">
        <v>3428.46</v>
      </c>
      <c r="J4378" s="24">
        <f t="shared" si="204"/>
        <v>2.3756217397385444E-5</v>
      </c>
      <c r="K4378" s="25">
        <f t="shared" si="206"/>
        <v>0.99285120288339901</v>
      </c>
      <c r="L4378" s="26" t="s">
        <v>7518</v>
      </c>
      <c r="M4378" s="28"/>
      <c r="N4378" s="28"/>
      <c r="O4378" s="20" t="s">
        <v>7530</v>
      </c>
      <c r="P4378" s="27" t="str">
        <f t="shared" si="205"/>
        <v>vermelho</v>
      </c>
    </row>
    <row r="4379" spans="1:16" ht="25.5">
      <c r="A4379" s="3" t="s">
        <v>4</v>
      </c>
      <c r="B4379" s="3" t="s">
        <v>3322</v>
      </c>
      <c r="C4379" s="4">
        <v>266</v>
      </c>
      <c r="D4379" s="3" t="s">
        <v>80</v>
      </c>
      <c r="E4379" s="3" t="s">
        <v>10</v>
      </c>
      <c r="F4379" s="5">
        <v>318</v>
      </c>
      <c r="G4379" s="5">
        <v>48</v>
      </c>
      <c r="H4379" s="6">
        <v>18452.16</v>
      </c>
      <c r="I4379" s="22">
        <v>3422.76</v>
      </c>
      <c r="J4379" s="24">
        <f t="shared" si="204"/>
        <v>2.3716721402342453E-5</v>
      </c>
      <c r="K4379" s="25">
        <f t="shared" si="206"/>
        <v>0.99287491960480134</v>
      </c>
      <c r="L4379" s="26" t="s">
        <v>7518</v>
      </c>
      <c r="M4379" s="28">
        <v>-1.8841616181712463E-2</v>
      </c>
      <c r="N4379" s="28"/>
      <c r="O4379" s="20" t="s">
        <v>7530</v>
      </c>
      <c r="P4379" s="27" t="str">
        <f t="shared" si="205"/>
        <v>vermelho</v>
      </c>
    </row>
    <row r="4380" spans="1:16" ht="25.5">
      <c r="A4380" s="3" t="s">
        <v>4</v>
      </c>
      <c r="B4380" s="3" t="s">
        <v>3323</v>
      </c>
      <c r="C4380" s="4">
        <v>317</v>
      </c>
      <c r="D4380" s="3" t="s">
        <v>78</v>
      </c>
      <c r="E4380" s="3" t="s">
        <v>10</v>
      </c>
      <c r="F4380" s="5">
        <v>0</v>
      </c>
      <c r="G4380" s="5">
        <v>60</v>
      </c>
      <c r="H4380" s="6">
        <v>0</v>
      </c>
      <c r="I4380" s="22">
        <v>3419.4</v>
      </c>
      <c r="J4380" s="24">
        <f t="shared" si="204"/>
        <v>2.36934395526329E-5</v>
      </c>
      <c r="K4380" s="25">
        <f t="shared" si="206"/>
        <v>0.99289861304435401</v>
      </c>
      <c r="L4380" s="26" t="s">
        <v>7518</v>
      </c>
      <c r="M4380" s="28"/>
      <c r="N4380" s="28"/>
      <c r="O4380" s="20" t="s">
        <v>7530</v>
      </c>
      <c r="P4380" s="27" t="str">
        <f t="shared" si="205"/>
        <v>vermelho</v>
      </c>
    </row>
    <row r="4381" spans="1:16" ht="25.5">
      <c r="A4381" s="3" t="s">
        <v>4</v>
      </c>
      <c r="B4381" s="3" t="s">
        <v>3324</v>
      </c>
      <c r="C4381" s="4">
        <v>208</v>
      </c>
      <c r="D4381" s="3" t="s">
        <v>15</v>
      </c>
      <c r="E4381" s="3" t="s">
        <v>16</v>
      </c>
      <c r="F4381" s="5">
        <v>48</v>
      </c>
      <c r="G4381" s="5">
        <v>60</v>
      </c>
      <c r="H4381" s="6">
        <v>3032.64</v>
      </c>
      <c r="I4381" s="22">
        <v>3419.4</v>
      </c>
      <c r="J4381" s="24">
        <f t="shared" si="204"/>
        <v>2.36934395526329E-5</v>
      </c>
      <c r="K4381" s="25">
        <f t="shared" si="206"/>
        <v>0.99292230648390667</v>
      </c>
      <c r="L4381" s="26" t="s">
        <v>7518</v>
      </c>
      <c r="M4381" s="28"/>
      <c r="N4381" s="28"/>
      <c r="O4381" s="20" t="s">
        <v>7530</v>
      </c>
      <c r="P4381" s="27" t="str">
        <f t="shared" si="205"/>
        <v>vermelho</v>
      </c>
    </row>
    <row r="4382" spans="1:16" ht="51">
      <c r="A4382" s="3" t="s">
        <v>4</v>
      </c>
      <c r="B4382" s="3" t="s">
        <v>3325</v>
      </c>
      <c r="C4382" s="4">
        <v>282</v>
      </c>
      <c r="D4382" s="3" t="s">
        <v>12</v>
      </c>
      <c r="E4382" s="3" t="s">
        <v>13</v>
      </c>
      <c r="F4382" s="5">
        <v>0</v>
      </c>
      <c r="G4382" s="5">
        <v>63</v>
      </c>
      <c r="H4382" s="6">
        <v>0</v>
      </c>
      <c r="I4382" s="22">
        <v>3415.95</v>
      </c>
      <c r="J4382" s="24">
        <f t="shared" si="204"/>
        <v>2.3669534081948981E-5</v>
      </c>
      <c r="K4382" s="25">
        <f t="shared" si="206"/>
        <v>0.99294597601798862</v>
      </c>
      <c r="L4382" s="26" t="s">
        <v>7518</v>
      </c>
      <c r="M4382" s="28"/>
      <c r="N4382" s="28"/>
      <c r="O4382" s="20">
        <v>3415.95</v>
      </c>
      <c r="P4382" s="27" t="str">
        <f t="shared" si="205"/>
        <v>verde</v>
      </c>
    </row>
    <row r="4383" spans="1:16" ht="25.5">
      <c r="A4383" s="3" t="s">
        <v>4</v>
      </c>
      <c r="B4383" s="3" t="s">
        <v>3326</v>
      </c>
      <c r="C4383" s="4">
        <v>194</v>
      </c>
      <c r="D4383" s="3" t="s">
        <v>145</v>
      </c>
      <c r="E4383" s="3" t="s">
        <v>16</v>
      </c>
      <c r="F4383" s="5">
        <v>54</v>
      </c>
      <c r="G4383" s="5">
        <v>48</v>
      </c>
      <c r="H4383" s="6">
        <v>2955.69</v>
      </c>
      <c r="I4383" s="22">
        <v>3408.96</v>
      </c>
      <c r="J4383" s="24">
        <f t="shared" si="204"/>
        <v>2.3621099519606785E-5</v>
      </c>
      <c r="K4383" s="25">
        <f t="shared" si="206"/>
        <v>0.99296959711750821</v>
      </c>
      <c r="L4383" s="26" t="s">
        <v>7518</v>
      </c>
      <c r="M4383" s="28"/>
      <c r="N4383" s="28"/>
      <c r="O4383" s="20" t="s">
        <v>7530</v>
      </c>
      <c r="P4383" s="27" t="str">
        <f t="shared" si="205"/>
        <v>vermelho</v>
      </c>
    </row>
    <row r="4384" spans="1:16" ht="25.5">
      <c r="A4384" s="3" t="s">
        <v>4</v>
      </c>
      <c r="B4384" s="3" t="s">
        <v>3327</v>
      </c>
      <c r="C4384" s="4">
        <v>296</v>
      </c>
      <c r="D4384" s="3" t="s">
        <v>282</v>
      </c>
      <c r="E4384" s="3" t="s">
        <v>10</v>
      </c>
      <c r="F4384" s="5">
        <v>0</v>
      </c>
      <c r="G4384" s="5">
        <v>66</v>
      </c>
      <c r="H4384" s="6">
        <v>0</v>
      </c>
      <c r="I4384" s="22">
        <v>3402.69</v>
      </c>
      <c r="J4384" s="24">
        <f t="shared" si="204"/>
        <v>2.3577653925059496E-5</v>
      </c>
      <c r="K4384" s="25">
        <f t="shared" si="206"/>
        <v>0.99299317477143323</v>
      </c>
      <c r="L4384" s="26" t="s">
        <v>7518</v>
      </c>
      <c r="M4384" s="28"/>
      <c r="N4384" s="28"/>
      <c r="O4384" s="20" t="s">
        <v>7530</v>
      </c>
      <c r="P4384" s="27" t="str">
        <f t="shared" si="205"/>
        <v>vermelho</v>
      </c>
    </row>
    <row r="4385" spans="1:16" ht="25.5">
      <c r="A4385" s="3" t="s">
        <v>4</v>
      </c>
      <c r="B4385" s="3" t="s">
        <v>3328</v>
      </c>
      <c r="C4385" s="4">
        <v>299</v>
      </c>
      <c r="D4385" s="3" t="s">
        <v>111</v>
      </c>
      <c r="E4385" s="3" t="s">
        <v>49</v>
      </c>
      <c r="F4385" s="5">
        <v>264</v>
      </c>
      <c r="G4385" s="5">
        <v>72</v>
      </c>
      <c r="H4385" s="6">
        <v>9537.9599999999991</v>
      </c>
      <c r="I4385" s="22">
        <v>3393.12</v>
      </c>
      <c r="J4385" s="24">
        <f t="shared" si="204"/>
        <v>2.3511342228118893E-5</v>
      </c>
      <c r="K4385" s="25">
        <f t="shared" si="206"/>
        <v>0.99301668611366134</v>
      </c>
      <c r="L4385" s="26" t="s">
        <v>7518</v>
      </c>
      <c r="M4385" s="28"/>
      <c r="N4385" s="28"/>
      <c r="O4385" s="20">
        <v>3393.12</v>
      </c>
      <c r="P4385" s="27" t="str">
        <f t="shared" si="205"/>
        <v>verde</v>
      </c>
    </row>
    <row r="4386" spans="1:16" ht="25.5">
      <c r="A4386" s="3" t="s">
        <v>4</v>
      </c>
      <c r="B4386" s="3" t="s">
        <v>3329</v>
      </c>
      <c r="C4386" s="4">
        <v>41</v>
      </c>
      <c r="D4386" s="3" t="s">
        <v>178</v>
      </c>
      <c r="E4386" s="3" t="s">
        <v>41</v>
      </c>
      <c r="F4386" s="5">
        <v>36</v>
      </c>
      <c r="G4386" s="5">
        <v>60</v>
      </c>
      <c r="H4386" s="6">
        <v>1974.84</v>
      </c>
      <c r="I4386" s="22">
        <v>3393</v>
      </c>
      <c r="J4386" s="24">
        <f t="shared" si="204"/>
        <v>2.3510510733486407E-5</v>
      </c>
      <c r="K4386" s="25">
        <f t="shared" si="206"/>
        <v>0.9930401966243948</v>
      </c>
      <c r="L4386" s="26" t="s">
        <v>7518</v>
      </c>
      <c r="M4386" s="28"/>
      <c r="N4386" s="28"/>
      <c r="O4386" s="20" t="s">
        <v>7530</v>
      </c>
      <c r="P4386" s="27" t="str">
        <f t="shared" si="205"/>
        <v>vermelho</v>
      </c>
    </row>
    <row r="4387" spans="1:16" ht="25.5">
      <c r="A4387" s="3" t="s">
        <v>4</v>
      </c>
      <c r="B4387" s="3" t="s">
        <v>3330</v>
      </c>
      <c r="C4387" s="4">
        <v>39</v>
      </c>
      <c r="D4387" s="3" t="s">
        <v>26</v>
      </c>
      <c r="E4387" s="3" t="s">
        <v>13</v>
      </c>
      <c r="F4387" s="5">
        <v>0</v>
      </c>
      <c r="G4387" s="5">
        <v>78</v>
      </c>
      <c r="H4387" s="6">
        <v>0</v>
      </c>
      <c r="I4387" s="22">
        <v>3382.62</v>
      </c>
      <c r="J4387" s="24">
        <f t="shared" si="204"/>
        <v>2.3438586447776539E-5</v>
      </c>
      <c r="K4387" s="25">
        <f t="shared" si="206"/>
        <v>0.99306363521084262</v>
      </c>
      <c r="L4387" s="26" t="s">
        <v>7518</v>
      </c>
      <c r="M4387" s="28"/>
      <c r="N4387" s="28"/>
      <c r="O4387" s="20">
        <v>4543.17</v>
      </c>
      <c r="P4387" s="27" t="str">
        <f t="shared" si="205"/>
        <v>verde</v>
      </c>
    </row>
    <row r="4388" spans="1:16" ht="25.5">
      <c r="A4388" s="3" t="s">
        <v>4</v>
      </c>
      <c r="B4388" s="3" t="s">
        <v>3331</v>
      </c>
      <c r="C4388" s="4">
        <v>93</v>
      </c>
      <c r="D4388" s="3" t="s">
        <v>20</v>
      </c>
      <c r="E4388" s="3" t="s">
        <v>7</v>
      </c>
      <c r="F4388" s="5">
        <v>108</v>
      </c>
      <c r="G4388" s="5">
        <v>60</v>
      </c>
      <c r="H4388" s="6">
        <v>6808.5</v>
      </c>
      <c r="I4388" s="22">
        <v>3382.26</v>
      </c>
      <c r="J4388" s="24">
        <f t="shared" si="204"/>
        <v>2.3436091963879089E-5</v>
      </c>
      <c r="K4388" s="25">
        <f t="shared" si="206"/>
        <v>0.99308707130280649</v>
      </c>
      <c r="L4388" s="26" t="s">
        <v>7518</v>
      </c>
      <c r="M4388" s="28"/>
      <c r="N4388" s="28"/>
      <c r="O4388" s="20" t="s">
        <v>7530</v>
      </c>
      <c r="P4388" s="27" t="str">
        <f t="shared" si="205"/>
        <v>vermelho</v>
      </c>
    </row>
    <row r="4389" spans="1:16" ht="38.25">
      <c r="A4389" s="3" t="s">
        <v>4</v>
      </c>
      <c r="B4389" s="3" t="s">
        <v>3332</v>
      </c>
      <c r="C4389" s="4">
        <v>38</v>
      </c>
      <c r="D4389" s="3" t="s">
        <v>184</v>
      </c>
      <c r="E4389" s="3" t="s">
        <v>49</v>
      </c>
      <c r="F4389" s="5">
        <v>150</v>
      </c>
      <c r="G4389" s="5">
        <v>63</v>
      </c>
      <c r="H4389" s="6">
        <v>7761.7659999999996</v>
      </c>
      <c r="I4389" s="22">
        <v>3380.85</v>
      </c>
      <c r="J4389" s="24">
        <f t="shared" si="204"/>
        <v>2.3426321901947398E-5</v>
      </c>
      <c r="K4389" s="25">
        <f t="shared" si="206"/>
        <v>0.99311049762470849</v>
      </c>
      <c r="L4389" s="26" t="s">
        <v>7518</v>
      </c>
      <c r="M4389" s="28"/>
      <c r="N4389" s="28"/>
      <c r="O4389" s="20" t="s">
        <v>7530</v>
      </c>
      <c r="P4389" s="27" t="str">
        <f t="shared" si="205"/>
        <v>vermelho</v>
      </c>
    </row>
    <row r="4390" spans="1:16" ht="25.5">
      <c r="A4390" s="3" t="s">
        <v>4</v>
      </c>
      <c r="B4390" s="3" t="s">
        <v>3333</v>
      </c>
      <c r="C4390" s="4">
        <v>217</v>
      </c>
      <c r="D4390" s="3" t="s">
        <v>91</v>
      </c>
      <c r="E4390" s="3" t="s">
        <v>16</v>
      </c>
      <c r="F4390" s="5">
        <v>0</v>
      </c>
      <c r="G4390" s="5">
        <v>72</v>
      </c>
      <c r="H4390" s="6">
        <v>0</v>
      </c>
      <c r="I4390" s="22">
        <v>3377.52</v>
      </c>
      <c r="J4390" s="24">
        <f t="shared" si="204"/>
        <v>2.3403247925895965E-5</v>
      </c>
      <c r="K4390" s="25">
        <f t="shared" si="206"/>
        <v>0.99313390087263442</v>
      </c>
      <c r="L4390" s="26" t="s">
        <v>7518</v>
      </c>
      <c r="M4390" s="28"/>
      <c r="N4390" s="28"/>
      <c r="O4390" s="20" t="s">
        <v>7530</v>
      </c>
      <c r="P4390" s="27" t="str">
        <f t="shared" si="205"/>
        <v>vermelho</v>
      </c>
    </row>
    <row r="4391" spans="1:16" ht="25.5">
      <c r="A4391" s="3" t="s">
        <v>4</v>
      </c>
      <c r="B4391" s="3" t="s">
        <v>3334</v>
      </c>
      <c r="C4391" s="4">
        <v>167</v>
      </c>
      <c r="D4391" s="3" t="s">
        <v>251</v>
      </c>
      <c r="E4391" s="3" t="s">
        <v>49</v>
      </c>
      <c r="F4391" s="5">
        <v>246</v>
      </c>
      <c r="G4391" s="5">
        <v>54</v>
      </c>
      <c r="H4391" s="6">
        <v>12483.54</v>
      </c>
      <c r="I4391" s="22">
        <v>3377.46</v>
      </c>
      <c r="J4391" s="24">
        <f t="shared" si="204"/>
        <v>2.3402832178579726E-5</v>
      </c>
      <c r="K4391" s="25">
        <f t="shared" si="206"/>
        <v>0.99315730370481303</v>
      </c>
      <c r="L4391" s="26" t="s">
        <v>7518</v>
      </c>
      <c r="M4391" s="28"/>
      <c r="N4391" s="28"/>
      <c r="O4391" s="20" t="s">
        <v>7530</v>
      </c>
      <c r="P4391" s="27" t="str">
        <f t="shared" si="205"/>
        <v>vermelho</v>
      </c>
    </row>
    <row r="4392" spans="1:16" ht="38.25">
      <c r="A4392" s="3" t="s">
        <v>4</v>
      </c>
      <c r="B4392" s="3" t="s">
        <v>3335</v>
      </c>
      <c r="C4392" s="4">
        <v>34</v>
      </c>
      <c r="D4392" s="3" t="s">
        <v>54</v>
      </c>
      <c r="E4392" s="3" t="s">
        <v>49</v>
      </c>
      <c r="F4392" s="5">
        <v>210</v>
      </c>
      <c r="G4392" s="5">
        <v>48</v>
      </c>
      <c r="H4392" s="6">
        <v>12309.9</v>
      </c>
      <c r="I4392" s="22">
        <v>3375.12</v>
      </c>
      <c r="J4392" s="24">
        <f t="shared" si="204"/>
        <v>2.3386618033246284E-5</v>
      </c>
      <c r="K4392" s="25">
        <f t="shared" si="206"/>
        <v>0.99318069032284628</v>
      </c>
      <c r="L4392" s="26" t="s">
        <v>7518</v>
      </c>
      <c r="M4392" s="28"/>
      <c r="N4392" s="28"/>
      <c r="O4392" s="20" t="s">
        <v>7530</v>
      </c>
      <c r="P4392" s="27" t="str">
        <f t="shared" si="205"/>
        <v>vermelho</v>
      </c>
    </row>
    <row r="4393" spans="1:16" ht="25.5">
      <c r="A4393" s="3" t="s">
        <v>4</v>
      </c>
      <c r="B4393" s="3" t="s">
        <v>3336</v>
      </c>
      <c r="C4393" s="4">
        <v>61</v>
      </c>
      <c r="D4393" s="3" t="s">
        <v>48</v>
      </c>
      <c r="E4393" s="3" t="s">
        <v>49</v>
      </c>
      <c r="F4393" s="5">
        <v>60</v>
      </c>
      <c r="G4393" s="5">
        <v>48</v>
      </c>
      <c r="H4393" s="6">
        <v>3436.8</v>
      </c>
      <c r="I4393" s="22">
        <v>3371.52</v>
      </c>
      <c r="J4393" s="24">
        <f t="shared" si="204"/>
        <v>2.3361673194271763E-5</v>
      </c>
      <c r="K4393" s="25">
        <f t="shared" si="206"/>
        <v>0.99320405199604056</v>
      </c>
      <c r="L4393" s="26" t="s">
        <v>7518</v>
      </c>
      <c r="M4393" s="28"/>
      <c r="N4393" s="28"/>
      <c r="O4393" s="20" t="s">
        <v>7530</v>
      </c>
      <c r="P4393" s="27" t="str">
        <f t="shared" si="205"/>
        <v>vermelho</v>
      </c>
    </row>
    <row r="4394" spans="1:16" ht="38.25">
      <c r="A4394" s="3" t="s">
        <v>4</v>
      </c>
      <c r="B4394" s="3" t="s">
        <v>3337</v>
      </c>
      <c r="C4394" s="4">
        <v>371</v>
      </c>
      <c r="D4394" s="3" t="s">
        <v>82</v>
      </c>
      <c r="E4394" s="3" t="s">
        <v>49</v>
      </c>
      <c r="F4394" s="5">
        <v>0</v>
      </c>
      <c r="G4394" s="5">
        <v>60</v>
      </c>
      <c r="H4394" s="6">
        <v>0</v>
      </c>
      <c r="I4394" s="22">
        <v>3371.4</v>
      </c>
      <c r="J4394" s="24">
        <f t="shared" si="204"/>
        <v>2.3360841699639281E-5</v>
      </c>
      <c r="K4394" s="25">
        <f t="shared" si="206"/>
        <v>0.99322741283774019</v>
      </c>
      <c r="L4394" s="26" t="s">
        <v>7518</v>
      </c>
      <c r="M4394" s="28"/>
      <c r="N4394" s="28"/>
      <c r="O4394" s="20" t="s">
        <v>7530</v>
      </c>
      <c r="P4394" s="27" t="str">
        <f t="shared" si="205"/>
        <v>vermelho</v>
      </c>
    </row>
    <row r="4395" spans="1:16">
      <c r="A4395" s="3" t="s">
        <v>4</v>
      </c>
      <c r="B4395" s="3" t="s">
        <v>3338</v>
      </c>
      <c r="C4395" s="4">
        <v>232</v>
      </c>
      <c r="D4395" s="3" t="s">
        <v>174</v>
      </c>
      <c r="E4395" s="3" t="s">
        <v>16</v>
      </c>
      <c r="F4395" s="5">
        <v>0</v>
      </c>
      <c r="G4395" s="5">
        <v>48</v>
      </c>
      <c r="H4395" s="6">
        <v>0</v>
      </c>
      <c r="I4395" s="22">
        <v>3368.4</v>
      </c>
      <c r="J4395" s="24">
        <f t="shared" si="204"/>
        <v>2.3340054333827178E-5</v>
      </c>
      <c r="K4395" s="25">
        <f t="shared" si="206"/>
        <v>0.99325075289207398</v>
      </c>
      <c r="L4395" s="26" t="s">
        <v>7518</v>
      </c>
      <c r="M4395" s="28"/>
      <c r="N4395" s="28"/>
      <c r="O4395" s="20" t="s">
        <v>7530</v>
      </c>
      <c r="P4395" s="27" t="str">
        <f t="shared" si="205"/>
        <v>vermelho</v>
      </c>
    </row>
    <row r="4396" spans="1:16" ht="25.5">
      <c r="A4396" s="3" t="s">
        <v>4</v>
      </c>
      <c r="B4396" s="3" t="s">
        <v>3339</v>
      </c>
      <c r="C4396" s="4">
        <v>315</v>
      </c>
      <c r="D4396" s="3" t="s">
        <v>63</v>
      </c>
      <c r="E4396" s="3" t="s">
        <v>7</v>
      </c>
      <c r="F4396" s="5">
        <v>183</v>
      </c>
      <c r="G4396" s="5">
        <v>54</v>
      </c>
      <c r="H4396" s="6">
        <v>10480.35</v>
      </c>
      <c r="I4396" s="22">
        <v>3365.46</v>
      </c>
      <c r="J4396" s="24">
        <f t="shared" si="204"/>
        <v>2.3319682715331318E-5</v>
      </c>
      <c r="K4396" s="25">
        <f t="shared" si="206"/>
        <v>0.99327407257478928</v>
      </c>
      <c r="L4396" s="26" t="s">
        <v>7518</v>
      </c>
      <c r="M4396" s="28"/>
      <c r="N4396" s="28"/>
      <c r="O4396" s="20" t="s">
        <v>7530</v>
      </c>
      <c r="P4396" s="27" t="str">
        <f t="shared" si="205"/>
        <v>vermelho</v>
      </c>
    </row>
    <row r="4397" spans="1:16" ht="25.5">
      <c r="A4397" s="3" t="s">
        <v>4</v>
      </c>
      <c r="B4397" s="3" t="s">
        <v>3340</v>
      </c>
      <c r="C4397" s="4">
        <v>264</v>
      </c>
      <c r="D4397" s="3" t="s">
        <v>40</v>
      </c>
      <c r="E4397" s="3" t="s">
        <v>7</v>
      </c>
      <c r="F4397" s="5">
        <v>0</v>
      </c>
      <c r="G4397" s="5">
        <v>60</v>
      </c>
      <c r="H4397" s="6">
        <v>0</v>
      </c>
      <c r="I4397" s="22">
        <v>3365.4</v>
      </c>
      <c r="J4397" s="24">
        <f t="shared" si="204"/>
        <v>2.3319266968015079E-5</v>
      </c>
      <c r="K4397" s="25">
        <f t="shared" si="206"/>
        <v>0.99329739184175725</v>
      </c>
      <c r="L4397" s="26" t="s">
        <v>7518</v>
      </c>
      <c r="M4397" s="28"/>
      <c r="N4397" s="28"/>
      <c r="O4397" s="20" t="s">
        <v>7530</v>
      </c>
      <c r="P4397" s="27" t="str">
        <f t="shared" si="205"/>
        <v>vermelho</v>
      </c>
    </row>
    <row r="4398" spans="1:16" ht="38.25">
      <c r="A4398" s="3" t="s">
        <v>4</v>
      </c>
      <c r="B4398" s="3" t="s">
        <v>3341</v>
      </c>
      <c r="C4398" s="4">
        <v>41</v>
      </c>
      <c r="D4398" s="3" t="s">
        <v>178</v>
      </c>
      <c r="E4398" s="3" t="s">
        <v>41</v>
      </c>
      <c r="F4398" s="5">
        <v>150</v>
      </c>
      <c r="G4398" s="5">
        <v>60</v>
      </c>
      <c r="H4398" s="6">
        <v>9739.5</v>
      </c>
      <c r="I4398" s="22">
        <v>3355.68</v>
      </c>
      <c r="J4398" s="24">
        <f t="shared" si="204"/>
        <v>2.3251915902783868E-5</v>
      </c>
      <c r="K4398" s="25">
        <f t="shared" si="206"/>
        <v>0.99332064375766005</v>
      </c>
      <c r="L4398" s="26" t="s">
        <v>7518</v>
      </c>
      <c r="M4398" s="28"/>
      <c r="N4398" s="28"/>
      <c r="O4398" s="20">
        <v>6163.32</v>
      </c>
      <c r="P4398" s="27" t="str">
        <f t="shared" si="205"/>
        <v>verde</v>
      </c>
    </row>
    <row r="4399" spans="1:16" ht="25.5">
      <c r="A4399" s="3" t="s">
        <v>4</v>
      </c>
      <c r="B4399" s="3" t="s">
        <v>3342</v>
      </c>
      <c r="C4399" s="4">
        <v>31</v>
      </c>
      <c r="D4399" s="3" t="s">
        <v>194</v>
      </c>
      <c r="E4399" s="3" t="s">
        <v>16</v>
      </c>
      <c r="F4399" s="5">
        <v>0</v>
      </c>
      <c r="G4399" s="5">
        <v>72</v>
      </c>
      <c r="H4399" s="6">
        <v>0</v>
      </c>
      <c r="I4399" s="22">
        <v>3323.28</v>
      </c>
      <c r="J4399" s="24">
        <f t="shared" si="204"/>
        <v>2.302741235201318E-5</v>
      </c>
      <c r="K4399" s="25">
        <f t="shared" si="206"/>
        <v>0.9933436711700121</v>
      </c>
      <c r="L4399" s="26" t="s">
        <v>7518</v>
      </c>
      <c r="M4399" s="28"/>
      <c r="N4399" s="28"/>
      <c r="O4399" s="20">
        <v>2823</v>
      </c>
      <c r="P4399" s="27" t="str">
        <f t="shared" si="205"/>
        <v>laranja</v>
      </c>
    </row>
    <row r="4400" spans="1:16" ht="25.5">
      <c r="A4400" s="3" t="s">
        <v>4</v>
      </c>
      <c r="B4400" s="3" t="s">
        <v>3343</v>
      </c>
      <c r="C4400" s="4">
        <v>187</v>
      </c>
      <c r="D4400" s="3" t="s">
        <v>96</v>
      </c>
      <c r="E4400" s="3" t="s">
        <v>7</v>
      </c>
      <c r="F4400" s="5">
        <v>0</v>
      </c>
      <c r="G4400" s="5">
        <v>54</v>
      </c>
      <c r="H4400" s="6">
        <v>0</v>
      </c>
      <c r="I4400" s="22">
        <v>3320.46</v>
      </c>
      <c r="J4400" s="24">
        <f t="shared" si="204"/>
        <v>2.3007872228149802E-5</v>
      </c>
      <c r="K4400" s="25">
        <f t="shared" si="206"/>
        <v>0.9933666790422403</v>
      </c>
      <c r="L4400" s="26" t="s">
        <v>7518</v>
      </c>
      <c r="M4400" s="28"/>
      <c r="N4400" s="28"/>
      <c r="O4400" s="20">
        <v>7602.96</v>
      </c>
      <c r="P4400" s="27" t="str">
        <f t="shared" si="205"/>
        <v>verde</v>
      </c>
    </row>
    <row r="4401" spans="1:16" ht="25.5">
      <c r="A4401" s="3" t="s">
        <v>4</v>
      </c>
      <c r="B4401" s="3" t="s">
        <v>3344</v>
      </c>
      <c r="C4401" s="4">
        <v>53</v>
      </c>
      <c r="D4401" s="3" t="s">
        <v>34</v>
      </c>
      <c r="E4401" s="3" t="s">
        <v>16</v>
      </c>
      <c r="F4401" s="5">
        <v>144</v>
      </c>
      <c r="G4401" s="5">
        <v>72</v>
      </c>
      <c r="H4401" s="6">
        <v>6556.08</v>
      </c>
      <c r="I4401" s="22">
        <v>3317.28</v>
      </c>
      <c r="J4401" s="24">
        <f t="shared" si="204"/>
        <v>2.2985837620388978E-5</v>
      </c>
      <c r="K4401" s="25">
        <f t="shared" si="206"/>
        <v>0.99338966487986069</v>
      </c>
      <c r="L4401" s="26" t="s">
        <v>7518</v>
      </c>
      <c r="M4401" s="28"/>
      <c r="N4401" s="28"/>
      <c r="O4401" s="20">
        <v>4028.88</v>
      </c>
      <c r="P4401" s="27" t="str">
        <f t="shared" si="205"/>
        <v>verde</v>
      </c>
    </row>
    <row r="4402" spans="1:16" ht="25.5">
      <c r="A4402" s="3" t="s">
        <v>4</v>
      </c>
      <c r="B4402" s="3" t="s">
        <v>3345</v>
      </c>
      <c r="C4402" s="4">
        <v>317</v>
      </c>
      <c r="D4402" s="3" t="s">
        <v>78</v>
      </c>
      <c r="E4402" s="3" t="s">
        <v>10</v>
      </c>
      <c r="F4402" s="5">
        <v>228</v>
      </c>
      <c r="G4402" s="5">
        <v>48</v>
      </c>
      <c r="H4402" s="6">
        <v>11171.4</v>
      </c>
      <c r="I4402" s="22">
        <v>3316.56</v>
      </c>
      <c r="J4402" s="24">
        <f t="shared" si="204"/>
        <v>2.2980848652594071E-5</v>
      </c>
      <c r="K4402" s="25">
        <f t="shared" si="206"/>
        <v>0.99341264572851329</v>
      </c>
      <c r="L4402" s="26" t="s">
        <v>7518</v>
      </c>
      <c r="M4402" s="28"/>
      <c r="N4402" s="28"/>
      <c r="O4402" s="20" t="s">
        <v>7530</v>
      </c>
      <c r="P4402" s="27" t="str">
        <f t="shared" si="205"/>
        <v>vermelho</v>
      </c>
    </row>
    <row r="4403" spans="1:16" ht="25.5">
      <c r="A4403" s="3" t="s">
        <v>4</v>
      </c>
      <c r="B4403" s="3" t="s">
        <v>3346</v>
      </c>
      <c r="C4403" s="4">
        <v>337</v>
      </c>
      <c r="D4403" s="3" t="s">
        <v>202</v>
      </c>
      <c r="E4403" s="3" t="s">
        <v>16</v>
      </c>
      <c r="F4403" s="5">
        <v>0</v>
      </c>
      <c r="G4403" s="5">
        <v>60</v>
      </c>
      <c r="H4403" s="6">
        <v>0</v>
      </c>
      <c r="I4403" s="22">
        <v>3316.44</v>
      </c>
      <c r="J4403" s="24">
        <f t="shared" si="204"/>
        <v>2.2980017157961585E-5</v>
      </c>
      <c r="K4403" s="25">
        <f t="shared" si="206"/>
        <v>0.99343562574567124</v>
      </c>
      <c r="L4403" s="26" t="s">
        <v>7518</v>
      </c>
      <c r="M4403" s="28"/>
      <c r="N4403" s="28"/>
      <c r="O4403" s="20">
        <v>6604.68</v>
      </c>
      <c r="P4403" s="27" t="str">
        <f t="shared" si="205"/>
        <v>verde</v>
      </c>
    </row>
    <row r="4404" spans="1:16" ht="25.5">
      <c r="A4404" s="3" t="s">
        <v>4</v>
      </c>
      <c r="B4404" s="3" t="s">
        <v>3347</v>
      </c>
      <c r="C4404" s="4">
        <v>194</v>
      </c>
      <c r="D4404" s="3" t="s">
        <v>145</v>
      </c>
      <c r="E4404" s="3" t="s">
        <v>16</v>
      </c>
      <c r="F4404" s="5">
        <v>0</v>
      </c>
      <c r="G4404" s="5">
        <v>72</v>
      </c>
      <c r="H4404" s="6">
        <v>0</v>
      </c>
      <c r="I4404" s="22">
        <v>3314.88</v>
      </c>
      <c r="J4404" s="24">
        <f t="shared" si="204"/>
        <v>2.2969207727739296E-5</v>
      </c>
      <c r="K4404" s="25">
        <f t="shared" si="206"/>
        <v>0.99345859495339894</v>
      </c>
      <c r="L4404" s="26" t="s">
        <v>7518</v>
      </c>
      <c r="M4404" s="28"/>
      <c r="N4404" s="28"/>
      <c r="O4404" s="20" t="s">
        <v>7530</v>
      </c>
      <c r="P4404" s="27" t="str">
        <f t="shared" si="205"/>
        <v>vermelho</v>
      </c>
    </row>
    <row r="4405" spans="1:16" ht="38.25">
      <c r="A4405" s="3" t="s">
        <v>4</v>
      </c>
      <c r="B4405" s="3" t="s">
        <v>3348</v>
      </c>
      <c r="C4405" s="4">
        <v>11</v>
      </c>
      <c r="D4405" s="3" t="s">
        <v>61</v>
      </c>
      <c r="E4405" s="3" t="s">
        <v>10</v>
      </c>
      <c r="F4405" s="5">
        <v>0</v>
      </c>
      <c r="G4405" s="5">
        <v>48</v>
      </c>
      <c r="H4405" s="6">
        <v>0</v>
      </c>
      <c r="I4405" s="22">
        <v>3314.04</v>
      </c>
      <c r="J4405" s="24">
        <f t="shared" si="204"/>
        <v>2.2963387265311904E-5</v>
      </c>
      <c r="K4405" s="25">
        <f t="shared" si="206"/>
        <v>0.99348155834066421</v>
      </c>
      <c r="L4405" s="26" t="s">
        <v>7518</v>
      </c>
      <c r="M4405" s="28"/>
      <c r="N4405" s="28"/>
      <c r="O4405" s="20" t="s">
        <v>7530</v>
      </c>
      <c r="P4405" s="27" t="str">
        <f t="shared" si="205"/>
        <v>vermelho</v>
      </c>
    </row>
    <row r="4406" spans="1:16" ht="25.5">
      <c r="A4406" s="3" t="s">
        <v>4</v>
      </c>
      <c r="B4406" s="3" t="s">
        <v>3349</v>
      </c>
      <c r="C4406" s="4">
        <v>317</v>
      </c>
      <c r="D4406" s="3" t="s">
        <v>78</v>
      </c>
      <c r="E4406" s="3" t="s">
        <v>10</v>
      </c>
      <c r="F4406" s="5">
        <v>216</v>
      </c>
      <c r="G4406" s="5">
        <v>60</v>
      </c>
      <c r="H4406" s="6">
        <v>12162.72</v>
      </c>
      <c r="I4406" s="22">
        <v>3307.68</v>
      </c>
      <c r="J4406" s="24">
        <f t="shared" si="204"/>
        <v>2.2919318049790249E-5</v>
      </c>
      <c r="K4406" s="25">
        <f t="shared" si="206"/>
        <v>0.99350447765871397</v>
      </c>
      <c r="L4406" s="26" t="s">
        <v>7518</v>
      </c>
      <c r="M4406" s="28"/>
      <c r="N4406" s="28"/>
      <c r="O4406" s="20" t="s">
        <v>7530</v>
      </c>
      <c r="P4406" s="27" t="str">
        <f t="shared" si="205"/>
        <v>vermelho</v>
      </c>
    </row>
    <row r="4407" spans="1:16" ht="25.5">
      <c r="A4407" s="3" t="s">
        <v>4</v>
      </c>
      <c r="B4407" s="3" t="s">
        <v>3350</v>
      </c>
      <c r="C4407" s="4">
        <v>178</v>
      </c>
      <c r="D4407" s="3" t="s">
        <v>74</v>
      </c>
      <c r="E4407" s="3" t="s">
        <v>7</v>
      </c>
      <c r="F4407" s="5">
        <v>0</v>
      </c>
      <c r="G4407" s="5">
        <v>60</v>
      </c>
      <c r="H4407" s="6">
        <v>0</v>
      </c>
      <c r="I4407" s="22">
        <v>3302.46</v>
      </c>
      <c r="J4407" s="24">
        <f t="shared" si="204"/>
        <v>2.2883148033277196E-5</v>
      </c>
      <c r="K4407" s="25">
        <f t="shared" si="206"/>
        <v>0.9935273608067472</v>
      </c>
      <c r="L4407" s="26" t="s">
        <v>7518</v>
      </c>
      <c r="M4407" s="28"/>
      <c r="N4407" s="28"/>
      <c r="O4407" s="20" t="s">
        <v>7530</v>
      </c>
      <c r="P4407" s="27" t="str">
        <f t="shared" si="205"/>
        <v>vermelho</v>
      </c>
    </row>
    <row r="4408" spans="1:16" ht="25.5">
      <c r="A4408" s="3" t="s">
        <v>4</v>
      </c>
      <c r="B4408" s="3" t="s">
        <v>3351</v>
      </c>
      <c r="C4408" s="4">
        <v>335</v>
      </c>
      <c r="D4408" s="3" t="s">
        <v>36</v>
      </c>
      <c r="E4408" s="3" t="s">
        <v>7</v>
      </c>
      <c r="F4408" s="5">
        <v>150</v>
      </c>
      <c r="G4408" s="5">
        <v>48</v>
      </c>
      <c r="H4408" s="6">
        <v>8927.52</v>
      </c>
      <c r="I4408" s="22">
        <v>3302.4</v>
      </c>
      <c r="J4408" s="24">
        <f t="shared" si="204"/>
        <v>2.2882732285960953E-5</v>
      </c>
      <c r="K4408" s="25">
        <f t="shared" si="206"/>
        <v>0.99355024353903321</v>
      </c>
      <c r="L4408" s="26" t="s">
        <v>7518</v>
      </c>
      <c r="M4408" s="28"/>
      <c r="N4408" s="28"/>
      <c r="O4408" s="20">
        <v>2058.7199999999998</v>
      </c>
      <c r="P4408" s="27" t="str">
        <f t="shared" si="205"/>
        <v>laranja</v>
      </c>
    </row>
    <row r="4409" spans="1:16" ht="25.5">
      <c r="A4409" s="3" t="s">
        <v>4</v>
      </c>
      <c r="B4409" s="3" t="s">
        <v>3352</v>
      </c>
      <c r="C4409" s="4">
        <v>327</v>
      </c>
      <c r="D4409" s="3" t="s">
        <v>100</v>
      </c>
      <c r="E4409" s="3" t="s">
        <v>7</v>
      </c>
      <c r="F4409" s="5">
        <v>0</v>
      </c>
      <c r="G4409" s="5">
        <v>48</v>
      </c>
      <c r="H4409" s="6">
        <v>0</v>
      </c>
      <c r="I4409" s="22">
        <v>3302.4</v>
      </c>
      <c r="J4409" s="24">
        <f t="shared" si="204"/>
        <v>2.2882732285960953E-5</v>
      </c>
      <c r="K4409" s="25">
        <f t="shared" si="206"/>
        <v>0.99357312627131922</v>
      </c>
      <c r="L4409" s="26" t="s">
        <v>7518</v>
      </c>
      <c r="M4409" s="28"/>
      <c r="N4409" s="28"/>
      <c r="O4409" s="20" t="s">
        <v>7530</v>
      </c>
      <c r="P4409" s="27" t="str">
        <f t="shared" si="205"/>
        <v>vermelho</v>
      </c>
    </row>
    <row r="4410" spans="1:16" ht="38.25">
      <c r="A4410" s="3" t="s">
        <v>4</v>
      </c>
      <c r="B4410" s="3" t="s">
        <v>3353</v>
      </c>
      <c r="C4410" s="4">
        <v>45</v>
      </c>
      <c r="D4410" s="3" t="s">
        <v>23</v>
      </c>
      <c r="E4410" s="3" t="s">
        <v>7</v>
      </c>
      <c r="F4410" s="5">
        <v>0</v>
      </c>
      <c r="G4410" s="5">
        <v>48</v>
      </c>
      <c r="H4410" s="6">
        <v>0</v>
      </c>
      <c r="I4410" s="22">
        <v>3302.4</v>
      </c>
      <c r="J4410" s="24">
        <f t="shared" si="204"/>
        <v>2.2882732285960953E-5</v>
      </c>
      <c r="K4410" s="25">
        <f t="shared" si="206"/>
        <v>0.99359600900360523</v>
      </c>
      <c r="L4410" s="26" t="s">
        <v>7518</v>
      </c>
      <c r="M4410" s="28"/>
      <c r="N4410" s="28"/>
      <c r="O4410" s="20" t="s">
        <v>7530</v>
      </c>
      <c r="P4410" s="27" t="str">
        <f t="shared" si="205"/>
        <v>vermelho</v>
      </c>
    </row>
    <row r="4411" spans="1:16" ht="25.5">
      <c r="A4411" s="3" t="s">
        <v>4</v>
      </c>
      <c r="B4411" s="3" t="s">
        <v>3354</v>
      </c>
      <c r="C4411" s="4">
        <v>299</v>
      </c>
      <c r="D4411" s="3" t="s">
        <v>111</v>
      </c>
      <c r="E4411" s="3" t="s">
        <v>49</v>
      </c>
      <c r="F4411" s="5">
        <v>72</v>
      </c>
      <c r="G4411" s="5">
        <v>63</v>
      </c>
      <c r="H4411" s="6">
        <v>3416.2559999999999</v>
      </c>
      <c r="I4411" s="22">
        <v>3299.37</v>
      </c>
      <c r="J4411" s="24">
        <f t="shared" si="204"/>
        <v>2.2861737046490731E-5</v>
      </c>
      <c r="K4411" s="25">
        <f t="shared" si="206"/>
        <v>0.99361887074065169</v>
      </c>
      <c r="L4411" s="26" t="s">
        <v>7518</v>
      </c>
      <c r="M4411" s="28"/>
      <c r="N4411" s="28"/>
      <c r="O4411" s="20" t="s">
        <v>7530</v>
      </c>
      <c r="P4411" s="27" t="str">
        <f t="shared" si="205"/>
        <v>vermelho</v>
      </c>
    </row>
    <row r="4412" spans="1:16" ht="25.5">
      <c r="A4412" s="3" t="s">
        <v>4</v>
      </c>
      <c r="B4412" s="3" t="s">
        <v>3355</v>
      </c>
      <c r="C4412" s="4">
        <v>316</v>
      </c>
      <c r="D4412" s="3" t="s">
        <v>247</v>
      </c>
      <c r="E4412" s="3" t="s">
        <v>10</v>
      </c>
      <c r="F4412" s="5">
        <v>132</v>
      </c>
      <c r="G4412" s="5">
        <v>75</v>
      </c>
      <c r="H4412" s="6">
        <v>6764.16</v>
      </c>
      <c r="I4412" s="22">
        <v>3299.25</v>
      </c>
      <c r="J4412" s="24">
        <f t="shared" si="204"/>
        <v>2.2860905551858245E-5</v>
      </c>
      <c r="K4412" s="25">
        <f t="shared" si="206"/>
        <v>0.99364173164620351</v>
      </c>
      <c r="L4412" s="26" t="s">
        <v>7518</v>
      </c>
      <c r="M4412" s="28"/>
      <c r="N4412" s="28"/>
      <c r="O4412" s="20" t="s">
        <v>7530</v>
      </c>
      <c r="P4412" s="27" t="str">
        <f t="shared" si="205"/>
        <v>vermelho</v>
      </c>
    </row>
    <row r="4413" spans="1:16" ht="25.5">
      <c r="A4413" s="3" t="s">
        <v>4</v>
      </c>
      <c r="B4413" s="3" t="s">
        <v>3356</v>
      </c>
      <c r="C4413" s="4">
        <v>178</v>
      </c>
      <c r="D4413" s="3" t="s">
        <v>74</v>
      </c>
      <c r="E4413" s="3" t="s">
        <v>7</v>
      </c>
      <c r="F4413" s="5">
        <v>0</v>
      </c>
      <c r="G4413" s="5">
        <v>42</v>
      </c>
      <c r="H4413" s="6">
        <v>0</v>
      </c>
      <c r="I4413" s="22">
        <v>3289.2</v>
      </c>
      <c r="J4413" s="24">
        <f t="shared" si="204"/>
        <v>2.2791267876387707E-5</v>
      </c>
      <c r="K4413" s="25">
        <f t="shared" si="206"/>
        <v>0.99366452291407992</v>
      </c>
      <c r="L4413" s="26" t="s">
        <v>7518</v>
      </c>
      <c r="M4413" s="28"/>
      <c r="N4413" s="28"/>
      <c r="O4413" s="20" t="s">
        <v>7530</v>
      </c>
      <c r="P4413" s="27" t="str">
        <f t="shared" si="205"/>
        <v>vermelho</v>
      </c>
    </row>
    <row r="4414" spans="1:16" ht="25.5">
      <c r="A4414" s="3" t="s">
        <v>4</v>
      </c>
      <c r="B4414" s="3" t="s">
        <v>3357</v>
      </c>
      <c r="C4414" s="4">
        <v>194</v>
      </c>
      <c r="D4414" s="3" t="s">
        <v>145</v>
      </c>
      <c r="E4414" s="3" t="s">
        <v>16</v>
      </c>
      <c r="F4414" s="5">
        <v>0</v>
      </c>
      <c r="G4414" s="5">
        <v>54</v>
      </c>
      <c r="H4414" s="6">
        <v>0</v>
      </c>
      <c r="I4414" s="22">
        <v>3289.17</v>
      </c>
      <c r="J4414" s="24">
        <f t="shared" si="204"/>
        <v>2.2791060002729587E-5</v>
      </c>
      <c r="K4414" s="25">
        <f t="shared" si="206"/>
        <v>0.99368731397408261</v>
      </c>
      <c r="L4414" s="26" t="s">
        <v>7518</v>
      </c>
      <c r="M4414" s="28"/>
      <c r="N4414" s="28"/>
      <c r="O4414" s="20">
        <v>6265.44</v>
      </c>
      <c r="P4414" s="27" t="str">
        <f t="shared" si="205"/>
        <v>verde</v>
      </c>
    </row>
    <row r="4415" spans="1:16" ht="25.5">
      <c r="A4415" s="3" t="s">
        <v>7044</v>
      </c>
      <c r="B4415" s="3" t="s">
        <v>6148</v>
      </c>
      <c r="C4415" s="4">
        <v>266</v>
      </c>
      <c r="D4415" s="3" t="s">
        <v>80</v>
      </c>
      <c r="E4415" s="3" t="s">
        <v>10</v>
      </c>
      <c r="F4415" s="5">
        <v>132</v>
      </c>
      <c r="G4415" s="5">
        <v>60</v>
      </c>
      <c r="H4415" s="6">
        <v>7474.26</v>
      </c>
      <c r="I4415" s="22">
        <v>3283.8</v>
      </c>
      <c r="J4415" s="24">
        <f t="shared" si="204"/>
        <v>2.2753850617925926E-5</v>
      </c>
      <c r="K4415" s="25">
        <f t="shared" si="206"/>
        <v>0.9937100678247005</v>
      </c>
      <c r="L4415" s="26" t="s">
        <v>7518</v>
      </c>
      <c r="M4415" s="28"/>
      <c r="N4415" s="28"/>
      <c r="O4415" s="20">
        <v>11738.25</v>
      </c>
      <c r="P4415" s="27" t="str">
        <f t="shared" si="205"/>
        <v>verde</v>
      </c>
    </row>
    <row r="4416" spans="1:16" ht="25.5">
      <c r="A4416" s="3" t="s">
        <v>4</v>
      </c>
      <c r="B4416" s="3" t="s">
        <v>3358</v>
      </c>
      <c r="C4416" s="4">
        <v>328</v>
      </c>
      <c r="D4416" s="3" t="s">
        <v>215</v>
      </c>
      <c r="E4416" s="3" t="s">
        <v>41</v>
      </c>
      <c r="F4416" s="5">
        <v>0</v>
      </c>
      <c r="G4416" s="5">
        <v>96</v>
      </c>
      <c r="H4416" s="6">
        <v>0</v>
      </c>
      <c r="I4416" s="22">
        <v>3278.4479999999999</v>
      </c>
      <c r="J4416" s="24">
        <f t="shared" si="204"/>
        <v>2.2716765957317135E-5</v>
      </c>
      <c r="K4416" s="25">
        <f t="shared" si="206"/>
        <v>0.99373278459065784</v>
      </c>
      <c r="L4416" s="26" t="s">
        <v>7518</v>
      </c>
      <c r="M4416" s="28"/>
      <c r="N4416" s="28"/>
      <c r="O4416" s="20" t="s">
        <v>7530</v>
      </c>
      <c r="P4416" s="27" t="str">
        <f t="shared" si="205"/>
        <v>vermelho</v>
      </c>
    </row>
    <row r="4417" spans="1:16" ht="25.5">
      <c r="A4417" s="3" t="s">
        <v>4</v>
      </c>
      <c r="B4417" s="3" t="s">
        <v>3359</v>
      </c>
      <c r="C4417" s="4">
        <v>194</v>
      </c>
      <c r="D4417" s="3" t="s">
        <v>145</v>
      </c>
      <c r="E4417" s="3" t="s">
        <v>16</v>
      </c>
      <c r="F4417" s="5">
        <v>0</v>
      </c>
      <c r="G4417" s="5">
        <v>63</v>
      </c>
      <c r="H4417" s="6">
        <v>0</v>
      </c>
      <c r="I4417" s="22">
        <v>3275.55</v>
      </c>
      <c r="J4417" s="24">
        <f t="shared" si="204"/>
        <v>2.2696685361942648E-5</v>
      </c>
      <c r="K4417" s="25">
        <f t="shared" si="206"/>
        <v>0.99375548127601976</v>
      </c>
      <c r="L4417" s="26" t="s">
        <v>7518</v>
      </c>
      <c r="M4417" s="28"/>
      <c r="N4417" s="28"/>
      <c r="O4417" s="20">
        <v>4645.8</v>
      </c>
      <c r="P4417" s="27" t="str">
        <f t="shared" si="205"/>
        <v>verde</v>
      </c>
    </row>
    <row r="4418" spans="1:16" ht="25.5">
      <c r="A4418" s="3" t="s">
        <v>7045</v>
      </c>
      <c r="B4418" s="3" t="s">
        <v>7046</v>
      </c>
      <c r="C4418" s="4">
        <v>218</v>
      </c>
      <c r="D4418" s="3" t="s">
        <v>104</v>
      </c>
      <c r="E4418" s="3" t="s">
        <v>16</v>
      </c>
      <c r="F4418" s="5">
        <v>96</v>
      </c>
      <c r="G4418" s="5">
        <v>60</v>
      </c>
      <c r="H4418" s="6">
        <v>5207.04</v>
      </c>
      <c r="I4418" s="22">
        <v>3275.4</v>
      </c>
      <c r="J4418" s="24">
        <f t="shared" si="204"/>
        <v>2.2695645993652043E-5</v>
      </c>
      <c r="K4418" s="25">
        <f t="shared" si="206"/>
        <v>0.99377817692201342</v>
      </c>
      <c r="L4418" s="26" t="s">
        <v>7518</v>
      </c>
      <c r="M4418" s="28"/>
      <c r="N4418" s="28"/>
      <c r="O4418" s="20" t="s">
        <v>7530</v>
      </c>
      <c r="P4418" s="27" t="str">
        <f t="shared" si="205"/>
        <v>vermelho</v>
      </c>
    </row>
    <row r="4419" spans="1:16" ht="25.5">
      <c r="A4419" s="3" t="s">
        <v>4</v>
      </c>
      <c r="B4419" s="3" t="s">
        <v>3360</v>
      </c>
      <c r="C4419" s="4">
        <v>299</v>
      </c>
      <c r="D4419" s="3" t="s">
        <v>111</v>
      </c>
      <c r="E4419" s="3" t="s">
        <v>49</v>
      </c>
      <c r="F4419" s="5">
        <v>0</v>
      </c>
      <c r="G4419" s="5">
        <v>72</v>
      </c>
      <c r="H4419" s="6">
        <v>0</v>
      </c>
      <c r="I4419" s="22">
        <v>3269.52</v>
      </c>
      <c r="J4419" s="24">
        <f t="shared" ref="J4419:J4482" si="207">I4419/$I$6364</f>
        <v>2.2654902756660323E-5</v>
      </c>
      <c r="K4419" s="25">
        <f t="shared" si="206"/>
        <v>0.99380083182477008</v>
      </c>
      <c r="L4419" s="26" t="s">
        <v>7518</v>
      </c>
      <c r="M4419" s="28"/>
      <c r="N4419" s="28"/>
      <c r="O4419" s="20" t="s">
        <v>7530</v>
      </c>
      <c r="P4419" s="27" t="str">
        <f t="shared" ref="P4419:P4482" si="208">IF(O4419&lt;=0,"vermelho",IFERROR(IF(O4419/I4419&lt;=0.5098,"amarelo",IF(O4419/I4419&lt;1,"laranja","verde")),"vermelho"))</f>
        <v>vermelho</v>
      </c>
    </row>
    <row r="4420" spans="1:16" ht="25.5">
      <c r="A4420" s="3" t="s">
        <v>4</v>
      </c>
      <c r="B4420" s="3" t="s">
        <v>1866</v>
      </c>
      <c r="C4420" s="4">
        <v>264</v>
      </c>
      <c r="D4420" s="3" t="s">
        <v>40</v>
      </c>
      <c r="E4420" s="3" t="s">
        <v>7</v>
      </c>
      <c r="F4420" s="5">
        <v>0</v>
      </c>
      <c r="G4420" s="5">
        <v>48</v>
      </c>
      <c r="H4420" s="6">
        <v>0</v>
      </c>
      <c r="I4420" s="22">
        <v>3266.52</v>
      </c>
      <c r="J4420" s="24">
        <f t="shared" si="207"/>
        <v>2.2634115390848224E-5</v>
      </c>
      <c r="K4420" s="25">
        <f t="shared" ref="K4420:K4483" si="209">J4420+K4419</f>
        <v>0.99382346594016091</v>
      </c>
      <c r="L4420" s="26" t="s">
        <v>7518</v>
      </c>
      <c r="M4420" s="28"/>
      <c r="N4420" s="28"/>
      <c r="O4420" s="20" t="s">
        <v>7530</v>
      </c>
      <c r="P4420" s="27" t="str">
        <f t="shared" si="208"/>
        <v>vermelho</v>
      </c>
    </row>
    <row r="4421" spans="1:16" ht="38.25">
      <c r="A4421" s="3" t="s">
        <v>4</v>
      </c>
      <c r="B4421" s="3" t="s">
        <v>3361</v>
      </c>
      <c r="C4421" s="4">
        <v>143</v>
      </c>
      <c r="D4421" s="3" t="s">
        <v>44</v>
      </c>
      <c r="E4421" s="3" t="s">
        <v>41</v>
      </c>
      <c r="F4421" s="5">
        <v>168</v>
      </c>
      <c r="G4421" s="5">
        <v>48</v>
      </c>
      <c r="H4421" s="6">
        <v>8866.32</v>
      </c>
      <c r="I4421" s="22">
        <v>3263.52</v>
      </c>
      <c r="J4421" s="24">
        <f t="shared" si="207"/>
        <v>2.2613328025036121E-5</v>
      </c>
      <c r="K4421" s="25">
        <f t="shared" si="209"/>
        <v>0.99384607926818591</v>
      </c>
      <c r="L4421" s="26" t="s">
        <v>7518</v>
      </c>
      <c r="M4421" s="28"/>
      <c r="N4421" s="28"/>
      <c r="O4421" s="20">
        <v>10581.12</v>
      </c>
      <c r="P4421" s="27" t="str">
        <f t="shared" si="208"/>
        <v>verde</v>
      </c>
    </row>
    <row r="4422" spans="1:16" ht="25.5">
      <c r="A4422" s="3" t="s">
        <v>4</v>
      </c>
      <c r="B4422" s="3" t="s">
        <v>3362</v>
      </c>
      <c r="C4422" s="4">
        <v>296</v>
      </c>
      <c r="D4422" s="3" t="s">
        <v>282</v>
      </c>
      <c r="E4422" s="3" t="s">
        <v>49</v>
      </c>
      <c r="F4422" s="5">
        <v>0</v>
      </c>
      <c r="G4422" s="5">
        <v>48</v>
      </c>
      <c r="H4422" s="6">
        <v>0</v>
      </c>
      <c r="I4422" s="22">
        <v>3262.44</v>
      </c>
      <c r="J4422" s="24">
        <f t="shared" si="207"/>
        <v>2.2605844573343768E-5</v>
      </c>
      <c r="K4422" s="25">
        <f t="shared" si="209"/>
        <v>0.99386868511275928</v>
      </c>
      <c r="L4422" s="26" t="s">
        <v>7518</v>
      </c>
      <c r="M4422" s="28"/>
      <c r="N4422" s="28"/>
      <c r="O4422" s="20" t="s">
        <v>7530</v>
      </c>
      <c r="P4422" s="27" t="str">
        <f t="shared" si="208"/>
        <v>vermelho</v>
      </c>
    </row>
    <row r="4423" spans="1:16" ht="25.5">
      <c r="A4423" s="3" t="s">
        <v>4</v>
      </c>
      <c r="B4423" s="3" t="s">
        <v>3363</v>
      </c>
      <c r="C4423" s="4">
        <v>232</v>
      </c>
      <c r="D4423" s="3" t="s">
        <v>174</v>
      </c>
      <c r="E4423" s="3" t="s">
        <v>16</v>
      </c>
      <c r="F4423" s="5">
        <v>0</v>
      </c>
      <c r="G4423" s="5">
        <v>60</v>
      </c>
      <c r="H4423" s="6">
        <v>0</v>
      </c>
      <c r="I4423" s="22">
        <v>3259.8</v>
      </c>
      <c r="J4423" s="24">
        <f t="shared" si="207"/>
        <v>2.2587551691429118E-5</v>
      </c>
      <c r="K4423" s="25">
        <f t="shared" si="209"/>
        <v>0.99389127266445065</v>
      </c>
      <c r="L4423" s="26" t="s">
        <v>7518</v>
      </c>
      <c r="M4423" s="28">
        <v>-1.326913096879008E-2</v>
      </c>
      <c r="N4423" s="28"/>
      <c r="O4423" s="20">
        <v>3259.8</v>
      </c>
      <c r="P4423" s="27" t="str">
        <f t="shared" si="208"/>
        <v>verde</v>
      </c>
    </row>
    <row r="4424" spans="1:16" ht="25.5">
      <c r="A4424" s="3" t="s">
        <v>4</v>
      </c>
      <c r="B4424" s="3" t="s">
        <v>3364</v>
      </c>
      <c r="C4424" s="4">
        <v>317</v>
      </c>
      <c r="D4424" s="3" t="s">
        <v>78</v>
      </c>
      <c r="E4424" s="3" t="s">
        <v>10</v>
      </c>
      <c r="F4424" s="5">
        <v>0</v>
      </c>
      <c r="G4424" s="5">
        <v>60</v>
      </c>
      <c r="H4424" s="6">
        <v>0</v>
      </c>
      <c r="I4424" s="22">
        <v>3259.68</v>
      </c>
      <c r="J4424" s="24">
        <f t="shared" si="207"/>
        <v>2.2586720196796633E-5</v>
      </c>
      <c r="K4424" s="25">
        <f t="shared" si="209"/>
        <v>0.99391385938464749</v>
      </c>
      <c r="L4424" s="26" t="s">
        <v>7518</v>
      </c>
      <c r="M4424" s="28"/>
      <c r="N4424" s="28"/>
      <c r="O4424" s="20" t="s">
        <v>7530</v>
      </c>
      <c r="P4424" s="27" t="str">
        <f t="shared" si="208"/>
        <v>vermelho</v>
      </c>
    </row>
    <row r="4425" spans="1:16" ht="25.5">
      <c r="A4425" s="3" t="s">
        <v>7047</v>
      </c>
      <c r="B4425" s="3" t="s">
        <v>7048</v>
      </c>
      <c r="C4425" s="4">
        <v>321</v>
      </c>
      <c r="D4425" s="3" t="s">
        <v>136</v>
      </c>
      <c r="E4425" s="3" t="s">
        <v>41</v>
      </c>
      <c r="F4425" s="5">
        <v>0</v>
      </c>
      <c r="G4425" s="5">
        <v>48</v>
      </c>
      <c r="H4425" s="6">
        <v>0</v>
      </c>
      <c r="I4425" s="22">
        <v>3259.68</v>
      </c>
      <c r="J4425" s="24">
        <f t="shared" si="207"/>
        <v>2.2586720196796633E-5</v>
      </c>
      <c r="K4425" s="25">
        <f t="shared" si="209"/>
        <v>0.99393644610484433</v>
      </c>
      <c r="L4425" s="26" t="s">
        <v>7518</v>
      </c>
      <c r="M4425" s="28"/>
      <c r="N4425" s="28"/>
      <c r="O4425" s="20" t="s">
        <v>7530</v>
      </c>
      <c r="P4425" s="27" t="str">
        <f t="shared" si="208"/>
        <v>vermelho</v>
      </c>
    </row>
    <row r="4426" spans="1:16" ht="25.5">
      <c r="A4426" s="3" t="s">
        <v>4</v>
      </c>
      <c r="B4426" s="3" t="s">
        <v>3365</v>
      </c>
      <c r="C4426" s="4">
        <v>231</v>
      </c>
      <c r="D4426" s="3" t="s">
        <v>52</v>
      </c>
      <c r="E4426" s="3" t="s">
        <v>7</v>
      </c>
      <c r="F4426" s="5">
        <v>0</v>
      </c>
      <c r="G4426" s="5">
        <v>84</v>
      </c>
      <c r="H4426" s="6">
        <v>0</v>
      </c>
      <c r="I4426" s="22">
        <v>3254.76</v>
      </c>
      <c r="J4426" s="24">
        <f t="shared" si="207"/>
        <v>2.2552628916864788E-5</v>
      </c>
      <c r="K4426" s="25">
        <f t="shared" si="209"/>
        <v>0.99395899873376115</v>
      </c>
      <c r="L4426" s="26" t="s">
        <v>7518</v>
      </c>
      <c r="M4426" s="28"/>
      <c r="N4426" s="28"/>
      <c r="O4426" s="20" t="s">
        <v>7530</v>
      </c>
      <c r="P4426" s="27" t="str">
        <f t="shared" si="208"/>
        <v>vermelho</v>
      </c>
    </row>
    <row r="4427" spans="1:16" ht="38.25">
      <c r="A4427" s="3" t="s">
        <v>4</v>
      </c>
      <c r="B4427" s="3" t="s">
        <v>3366</v>
      </c>
      <c r="C4427" s="4">
        <v>218</v>
      </c>
      <c r="D4427" s="3" t="s">
        <v>104</v>
      </c>
      <c r="E4427" s="3" t="s">
        <v>16</v>
      </c>
      <c r="F4427" s="5">
        <v>0</v>
      </c>
      <c r="G4427" s="5">
        <v>60</v>
      </c>
      <c r="H4427" s="6">
        <v>0</v>
      </c>
      <c r="I4427" s="22">
        <v>3249.24</v>
      </c>
      <c r="J4427" s="24">
        <f t="shared" si="207"/>
        <v>2.2514380163770518E-5</v>
      </c>
      <c r="K4427" s="25">
        <f t="shared" si="209"/>
        <v>0.99398151311392491</v>
      </c>
      <c r="L4427" s="26" t="s">
        <v>7518</v>
      </c>
      <c r="M4427" s="28"/>
      <c r="N4427" s="28"/>
      <c r="O4427" s="20" t="s">
        <v>7530</v>
      </c>
      <c r="P4427" s="27" t="str">
        <f t="shared" si="208"/>
        <v>vermelho</v>
      </c>
    </row>
    <row r="4428" spans="1:16" ht="25.5">
      <c r="A4428" s="3" t="s">
        <v>4</v>
      </c>
      <c r="B4428" s="3" t="s">
        <v>3367</v>
      </c>
      <c r="C4428" s="4">
        <v>31</v>
      </c>
      <c r="D4428" s="3" t="s">
        <v>194</v>
      </c>
      <c r="E4428" s="3" t="s">
        <v>16</v>
      </c>
      <c r="F4428" s="5">
        <v>0</v>
      </c>
      <c r="G4428" s="5">
        <v>60</v>
      </c>
      <c r="H4428" s="6">
        <v>0</v>
      </c>
      <c r="I4428" s="22">
        <v>3249.24</v>
      </c>
      <c r="J4428" s="24">
        <f t="shared" si="207"/>
        <v>2.2514380163770518E-5</v>
      </c>
      <c r="K4428" s="25">
        <f t="shared" si="209"/>
        <v>0.99400402749408867</v>
      </c>
      <c r="L4428" s="26" t="s">
        <v>7518</v>
      </c>
      <c r="M4428" s="28"/>
      <c r="N4428" s="28"/>
      <c r="O4428" s="20" t="s">
        <v>7530</v>
      </c>
      <c r="P4428" s="27" t="str">
        <f t="shared" si="208"/>
        <v>vermelho</v>
      </c>
    </row>
    <row r="4429" spans="1:16" ht="25.5">
      <c r="A4429" s="3" t="s">
        <v>4</v>
      </c>
      <c r="B4429" s="3" t="s">
        <v>3368</v>
      </c>
      <c r="C4429" s="4">
        <v>315</v>
      </c>
      <c r="D4429" s="3" t="s">
        <v>63</v>
      </c>
      <c r="E4429" s="3" t="s">
        <v>7</v>
      </c>
      <c r="F4429" s="5">
        <v>0</v>
      </c>
      <c r="G4429" s="5">
        <v>60</v>
      </c>
      <c r="H4429" s="6">
        <v>0</v>
      </c>
      <c r="I4429" s="22">
        <v>3249.1370000000002</v>
      </c>
      <c r="J4429" s="24">
        <f t="shared" si="207"/>
        <v>2.2513666464210973E-5</v>
      </c>
      <c r="K4429" s="25">
        <f t="shared" si="209"/>
        <v>0.99402654116055289</v>
      </c>
      <c r="L4429" s="26" t="s">
        <v>7518</v>
      </c>
      <c r="M4429" s="28"/>
      <c r="N4429" s="28"/>
      <c r="O4429" s="20" t="s">
        <v>7530</v>
      </c>
      <c r="P4429" s="27" t="str">
        <f t="shared" si="208"/>
        <v>vermelho</v>
      </c>
    </row>
    <row r="4430" spans="1:16" ht="25.5">
      <c r="A4430" s="3" t="s">
        <v>4</v>
      </c>
      <c r="B4430" s="3" t="s">
        <v>3369</v>
      </c>
      <c r="C4430" s="4">
        <v>23</v>
      </c>
      <c r="D4430" s="3" t="s">
        <v>87</v>
      </c>
      <c r="E4430" s="3" t="s">
        <v>7</v>
      </c>
      <c r="F4430" s="5">
        <v>66</v>
      </c>
      <c r="G4430" s="5">
        <v>48</v>
      </c>
      <c r="H4430" s="6">
        <v>3686.1</v>
      </c>
      <c r="I4430" s="22">
        <v>3249.12</v>
      </c>
      <c r="J4430" s="24">
        <f t="shared" si="207"/>
        <v>2.2513548669138036E-5</v>
      </c>
      <c r="K4430" s="25">
        <f t="shared" si="209"/>
        <v>0.994049054709222</v>
      </c>
      <c r="L4430" s="26" t="s">
        <v>7518</v>
      </c>
      <c r="M4430" s="28"/>
      <c r="N4430" s="28"/>
      <c r="O4430" s="20" t="s">
        <v>7530</v>
      </c>
      <c r="P4430" s="27" t="str">
        <f t="shared" si="208"/>
        <v>vermelho</v>
      </c>
    </row>
    <row r="4431" spans="1:16" ht="25.5">
      <c r="A4431" s="3" t="s">
        <v>4</v>
      </c>
      <c r="B4431" s="3" t="s">
        <v>3370</v>
      </c>
      <c r="C4431" s="4">
        <v>270</v>
      </c>
      <c r="D4431" s="3" t="s">
        <v>266</v>
      </c>
      <c r="E4431" s="3" t="s">
        <v>49</v>
      </c>
      <c r="F4431" s="5">
        <v>0</v>
      </c>
      <c r="G4431" s="5">
        <v>48</v>
      </c>
      <c r="H4431" s="6">
        <v>0</v>
      </c>
      <c r="I4431" s="22">
        <v>3249.12</v>
      </c>
      <c r="J4431" s="24">
        <f t="shared" si="207"/>
        <v>2.2513548669138036E-5</v>
      </c>
      <c r="K4431" s="25">
        <f t="shared" si="209"/>
        <v>0.99407156825789111</v>
      </c>
      <c r="L4431" s="26" t="s">
        <v>7518</v>
      </c>
      <c r="M4431" s="28"/>
      <c r="N4431" s="28"/>
      <c r="O4431" s="20">
        <v>5726.88</v>
      </c>
      <c r="P4431" s="27" t="str">
        <f t="shared" si="208"/>
        <v>verde</v>
      </c>
    </row>
    <row r="4432" spans="1:16" ht="25.5">
      <c r="A4432" s="3" t="s">
        <v>4</v>
      </c>
      <c r="B4432" s="3" t="s">
        <v>3371</v>
      </c>
      <c r="C4432" s="4">
        <v>267</v>
      </c>
      <c r="D4432" s="3" t="s">
        <v>125</v>
      </c>
      <c r="E4432" s="3" t="s">
        <v>16</v>
      </c>
      <c r="F4432" s="5">
        <v>126</v>
      </c>
      <c r="G4432" s="5">
        <v>48</v>
      </c>
      <c r="H4432" s="6">
        <v>8042.22</v>
      </c>
      <c r="I4432" s="22">
        <v>3249.12</v>
      </c>
      <c r="J4432" s="24">
        <f t="shared" si="207"/>
        <v>2.2513548669138036E-5</v>
      </c>
      <c r="K4432" s="25">
        <f t="shared" si="209"/>
        <v>0.99409408180656023</v>
      </c>
      <c r="L4432" s="26" t="s">
        <v>7518</v>
      </c>
      <c r="M4432" s="28"/>
      <c r="N4432" s="28"/>
      <c r="O4432" s="20" t="s">
        <v>7530</v>
      </c>
      <c r="P4432" s="27" t="str">
        <f t="shared" si="208"/>
        <v>vermelho</v>
      </c>
    </row>
    <row r="4433" spans="1:16" ht="25.5">
      <c r="A4433" s="3" t="s">
        <v>4</v>
      </c>
      <c r="B4433" s="3" t="s">
        <v>3372</v>
      </c>
      <c r="C4433" s="4">
        <v>23</v>
      </c>
      <c r="D4433" s="3" t="s">
        <v>87</v>
      </c>
      <c r="E4433" s="3" t="s">
        <v>7</v>
      </c>
      <c r="F4433" s="5">
        <v>63</v>
      </c>
      <c r="G4433" s="5">
        <v>48</v>
      </c>
      <c r="H4433" s="6">
        <v>4156.53</v>
      </c>
      <c r="I4433" s="22">
        <v>3249.12</v>
      </c>
      <c r="J4433" s="24">
        <f t="shared" si="207"/>
        <v>2.2513548669138036E-5</v>
      </c>
      <c r="K4433" s="25">
        <f t="shared" si="209"/>
        <v>0.99411659535522934</v>
      </c>
      <c r="L4433" s="26" t="s">
        <v>7518</v>
      </c>
      <c r="M4433" s="28"/>
      <c r="N4433" s="28"/>
      <c r="O4433" s="20" t="s">
        <v>7530</v>
      </c>
      <c r="P4433" s="27" t="str">
        <f t="shared" si="208"/>
        <v>vermelho</v>
      </c>
    </row>
    <row r="4434" spans="1:16" ht="38.25">
      <c r="A4434" s="3" t="s">
        <v>4</v>
      </c>
      <c r="B4434" s="3" t="s">
        <v>3373</v>
      </c>
      <c r="C4434" s="4">
        <v>331</v>
      </c>
      <c r="D4434" s="3" t="s">
        <v>603</v>
      </c>
      <c r="E4434" s="3" t="s">
        <v>13</v>
      </c>
      <c r="F4434" s="5">
        <v>0</v>
      </c>
      <c r="G4434" s="5">
        <v>71</v>
      </c>
      <c r="H4434" s="6">
        <v>0</v>
      </c>
      <c r="I4434" s="22">
        <v>3248.97</v>
      </c>
      <c r="J4434" s="24">
        <f t="shared" si="207"/>
        <v>2.2512509300847431E-5</v>
      </c>
      <c r="K4434" s="25">
        <f t="shared" si="209"/>
        <v>0.99413910786453019</v>
      </c>
      <c r="L4434" s="26" t="s">
        <v>7518</v>
      </c>
      <c r="M4434" s="28"/>
      <c r="N4434" s="28"/>
      <c r="O4434" s="20" t="s">
        <v>7530</v>
      </c>
      <c r="P4434" s="27" t="str">
        <f t="shared" si="208"/>
        <v>vermelho</v>
      </c>
    </row>
    <row r="4435" spans="1:16" ht="38.25">
      <c r="A4435" s="3" t="s">
        <v>4</v>
      </c>
      <c r="B4435" s="3" t="s">
        <v>3374</v>
      </c>
      <c r="C4435" s="4">
        <v>292</v>
      </c>
      <c r="D4435" s="3" t="s">
        <v>57</v>
      </c>
      <c r="E4435" s="3" t="s">
        <v>49</v>
      </c>
      <c r="F4435" s="5">
        <v>144</v>
      </c>
      <c r="G4435" s="5">
        <v>63</v>
      </c>
      <c r="H4435" s="6">
        <v>6517.4219999999996</v>
      </c>
      <c r="I4435" s="22">
        <v>3245.37</v>
      </c>
      <c r="J4435" s="24">
        <f t="shared" si="207"/>
        <v>2.248756446187291E-5</v>
      </c>
      <c r="K4435" s="25">
        <f t="shared" si="209"/>
        <v>0.99416159542899207</v>
      </c>
      <c r="L4435" s="26" t="s">
        <v>7518</v>
      </c>
      <c r="M4435" s="28"/>
      <c r="N4435" s="28"/>
      <c r="O4435" s="20" t="s">
        <v>7530</v>
      </c>
      <c r="P4435" s="27" t="str">
        <f t="shared" si="208"/>
        <v>vermelho</v>
      </c>
    </row>
    <row r="4436" spans="1:16" ht="25.5">
      <c r="A4436" s="3" t="s">
        <v>4</v>
      </c>
      <c r="B4436" s="3" t="s">
        <v>3375</v>
      </c>
      <c r="C4436" s="4">
        <v>327</v>
      </c>
      <c r="D4436" s="3" t="s">
        <v>100</v>
      </c>
      <c r="E4436" s="3" t="s">
        <v>7</v>
      </c>
      <c r="F4436" s="5">
        <v>0</v>
      </c>
      <c r="G4436" s="5">
        <v>42</v>
      </c>
      <c r="H4436" s="6">
        <v>0</v>
      </c>
      <c r="I4436" s="22">
        <v>3241.14</v>
      </c>
      <c r="J4436" s="24">
        <f t="shared" si="207"/>
        <v>2.2458254276077845E-5</v>
      </c>
      <c r="K4436" s="25">
        <f t="shared" si="209"/>
        <v>0.99418405368326812</v>
      </c>
      <c r="L4436" s="26" t="s">
        <v>7518</v>
      </c>
      <c r="M4436" s="28"/>
      <c r="N4436" s="28"/>
      <c r="O4436" s="20" t="s">
        <v>7530</v>
      </c>
      <c r="P4436" s="27" t="str">
        <f t="shared" si="208"/>
        <v>vermelho</v>
      </c>
    </row>
    <row r="4437" spans="1:16" ht="25.5">
      <c r="A4437" s="3" t="s">
        <v>4</v>
      </c>
      <c r="B4437" s="3" t="s">
        <v>3376</v>
      </c>
      <c r="C4437" s="4">
        <v>261</v>
      </c>
      <c r="D4437" s="3" t="s">
        <v>9</v>
      </c>
      <c r="E4437" s="3" t="s">
        <v>10</v>
      </c>
      <c r="F4437" s="5">
        <v>24</v>
      </c>
      <c r="G4437" s="5">
        <v>48</v>
      </c>
      <c r="H4437" s="6">
        <v>1319.76</v>
      </c>
      <c r="I4437" s="22">
        <v>3239.52</v>
      </c>
      <c r="J4437" s="24">
        <f t="shared" si="207"/>
        <v>2.2447029098539313E-5</v>
      </c>
      <c r="K4437" s="25">
        <f t="shared" si="209"/>
        <v>0.99420650071236671</v>
      </c>
      <c r="L4437" s="26" t="s">
        <v>7518</v>
      </c>
      <c r="M4437" s="28"/>
      <c r="N4437" s="28"/>
      <c r="O4437" s="20" t="s">
        <v>7530</v>
      </c>
      <c r="P4437" s="27" t="str">
        <f t="shared" si="208"/>
        <v>vermelho</v>
      </c>
    </row>
    <row r="4438" spans="1:16" ht="25.5">
      <c r="A4438" s="3" t="s">
        <v>4</v>
      </c>
      <c r="B4438" s="3" t="s">
        <v>3377</v>
      </c>
      <c r="C4438" s="4">
        <v>335</v>
      </c>
      <c r="D4438" s="3" t="s">
        <v>36</v>
      </c>
      <c r="E4438" s="3" t="s">
        <v>7</v>
      </c>
      <c r="F4438" s="5">
        <v>0</v>
      </c>
      <c r="G4438" s="5">
        <v>54</v>
      </c>
      <c r="H4438" s="6">
        <v>0</v>
      </c>
      <c r="I4438" s="22">
        <v>3235.68</v>
      </c>
      <c r="J4438" s="24">
        <f t="shared" si="207"/>
        <v>2.2420421270299822E-5</v>
      </c>
      <c r="K4438" s="25">
        <f t="shared" si="209"/>
        <v>0.99422892113363703</v>
      </c>
      <c r="L4438" s="26" t="s">
        <v>7518</v>
      </c>
      <c r="M4438" s="28"/>
      <c r="N4438" s="28"/>
      <c r="O4438" s="20" t="s">
        <v>7530</v>
      </c>
      <c r="P4438" s="27" t="str">
        <f t="shared" si="208"/>
        <v>vermelho</v>
      </c>
    </row>
    <row r="4439" spans="1:16" ht="25.5">
      <c r="A4439" s="3" t="s">
        <v>4</v>
      </c>
      <c r="B4439" s="3" t="s">
        <v>3378</v>
      </c>
      <c r="C4439" s="4">
        <v>178</v>
      </c>
      <c r="D4439" s="3" t="s">
        <v>74</v>
      </c>
      <c r="E4439" s="3" t="s">
        <v>7</v>
      </c>
      <c r="F4439" s="5">
        <v>84</v>
      </c>
      <c r="G4439" s="5">
        <v>72</v>
      </c>
      <c r="H4439" s="6">
        <v>4127.16</v>
      </c>
      <c r="I4439" s="22">
        <v>3235.68</v>
      </c>
      <c r="J4439" s="24">
        <f t="shared" si="207"/>
        <v>2.2420421270299822E-5</v>
      </c>
      <c r="K4439" s="25">
        <f t="shared" si="209"/>
        <v>0.99425134155490735</v>
      </c>
      <c r="L4439" s="26" t="s">
        <v>7518</v>
      </c>
      <c r="M4439" s="28"/>
      <c r="N4439" s="28"/>
      <c r="O4439" s="20" t="s">
        <v>7530</v>
      </c>
      <c r="P4439" s="27" t="str">
        <f t="shared" si="208"/>
        <v>vermelho</v>
      </c>
    </row>
    <row r="4440" spans="1:16" ht="25.5">
      <c r="A4440" s="3" t="s">
        <v>4</v>
      </c>
      <c r="B4440" s="3" t="s">
        <v>3379</v>
      </c>
      <c r="C4440" s="4">
        <v>299</v>
      </c>
      <c r="D4440" s="3" t="s">
        <v>111</v>
      </c>
      <c r="E4440" s="3" t="s">
        <v>49</v>
      </c>
      <c r="F4440" s="5">
        <v>0</v>
      </c>
      <c r="G4440" s="5">
        <v>72</v>
      </c>
      <c r="H4440" s="6">
        <v>0</v>
      </c>
      <c r="I4440" s="22">
        <v>3234.24</v>
      </c>
      <c r="J4440" s="24">
        <f t="shared" si="207"/>
        <v>2.2410443334710015E-5</v>
      </c>
      <c r="K4440" s="25">
        <f t="shared" si="209"/>
        <v>0.99427375199824208</v>
      </c>
      <c r="L4440" s="26" t="s">
        <v>7518</v>
      </c>
      <c r="M4440" s="28">
        <v>-8.0130597905336449E-3</v>
      </c>
      <c r="N4440" s="28"/>
      <c r="O4440" s="20">
        <v>3234.24</v>
      </c>
      <c r="P4440" s="27" t="str">
        <f t="shared" si="208"/>
        <v>verde</v>
      </c>
    </row>
    <row r="4441" spans="1:16">
      <c r="A4441" s="3" t="s">
        <v>4</v>
      </c>
      <c r="B4441" s="3" t="s">
        <v>3380</v>
      </c>
      <c r="C4441" s="4">
        <v>217</v>
      </c>
      <c r="D4441" s="3" t="s">
        <v>91</v>
      </c>
      <c r="E4441" s="3" t="s">
        <v>16</v>
      </c>
      <c r="F4441" s="5">
        <v>72</v>
      </c>
      <c r="G4441" s="5">
        <v>72</v>
      </c>
      <c r="H4441" s="6">
        <v>4022.88</v>
      </c>
      <c r="I4441" s="22">
        <v>3230.64</v>
      </c>
      <c r="J4441" s="24">
        <f t="shared" si="207"/>
        <v>2.2385498495735491E-5</v>
      </c>
      <c r="K4441" s="25">
        <f t="shared" si="209"/>
        <v>0.99429613749673784</v>
      </c>
      <c r="L4441" s="26" t="s">
        <v>7518</v>
      </c>
      <c r="M4441" s="28"/>
      <c r="N4441" s="28"/>
      <c r="O4441" s="20" t="s">
        <v>7530</v>
      </c>
      <c r="P4441" s="27" t="str">
        <f t="shared" si="208"/>
        <v>vermelho</v>
      </c>
    </row>
    <row r="4442" spans="1:16" ht="25.5">
      <c r="A4442" s="3" t="s">
        <v>4</v>
      </c>
      <c r="B4442" s="3" t="s">
        <v>3381</v>
      </c>
      <c r="C4442" s="4">
        <v>53</v>
      </c>
      <c r="D4442" s="3" t="s">
        <v>34</v>
      </c>
      <c r="E4442" s="3" t="s">
        <v>16</v>
      </c>
      <c r="F4442" s="5">
        <v>120</v>
      </c>
      <c r="G4442" s="5">
        <v>72</v>
      </c>
      <c r="H4442" s="6">
        <v>6963</v>
      </c>
      <c r="I4442" s="22">
        <v>3230.64</v>
      </c>
      <c r="J4442" s="24">
        <f t="shared" si="207"/>
        <v>2.2385498495735491E-5</v>
      </c>
      <c r="K4442" s="25">
        <f t="shared" si="209"/>
        <v>0.9943185229952336</v>
      </c>
      <c r="L4442" s="26" t="s">
        <v>7518</v>
      </c>
      <c r="M4442" s="28"/>
      <c r="N4442" s="28"/>
      <c r="O4442" s="20" t="s">
        <v>7530</v>
      </c>
      <c r="P4442" s="27" t="str">
        <f t="shared" si="208"/>
        <v>vermelho</v>
      </c>
    </row>
    <row r="4443" spans="1:16" ht="38.25">
      <c r="A4443" s="3" t="s">
        <v>4</v>
      </c>
      <c r="B4443" s="3" t="s">
        <v>3382</v>
      </c>
      <c r="C4443" s="4">
        <v>331</v>
      </c>
      <c r="D4443" s="3" t="s">
        <v>603</v>
      </c>
      <c r="E4443" s="3" t="s">
        <v>13</v>
      </c>
      <c r="F4443" s="5">
        <v>0</v>
      </c>
      <c r="G4443" s="5">
        <v>57</v>
      </c>
      <c r="H4443" s="6">
        <v>0</v>
      </c>
      <c r="I4443" s="22">
        <v>3229.08</v>
      </c>
      <c r="J4443" s="24">
        <f t="shared" si="207"/>
        <v>2.2374689065513202E-5</v>
      </c>
      <c r="K4443" s="25">
        <f t="shared" si="209"/>
        <v>0.99434089768429912</v>
      </c>
      <c r="L4443" s="26" t="s">
        <v>7518</v>
      </c>
      <c r="M4443" s="28"/>
      <c r="N4443" s="28"/>
      <c r="O4443" s="20">
        <v>5496.96</v>
      </c>
      <c r="P4443" s="27" t="str">
        <f t="shared" si="208"/>
        <v>verde</v>
      </c>
    </row>
    <row r="4444" spans="1:16" ht="25.5">
      <c r="A4444" s="3" t="s">
        <v>4</v>
      </c>
      <c r="B4444" s="3" t="s">
        <v>3383</v>
      </c>
      <c r="C4444" s="4">
        <v>31</v>
      </c>
      <c r="D4444" s="3" t="s">
        <v>194</v>
      </c>
      <c r="E4444" s="3" t="s">
        <v>16</v>
      </c>
      <c r="F4444" s="5">
        <v>90</v>
      </c>
      <c r="G4444" s="5">
        <v>66</v>
      </c>
      <c r="H4444" s="6">
        <v>3959.1</v>
      </c>
      <c r="I4444" s="22">
        <v>3222.78</v>
      </c>
      <c r="J4444" s="24">
        <f t="shared" si="207"/>
        <v>2.2331035597307789E-5</v>
      </c>
      <c r="K4444" s="25">
        <f t="shared" si="209"/>
        <v>0.99436322871989646</v>
      </c>
      <c r="L4444" s="26" t="s">
        <v>7518</v>
      </c>
      <c r="M4444" s="28"/>
      <c r="N4444" s="28"/>
      <c r="O4444" s="20">
        <v>4227.0600000000004</v>
      </c>
      <c r="P4444" s="27" t="str">
        <f t="shared" si="208"/>
        <v>verde</v>
      </c>
    </row>
    <row r="4445" spans="1:16">
      <c r="A4445" s="3" t="s">
        <v>4</v>
      </c>
      <c r="B4445" s="3" t="s">
        <v>3384</v>
      </c>
      <c r="C4445" s="4">
        <v>231</v>
      </c>
      <c r="D4445" s="3" t="s">
        <v>52</v>
      </c>
      <c r="E4445" s="3" t="s">
        <v>7</v>
      </c>
      <c r="F4445" s="5">
        <v>84</v>
      </c>
      <c r="G4445" s="5">
        <v>54</v>
      </c>
      <c r="H4445" s="6">
        <v>4877.16</v>
      </c>
      <c r="I4445" s="22">
        <v>3209.19</v>
      </c>
      <c r="J4445" s="24">
        <f t="shared" si="207"/>
        <v>2.223686883017897E-5</v>
      </c>
      <c r="K4445" s="25">
        <f t="shared" si="209"/>
        <v>0.99438546558872665</v>
      </c>
      <c r="L4445" s="26" t="s">
        <v>7518</v>
      </c>
      <c r="M4445" s="28"/>
      <c r="N4445" s="28"/>
      <c r="O4445" s="20" t="s">
        <v>7530</v>
      </c>
      <c r="P4445" s="27" t="str">
        <f t="shared" si="208"/>
        <v>vermelho</v>
      </c>
    </row>
    <row r="4446" spans="1:16" ht="25.5">
      <c r="A4446" s="3" t="s">
        <v>4</v>
      </c>
      <c r="B4446" s="3" t="s">
        <v>1980</v>
      </c>
      <c r="C4446" s="4">
        <v>264</v>
      </c>
      <c r="D4446" s="3" t="s">
        <v>40</v>
      </c>
      <c r="E4446" s="3" t="s">
        <v>7</v>
      </c>
      <c r="F4446" s="5">
        <v>0</v>
      </c>
      <c r="G4446" s="5">
        <v>48</v>
      </c>
      <c r="H4446" s="6">
        <v>0</v>
      </c>
      <c r="I4446" s="22">
        <v>3207.12</v>
      </c>
      <c r="J4446" s="24">
        <f t="shared" si="207"/>
        <v>2.2222525547768619E-5</v>
      </c>
      <c r="K4446" s="25">
        <f t="shared" si="209"/>
        <v>0.99440768811427438</v>
      </c>
      <c r="L4446" s="26" t="s">
        <v>7518</v>
      </c>
      <c r="M4446" s="28"/>
      <c r="N4446" s="28"/>
      <c r="O4446" s="20" t="s">
        <v>7530</v>
      </c>
      <c r="P4446" s="27" t="str">
        <f t="shared" si="208"/>
        <v>vermelho</v>
      </c>
    </row>
    <row r="4447" spans="1:16">
      <c r="A4447" s="3" t="s">
        <v>4</v>
      </c>
      <c r="B4447" s="3" t="s">
        <v>3385</v>
      </c>
      <c r="C4447" s="4">
        <v>232</v>
      </c>
      <c r="D4447" s="3" t="s">
        <v>174</v>
      </c>
      <c r="E4447" s="3" t="s">
        <v>16</v>
      </c>
      <c r="F4447" s="5">
        <v>108</v>
      </c>
      <c r="G4447" s="5">
        <v>60</v>
      </c>
      <c r="H4447" s="6">
        <v>5604</v>
      </c>
      <c r="I4447" s="22">
        <v>3205.44</v>
      </c>
      <c r="J4447" s="24">
        <f t="shared" si="207"/>
        <v>2.2210884622913844E-5</v>
      </c>
      <c r="K4447" s="25">
        <f t="shared" si="209"/>
        <v>0.99442989899889733</v>
      </c>
      <c r="L4447" s="26" t="s">
        <v>7518</v>
      </c>
      <c r="M4447" s="28"/>
      <c r="N4447" s="28"/>
      <c r="O4447" s="20" t="s">
        <v>7530</v>
      </c>
      <c r="P4447" s="27" t="str">
        <f t="shared" si="208"/>
        <v>vermelho</v>
      </c>
    </row>
    <row r="4448" spans="1:16" ht="25.5">
      <c r="A4448" s="3" t="s">
        <v>4</v>
      </c>
      <c r="B4448" s="3" t="s">
        <v>3386</v>
      </c>
      <c r="C4448" s="4">
        <v>240</v>
      </c>
      <c r="D4448" s="3" t="s">
        <v>69</v>
      </c>
      <c r="E4448" s="3" t="s">
        <v>16</v>
      </c>
      <c r="F4448" s="5">
        <v>0</v>
      </c>
      <c r="G4448" s="5">
        <v>54</v>
      </c>
      <c r="H4448" s="6">
        <v>0</v>
      </c>
      <c r="I4448" s="22">
        <v>3205.38</v>
      </c>
      <c r="J4448" s="24">
        <f t="shared" si="207"/>
        <v>2.2210468875597601E-5</v>
      </c>
      <c r="K4448" s="25">
        <f t="shared" si="209"/>
        <v>0.99445210946777296</v>
      </c>
      <c r="L4448" s="26" t="s">
        <v>7518</v>
      </c>
      <c r="M4448" s="28"/>
      <c r="N4448" s="28"/>
      <c r="O4448" s="20">
        <v>7158.21</v>
      </c>
      <c r="P4448" s="27" t="str">
        <f t="shared" si="208"/>
        <v>verde</v>
      </c>
    </row>
    <row r="4449" spans="1:16" ht="25.5">
      <c r="A4449" s="3" t="s">
        <v>4</v>
      </c>
      <c r="B4449" s="3" t="s">
        <v>3387</v>
      </c>
      <c r="C4449" s="4">
        <v>296</v>
      </c>
      <c r="D4449" s="3" t="s">
        <v>282</v>
      </c>
      <c r="E4449" s="3" t="s">
        <v>10</v>
      </c>
      <c r="F4449" s="5">
        <v>0</v>
      </c>
      <c r="G4449" s="5">
        <v>96</v>
      </c>
      <c r="H4449" s="6">
        <v>0</v>
      </c>
      <c r="I4449" s="22">
        <v>3196.0650000000001</v>
      </c>
      <c r="J4449" s="24">
        <f t="shared" si="207"/>
        <v>2.214592410475103E-5</v>
      </c>
      <c r="K4449" s="25">
        <f t="shared" si="209"/>
        <v>0.99447425539187773</v>
      </c>
      <c r="L4449" s="26" t="s">
        <v>7518</v>
      </c>
      <c r="M4449" s="28"/>
      <c r="N4449" s="28"/>
      <c r="O4449" s="20" t="s">
        <v>7530</v>
      </c>
      <c r="P4449" s="27" t="str">
        <f t="shared" si="208"/>
        <v>vermelho</v>
      </c>
    </row>
    <row r="4450" spans="1:16">
      <c r="A4450" s="3" t="s">
        <v>4</v>
      </c>
      <c r="B4450" s="3" t="s">
        <v>3388</v>
      </c>
      <c r="C4450" s="4">
        <v>231</v>
      </c>
      <c r="D4450" s="3" t="s">
        <v>52</v>
      </c>
      <c r="E4450" s="3" t="s">
        <v>7</v>
      </c>
      <c r="F4450" s="5">
        <v>60</v>
      </c>
      <c r="G4450" s="5">
        <v>48</v>
      </c>
      <c r="H4450" s="6">
        <v>2461.86</v>
      </c>
      <c r="I4450" s="22">
        <v>3195.96</v>
      </c>
      <c r="J4450" s="24">
        <f t="shared" si="207"/>
        <v>2.2145196546947604E-5</v>
      </c>
      <c r="K4450" s="25">
        <f t="shared" si="209"/>
        <v>0.9944964005884247</v>
      </c>
      <c r="L4450" s="26" t="s">
        <v>7518</v>
      </c>
      <c r="M4450" s="28"/>
      <c r="N4450" s="28"/>
      <c r="O4450" s="20" t="s">
        <v>7530</v>
      </c>
      <c r="P4450" s="27" t="str">
        <f t="shared" si="208"/>
        <v>vermelho</v>
      </c>
    </row>
    <row r="4451" spans="1:16" ht="25.5">
      <c r="A4451" s="3" t="s">
        <v>4</v>
      </c>
      <c r="B4451" s="3" t="s">
        <v>3389</v>
      </c>
      <c r="C4451" s="4">
        <v>335</v>
      </c>
      <c r="D4451" s="3" t="s">
        <v>36</v>
      </c>
      <c r="E4451" s="3" t="s">
        <v>7</v>
      </c>
      <c r="F4451" s="5">
        <v>84</v>
      </c>
      <c r="G4451" s="5">
        <v>72</v>
      </c>
      <c r="H4451" s="6">
        <v>5787.72</v>
      </c>
      <c r="I4451" s="22">
        <v>3195.84</v>
      </c>
      <c r="J4451" s="24">
        <f t="shared" si="207"/>
        <v>2.2144365052315122E-5</v>
      </c>
      <c r="K4451" s="25">
        <f t="shared" si="209"/>
        <v>0.99451854495347702</v>
      </c>
      <c r="L4451" s="26" t="s">
        <v>7518</v>
      </c>
      <c r="M4451" s="28"/>
      <c r="N4451" s="28"/>
      <c r="O4451" s="20" t="s">
        <v>7530</v>
      </c>
      <c r="P4451" s="27" t="str">
        <f t="shared" si="208"/>
        <v>vermelho</v>
      </c>
    </row>
    <row r="4452" spans="1:16" ht="25.5">
      <c r="A4452" s="3" t="s">
        <v>4</v>
      </c>
      <c r="B4452" s="3" t="s">
        <v>3390</v>
      </c>
      <c r="C4452" s="4">
        <v>194</v>
      </c>
      <c r="D4452" s="3" t="s">
        <v>145</v>
      </c>
      <c r="E4452" s="3" t="s">
        <v>16</v>
      </c>
      <c r="F4452" s="5">
        <v>0</v>
      </c>
      <c r="G4452" s="5">
        <v>60</v>
      </c>
      <c r="H4452" s="6">
        <v>0</v>
      </c>
      <c r="I4452" s="22">
        <v>3195.84</v>
      </c>
      <c r="J4452" s="24">
        <f t="shared" si="207"/>
        <v>2.2144365052315122E-5</v>
      </c>
      <c r="K4452" s="25">
        <f t="shared" si="209"/>
        <v>0.99454068931852935</v>
      </c>
      <c r="L4452" s="26" t="s">
        <v>7518</v>
      </c>
      <c r="M4452" s="28"/>
      <c r="N4452" s="28"/>
      <c r="O4452" s="20">
        <v>3747.6</v>
      </c>
      <c r="P4452" s="27" t="str">
        <f t="shared" si="208"/>
        <v>verde</v>
      </c>
    </row>
    <row r="4453" spans="1:16" ht="25.5">
      <c r="A4453" s="3" t="s">
        <v>4</v>
      </c>
      <c r="B4453" s="3" t="s">
        <v>3391</v>
      </c>
      <c r="C4453" s="4">
        <v>218</v>
      </c>
      <c r="D4453" s="3" t="s">
        <v>104</v>
      </c>
      <c r="E4453" s="3" t="s">
        <v>16</v>
      </c>
      <c r="F4453" s="5">
        <v>0</v>
      </c>
      <c r="G4453" s="5">
        <v>60</v>
      </c>
      <c r="H4453" s="6">
        <v>0</v>
      </c>
      <c r="I4453" s="22">
        <v>3195.6</v>
      </c>
      <c r="J4453" s="24">
        <f t="shared" si="207"/>
        <v>2.214270206305015E-5</v>
      </c>
      <c r="K4453" s="25">
        <f t="shared" si="209"/>
        <v>0.99456283202059237</v>
      </c>
      <c r="L4453" s="26" t="s">
        <v>7518</v>
      </c>
      <c r="M4453" s="28"/>
      <c r="N4453" s="28"/>
      <c r="O4453" s="20">
        <v>7313.1</v>
      </c>
      <c r="P4453" s="27" t="str">
        <f t="shared" si="208"/>
        <v>verde</v>
      </c>
    </row>
    <row r="4454" spans="1:16" ht="25.5">
      <c r="A4454" s="3" t="s">
        <v>4</v>
      </c>
      <c r="B4454" s="3" t="s">
        <v>3392</v>
      </c>
      <c r="C4454" s="4">
        <v>267</v>
      </c>
      <c r="D4454" s="3" t="s">
        <v>125</v>
      </c>
      <c r="E4454" s="3" t="s">
        <v>16</v>
      </c>
      <c r="F4454" s="5">
        <v>0</v>
      </c>
      <c r="G4454" s="5">
        <v>60</v>
      </c>
      <c r="H4454" s="6">
        <v>0</v>
      </c>
      <c r="I4454" s="22">
        <v>3195.6</v>
      </c>
      <c r="J4454" s="24">
        <f t="shared" si="207"/>
        <v>2.214270206305015E-5</v>
      </c>
      <c r="K4454" s="25">
        <f t="shared" si="209"/>
        <v>0.99458497472265539</v>
      </c>
      <c r="L4454" s="26" t="s">
        <v>7518</v>
      </c>
      <c r="M4454" s="28">
        <v>-3.9285095937081307E-2</v>
      </c>
      <c r="N4454" s="28"/>
      <c r="O4454" s="20" t="s">
        <v>7530</v>
      </c>
      <c r="P4454" s="27" t="str">
        <f t="shared" si="208"/>
        <v>vermelho</v>
      </c>
    </row>
    <row r="4455" spans="1:16" ht="25.5">
      <c r="A4455" s="3" t="s">
        <v>4</v>
      </c>
      <c r="B4455" s="3" t="s">
        <v>3393</v>
      </c>
      <c r="C4455" s="4">
        <v>53</v>
      </c>
      <c r="D4455" s="3" t="s">
        <v>34</v>
      </c>
      <c r="E4455" s="3" t="s">
        <v>16</v>
      </c>
      <c r="F4455" s="5">
        <v>108</v>
      </c>
      <c r="G4455" s="5">
        <v>60</v>
      </c>
      <c r="H4455" s="6">
        <v>4750.92</v>
      </c>
      <c r="I4455" s="22">
        <v>3195.6</v>
      </c>
      <c r="J4455" s="24">
        <f t="shared" si="207"/>
        <v>2.214270206305015E-5</v>
      </c>
      <c r="K4455" s="25">
        <f t="shared" si="209"/>
        <v>0.99460711742471841</v>
      </c>
      <c r="L4455" s="26" t="s">
        <v>7518</v>
      </c>
      <c r="M4455" s="28"/>
      <c r="N4455" s="28"/>
      <c r="O4455" s="20" t="s">
        <v>7530</v>
      </c>
      <c r="P4455" s="27" t="str">
        <f t="shared" si="208"/>
        <v>vermelho</v>
      </c>
    </row>
    <row r="4456" spans="1:16" ht="25.5">
      <c r="A4456" s="3" t="s">
        <v>4</v>
      </c>
      <c r="B4456" s="3" t="s">
        <v>3394</v>
      </c>
      <c r="C4456" s="4">
        <v>218</v>
      </c>
      <c r="D4456" s="3" t="s">
        <v>104</v>
      </c>
      <c r="E4456" s="3" t="s">
        <v>16</v>
      </c>
      <c r="F4456" s="5">
        <v>120</v>
      </c>
      <c r="G4456" s="5">
        <v>60</v>
      </c>
      <c r="H4456" s="6">
        <v>5343.96</v>
      </c>
      <c r="I4456" s="22">
        <v>3195.6</v>
      </c>
      <c r="J4456" s="24">
        <f t="shared" si="207"/>
        <v>2.214270206305015E-5</v>
      </c>
      <c r="K4456" s="25">
        <f t="shared" si="209"/>
        <v>0.99462926012678143</v>
      </c>
      <c r="L4456" s="26" t="s">
        <v>7518</v>
      </c>
      <c r="M4456" s="28">
        <v>4.3714046095647337E-2</v>
      </c>
      <c r="N4456" s="28"/>
      <c r="O4456" s="20" t="s">
        <v>7530</v>
      </c>
      <c r="P4456" s="27" t="str">
        <f t="shared" si="208"/>
        <v>vermelho</v>
      </c>
    </row>
    <row r="4457" spans="1:16" ht="38.25">
      <c r="A4457" s="3" t="s">
        <v>4</v>
      </c>
      <c r="B4457" s="3" t="s">
        <v>3395</v>
      </c>
      <c r="C4457" s="4">
        <v>292</v>
      </c>
      <c r="D4457" s="3" t="s">
        <v>57</v>
      </c>
      <c r="E4457" s="3" t="s">
        <v>49</v>
      </c>
      <c r="F4457" s="5">
        <v>0</v>
      </c>
      <c r="G4457" s="5">
        <v>48</v>
      </c>
      <c r="H4457" s="6">
        <v>0</v>
      </c>
      <c r="I4457" s="22">
        <v>3180.6129999999998</v>
      </c>
      <c r="J4457" s="24">
        <f t="shared" si="207"/>
        <v>2.2038855312574829E-5</v>
      </c>
      <c r="K4457" s="25">
        <f t="shared" si="209"/>
        <v>0.99465129898209403</v>
      </c>
      <c r="L4457" s="26" t="s">
        <v>7518</v>
      </c>
      <c r="M4457" s="28"/>
      <c r="N4457" s="28"/>
      <c r="O4457" s="20">
        <v>3180.6129999999998</v>
      </c>
      <c r="P4457" s="27" t="str">
        <f t="shared" si="208"/>
        <v>verde</v>
      </c>
    </row>
    <row r="4458" spans="1:16" ht="25.5">
      <c r="A4458" s="3" t="s">
        <v>4</v>
      </c>
      <c r="B4458" s="3" t="s">
        <v>3396</v>
      </c>
      <c r="C4458" s="4">
        <v>194</v>
      </c>
      <c r="D4458" s="3" t="s">
        <v>145</v>
      </c>
      <c r="E4458" s="3" t="s">
        <v>16</v>
      </c>
      <c r="F4458" s="5">
        <v>48</v>
      </c>
      <c r="G4458" s="5">
        <v>54</v>
      </c>
      <c r="H4458" s="6">
        <v>2875.92</v>
      </c>
      <c r="I4458" s="22">
        <v>3178.44</v>
      </c>
      <c r="J4458" s="24">
        <f t="shared" si="207"/>
        <v>2.2023798330604934E-5</v>
      </c>
      <c r="K4458" s="25">
        <f t="shared" si="209"/>
        <v>0.99467332278042464</v>
      </c>
      <c r="L4458" s="26" t="s">
        <v>7518</v>
      </c>
      <c r="M4458" s="28"/>
      <c r="N4458" s="28"/>
      <c r="O4458" s="20" t="s">
        <v>7530</v>
      </c>
      <c r="P4458" s="27" t="str">
        <f t="shared" si="208"/>
        <v>vermelho</v>
      </c>
    </row>
    <row r="4459" spans="1:16">
      <c r="A4459" s="3" t="s">
        <v>4</v>
      </c>
      <c r="B4459" s="3" t="s">
        <v>3397</v>
      </c>
      <c r="C4459" s="4">
        <v>232</v>
      </c>
      <c r="D4459" s="3" t="s">
        <v>174</v>
      </c>
      <c r="E4459" s="3" t="s">
        <v>16</v>
      </c>
      <c r="F4459" s="5">
        <v>0</v>
      </c>
      <c r="G4459" s="5">
        <v>48</v>
      </c>
      <c r="H4459" s="6">
        <v>0</v>
      </c>
      <c r="I4459" s="22">
        <v>3169.68</v>
      </c>
      <c r="J4459" s="24">
        <f t="shared" si="207"/>
        <v>2.1963099222433597E-5</v>
      </c>
      <c r="K4459" s="25">
        <f t="shared" si="209"/>
        <v>0.99469528587964706</v>
      </c>
      <c r="L4459" s="26" t="s">
        <v>7518</v>
      </c>
      <c r="M4459" s="28"/>
      <c r="N4459" s="28"/>
      <c r="O4459" s="20" t="s">
        <v>7530</v>
      </c>
      <c r="P4459" s="27" t="str">
        <f t="shared" si="208"/>
        <v>vermelho</v>
      </c>
    </row>
    <row r="4460" spans="1:16" ht="25.5">
      <c r="A4460" s="3" t="s">
        <v>4</v>
      </c>
      <c r="B4460" s="3" t="s">
        <v>3398</v>
      </c>
      <c r="C4460" s="4">
        <v>218</v>
      </c>
      <c r="D4460" s="3" t="s">
        <v>104</v>
      </c>
      <c r="E4460" s="3" t="s">
        <v>16</v>
      </c>
      <c r="F4460" s="5">
        <v>0</v>
      </c>
      <c r="G4460" s="5">
        <v>72</v>
      </c>
      <c r="H4460" s="6">
        <v>0</v>
      </c>
      <c r="I4460" s="22">
        <v>3167.28</v>
      </c>
      <c r="J4460" s="24">
        <f t="shared" si="207"/>
        <v>2.1946469329783919E-5</v>
      </c>
      <c r="K4460" s="25">
        <f t="shared" si="209"/>
        <v>0.9947172323489768</v>
      </c>
      <c r="L4460" s="26" t="s">
        <v>7518</v>
      </c>
      <c r="M4460" s="28"/>
      <c r="N4460" s="28"/>
      <c r="O4460" s="20" t="s">
        <v>7530</v>
      </c>
      <c r="P4460" s="27" t="str">
        <f t="shared" si="208"/>
        <v>vermelho</v>
      </c>
    </row>
    <row r="4461" spans="1:16" ht="38.25">
      <c r="A4461" s="3" t="s">
        <v>4</v>
      </c>
      <c r="B4461" s="3" t="s">
        <v>3399</v>
      </c>
      <c r="C4461" s="4">
        <v>301</v>
      </c>
      <c r="D4461" s="3" t="s">
        <v>519</v>
      </c>
      <c r="E4461" s="3" t="s">
        <v>16</v>
      </c>
      <c r="F4461" s="5">
        <v>78</v>
      </c>
      <c r="G4461" s="5">
        <v>72</v>
      </c>
      <c r="H4461" s="6">
        <v>3584.1</v>
      </c>
      <c r="I4461" s="22">
        <v>3167.28</v>
      </c>
      <c r="J4461" s="24">
        <f t="shared" si="207"/>
        <v>2.1946469329783919E-5</v>
      </c>
      <c r="K4461" s="25">
        <f t="shared" si="209"/>
        <v>0.99473917881830654</v>
      </c>
      <c r="L4461" s="26" t="s">
        <v>7518</v>
      </c>
      <c r="M4461" s="28"/>
      <c r="N4461" s="28"/>
      <c r="O4461" s="20">
        <v>3131.4</v>
      </c>
      <c r="P4461" s="27" t="str">
        <f t="shared" si="208"/>
        <v>laranja</v>
      </c>
    </row>
    <row r="4462" spans="1:16" ht="25.5">
      <c r="A4462" s="3" t="s">
        <v>4</v>
      </c>
      <c r="B4462" s="3" t="s">
        <v>3400</v>
      </c>
      <c r="C4462" s="4">
        <v>316</v>
      </c>
      <c r="D4462" s="3" t="s">
        <v>247</v>
      </c>
      <c r="E4462" s="3" t="s">
        <v>10</v>
      </c>
      <c r="F4462" s="5">
        <v>0</v>
      </c>
      <c r="G4462" s="5">
        <v>61</v>
      </c>
      <c r="H4462" s="6">
        <v>0</v>
      </c>
      <c r="I4462" s="22">
        <v>3166.96</v>
      </c>
      <c r="J4462" s="24">
        <f t="shared" si="207"/>
        <v>2.194425201076396E-5</v>
      </c>
      <c r="K4462" s="25">
        <f t="shared" si="209"/>
        <v>0.99476112307031728</v>
      </c>
      <c r="L4462" s="26" t="s">
        <v>7518</v>
      </c>
      <c r="M4462" s="28"/>
      <c r="N4462" s="28"/>
      <c r="O4462" s="20">
        <v>4840.83</v>
      </c>
      <c r="P4462" s="27" t="str">
        <f t="shared" si="208"/>
        <v>verde</v>
      </c>
    </row>
    <row r="4463" spans="1:16" ht="25.5">
      <c r="A4463" s="3" t="s">
        <v>4</v>
      </c>
      <c r="B4463" s="3" t="s">
        <v>3401</v>
      </c>
      <c r="C4463" s="4">
        <v>232</v>
      </c>
      <c r="D4463" s="3" t="s">
        <v>174</v>
      </c>
      <c r="E4463" s="3" t="s">
        <v>16</v>
      </c>
      <c r="F4463" s="5">
        <v>192</v>
      </c>
      <c r="G4463" s="5">
        <v>72</v>
      </c>
      <c r="H4463" s="6">
        <v>9569.76</v>
      </c>
      <c r="I4463" s="22">
        <v>3164.4</v>
      </c>
      <c r="J4463" s="24">
        <f t="shared" si="207"/>
        <v>2.1926513458604302E-5</v>
      </c>
      <c r="K4463" s="25">
        <f t="shared" si="209"/>
        <v>0.99478304958377584</v>
      </c>
      <c r="L4463" s="26" t="s">
        <v>7518</v>
      </c>
      <c r="M4463" s="28"/>
      <c r="N4463" s="28"/>
      <c r="O4463" s="20" t="s">
        <v>7530</v>
      </c>
      <c r="P4463" s="27" t="str">
        <f t="shared" si="208"/>
        <v>vermelho</v>
      </c>
    </row>
    <row r="4464" spans="1:16" ht="25.5">
      <c r="A4464" s="3" t="s">
        <v>4</v>
      </c>
      <c r="B4464" s="3" t="s">
        <v>3402</v>
      </c>
      <c r="C4464" s="4">
        <v>296</v>
      </c>
      <c r="D4464" s="3" t="s">
        <v>282</v>
      </c>
      <c r="E4464" s="3" t="s">
        <v>10</v>
      </c>
      <c r="F4464" s="5">
        <v>0</v>
      </c>
      <c r="G4464" s="5">
        <v>69</v>
      </c>
      <c r="H4464" s="6">
        <v>0</v>
      </c>
      <c r="I4464" s="22">
        <v>3163.9609999999998</v>
      </c>
      <c r="J4464" s="24">
        <f t="shared" si="207"/>
        <v>2.1923471574073793E-5</v>
      </c>
      <c r="K4464" s="25">
        <f t="shared" si="209"/>
        <v>0.99480497305534987</v>
      </c>
      <c r="L4464" s="26" t="s">
        <v>7518</v>
      </c>
      <c r="M4464" s="28"/>
      <c r="N4464" s="28"/>
      <c r="O4464" s="20" t="s">
        <v>7530</v>
      </c>
      <c r="P4464" s="27" t="str">
        <f t="shared" si="208"/>
        <v>vermelho</v>
      </c>
    </row>
    <row r="4465" spans="1:16" ht="25.5">
      <c r="A4465" s="3" t="s">
        <v>4</v>
      </c>
      <c r="B4465" s="3" t="s">
        <v>3403</v>
      </c>
      <c r="C4465" s="4">
        <v>273</v>
      </c>
      <c r="D4465" s="3" t="s">
        <v>149</v>
      </c>
      <c r="E4465" s="3" t="s">
        <v>16</v>
      </c>
      <c r="F4465" s="5">
        <v>0</v>
      </c>
      <c r="G4465" s="5">
        <v>60</v>
      </c>
      <c r="H4465" s="6">
        <v>0</v>
      </c>
      <c r="I4465" s="22">
        <v>3162.57</v>
      </c>
      <c r="J4465" s="24">
        <f t="shared" si="207"/>
        <v>2.1913833165458918E-5</v>
      </c>
      <c r="K4465" s="25">
        <f t="shared" si="209"/>
        <v>0.99482688688851528</v>
      </c>
      <c r="L4465" s="26" t="s">
        <v>7518</v>
      </c>
      <c r="M4465" s="28"/>
      <c r="N4465" s="28"/>
      <c r="O4465" s="20" t="s">
        <v>7530</v>
      </c>
      <c r="P4465" s="27" t="str">
        <f t="shared" si="208"/>
        <v>vermelho</v>
      </c>
    </row>
    <row r="4466" spans="1:16" ht="25.5">
      <c r="A4466" s="3" t="s">
        <v>4</v>
      </c>
      <c r="B4466" s="3" t="s">
        <v>3404</v>
      </c>
      <c r="C4466" s="4">
        <v>187</v>
      </c>
      <c r="D4466" s="3" t="s">
        <v>96</v>
      </c>
      <c r="E4466" s="3" t="s">
        <v>7</v>
      </c>
      <c r="F4466" s="5">
        <v>108</v>
      </c>
      <c r="G4466" s="5">
        <v>54</v>
      </c>
      <c r="H4466" s="6">
        <v>6105.06</v>
      </c>
      <c r="I4466" s="22">
        <v>3158.46</v>
      </c>
      <c r="J4466" s="24">
        <f t="shared" si="207"/>
        <v>2.1885354474296339E-5</v>
      </c>
      <c r="K4466" s="25">
        <f t="shared" si="209"/>
        <v>0.99484877224298962</v>
      </c>
      <c r="L4466" s="26" t="s">
        <v>7518</v>
      </c>
      <c r="M4466" s="28"/>
      <c r="N4466" s="28"/>
      <c r="O4466" s="20" t="s">
        <v>7530</v>
      </c>
      <c r="P4466" s="27" t="str">
        <f t="shared" si="208"/>
        <v>vermelho</v>
      </c>
    </row>
    <row r="4467" spans="1:16" ht="25.5">
      <c r="A4467" s="3" t="s">
        <v>4</v>
      </c>
      <c r="B4467" s="3" t="s">
        <v>3405</v>
      </c>
      <c r="C4467" s="4">
        <v>296</v>
      </c>
      <c r="D4467" s="3" t="s">
        <v>282</v>
      </c>
      <c r="E4467" s="3" t="s">
        <v>10</v>
      </c>
      <c r="F4467" s="5">
        <v>84</v>
      </c>
      <c r="G4467" s="5">
        <v>48</v>
      </c>
      <c r="H4467" s="6">
        <v>4521.72</v>
      </c>
      <c r="I4467" s="22">
        <v>3153.3690000000001</v>
      </c>
      <c r="J4467" s="24">
        <f t="shared" si="207"/>
        <v>2.1850078314513206E-5</v>
      </c>
      <c r="K4467" s="25">
        <f t="shared" si="209"/>
        <v>0.99487062232130419</v>
      </c>
      <c r="L4467" s="26" t="s">
        <v>7518</v>
      </c>
      <c r="M4467" s="28"/>
      <c r="N4467" s="28"/>
      <c r="O4467" s="20" t="s">
        <v>7530</v>
      </c>
      <c r="P4467" s="27" t="str">
        <f t="shared" si="208"/>
        <v>vermelho</v>
      </c>
    </row>
    <row r="4468" spans="1:16" ht="25.5">
      <c r="A4468" s="3" t="s">
        <v>4</v>
      </c>
      <c r="B4468" s="3" t="s">
        <v>3406</v>
      </c>
      <c r="C4468" s="4">
        <v>39</v>
      </c>
      <c r="D4468" s="3" t="s">
        <v>26</v>
      </c>
      <c r="E4468" s="3" t="s">
        <v>13</v>
      </c>
      <c r="F4468" s="5">
        <v>105</v>
      </c>
      <c r="G4468" s="5">
        <v>66</v>
      </c>
      <c r="H4468" s="6">
        <v>4371.3</v>
      </c>
      <c r="I4468" s="22">
        <v>3151.62</v>
      </c>
      <c r="J4468" s="24">
        <f t="shared" si="207"/>
        <v>2.1837959280244748E-5</v>
      </c>
      <c r="K4468" s="25">
        <f t="shared" si="209"/>
        <v>0.99489246028058442</v>
      </c>
      <c r="L4468" s="26" t="s">
        <v>7518</v>
      </c>
      <c r="M4468" s="28"/>
      <c r="N4468" s="28"/>
      <c r="O4468" s="20" t="s">
        <v>7530</v>
      </c>
      <c r="P4468" s="27" t="str">
        <f t="shared" si="208"/>
        <v>vermelho</v>
      </c>
    </row>
    <row r="4469" spans="1:16" ht="25.5">
      <c r="A4469" s="3" t="s">
        <v>4</v>
      </c>
      <c r="B4469" s="3" t="s">
        <v>3407</v>
      </c>
      <c r="C4469" s="4">
        <v>297</v>
      </c>
      <c r="D4469" s="3" t="s">
        <v>115</v>
      </c>
      <c r="E4469" s="3" t="s">
        <v>41</v>
      </c>
      <c r="F4469" s="5">
        <v>0</v>
      </c>
      <c r="G4469" s="5">
        <v>48</v>
      </c>
      <c r="H4469" s="6">
        <v>0</v>
      </c>
      <c r="I4469" s="22">
        <v>3145.4879999999998</v>
      </c>
      <c r="J4469" s="24">
        <f t="shared" si="207"/>
        <v>2.1795469904524814E-5</v>
      </c>
      <c r="K4469" s="25">
        <f t="shared" si="209"/>
        <v>0.99491425575048897</v>
      </c>
      <c r="L4469" s="26" t="s">
        <v>7518</v>
      </c>
      <c r="M4469" s="28"/>
      <c r="N4469" s="28"/>
      <c r="O4469" s="20" t="s">
        <v>7530</v>
      </c>
      <c r="P4469" s="27" t="str">
        <f t="shared" si="208"/>
        <v>vermelho</v>
      </c>
    </row>
    <row r="4470" spans="1:16" ht="25.5">
      <c r="A4470" s="3" t="s">
        <v>4</v>
      </c>
      <c r="B4470" s="3" t="s">
        <v>3408</v>
      </c>
      <c r="C4470" s="4">
        <v>197</v>
      </c>
      <c r="D4470" s="3" t="s">
        <v>66</v>
      </c>
      <c r="E4470" s="3" t="s">
        <v>41</v>
      </c>
      <c r="F4470" s="5">
        <v>0</v>
      </c>
      <c r="G4470" s="5">
        <v>72</v>
      </c>
      <c r="H4470" s="6">
        <v>0</v>
      </c>
      <c r="I4470" s="22">
        <v>3142.56</v>
      </c>
      <c r="J4470" s="24">
        <f t="shared" si="207"/>
        <v>2.1775181435492204E-5</v>
      </c>
      <c r="K4470" s="25">
        <f t="shared" si="209"/>
        <v>0.99493603093192451</v>
      </c>
      <c r="L4470" s="26" t="s">
        <v>7518</v>
      </c>
      <c r="M4470" s="28"/>
      <c r="N4470" s="28"/>
      <c r="O4470" s="20" t="s">
        <v>7530</v>
      </c>
      <c r="P4470" s="27" t="str">
        <f t="shared" si="208"/>
        <v>vermelho</v>
      </c>
    </row>
    <row r="4471" spans="1:16" ht="51">
      <c r="A4471" s="3" t="s">
        <v>4</v>
      </c>
      <c r="B4471" s="3" t="s">
        <v>3409</v>
      </c>
      <c r="C4471" s="4">
        <v>282</v>
      </c>
      <c r="D4471" s="3" t="s">
        <v>12</v>
      </c>
      <c r="E4471" s="3" t="s">
        <v>13</v>
      </c>
      <c r="F4471" s="5">
        <v>0</v>
      </c>
      <c r="G4471" s="5">
        <v>48</v>
      </c>
      <c r="H4471" s="6">
        <v>0</v>
      </c>
      <c r="I4471" s="22">
        <v>3142.56</v>
      </c>
      <c r="J4471" s="24">
        <f t="shared" si="207"/>
        <v>2.1775181435492204E-5</v>
      </c>
      <c r="K4471" s="25">
        <f t="shared" si="209"/>
        <v>0.99495780611336004</v>
      </c>
      <c r="L4471" s="26" t="s">
        <v>7518</v>
      </c>
      <c r="M4471" s="28"/>
      <c r="N4471" s="28"/>
      <c r="O4471" s="20" t="s">
        <v>7530</v>
      </c>
      <c r="P4471" s="27" t="str">
        <f t="shared" si="208"/>
        <v>vermelho</v>
      </c>
    </row>
    <row r="4472" spans="1:16" ht="25.5">
      <c r="A4472" s="3" t="s">
        <v>4</v>
      </c>
      <c r="B4472" s="3" t="s">
        <v>3410</v>
      </c>
      <c r="C4472" s="4">
        <v>93</v>
      </c>
      <c r="D4472" s="3" t="s">
        <v>20</v>
      </c>
      <c r="E4472" s="3" t="s">
        <v>7</v>
      </c>
      <c r="F4472" s="5">
        <v>0</v>
      </c>
      <c r="G4472" s="5">
        <v>60</v>
      </c>
      <c r="H4472" s="6">
        <v>0</v>
      </c>
      <c r="I4472" s="22">
        <v>3142.44</v>
      </c>
      <c r="J4472" s="24">
        <f t="shared" si="207"/>
        <v>2.1774349940859718E-5</v>
      </c>
      <c r="K4472" s="25">
        <f t="shared" si="209"/>
        <v>0.99497958046330093</v>
      </c>
      <c r="L4472" s="26" t="s">
        <v>7518</v>
      </c>
      <c r="M4472" s="28">
        <v>-5.2604224116582381E-2</v>
      </c>
      <c r="N4472" s="28"/>
      <c r="O4472" s="20">
        <v>3142.44</v>
      </c>
      <c r="P4472" s="27" t="str">
        <f t="shared" si="208"/>
        <v>verde</v>
      </c>
    </row>
    <row r="4473" spans="1:16" ht="25.5">
      <c r="A4473" s="3" t="s">
        <v>4</v>
      </c>
      <c r="B4473" s="3" t="s">
        <v>3411</v>
      </c>
      <c r="C4473" s="4">
        <v>296</v>
      </c>
      <c r="D4473" s="3" t="s">
        <v>282</v>
      </c>
      <c r="E4473" s="3" t="s">
        <v>10</v>
      </c>
      <c r="F4473" s="5">
        <v>84</v>
      </c>
      <c r="G4473" s="5">
        <v>60</v>
      </c>
      <c r="H4473" s="6">
        <v>4674.84</v>
      </c>
      <c r="I4473" s="22">
        <v>3141.6840000000002</v>
      </c>
      <c r="J4473" s="24">
        <f t="shared" si="207"/>
        <v>2.1769111524675072E-5</v>
      </c>
      <c r="K4473" s="25">
        <f t="shared" si="209"/>
        <v>0.99500134957482556</v>
      </c>
      <c r="L4473" s="26" t="s">
        <v>7518</v>
      </c>
      <c r="M4473" s="28"/>
      <c r="N4473" s="28"/>
      <c r="O4473" s="20" t="s">
        <v>7530</v>
      </c>
      <c r="P4473" s="27" t="str">
        <f t="shared" si="208"/>
        <v>vermelho</v>
      </c>
    </row>
    <row r="4474" spans="1:16">
      <c r="A4474" s="3" t="s">
        <v>4</v>
      </c>
      <c r="B4474" s="3" t="s">
        <v>3412</v>
      </c>
      <c r="C4474" s="4">
        <v>240</v>
      </c>
      <c r="D4474" s="3" t="s">
        <v>69</v>
      </c>
      <c r="E4474" s="3" t="s">
        <v>16</v>
      </c>
      <c r="F4474" s="5">
        <v>0</v>
      </c>
      <c r="G4474" s="5">
        <v>63</v>
      </c>
      <c r="H4474" s="6">
        <v>0</v>
      </c>
      <c r="I4474" s="22">
        <v>3137.76</v>
      </c>
      <c r="J4474" s="24">
        <f t="shared" si="207"/>
        <v>2.1741921650192845E-5</v>
      </c>
      <c r="K4474" s="25">
        <f t="shared" si="209"/>
        <v>0.99502309149647572</v>
      </c>
      <c r="L4474" s="26" t="s">
        <v>7518</v>
      </c>
      <c r="M4474" s="28"/>
      <c r="N4474" s="28"/>
      <c r="O4474" s="20" t="s">
        <v>7530</v>
      </c>
      <c r="P4474" s="27" t="str">
        <f t="shared" si="208"/>
        <v>vermelho</v>
      </c>
    </row>
    <row r="4475" spans="1:16" ht="25.5">
      <c r="A4475" s="3" t="s">
        <v>4</v>
      </c>
      <c r="B4475" s="3" t="s">
        <v>3413</v>
      </c>
      <c r="C4475" s="4">
        <v>273</v>
      </c>
      <c r="D4475" s="3" t="s">
        <v>149</v>
      </c>
      <c r="E4475" s="3" t="s">
        <v>16</v>
      </c>
      <c r="F4475" s="5">
        <v>108</v>
      </c>
      <c r="G4475" s="5">
        <v>72</v>
      </c>
      <c r="H4475" s="6">
        <v>6344.52</v>
      </c>
      <c r="I4475" s="22">
        <v>3132.72</v>
      </c>
      <c r="J4475" s="24">
        <f t="shared" si="207"/>
        <v>2.170699887562851E-5</v>
      </c>
      <c r="K4475" s="25">
        <f t="shared" si="209"/>
        <v>0.99504479849535132</v>
      </c>
      <c r="L4475" s="26" t="s">
        <v>7518</v>
      </c>
      <c r="M4475" s="28"/>
      <c r="N4475" s="28"/>
      <c r="O4475" s="20" t="s">
        <v>7530</v>
      </c>
      <c r="P4475" s="27" t="str">
        <f t="shared" si="208"/>
        <v>vermelho</v>
      </c>
    </row>
    <row r="4476" spans="1:16" ht="25.5">
      <c r="A4476" s="3" t="s">
        <v>4</v>
      </c>
      <c r="B4476" s="3" t="s">
        <v>3414</v>
      </c>
      <c r="C4476" s="4">
        <v>316</v>
      </c>
      <c r="D4476" s="3" t="s">
        <v>247</v>
      </c>
      <c r="E4476" s="3" t="s">
        <v>10</v>
      </c>
      <c r="F4476" s="5">
        <v>204</v>
      </c>
      <c r="G4476" s="5">
        <v>60</v>
      </c>
      <c r="H4476" s="6">
        <v>8255.2800000000007</v>
      </c>
      <c r="I4476" s="22">
        <v>3127.56</v>
      </c>
      <c r="J4476" s="24">
        <f t="shared" si="207"/>
        <v>2.1671244606431697E-5</v>
      </c>
      <c r="K4476" s="25">
        <f t="shared" si="209"/>
        <v>0.99506646973995772</v>
      </c>
      <c r="L4476" s="26" t="s">
        <v>7518</v>
      </c>
      <c r="M4476" s="28"/>
      <c r="N4476" s="28"/>
      <c r="O4476" s="20" t="s">
        <v>7530</v>
      </c>
      <c r="P4476" s="27" t="str">
        <f t="shared" si="208"/>
        <v>vermelho</v>
      </c>
    </row>
    <row r="4477" spans="1:16" ht="25.5">
      <c r="A4477" s="3" t="s">
        <v>4</v>
      </c>
      <c r="B4477" s="3" t="s">
        <v>3415</v>
      </c>
      <c r="C4477" s="4">
        <v>299</v>
      </c>
      <c r="D4477" s="3" t="s">
        <v>111</v>
      </c>
      <c r="E4477" s="3" t="s">
        <v>49</v>
      </c>
      <c r="F4477" s="5">
        <v>0</v>
      </c>
      <c r="G4477" s="5">
        <v>51</v>
      </c>
      <c r="H4477" s="6">
        <v>0</v>
      </c>
      <c r="I4477" s="22">
        <v>3123.75</v>
      </c>
      <c r="J4477" s="24">
        <f t="shared" si="207"/>
        <v>2.1644844651850329E-5</v>
      </c>
      <c r="K4477" s="25">
        <f t="shared" si="209"/>
        <v>0.99508811458460955</v>
      </c>
      <c r="L4477" s="26" t="s">
        <v>7518</v>
      </c>
      <c r="M4477" s="28">
        <v>-6.164137394832272E-3</v>
      </c>
      <c r="N4477" s="28"/>
      <c r="O4477" s="20">
        <v>3123.75</v>
      </c>
      <c r="P4477" s="27" t="str">
        <f t="shared" si="208"/>
        <v>verde</v>
      </c>
    </row>
    <row r="4478" spans="1:16" ht="25.5">
      <c r="A4478" s="3" t="s">
        <v>4</v>
      </c>
      <c r="B4478" s="3" t="s">
        <v>3416</v>
      </c>
      <c r="C4478" s="4">
        <v>194</v>
      </c>
      <c r="D4478" s="3" t="s">
        <v>145</v>
      </c>
      <c r="E4478" s="3" t="s">
        <v>16</v>
      </c>
      <c r="F4478" s="5">
        <v>69</v>
      </c>
      <c r="G4478" s="5">
        <v>60</v>
      </c>
      <c r="H4478" s="6">
        <v>3276.12</v>
      </c>
      <c r="I4478" s="22">
        <v>3120.6</v>
      </c>
      <c r="J4478" s="24">
        <f t="shared" si="207"/>
        <v>2.1623017917747621E-5</v>
      </c>
      <c r="K4478" s="25">
        <f t="shared" si="209"/>
        <v>0.9951097376025273</v>
      </c>
      <c r="L4478" s="26" t="s">
        <v>7518</v>
      </c>
      <c r="M4478" s="28"/>
      <c r="N4478" s="28"/>
      <c r="O4478" s="20">
        <v>8402.1</v>
      </c>
      <c r="P4478" s="27" t="str">
        <f t="shared" si="208"/>
        <v>verde</v>
      </c>
    </row>
    <row r="4479" spans="1:16" ht="25.5">
      <c r="A4479" s="3" t="s">
        <v>4</v>
      </c>
      <c r="B4479" s="3" t="s">
        <v>3417</v>
      </c>
      <c r="C4479" s="4">
        <v>232</v>
      </c>
      <c r="D4479" s="3" t="s">
        <v>174</v>
      </c>
      <c r="E4479" s="3" t="s">
        <v>16</v>
      </c>
      <c r="F4479" s="5">
        <v>192</v>
      </c>
      <c r="G4479" s="5">
        <v>66</v>
      </c>
      <c r="H4479" s="6">
        <v>8949.84</v>
      </c>
      <c r="I4479" s="22">
        <v>3120.54</v>
      </c>
      <c r="J4479" s="24">
        <f t="shared" si="207"/>
        <v>2.1622602170431382E-5</v>
      </c>
      <c r="K4479" s="25">
        <f t="shared" si="209"/>
        <v>0.99513136020469772</v>
      </c>
      <c r="L4479" s="26" t="s">
        <v>7518</v>
      </c>
      <c r="M4479" s="28"/>
      <c r="N4479" s="28"/>
      <c r="O4479" s="20" t="s">
        <v>7530</v>
      </c>
      <c r="P4479" s="27" t="str">
        <f t="shared" si="208"/>
        <v>vermelho</v>
      </c>
    </row>
    <row r="4480" spans="1:16" ht="25.5">
      <c r="A4480" s="3" t="s">
        <v>4</v>
      </c>
      <c r="B4480" s="3" t="s">
        <v>3418</v>
      </c>
      <c r="C4480" s="4">
        <v>194</v>
      </c>
      <c r="D4480" s="3" t="s">
        <v>145</v>
      </c>
      <c r="E4480" s="3" t="s">
        <v>16</v>
      </c>
      <c r="F4480" s="5">
        <v>762</v>
      </c>
      <c r="G4480" s="5">
        <v>48</v>
      </c>
      <c r="H4480" s="6">
        <v>45006.18</v>
      </c>
      <c r="I4480" s="22">
        <v>3107.52</v>
      </c>
      <c r="J4480" s="24">
        <f t="shared" si="207"/>
        <v>2.153238500280686E-5</v>
      </c>
      <c r="K4480" s="25">
        <f t="shared" si="209"/>
        <v>0.99515289258970052</v>
      </c>
      <c r="L4480" s="26" t="s">
        <v>7518</v>
      </c>
      <c r="M4480" s="28"/>
      <c r="N4480" s="28"/>
      <c r="O4480" s="20" t="s">
        <v>7530</v>
      </c>
      <c r="P4480" s="27" t="str">
        <f t="shared" si="208"/>
        <v>vermelho</v>
      </c>
    </row>
    <row r="4481" spans="1:16">
      <c r="A4481" s="3" t="s">
        <v>4</v>
      </c>
      <c r="B4481" s="3" t="s">
        <v>3419</v>
      </c>
      <c r="C4481" s="4">
        <v>315</v>
      </c>
      <c r="D4481" s="3" t="s">
        <v>63</v>
      </c>
      <c r="E4481" s="3" t="s">
        <v>7</v>
      </c>
      <c r="F4481" s="5">
        <v>0</v>
      </c>
      <c r="G4481" s="5">
        <v>51</v>
      </c>
      <c r="H4481" s="6">
        <v>0</v>
      </c>
      <c r="I4481" s="22">
        <v>3106.32</v>
      </c>
      <c r="J4481" s="24">
        <f t="shared" si="207"/>
        <v>2.1524070056482021E-5</v>
      </c>
      <c r="K4481" s="25">
        <f t="shared" si="209"/>
        <v>0.99517441665975703</v>
      </c>
      <c r="L4481" s="26" t="s">
        <v>7518</v>
      </c>
      <c r="M4481" s="28"/>
      <c r="N4481" s="28"/>
      <c r="O4481" s="20" t="s">
        <v>7530</v>
      </c>
      <c r="P4481" s="27" t="str">
        <f t="shared" si="208"/>
        <v>vermelho</v>
      </c>
    </row>
    <row r="4482" spans="1:16">
      <c r="A4482" s="3" t="s">
        <v>4</v>
      </c>
      <c r="B4482" s="3" t="s">
        <v>3420</v>
      </c>
      <c r="C4482" s="4">
        <v>240</v>
      </c>
      <c r="D4482" s="3" t="s">
        <v>69</v>
      </c>
      <c r="E4482" s="3" t="s">
        <v>16</v>
      </c>
      <c r="F4482" s="5">
        <v>312</v>
      </c>
      <c r="G4482" s="5">
        <v>48</v>
      </c>
      <c r="H4482" s="6">
        <v>18262.8</v>
      </c>
      <c r="I4482" s="22">
        <v>3096.84</v>
      </c>
      <c r="J4482" s="24">
        <f t="shared" si="207"/>
        <v>2.1458381980515784E-5</v>
      </c>
      <c r="K4482" s="25">
        <f t="shared" si="209"/>
        <v>0.99519587504173757</v>
      </c>
      <c r="L4482" s="26" t="s">
        <v>7518</v>
      </c>
      <c r="M4482" s="28"/>
      <c r="N4482" s="28"/>
      <c r="O4482" s="20">
        <v>8542.2000000000007</v>
      </c>
      <c r="P4482" s="27" t="str">
        <f t="shared" si="208"/>
        <v>verde</v>
      </c>
    </row>
    <row r="4483" spans="1:16" ht="25.5">
      <c r="A4483" s="3" t="s">
        <v>4</v>
      </c>
      <c r="B4483" s="3" t="s">
        <v>3421</v>
      </c>
      <c r="C4483" s="4">
        <v>316</v>
      </c>
      <c r="D4483" s="3" t="s">
        <v>247</v>
      </c>
      <c r="E4483" s="3" t="s">
        <v>10</v>
      </c>
      <c r="F4483" s="5">
        <v>0</v>
      </c>
      <c r="G4483" s="5">
        <v>69</v>
      </c>
      <c r="H4483" s="6">
        <v>0</v>
      </c>
      <c r="I4483" s="22">
        <v>3095.76</v>
      </c>
      <c r="J4483" s="24">
        <f t="shared" ref="J4483:J4546" si="210">I4483/$I$6364</f>
        <v>2.1450898528823427E-5</v>
      </c>
      <c r="K4483" s="25">
        <f t="shared" si="209"/>
        <v>0.99521732594026635</v>
      </c>
      <c r="L4483" s="26" t="s">
        <v>7518</v>
      </c>
      <c r="M4483" s="28"/>
      <c r="N4483" s="28">
        <v>-1.7308423644042916E-2</v>
      </c>
      <c r="O4483" s="20">
        <v>8735.2800000000007</v>
      </c>
      <c r="P4483" s="27" t="str">
        <f t="shared" ref="P4483:P4546" si="211">IF(O4483&lt;=0,"vermelho",IFERROR(IF(O4483/I4483&lt;=0.5098,"amarelo",IF(O4483/I4483&lt;1,"laranja","verde")),"vermelho"))</f>
        <v>verde</v>
      </c>
    </row>
    <row r="4484" spans="1:16" ht="25.5">
      <c r="A4484" s="3" t="s">
        <v>4</v>
      </c>
      <c r="B4484" s="3" t="s">
        <v>3422</v>
      </c>
      <c r="C4484" s="4">
        <v>327</v>
      </c>
      <c r="D4484" s="3" t="s">
        <v>100</v>
      </c>
      <c r="E4484" s="3" t="s">
        <v>7</v>
      </c>
      <c r="F4484" s="5">
        <v>0</v>
      </c>
      <c r="G4484" s="5">
        <v>48</v>
      </c>
      <c r="H4484" s="6">
        <v>0</v>
      </c>
      <c r="I4484" s="22">
        <v>3095.52</v>
      </c>
      <c r="J4484" s="24">
        <f t="shared" si="210"/>
        <v>2.1449235539558456E-5</v>
      </c>
      <c r="K4484" s="25">
        <f t="shared" ref="K4484:K4547" si="212">J4484+K4483</f>
        <v>0.99523877517580595</v>
      </c>
      <c r="L4484" s="26" t="s">
        <v>7518</v>
      </c>
      <c r="M4484" s="28"/>
      <c r="N4484" s="28"/>
      <c r="O4484" s="20" t="s">
        <v>7530</v>
      </c>
      <c r="P4484" s="27" t="str">
        <f t="shared" si="211"/>
        <v>vermelho</v>
      </c>
    </row>
    <row r="4485" spans="1:16" ht="38.25">
      <c r="A4485" s="3" t="s">
        <v>4</v>
      </c>
      <c r="B4485" s="3" t="s">
        <v>3423</v>
      </c>
      <c r="C4485" s="4">
        <v>38</v>
      </c>
      <c r="D4485" s="3" t="s">
        <v>184</v>
      </c>
      <c r="E4485" s="3" t="s">
        <v>49</v>
      </c>
      <c r="F4485" s="5">
        <v>0</v>
      </c>
      <c r="G4485" s="5">
        <v>54</v>
      </c>
      <c r="H4485" s="6">
        <v>0</v>
      </c>
      <c r="I4485" s="22">
        <v>3092.04</v>
      </c>
      <c r="J4485" s="24">
        <f t="shared" si="210"/>
        <v>2.1425122195216421E-5</v>
      </c>
      <c r="K4485" s="25">
        <f t="shared" si="212"/>
        <v>0.99526020029800111</v>
      </c>
      <c r="L4485" s="26" t="s">
        <v>7518</v>
      </c>
      <c r="M4485" s="28"/>
      <c r="N4485" s="28"/>
      <c r="O4485" s="20">
        <v>3201.24</v>
      </c>
      <c r="P4485" s="27" t="str">
        <f t="shared" si="211"/>
        <v>verde</v>
      </c>
    </row>
    <row r="4486" spans="1:16" ht="25.5">
      <c r="A4486" s="3" t="s">
        <v>4</v>
      </c>
      <c r="B4486" s="3" t="s">
        <v>3424</v>
      </c>
      <c r="C4486" s="4">
        <v>335</v>
      </c>
      <c r="D4486" s="3" t="s">
        <v>36</v>
      </c>
      <c r="E4486" s="3" t="s">
        <v>7</v>
      </c>
      <c r="F4486" s="5">
        <v>60</v>
      </c>
      <c r="G4486" s="5">
        <v>48</v>
      </c>
      <c r="H4486" s="6">
        <v>3953.88</v>
      </c>
      <c r="I4486" s="22">
        <v>3089.52</v>
      </c>
      <c r="J4486" s="24">
        <f t="shared" si="210"/>
        <v>2.1407660807934254E-5</v>
      </c>
      <c r="K4486" s="25">
        <f t="shared" si="212"/>
        <v>0.99528160795880904</v>
      </c>
      <c r="L4486" s="26" t="s">
        <v>7518</v>
      </c>
      <c r="M4486" s="28"/>
      <c r="N4486" s="28"/>
      <c r="O4486" s="20" t="s">
        <v>7530</v>
      </c>
      <c r="P4486" s="27" t="str">
        <f t="shared" si="211"/>
        <v>vermelho</v>
      </c>
    </row>
    <row r="4487" spans="1:16" ht="25.5">
      <c r="A4487" s="3" t="s">
        <v>4</v>
      </c>
      <c r="B4487" s="3" t="s">
        <v>3425</v>
      </c>
      <c r="C4487" s="4">
        <v>23</v>
      </c>
      <c r="D4487" s="3" t="s">
        <v>87</v>
      </c>
      <c r="E4487" s="3" t="s">
        <v>7</v>
      </c>
      <c r="F4487" s="5">
        <v>54</v>
      </c>
      <c r="G4487" s="5">
        <v>54</v>
      </c>
      <c r="H4487" s="6">
        <v>3707.46</v>
      </c>
      <c r="I4487" s="22">
        <v>3089.46</v>
      </c>
      <c r="J4487" s="24">
        <f t="shared" si="210"/>
        <v>2.1407245060618015E-5</v>
      </c>
      <c r="K4487" s="25">
        <f t="shared" si="212"/>
        <v>0.99530301520386966</v>
      </c>
      <c r="L4487" s="26" t="s">
        <v>7518</v>
      </c>
      <c r="M4487" s="28"/>
      <c r="N4487" s="28"/>
      <c r="O4487" s="20" t="s">
        <v>7530</v>
      </c>
      <c r="P4487" s="27" t="str">
        <f t="shared" si="211"/>
        <v>vermelho</v>
      </c>
    </row>
    <row r="4488" spans="1:16" ht="38.25">
      <c r="A4488" s="3" t="s">
        <v>4</v>
      </c>
      <c r="B4488" s="3" t="s">
        <v>3426</v>
      </c>
      <c r="C4488" s="4">
        <v>143</v>
      </c>
      <c r="D4488" s="3" t="s">
        <v>44</v>
      </c>
      <c r="E4488" s="3" t="s">
        <v>41</v>
      </c>
      <c r="F4488" s="5">
        <v>156</v>
      </c>
      <c r="G4488" s="5">
        <v>48</v>
      </c>
      <c r="H4488" s="6">
        <v>7594.44</v>
      </c>
      <c r="I4488" s="22">
        <v>3089.28</v>
      </c>
      <c r="J4488" s="24">
        <f t="shared" si="210"/>
        <v>2.140599781866929E-5</v>
      </c>
      <c r="K4488" s="25">
        <f t="shared" si="212"/>
        <v>0.99532442120168829</v>
      </c>
      <c r="L4488" s="26" t="s">
        <v>7518</v>
      </c>
      <c r="M4488" s="28"/>
      <c r="N4488" s="28"/>
      <c r="O4488" s="20" t="s">
        <v>7530</v>
      </c>
      <c r="P4488" s="27" t="str">
        <f t="shared" si="211"/>
        <v>vermelho</v>
      </c>
    </row>
    <row r="4489" spans="1:16" ht="25.5">
      <c r="A4489" s="3" t="s">
        <v>4</v>
      </c>
      <c r="B4489" s="3" t="s">
        <v>3427</v>
      </c>
      <c r="C4489" s="4">
        <v>296</v>
      </c>
      <c r="D4489" s="3" t="s">
        <v>282</v>
      </c>
      <c r="E4489" s="3" t="s">
        <v>10</v>
      </c>
      <c r="F4489" s="5">
        <v>0</v>
      </c>
      <c r="G4489" s="5">
        <v>60</v>
      </c>
      <c r="H4489" s="6">
        <v>0</v>
      </c>
      <c r="I4489" s="22">
        <v>3089.1590000000001</v>
      </c>
      <c r="J4489" s="24">
        <f t="shared" si="210"/>
        <v>2.1405159394914865E-5</v>
      </c>
      <c r="K4489" s="25">
        <f t="shared" si="212"/>
        <v>0.99534582636108315</v>
      </c>
      <c r="L4489" s="26" t="s">
        <v>7518</v>
      </c>
      <c r="M4489" s="28"/>
      <c r="N4489" s="28"/>
      <c r="O4489" s="20" t="s">
        <v>7530</v>
      </c>
      <c r="P4489" s="27" t="str">
        <f t="shared" si="211"/>
        <v>vermelho</v>
      </c>
    </row>
    <row r="4490" spans="1:16" ht="25.5">
      <c r="A4490" s="3" t="s">
        <v>4</v>
      </c>
      <c r="B4490" s="3" t="s">
        <v>3428</v>
      </c>
      <c r="C4490" s="4">
        <v>315</v>
      </c>
      <c r="D4490" s="3" t="s">
        <v>63</v>
      </c>
      <c r="E4490" s="3" t="s">
        <v>7</v>
      </c>
      <c r="F4490" s="5">
        <v>621</v>
      </c>
      <c r="G4490" s="5">
        <v>72</v>
      </c>
      <c r="H4490" s="6">
        <v>22383.99</v>
      </c>
      <c r="I4490" s="22">
        <v>3088.08</v>
      </c>
      <c r="J4490" s="24">
        <f t="shared" si="210"/>
        <v>2.1397682872344447E-5</v>
      </c>
      <c r="K4490" s="25">
        <f t="shared" si="212"/>
        <v>0.9953672240439555</v>
      </c>
      <c r="L4490" s="26" t="s">
        <v>7518</v>
      </c>
      <c r="M4490" s="28"/>
      <c r="N4490" s="28"/>
      <c r="O4490" s="20" t="s">
        <v>7530</v>
      </c>
      <c r="P4490" s="27" t="str">
        <f t="shared" si="211"/>
        <v>vermelho</v>
      </c>
    </row>
    <row r="4491" spans="1:16" ht="25.5">
      <c r="A4491" s="3" t="s">
        <v>4</v>
      </c>
      <c r="B4491" s="3" t="s">
        <v>3429</v>
      </c>
      <c r="C4491" s="4">
        <v>327</v>
      </c>
      <c r="D4491" s="3" t="s">
        <v>100</v>
      </c>
      <c r="E4491" s="3" t="s">
        <v>7</v>
      </c>
      <c r="F4491" s="5">
        <v>0</v>
      </c>
      <c r="G4491" s="5">
        <v>57</v>
      </c>
      <c r="H4491" s="6">
        <v>0</v>
      </c>
      <c r="I4491" s="22">
        <v>3081.15</v>
      </c>
      <c r="J4491" s="24">
        <f t="shared" si="210"/>
        <v>2.1349664057318494E-5</v>
      </c>
      <c r="K4491" s="25">
        <f t="shared" si="212"/>
        <v>0.99538857370801281</v>
      </c>
      <c r="L4491" s="26" t="s">
        <v>7518</v>
      </c>
      <c r="M4491" s="28"/>
      <c r="N4491" s="28"/>
      <c r="O4491" s="20" t="s">
        <v>7530</v>
      </c>
      <c r="P4491" s="27" t="str">
        <f t="shared" si="211"/>
        <v>vermelho</v>
      </c>
    </row>
    <row r="4492" spans="1:16" ht="25.5">
      <c r="A4492" s="3" t="s">
        <v>7049</v>
      </c>
      <c r="B4492" s="3" t="s">
        <v>7050</v>
      </c>
      <c r="C4492" s="4">
        <v>218</v>
      </c>
      <c r="D4492" s="3" t="s">
        <v>104</v>
      </c>
      <c r="E4492" s="3" t="s">
        <v>16</v>
      </c>
      <c r="F4492" s="5">
        <v>0</v>
      </c>
      <c r="G4492" s="5">
        <v>72</v>
      </c>
      <c r="H4492" s="6">
        <v>0</v>
      </c>
      <c r="I4492" s="22">
        <v>3076.02</v>
      </c>
      <c r="J4492" s="24">
        <f t="shared" si="210"/>
        <v>2.1314117661779801E-5</v>
      </c>
      <c r="K4492" s="25">
        <f t="shared" si="212"/>
        <v>0.99540988782567463</v>
      </c>
      <c r="L4492" s="26" t="s">
        <v>7518</v>
      </c>
      <c r="M4492" s="28"/>
      <c r="N4492" s="28"/>
      <c r="O4492" s="20" t="s">
        <v>7530</v>
      </c>
      <c r="P4492" s="27" t="str">
        <f t="shared" si="211"/>
        <v>vermelho</v>
      </c>
    </row>
    <row r="4493" spans="1:16" ht="38.25">
      <c r="A4493" s="3" t="s">
        <v>4</v>
      </c>
      <c r="B4493" s="3" t="s">
        <v>3430</v>
      </c>
      <c r="C4493" s="4">
        <v>371</v>
      </c>
      <c r="D4493" s="3" t="s">
        <v>82</v>
      </c>
      <c r="E4493" s="3" t="s">
        <v>49</v>
      </c>
      <c r="F4493" s="5">
        <v>48</v>
      </c>
      <c r="G4493" s="5">
        <v>72</v>
      </c>
      <c r="H4493" s="6">
        <v>2086.56</v>
      </c>
      <c r="I4493" s="22">
        <v>3068.4</v>
      </c>
      <c r="J4493" s="24">
        <f t="shared" si="210"/>
        <v>2.1261317752617064E-5</v>
      </c>
      <c r="K4493" s="25">
        <f t="shared" si="212"/>
        <v>0.99543114914342723</v>
      </c>
      <c r="L4493" s="26" t="s">
        <v>7518</v>
      </c>
      <c r="M4493" s="28"/>
      <c r="N4493" s="28"/>
      <c r="O4493" s="20" t="s">
        <v>7530</v>
      </c>
      <c r="P4493" s="27" t="str">
        <f t="shared" si="211"/>
        <v>vermelho</v>
      </c>
    </row>
    <row r="4494" spans="1:16" ht="25.5">
      <c r="A4494" s="3" t="s">
        <v>4</v>
      </c>
      <c r="B4494" s="3" t="s">
        <v>3431</v>
      </c>
      <c r="C4494" s="4">
        <v>31</v>
      </c>
      <c r="D4494" s="3" t="s">
        <v>194</v>
      </c>
      <c r="E4494" s="3" t="s">
        <v>16</v>
      </c>
      <c r="F4494" s="5">
        <v>156</v>
      </c>
      <c r="G4494" s="5">
        <v>60</v>
      </c>
      <c r="H4494" s="6">
        <v>6947.34</v>
      </c>
      <c r="I4494" s="22">
        <v>3062.7</v>
      </c>
      <c r="J4494" s="24">
        <f t="shared" si="210"/>
        <v>2.1221821757574069E-5</v>
      </c>
      <c r="K4494" s="25">
        <f t="shared" si="212"/>
        <v>0.9954523709651848</v>
      </c>
      <c r="L4494" s="26" t="s">
        <v>7518</v>
      </c>
      <c r="M4494" s="28"/>
      <c r="N4494" s="28"/>
      <c r="O4494" s="20" t="s">
        <v>7530</v>
      </c>
      <c r="P4494" s="27" t="str">
        <f t="shared" si="211"/>
        <v>vermelho</v>
      </c>
    </row>
    <row r="4495" spans="1:16" ht="25.5">
      <c r="A4495" s="3" t="s">
        <v>4</v>
      </c>
      <c r="B4495" s="3" t="s">
        <v>3432</v>
      </c>
      <c r="C4495" s="4">
        <v>23</v>
      </c>
      <c r="D4495" s="3" t="s">
        <v>87</v>
      </c>
      <c r="E4495" s="3" t="s">
        <v>7</v>
      </c>
      <c r="F4495" s="5">
        <v>234</v>
      </c>
      <c r="G4495" s="5">
        <v>48</v>
      </c>
      <c r="H4495" s="6">
        <v>12567.6</v>
      </c>
      <c r="I4495" s="22">
        <v>3062.64</v>
      </c>
      <c r="J4495" s="24">
        <f t="shared" si="210"/>
        <v>2.1221406010257829E-5</v>
      </c>
      <c r="K4495" s="25">
        <f t="shared" si="212"/>
        <v>0.99547359237119504</v>
      </c>
      <c r="L4495" s="26" t="s">
        <v>7518</v>
      </c>
      <c r="M4495" s="28"/>
      <c r="N4495" s="28"/>
      <c r="O4495" s="20">
        <v>4104.2700000000004</v>
      </c>
      <c r="P4495" s="27" t="str">
        <f t="shared" si="211"/>
        <v>verde</v>
      </c>
    </row>
    <row r="4496" spans="1:16" ht="25.5">
      <c r="A4496" s="3" t="s">
        <v>4</v>
      </c>
      <c r="B4496" s="3" t="s">
        <v>3433</v>
      </c>
      <c r="C4496" s="4">
        <v>296</v>
      </c>
      <c r="D4496" s="3" t="s">
        <v>282</v>
      </c>
      <c r="E4496" s="3" t="s">
        <v>7</v>
      </c>
      <c r="F4496" s="5">
        <v>84</v>
      </c>
      <c r="G4496" s="5">
        <v>51</v>
      </c>
      <c r="H4496" s="6">
        <v>2650.56</v>
      </c>
      <c r="I4496" s="22">
        <v>3060.09</v>
      </c>
      <c r="J4496" s="24">
        <f t="shared" si="210"/>
        <v>2.1203736749317543E-5</v>
      </c>
      <c r="K4496" s="25">
        <f t="shared" si="212"/>
        <v>0.99549479610794434</v>
      </c>
      <c r="L4496" s="26" t="s">
        <v>7518</v>
      </c>
      <c r="M4496" s="28"/>
      <c r="N4496" s="28"/>
      <c r="O4496" s="20" t="s">
        <v>7530</v>
      </c>
      <c r="P4496" s="27" t="str">
        <f t="shared" si="211"/>
        <v>vermelho</v>
      </c>
    </row>
    <row r="4497" spans="1:16" ht="25.5">
      <c r="A4497" s="3" t="s">
        <v>4</v>
      </c>
      <c r="B4497" s="3" t="s">
        <v>3434</v>
      </c>
      <c r="C4497" s="4">
        <v>240</v>
      </c>
      <c r="D4497" s="3" t="s">
        <v>69</v>
      </c>
      <c r="E4497" s="3" t="s">
        <v>16</v>
      </c>
      <c r="F4497" s="5">
        <v>135</v>
      </c>
      <c r="G4497" s="5">
        <v>48</v>
      </c>
      <c r="H4497" s="6">
        <v>8484.0300000000007</v>
      </c>
      <c r="I4497" s="22">
        <v>3055.83</v>
      </c>
      <c r="J4497" s="24">
        <f t="shared" si="210"/>
        <v>2.1174218689864358E-5</v>
      </c>
      <c r="K4497" s="25">
        <f t="shared" si="212"/>
        <v>0.99551597032663419</v>
      </c>
      <c r="L4497" s="26" t="s">
        <v>7518</v>
      </c>
      <c r="M4497" s="28"/>
      <c r="N4497" s="28"/>
      <c r="O4497" s="20" t="s">
        <v>7530</v>
      </c>
      <c r="P4497" s="27" t="str">
        <f t="shared" si="211"/>
        <v>vermelho</v>
      </c>
    </row>
    <row r="4498" spans="1:16" ht="25.5">
      <c r="A4498" s="3" t="s">
        <v>7051</v>
      </c>
      <c r="B4498" s="3" t="s">
        <v>7052</v>
      </c>
      <c r="C4498" s="4">
        <v>335</v>
      </c>
      <c r="D4498" s="3" t="s">
        <v>36</v>
      </c>
      <c r="E4498" s="3" t="s">
        <v>7</v>
      </c>
      <c r="F4498" s="5">
        <v>96</v>
      </c>
      <c r="G4498" s="5">
        <v>60</v>
      </c>
      <c r="H4498" s="6">
        <v>6028.68</v>
      </c>
      <c r="I4498" s="22">
        <v>3053.04</v>
      </c>
      <c r="J4498" s="24">
        <f t="shared" si="210"/>
        <v>2.1154886439659104E-5</v>
      </c>
      <c r="K4498" s="25">
        <f t="shared" si="212"/>
        <v>0.9955371252130738</v>
      </c>
      <c r="L4498" s="26" t="s">
        <v>7518</v>
      </c>
      <c r="M4498" s="28"/>
      <c r="N4498" s="28"/>
      <c r="O4498" s="20" t="s">
        <v>7530</v>
      </c>
      <c r="P4498" s="27" t="str">
        <f t="shared" si="211"/>
        <v>vermelho</v>
      </c>
    </row>
    <row r="4499" spans="1:16" ht="25.5">
      <c r="A4499" s="3" t="s">
        <v>4</v>
      </c>
      <c r="B4499" s="3" t="s">
        <v>3435</v>
      </c>
      <c r="C4499" s="4">
        <v>178</v>
      </c>
      <c r="D4499" s="3" t="s">
        <v>74</v>
      </c>
      <c r="E4499" s="3" t="s">
        <v>7</v>
      </c>
      <c r="F4499" s="5">
        <v>297</v>
      </c>
      <c r="G4499" s="5">
        <v>48</v>
      </c>
      <c r="H4499" s="6">
        <v>16305.51</v>
      </c>
      <c r="I4499" s="22">
        <v>3047.52</v>
      </c>
      <c r="J4499" s="24">
        <f t="shared" si="210"/>
        <v>2.1116637686564837E-5</v>
      </c>
      <c r="K4499" s="25">
        <f t="shared" si="212"/>
        <v>0.99555824185076036</v>
      </c>
      <c r="L4499" s="26" t="s">
        <v>7518</v>
      </c>
      <c r="M4499" s="28"/>
      <c r="N4499" s="28"/>
      <c r="O4499" s="20" t="s">
        <v>7530</v>
      </c>
      <c r="P4499" s="27" t="str">
        <f t="shared" si="211"/>
        <v>vermelho</v>
      </c>
    </row>
    <row r="4500" spans="1:16" ht="25.5">
      <c r="A4500" s="3" t="s">
        <v>4</v>
      </c>
      <c r="B4500" s="3" t="s">
        <v>3436</v>
      </c>
      <c r="C4500" s="4">
        <v>218</v>
      </c>
      <c r="D4500" s="3" t="s">
        <v>104</v>
      </c>
      <c r="E4500" s="3" t="s">
        <v>16</v>
      </c>
      <c r="F4500" s="5">
        <v>0</v>
      </c>
      <c r="G4500" s="5">
        <v>66</v>
      </c>
      <c r="H4500" s="6">
        <v>0</v>
      </c>
      <c r="I4500" s="22">
        <v>3047.34</v>
      </c>
      <c r="J4500" s="24">
        <f t="shared" si="210"/>
        <v>2.1115390444616112E-5</v>
      </c>
      <c r="K4500" s="25">
        <f t="shared" si="212"/>
        <v>0.99557935724120494</v>
      </c>
      <c r="L4500" s="26" t="s">
        <v>7518</v>
      </c>
      <c r="M4500" s="28"/>
      <c r="N4500" s="28">
        <v>4.1714048901456642E-2</v>
      </c>
      <c r="O4500" s="20">
        <v>6391.2</v>
      </c>
      <c r="P4500" s="27" t="str">
        <f t="shared" si="211"/>
        <v>verde</v>
      </c>
    </row>
    <row r="4501" spans="1:16" ht="25.5">
      <c r="A4501" s="3" t="s">
        <v>4</v>
      </c>
      <c r="B4501" s="3" t="s">
        <v>3437</v>
      </c>
      <c r="C4501" s="4">
        <v>232</v>
      </c>
      <c r="D4501" s="3" t="s">
        <v>174</v>
      </c>
      <c r="E4501" s="3" t="s">
        <v>16</v>
      </c>
      <c r="F4501" s="5">
        <v>0</v>
      </c>
      <c r="G4501" s="5">
        <v>48</v>
      </c>
      <c r="H4501" s="6">
        <v>0</v>
      </c>
      <c r="I4501" s="22">
        <v>3042.48</v>
      </c>
      <c r="J4501" s="24">
        <f t="shared" si="210"/>
        <v>2.108171491200051E-5</v>
      </c>
      <c r="K4501" s="25">
        <f t="shared" si="212"/>
        <v>0.99560043895611694</v>
      </c>
      <c r="L4501" s="26" t="s">
        <v>7518</v>
      </c>
      <c r="M4501" s="28"/>
      <c r="N4501" s="28"/>
      <c r="O4501" s="20" t="s">
        <v>7530</v>
      </c>
      <c r="P4501" s="27" t="str">
        <f t="shared" si="211"/>
        <v>vermelho</v>
      </c>
    </row>
    <row r="4502" spans="1:16">
      <c r="A4502" s="3" t="s">
        <v>4</v>
      </c>
      <c r="B4502" s="3" t="s">
        <v>3438</v>
      </c>
      <c r="C4502" s="4">
        <v>217</v>
      </c>
      <c r="D4502" s="3" t="s">
        <v>91</v>
      </c>
      <c r="E4502" s="3" t="s">
        <v>16</v>
      </c>
      <c r="F4502" s="5">
        <v>198</v>
      </c>
      <c r="G4502" s="5">
        <v>54</v>
      </c>
      <c r="H4502" s="6">
        <v>9967.77</v>
      </c>
      <c r="I4502" s="22">
        <v>3042.42</v>
      </c>
      <c r="J4502" s="24">
        <f t="shared" si="210"/>
        <v>2.1081299164684267E-5</v>
      </c>
      <c r="K4502" s="25">
        <f t="shared" si="212"/>
        <v>0.99562152025528161</v>
      </c>
      <c r="L4502" s="26" t="s">
        <v>7518</v>
      </c>
      <c r="M4502" s="28"/>
      <c r="N4502" s="28"/>
      <c r="O4502" s="20" t="s">
        <v>7530</v>
      </c>
      <c r="P4502" s="27" t="str">
        <f t="shared" si="211"/>
        <v>vermelho</v>
      </c>
    </row>
    <row r="4503" spans="1:16" ht="25.5">
      <c r="A4503" s="3" t="s">
        <v>4</v>
      </c>
      <c r="B4503" s="3" t="s">
        <v>3439</v>
      </c>
      <c r="C4503" s="4">
        <v>194</v>
      </c>
      <c r="D4503" s="3" t="s">
        <v>145</v>
      </c>
      <c r="E4503" s="3" t="s">
        <v>16</v>
      </c>
      <c r="F4503" s="5">
        <v>138</v>
      </c>
      <c r="G4503" s="5">
        <v>48</v>
      </c>
      <c r="H4503" s="6">
        <v>7262.22</v>
      </c>
      <c r="I4503" s="22">
        <v>3042.24</v>
      </c>
      <c r="J4503" s="24">
        <f t="shared" si="210"/>
        <v>2.1080051922735539E-5</v>
      </c>
      <c r="K4503" s="25">
        <f t="shared" si="212"/>
        <v>0.99564260030720431</v>
      </c>
      <c r="L4503" s="26" t="s">
        <v>7518</v>
      </c>
      <c r="M4503" s="28"/>
      <c r="N4503" s="28">
        <v>3.3471510302008255E-2</v>
      </c>
      <c r="O4503" s="20">
        <v>8095.44</v>
      </c>
      <c r="P4503" s="27" t="str">
        <f t="shared" si="211"/>
        <v>verde</v>
      </c>
    </row>
    <row r="4504" spans="1:16" ht="25.5">
      <c r="A4504" s="3" t="s">
        <v>4</v>
      </c>
      <c r="B4504" s="3" t="s">
        <v>3440</v>
      </c>
      <c r="C4504" s="4">
        <v>74</v>
      </c>
      <c r="D4504" s="3" t="s">
        <v>6</v>
      </c>
      <c r="E4504" s="3" t="s">
        <v>7</v>
      </c>
      <c r="F4504" s="5">
        <v>60</v>
      </c>
      <c r="G4504" s="5">
        <v>54</v>
      </c>
      <c r="H4504" s="6">
        <v>3542.4</v>
      </c>
      <c r="I4504" s="22">
        <v>3041.46</v>
      </c>
      <c r="J4504" s="24">
        <f t="shared" si="210"/>
        <v>2.1074647207624396E-5</v>
      </c>
      <c r="K4504" s="25">
        <f t="shared" si="212"/>
        <v>0.99566367495441188</v>
      </c>
      <c r="L4504" s="26" t="s">
        <v>7518</v>
      </c>
      <c r="M4504" s="28"/>
      <c r="N4504" s="28"/>
      <c r="O4504" s="20" t="s">
        <v>7530</v>
      </c>
      <c r="P4504" s="27" t="str">
        <f t="shared" si="211"/>
        <v>vermelho</v>
      </c>
    </row>
    <row r="4505" spans="1:16" ht="25.5">
      <c r="A4505" s="3" t="s">
        <v>4</v>
      </c>
      <c r="B4505" s="3" t="s">
        <v>3441</v>
      </c>
      <c r="C4505" s="4">
        <v>217</v>
      </c>
      <c r="D4505" s="3" t="s">
        <v>91</v>
      </c>
      <c r="E4505" s="3" t="s">
        <v>16</v>
      </c>
      <c r="F4505" s="5">
        <v>147</v>
      </c>
      <c r="G4505" s="5">
        <v>63</v>
      </c>
      <c r="H4505" s="6">
        <v>9034.26</v>
      </c>
      <c r="I4505" s="22">
        <v>3041.37</v>
      </c>
      <c r="J4505" s="24">
        <f t="shared" si="210"/>
        <v>2.107402358665003E-5</v>
      </c>
      <c r="K4505" s="25">
        <f t="shared" si="212"/>
        <v>0.99568474897799852</v>
      </c>
      <c r="L4505" s="26" t="s">
        <v>7518</v>
      </c>
      <c r="M4505" s="28"/>
      <c r="N4505" s="28"/>
      <c r="O4505" s="20" t="s">
        <v>7530</v>
      </c>
      <c r="P4505" s="27" t="str">
        <f t="shared" si="211"/>
        <v>vermelho</v>
      </c>
    </row>
    <row r="4506" spans="1:16" ht="25.5">
      <c r="A4506" s="3" t="s">
        <v>4</v>
      </c>
      <c r="B4506" s="3" t="s">
        <v>3442</v>
      </c>
      <c r="C4506" s="4">
        <v>93</v>
      </c>
      <c r="D4506" s="3" t="s">
        <v>20</v>
      </c>
      <c r="E4506" s="3" t="s">
        <v>7</v>
      </c>
      <c r="F4506" s="5">
        <v>0</v>
      </c>
      <c r="G4506" s="5">
        <v>60</v>
      </c>
      <c r="H4506" s="6">
        <v>0</v>
      </c>
      <c r="I4506" s="22">
        <v>3036.24</v>
      </c>
      <c r="J4506" s="24">
        <f t="shared" si="210"/>
        <v>2.1038477191111337E-5</v>
      </c>
      <c r="K4506" s="25">
        <f t="shared" si="212"/>
        <v>0.99570578745518967</v>
      </c>
      <c r="L4506" s="26" t="s">
        <v>7518</v>
      </c>
      <c r="M4506" s="28"/>
      <c r="N4506" s="28"/>
      <c r="O4506" s="20" t="s">
        <v>7530</v>
      </c>
      <c r="P4506" s="27" t="str">
        <f t="shared" si="211"/>
        <v>vermelho</v>
      </c>
    </row>
    <row r="4507" spans="1:16" ht="25.5">
      <c r="A4507" s="3" t="s">
        <v>4</v>
      </c>
      <c r="B4507" s="3" t="s">
        <v>3443</v>
      </c>
      <c r="C4507" s="4">
        <v>167</v>
      </c>
      <c r="D4507" s="3" t="s">
        <v>251</v>
      </c>
      <c r="E4507" s="3" t="s">
        <v>49</v>
      </c>
      <c r="F4507" s="5">
        <v>42</v>
      </c>
      <c r="G4507" s="5">
        <v>36</v>
      </c>
      <c r="H4507" s="6">
        <v>3057.39</v>
      </c>
      <c r="I4507" s="22">
        <v>3036.24</v>
      </c>
      <c r="J4507" s="24">
        <f t="shared" si="210"/>
        <v>2.1038477191111337E-5</v>
      </c>
      <c r="K4507" s="25">
        <f t="shared" si="212"/>
        <v>0.99572682593238082</v>
      </c>
      <c r="L4507" s="26" t="s">
        <v>7518</v>
      </c>
      <c r="M4507" s="28"/>
      <c r="N4507" s="28"/>
      <c r="O4507" s="20" t="s">
        <v>7530</v>
      </c>
      <c r="P4507" s="27" t="str">
        <f t="shared" si="211"/>
        <v>vermelho</v>
      </c>
    </row>
    <row r="4508" spans="1:16" ht="25.5">
      <c r="A4508" s="3" t="s">
        <v>4</v>
      </c>
      <c r="B4508" s="3" t="s">
        <v>3444</v>
      </c>
      <c r="C4508" s="4">
        <v>93</v>
      </c>
      <c r="D4508" s="3" t="s">
        <v>20</v>
      </c>
      <c r="E4508" s="3" t="s">
        <v>7</v>
      </c>
      <c r="F4508" s="5">
        <v>108</v>
      </c>
      <c r="G4508" s="5">
        <v>48</v>
      </c>
      <c r="H4508" s="6">
        <v>5803.6559999999999</v>
      </c>
      <c r="I4508" s="22">
        <v>3036</v>
      </c>
      <c r="J4508" s="24">
        <f t="shared" si="210"/>
        <v>2.1036814201846369E-5</v>
      </c>
      <c r="K4508" s="25">
        <f t="shared" si="212"/>
        <v>0.99574786274658267</v>
      </c>
      <c r="L4508" s="26" t="s">
        <v>7518</v>
      </c>
      <c r="M4508" s="28"/>
      <c r="N4508" s="28"/>
      <c r="O4508" s="20">
        <v>2671.2</v>
      </c>
      <c r="P4508" s="27" t="str">
        <f t="shared" si="211"/>
        <v>laranja</v>
      </c>
    </row>
    <row r="4509" spans="1:16" ht="25.5">
      <c r="A4509" s="3" t="s">
        <v>4</v>
      </c>
      <c r="B4509" s="3" t="s">
        <v>3445</v>
      </c>
      <c r="C4509" s="4">
        <v>218</v>
      </c>
      <c r="D4509" s="3" t="s">
        <v>104</v>
      </c>
      <c r="E4509" s="3" t="s">
        <v>16</v>
      </c>
      <c r="F4509" s="5">
        <v>540</v>
      </c>
      <c r="G4509" s="5">
        <v>72</v>
      </c>
      <c r="H4509" s="6">
        <v>30530.639999999999</v>
      </c>
      <c r="I4509" s="22">
        <v>3036</v>
      </c>
      <c r="J4509" s="24">
        <f t="shared" si="210"/>
        <v>2.1036814201846369E-5</v>
      </c>
      <c r="K4509" s="25">
        <f t="shared" si="212"/>
        <v>0.99576889956078452</v>
      </c>
      <c r="L4509" s="26" t="s">
        <v>7518</v>
      </c>
      <c r="M4509" s="28"/>
      <c r="N4509" s="28"/>
      <c r="O4509" s="20" t="s">
        <v>7530</v>
      </c>
      <c r="P4509" s="27" t="str">
        <f t="shared" si="211"/>
        <v>vermelho</v>
      </c>
    </row>
    <row r="4510" spans="1:16" ht="25.5">
      <c r="A4510" s="3" t="s">
        <v>4</v>
      </c>
      <c r="B4510" s="3" t="s">
        <v>3446</v>
      </c>
      <c r="C4510" s="4">
        <v>261</v>
      </c>
      <c r="D4510" s="3" t="s">
        <v>9</v>
      </c>
      <c r="E4510" s="3" t="s">
        <v>10</v>
      </c>
      <c r="F4510" s="5">
        <v>114</v>
      </c>
      <c r="G4510" s="5">
        <v>60</v>
      </c>
      <c r="H4510" s="6">
        <v>5861.76</v>
      </c>
      <c r="I4510" s="22">
        <v>3036</v>
      </c>
      <c r="J4510" s="24">
        <f t="shared" si="210"/>
        <v>2.1036814201846369E-5</v>
      </c>
      <c r="K4510" s="25">
        <f t="shared" si="212"/>
        <v>0.99578993637498636</v>
      </c>
      <c r="L4510" s="26" t="s">
        <v>7518</v>
      </c>
      <c r="M4510" s="28"/>
      <c r="N4510" s="28"/>
      <c r="O4510" s="20">
        <v>7363.17</v>
      </c>
      <c r="P4510" s="27" t="str">
        <f t="shared" si="211"/>
        <v>verde</v>
      </c>
    </row>
    <row r="4511" spans="1:16" ht="25.5">
      <c r="A4511" s="3" t="s">
        <v>4</v>
      </c>
      <c r="B4511" s="3" t="s">
        <v>3447</v>
      </c>
      <c r="C4511" s="4">
        <v>208</v>
      </c>
      <c r="D4511" s="3" t="s">
        <v>15</v>
      </c>
      <c r="E4511" s="3" t="s">
        <v>16</v>
      </c>
      <c r="F4511" s="5">
        <v>0</v>
      </c>
      <c r="G4511" s="5">
        <v>48</v>
      </c>
      <c r="H4511" s="6">
        <v>0</v>
      </c>
      <c r="I4511" s="22">
        <v>3032.52</v>
      </c>
      <c r="J4511" s="24">
        <f t="shared" si="210"/>
        <v>2.1012700857504334E-5</v>
      </c>
      <c r="K4511" s="25">
        <f t="shared" si="212"/>
        <v>0.99581094907584389</v>
      </c>
      <c r="L4511" s="26" t="s">
        <v>7518</v>
      </c>
      <c r="M4511" s="28"/>
      <c r="N4511" s="28"/>
      <c r="O4511" s="20">
        <v>4301.22</v>
      </c>
      <c r="P4511" s="27" t="str">
        <f t="shared" si="211"/>
        <v>verde</v>
      </c>
    </row>
    <row r="4512" spans="1:16" ht="25.5">
      <c r="A4512" s="3" t="s">
        <v>7053</v>
      </c>
      <c r="B4512" s="3" t="s">
        <v>7054</v>
      </c>
      <c r="C4512" s="4">
        <v>310</v>
      </c>
      <c r="D4512" s="3" t="s">
        <v>2523</v>
      </c>
      <c r="E4512" s="3" t="s">
        <v>10</v>
      </c>
      <c r="F4512" s="5">
        <v>0</v>
      </c>
      <c r="G4512" s="5">
        <v>96</v>
      </c>
      <c r="H4512" s="6">
        <v>0</v>
      </c>
      <c r="I4512" s="22">
        <v>3023.52</v>
      </c>
      <c r="J4512" s="24">
        <f t="shared" si="210"/>
        <v>2.0950338760068029E-5</v>
      </c>
      <c r="K4512" s="25">
        <f t="shared" si="212"/>
        <v>0.99583189941460393</v>
      </c>
      <c r="L4512" s="26" t="s">
        <v>7518</v>
      </c>
      <c r="M4512" s="28"/>
      <c r="N4512" s="28"/>
      <c r="O4512" s="20">
        <v>0</v>
      </c>
      <c r="P4512" s="27" t="str">
        <f t="shared" si="211"/>
        <v>vermelho</v>
      </c>
    </row>
    <row r="4513" spans="1:16" ht="25.5">
      <c r="A4513" s="3" t="s">
        <v>4</v>
      </c>
      <c r="B4513" s="3" t="s">
        <v>3448</v>
      </c>
      <c r="C4513" s="4">
        <v>296</v>
      </c>
      <c r="D4513" s="3" t="s">
        <v>282</v>
      </c>
      <c r="E4513" s="3" t="s">
        <v>10</v>
      </c>
      <c r="F4513" s="5">
        <v>0</v>
      </c>
      <c r="G4513" s="5">
        <v>36</v>
      </c>
      <c r="H4513" s="6">
        <v>0</v>
      </c>
      <c r="I4513" s="22">
        <v>3023.46</v>
      </c>
      <c r="J4513" s="24">
        <f t="shared" si="210"/>
        <v>2.0949923012751787E-5</v>
      </c>
      <c r="K4513" s="25">
        <f t="shared" si="212"/>
        <v>0.99585284933761664</v>
      </c>
      <c r="L4513" s="26" t="s">
        <v>7518</v>
      </c>
      <c r="M4513" s="28"/>
      <c r="N4513" s="28"/>
      <c r="O4513" s="20" t="s">
        <v>7530</v>
      </c>
      <c r="P4513" s="27" t="str">
        <f t="shared" si="211"/>
        <v>vermelho</v>
      </c>
    </row>
    <row r="4514" spans="1:16" ht="38.25">
      <c r="A4514" s="3" t="s">
        <v>4</v>
      </c>
      <c r="B4514" s="3" t="s">
        <v>3449</v>
      </c>
      <c r="C4514" s="4">
        <v>38</v>
      </c>
      <c r="D4514" s="3" t="s">
        <v>184</v>
      </c>
      <c r="E4514" s="3" t="s">
        <v>49</v>
      </c>
      <c r="F4514" s="5">
        <v>0</v>
      </c>
      <c r="G4514" s="5">
        <v>48</v>
      </c>
      <c r="H4514" s="6">
        <v>0</v>
      </c>
      <c r="I4514" s="22">
        <v>3021.72</v>
      </c>
      <c r="J4514" s="24">
        <f t="shared" si="210"/>
        <v>2.0937866340580769E-5</v>
      </c>
      <c r="K4514" s="25">
        <f t="shared" si="212"/>
        <v>0.99587378720395725</v>
      </c>
      <c r="L4514" s="26" t="s">
        <v>7518</v>
      </c>
      <c r="M4514" s="28"/>
      <c r="N4514" s="28"/>
      <c r="O4514" s="20" t="s">
        <v>7530</v>
      </c>
      <c r="P4514" s="27" t="str">
        <f t="shared" si="211"/>
        <v>vermelho</v>
      </c>
    </row>
    <row r="4515" spans="1:16" ht="25.5">
      <c r="A4515" s="3" t="s">
        <v>4</v>
      </c>
      <c r="B4515" s="3" t="s">
        <v>3450</v>
      </c>
      <c r="C4515" s="4">
        <v>23</v>
      </c>
      <c r="D4515" s="3" t="s">
        <v>87</v>
      </c>
      <c r="E4515" s="3" t="s">
        <v>7</v>
      </c>
      <c r="F4515" s="5">
        <v>150</v>
      </c>
      <c r="G4515" s="5">
        <v>57</v>
      </c>
      <c r="H4515" s="6">
        <v>8134.08</v>
      </c>
      <c r="I4515" s="22">
        <v>3020.43</v>
      </c>
      <c r="J4515" s="24">
        <f t="shared" si="210"/>
        <v>2.0928927773281564E-5</v>
      </c>
      <c r="K4515" s="25">
        <f t="shared" si="212"/>
        <v>0.99589471613173053</v>
      </c>
      <c r="L4515" s="26" t="s">
        <v>7518</v>
      </c>
      <c r="M4515" s="28"/>
      <c r="N4515" s="28"/>
      <c r="O4515" s="20" t="s">
        <v>7530</v>
      </c>
      <c r="P4515" s="27" t="str">
        <f t="shared" si="211"/>
        <v>vermelho</v>
      </c>
    </row>
    <row r="4516" spans="1:16" ht="38.25">
      <c r="A4516" s="3" t="s">
        <v>4</v>
      </c>
      <c r="B4516" s="3" t="s">
        <v>3451</v>
      </c>
      <c r="C4516" s="4">
        <v>331</v>
      </c>
      <c r="D4516" s="3" t="s">
        <v>603</v>
      </c>
      <c r="E4516" s="3" t="s">
        <v>13</v>
      </c>
      <c r="F4516" s="5">
        <v>0</v>
      </c>
      <c r="G4516" s="5">
        <v>60</v>
      </c>
      <c r="H4516" s="6">
        <v>0</v>
      </c>
      <c r="I4516" s="22">
        <v>3020.04</v>
      </c>
      <c r="J4516" s="24">
        <f t="shared" si="210"/>
        <v>2.0926225415725991E-5</v>
      </c>
      <c r="K4516" s="25">
        <f t="shared" si="212"/>
        <v>0.99591564235714625</v>
      </c>
      <c r="L4516" s="26" t="s">
        <v>7518</v>
      </c>
      <c r="M4516" s="28"/>
      <c r="N4516" s="28"/>
      <c r="O4516" s="20" t="s">
        <v>7530</v>
      </c>
      <c r="P4516" s="27" t="str">
        <f t="shared" si="211"/>
        <v>vermelho</v>
      </c>
    </row>
    <row r="4517" spans="1:16" ht="25.5">
      <c r="A4517" s="3" t="s">
        <v>4</v>
      </c>
      <c r="B4517" s="3" t="s">
        <v>3452</v>
      </c>
      <c r="C4517" s="4">
        <v>187</v>
      </c>
      <c r="D4517" s="3" t="s">
        <v>96</v>
      </c>
      <c r="E4517" s="3" t="s">
        <v>7</v>
      </c>
      <c r="F4517" s="5">
        <v>0</v>
      </c>
      <c r="G4517" s="5">
        <v>48</v>
      </c>
      <c r="H4517" s="6">
        <v>0</v>
      </c>
      <c r="I4517" s="22">
        <v>3014.28</v>
      </c>
      <c r="J4517" s="24">
        <f t="shared" si="210"/>
        <v>2.088631367336676E-5</v>
      </c>
      <c r="K4517" s="25">
        <f t="shared" si="212"/>
        <v>0.99593652867081961</v>
      </c>
      <c r="L4517" s="26" t="s">
        <v>7518</v>
      </c>
      <c r="M4517" s="28"/>
      <c r="N4517" s="28"/>
      <c r="O4517" s="20" t="s">
        <v>7530</v>
      </c>
      <c r="P4517" s="27" t="str">
        <f t="shared" si="211"/>
        <v>vermelho</v>
      </c>
    </row>
    <row r="4518" spans="1:16" ht="25.5">
      <c r="A4518" s="3" t="s">
        <v>7056</v>
      </c>
      <c r="B4518" s="3" t="s">
        <v>7057</v>
      </c>
      <c r="C4518" s="4">
        <v>39</v>
      </c>
      <c r="D4518" s="3" t="s">
        <v>26</v>
      </c>
      <c r="E4518" s="3" t="s">
        <v>13</v>
      </c>
      <c r="F4518" s="5">
        <v>0</v>
      </c>
      <c r="G4518" s="5">
        <v>54</v>
      </c>
      <c r="H4518" s="6">
        <v>0</v>
      </c>
      <c r="I4518" s="22">
        <v>3010.68</v>
      </c>
      <c r="J4518" s="24">
        <f t="shared" si="210"/>
        <v>2.0861368834392236E-5</v>
      </c>
      <c r="K4518" s="25">
        <f t="shared" si="212"/>
        <v>0.995957390039654</v>
      </c>
      <c r="L4518" s="26" t="s">
        <v>7518</v>
      </c>
      <c r="M4518" s="28"/>
      <c r="N4518" s="28"/>
      <c r="O4518" s="20" t="s">
        <v>7530</v>
      </c>
      <c r="P4518" s="27" t="str">
        <f t="shared" si="211"/>
        <v>vermelho</v>
      </c>
    </row>
    <row r="4519" spans="1:16" ht="25.5">
      <c r="A4519" s="3" t="s">
        <v>4</v>
      </c>
      <c r="B4519" s="3" t="s">
        <v>3453</v>
      </c>
      <c r="C4519" s="4">
        <v>240</v>
      </c>
      <c r="D4519" s="3" t="s">
        <v>69</v>
      </c>
      <c r="E4519" s="3" t="s">
        <v>16</v>
      </c>
      <c r="F4519" s="5">
        <v>0</v>
      </c>
      <c r="G4519" s="5">
        <v>48</v>
      </c>
      <c r="H4519" s="6">
        <v>0</v>
      </c>
      <c r="I4519" s="22">
        <v>3010.56</v>
      </c>
      <c r="J4519" s="24">
        <f t="shared" si="210"/>
        <v>2.0860537339759751E-5</v>
      </c>
      <c r="K4519" s="25">
        <f t="shared" si="212"/>
        <v>0.99597825057699374</v>
      </c>
      <c r="L4519" s="26" t="s">
        <v>7518</v>
      </c>
      <c r="M4519" s="28"/>
      <c r="N4519" s="28"/>
      <c r="O4519" s="20" t="s">
        <v>7530</v>
      </c>
      <c r="P4519" s="27" t="str">
        <f t="shared" si="211"/>
        <v>vermelho</v>
      </c>
    </row>
    <row r="4520" spans="1:16" ht="25.5">
      <c r="A4520" s="3" t="s">
        <v>4</v>
      </c>
      <c r="B4520" s="3" t="s">
        <v>3454</v>
      </c>
      <c r="C4520" s="4">
        <v>240</v>
      </c>
      <c r="D4520" s="3" t="s">
        <v>69</v>
      </c>
      <c r="E4520" s="3" t="s">
        <v>16</v>
      </c>
      <c r="F4520" s="5">
        <v>240</v>
      </c>
      <c r="G4520" s="5">
        <v>48</v>
      </c>
      <c r="H4520" s="6">
        <v>13095.48</v>
      </c>
      <c r="I4520" s="22">
        <v>3010.56</v>
      </c>
      <c r="J4520" s="24">
        <f t="shared" si="210"/>
        <v>2.0860537339759751E-5</v>
      </c>
      <c r="K4520" s="25">
        <f t="shared" si="212"/>
        <v>0.99599911111433348</v>
      </c>
      <c r="L4520" s="26" t="s">
        <v>7518</v>
      </c>
      <c r="M4520" s="28"/>
      <c r="N4520" s="28"/>
      <c r="O4520" s="20">
        <v>5487.24</v>
      </c>
      <c r="P4520" s="27" t="str">
        <f t="shared" si="211"/>
        <v>verde</v>
      </c>
    </row>
    <row r="4521" spans="1:16" ht="25.5">
      <c r="A4521" s="3" t="s">
        <v>4</v>
      </c>
      <c r="B4521" s="3" t="s">
        <v>3455</v>
      </c>
      <c r="C4521" s="4">
        <v>267</v>
      </c>
      <c r="D4521" s="3" t="s">
        <v>125</v>
      </c>
      <c r="E4521" s="3" t="s">
        <v>16</v>
      </c>
      <c r="F4521" s="5">
        <v>72</v>
      </c>
      <c r="G4521" s="5">
        <v>48</v>
      </c>
      <c r="H4521" s="6">
        <v>3011.04</v>
      </c>
      <c r="I4521" s="22">
        <v>3009.36</v>
      </c>
      <c r="J4521" s="24">
        <f t="shared" si="210"/>
        <v>2.0852222393434912E-5</v>
      </c>
      <c r="K4521" s="25">
        <f t="shared" si="212"/>
        <v>0.99601996333672693</v>
      </c>
      <c r="L4521" s="26" t="s">
        <v>7518</v>
      </c>
      <c r="M4521" s="28"/>
      <c r="N4521" s="28"/>
      <c r="O4521" s="20">
        <v>2556.48</v>
      </c>
      <c r="P4521" s="27" t="str">
        <f t="shared" si="211"/>
        <v>laranja</v>
      </c>
    </row>
    <row r="4522" spans="1:16" ht="25.5">
      <c r="A4522" s="3" t="s">
        <v>4</v>
      </c>
      <c r="B4522" s="3" t="s">
        <v>3456</v>
      </c>
      <c r="C4522" s="4">
        <v>19</v>
      </c>
      <c r="D4522" s="3" t="s">
        <v>72</v>
      </c>
      <c r="E4522" s="3" t="s">
        <v>41</v>
      </c>
      <c r="F4522" s="5">
        <v>0</v>
      </c>
      <c r="G4522" s="5">
        <v>57</v>
      </c>
      <c r="H4522" s="6">
        <v>0</v>
      </c>
      <c r="I4522" s="22">
        <v>3004.41</v>
      </c>
      <c r="J4522" s="24">
        <f t="shared" si="210"/>
        <v>2.0817923239844944E-5</v>
      </c>
      <c r="K4522" s="25">
        <f t="shared" si="212"/>
        <v>0.99604078125996676</v>
      </c>
      <c r="L4522" s="26" t="s">
        <v>7518</v>
      </c>
      <c r="M4522" s="28"/>
      <c r="N4522" s="28"/>
      <c r="O4522" s="20">
        <v>2335.3200000000002</v>
      </c>
      <c r="P4522" s="27" t="str">
        <f t="shared" si="211"/>
        <v>laranja</v>
      </c>
    </row>
    <row r="4523" spans="1:16" ht="25.5">
      <c r="A4523" s="3" t="s">
        <v>4</v>
      </c>
      <c r="B4523" s="3" t="s">
        <v>3457</v>
      </c>
      <c r="C4523" s="4">
        <v>317</v>
      </c>
      <c r="D4523" s="3" t="s">
        <v>78</v>
      </c>
      <c r="E4523" s="3" t="s">
        <v>10</v>
      </c>
      <c r="F4523" s="5">
        <v>0</v>
      </c>
      <c r="G4523" s="5">
        <v>48</v>
      </c>
      <c r="H4523" s="6">
        <v>0</v>
      </c>
      <c r="I4523" s="22">
        <v>3002.76</v>
      </c>
      <c r="J4523" s="24">
        <f t="shared" si="210"/>
        <v>2.0806490188648292E-5</v>
      </c>
      <c r="K4523" s="25">
        <f t="shared" si="212"/>
        <v>0.99606158775015541</v>
      </c>
      <c r="L4523" s="26" t="s">
        <v>7518</v>
      </c>
      <c r="M4523" s="28"/>
      <c r="N4523" s="28"/>
      <c r="O4523" s="20" t="s">
        <v>7530</v>
      </c>
      <c r="P4523" s="27" t="str">
        <f t="shared" si="211"/>
        <v>vermelho</v>
      </c>
    </row>
    <row r="4524" spans="1:16" ht="25.5">
      <c r="A4524" s="3" t="s">
        <v>4</v>
      </c>
      <c r="B4524" s="3" t="s">
        <v>3458</v>
      </c>
      <c r="C4524" s="4">
        <v>299</v>
      </c>
      <c r="D4524" s="3" t="s">
        <v>111</v>
      </c>
      <c r="E4524" s="3" t="s">
        <v>49</v>
      </c>
      <c r="F4524" s="5">
        <v>96</v>
      </c>
      <c r="G4524" s="5">
        <v>48</v>
      </c>
      <c r="H4524" s="6">
        <v>5603.04</v>
      </c>
      <c r="I4524" s="22">
        <v>2998.32</v>
      </c>
      <c r="J4524" s="24">
        <f t="shared" si="210"/>
        <v>2.0775724887246383E-5</v>
      </c>
      <c r="K4524" s="25">
        <f t="shared" si="212"/>
        <v>0.99608236347504264</v>
      </c>
      <c r="L4524" s="26" t="s">
        <v>7518</v>
      </c>
      <c r="M4524" s="28"/>
      <c r="N4524" s="28"/>
      <c r="O4524" s="20" t="s">
        <v>7530</v>
      </c>
      <c r="P4524" s="27" t="str">
        <f t="shared" si="211"/>
        <v>vermelho</v>
      </c>
    </row>
    <row r="4525" spans="1:16" ht="38.25">
      <c r="A4525" s="3" t="s">
        <v>4</v>
      </c>
      <c r="B4525" s="3" t="s">
        <v>3459</v>
      </c>
      <c r="C4525" s="4">
        <v>45</v>
      </c>
      <c r="D4525" s="3" t="s">
        <v>23</v>
      </c>
      <c r="E4525" s="3" t="s">
        <v>7</v>
      </c>
      <c r="F4525" s="5">
        <v>0</v>
      </c>
      <c r="G4525" s="5">
        <v>57</v>
      </c>
      <c r="H4525" s="6">
        <v>0</v>
      </c>
      <c r="I4525" s="22">
        <v>2996.19</v>
      </c>
      <c r="J4525" s="24">
        <f t="shared" si="210"/>
        <v>2.0760965857519789E-5</v>
      </c>
      <c r="K4525" s="25">
        <f t="shared" si="212"/>
        <v>0.99610312444090021</v>
      </c>
      <c r="L4525" s="26" t="s">
        <v>7518</v>
      </c>
      <c r="M4525" s="28">
        <v>3.1617410294388783E-2</v>
      </c>
      <c r="N4525" s="28"/>
      <c r="O4525" s="20">
        <v>7792.44</v>
      </c>
      <c r="P4525" s="27" t="str">
        <f t="shared" si="211"/>
        <v>verde</v>
      </c>
    </row>
    <row r="4526" spans="1:16" ht="25.5">
      <c r="A4526" s="3" t="s">
        <v>7058</v>
      </c>
      <c r="B4526" s="3" t="s">
        <v>7059</v>
      </c>
      <c r="C4526" s="4">
        <v>197</v>
      </c>
      <c r="D4526" s="3" t="s">
        <v>66</v>
      </c>
      <c r="E4526" s="3" t="s">
        <v>41</v>
      </c>
      <c r="F4526" s="5">
        <v>0</v>
      </c>
      <c r="G4526" s="5">
        <v>45</v>
      </c>
      <c r="H4526" s="6">
        <v>0</v>
      </c>
      <c r="I4526" s="22">
        <v>2996.1</v>
      </c>
      <c r="J4526" s="24">
        <f t="shared" si="210"/>
        <v>2.0760342236545423E-5</v>
      </c>
      <c r="K4526" s="25">
        <f t="shared" si="212"/>
        <v>0.99612388478313674</v>
      </c>
      <c r="L4526" s="26" t="s">
        <v>7518</v>
      </c>
      <c r="M4526" s="28"/>
      <c r="N4526" s="28"/>
      <c r="O4526" s="20" t="s">
        <v>7530</v>
      </c>
      <c r="P4526" s="27" t="str">
        <f t="shared" si="211"/>
        <v>vermelho</v>
      </c>
    </row>
    <row r="4527" spans="1:16" ht="25.5">
      <c r="A4527" s="3" t="s">
        <v>4</v>
      </c>
      <c r="B4527" s="3" t="s">
        <v>3460</v>
      </c>
      <c r="C4527" s="4">
        <v>187</v>
      </c>
      <c r="D4527" s="3" t="s">
        <v>96</v>
      </c>
      <c r="E4527" s="3" t="s">
        <v>7</v>
      </c>
      <c r="F4527" s="5">
        <v>72</v>
      </c>
      <c r="G4527" s="5">
        <v>48</v>
      </c>
      <c r="H4527" s="6">
        <v>4362.3599999999997</v>
      </c>
      <c r="I4527" s="22">
        <v>2993.52</v>
      </c>
      <c r="J4527" s="24">
        <f t="shared" si="210"/>
        <v>2.0742465101947016E-5</v>
      </c>
      <c r="K4527" s="25">
        <f t="shared" si="212"/>
        <v>0.99614462724823871</v>
      </c>
      <c r="L4527" s="26" t="s">
        <v>7518</v>
      </c>
      <c r="M4527" s="28"/>
      <c r="N4527" s="28"/>
      <c r="O4527" s="20" t="s">
        <v>7530</v>
      </c>
      <c r="P4527" s="27" t="str">
        <f t="shared" si="211"/>
        <v>vermelho</v>
      </c>
    </row>
    <row r="4528" spans="1:16" ht="25.5">
      <c r="A4528" s="3" t="s">
        <v>7060</v>
      </c>
      <c r="B4528" s="3" t="s">
        <v>7061</v>
      </c>
      <c r="C4528" s="4">
        <v>23</v>
      </c>
      <c r="D4528" s="3" t="s">
        <v>87</v>
      </c>
      <c r="E4528" s="3" t="s">
        <v>7</v>
      </c>
      <c r="F4528" s="5">
        <v>174</v>
      </c>
      <c r="G4528" s="5">
        <v>48</v>
      </c>
      <c r="H4528" s="6">
        <v>10738.38</v>
      </c>
      <c r="I4528" s="22">
        <v>2993.52</v>
      </c>
      <c r="J4528" s="24">
        <f t="shared" si="210"/>
        <v>2.0742465101947016E-5</v>
      </c>
      <c r="K4528" s="25">
        <f t="shared" si="212"/>
        <v>0.99616536971334069</v>
      </c>
      <c r="L4528" s="26" t="s">
        <v>7518</v>
      </c>
      <c r="M4528" s="28"/>
      <c r="N4528" s="28"/>
      <c r="O4528" s="20">
        <v>2836.2</v>
      </c>
      <c r="P4528" s="27" t="str">
        <f t="shared" si="211"/>
        <v>laranja</v>
      </c>
    </row>
    <row r="4529" spans="1:16" ht="25.5">
      <c r="A4529" s="3" t="s">
        <v>4</v>
      </c>
      <c r="B4529" s="3" t="s">
        <v>3461</v>
      </c>
      <c r="C4529" s="4">
        <v>273</v>
      </c>
      <c r="D4529" s="3" t="s">
        <v>149</v>
      </c>
      <c r="E4529" s="3" t="s">
        <v>16</v>
      </c>
      <c r="F4529" s="5">
        <v>0</v>
      </c>
      <c r="G4529" s="5">
        <v>51</v>
      </c>
      <c r="H4529" s="6">
        <v>0</v>
      </c>
      <c r="I4529" s="22">
        <v>2988.27</v>
      </c>
      <c r="J4529" s="24">
        <f t="shared" si="210"/>
        <v>2.0706087211775841E-5</v>
      </c>
      <c r="K4529" s="25">
        <f t="shared" si="212"/>
        <v>0.99618607580055252</v>
      </c>
      <c r="L4529" s="26" t="s">
        <v>7518</v>
      </c>
      <c r="M4529" s="28">
        <v>-4.6144579899151876E-2</v>
      </c>
      <c r="N4529" s="28"/>
      <c r="O4529" s="20">
        <v>2988.27</v>
      </c>
      <c r="P4529" s="27" t="str">
        <f t="shared" si="211"/>
        <v>verde</v>
      </c>
    </row>
    <row r="4530" spans="1:16">
      <c r="A4530" s="3" t="s">
        <v>4</v>
      </c>
      <c r="B4530" s="3" t="s">
        <v>3462</v>
      </c>
      <c r="C4530" s="4">
        <v>232</v>
      </c>
      <c r="D4530" s="3" t="s">
        <v>174</v>
      </c>
      <c r="E4530" s="3" t="s">
        <v>16</v>
      </c>
      <c r="F4530" s="5">
        <v>0</v>
      </c>
      <c r="G4530" s="5">
        <v>48</v>
      </c>
      <c r="H4530" s="6">
        <v>0</v>
      </c>
      <c r="I4530" s="22">
        <v>2988.12</v>
      </c>
      <c r="J4530" s="24">
        <f t="shared" si="210"/>
        <v>2.0705047843485236E-5</v>
      </c>
      <c r="K4530" s="25">
        <f t="shared" si="212"/>
        <v>0.99620678084839598</v>
      </c>
      <c r="L4530" s="26" t="s">
        <v>7518</v>
      </c>
      <c r="M4530" s="28"/>
      <c r="N4530" s="28"/>
      <c r="O4530" s="20" t="s">
        <v>7530</v>
      </c>
      <c r="P4530" s="27" t="str">
        <f t="shared" si="211"/>
        <v>vermelho</v>
      </c>
    </row>
    <row r="4531" spans="1:16" ht="38.25">
      <c r="A4531" s="3" t="s">
        <v>4</v>
      </c>
      <c r="B4531" s="3" t="s">
        <v>3463</v>
      </c>
      <c r="C4531" s="4">
        <v>143</v>
      </c>
      <c r="D4531" s="3" t="s">
        <v>44</v>
      </c>
      <c r="E4531" s="3" t="s">
        <v>41</v>
      </c>
      <c r="F4531" s="5">
        <v>180</v>
      </c>
      <c r="G4531" s="5">
        <v>48</v>
      </c>
      <c r="H4531" s="6">
        <v>10373.040000000001</v>
      </c>
      <c r="I4531" s="22">
        <v>2987.52</v>
      </c>
      <c r="J4531" s="24">
        <f t="shared" si="210"/>
        <v>2.0700890370322814E-5</v>
      </c>
      <c r="K4531" s="25">
        <f t="shared" si="212"/>
        <v>0.9962274817387663</v>
      </c>
      <c r="L4531" s="26" t="s">
        <v>7518</v>
      </c>
      <c r="M4531" s="28"/>
      <c r="N4531" s="28"/>
      <c r="O4531" s="20">
        <v>3614.64</v>
      </c>
      <c r="P4531" s="27" t="str">
        <f t="shared" si="211"/>
        <v>verde</v>
      </c>
    </row>
    <row r="4532" spans="1:16" ht="38.25">
      <c r="A4532" s="3" t="s">
        <v>4</v>
      </c>
      <c r="B4532" s="3" t="s">
        <v>3464</v>
      </c>
      <c r="C4532" s="4">
        <v>38</v>
      </c>
      <c r="D4532" s="3" t="s">
        <v>184</v>
      </c>
      <c r="E4532" s="3" t="s">
        <v>49</v>
      </c>
      <c r="F4532" s="5">
        <v>0</v>
      </c>
      <c r="G4532" s="5">
        <v>72</v>
      </c>
      <c r="H4532" s="6">
        <v>0</v>
      </c>
      <c r="I4532" s="22">
        <v>2986.56</v>
      </c>
      <c r="J4532" s="24">
        <f t="shared" si="210"/>
        <v>2.0694238413262943E-5</v>
      </c>
      <c r="K4532" s="25">
        <f t="shared" si="212"/>
        <v>0.99624817597717952</v>
      </c>
      <c r="L4532" s="26" t="s">
        <v>7518</v>
      </c>
      <c r="M4532" s="28"/>
      <c r="N4532" s="28"/>
      <c r="O4532" s="20" t="s">
        <v>7530</v>
      </c>
      <c r="P4532" s="27" t="str">
        <f t="shared" si="211"/>
        <v>vermelho</v>
      </c>
    </row>
    <row r="4533" spans="1:16" ht="38.25">
      <c r="A4533" s="3" t="s">
        <v>4</v>
      </c>
      <c r="B4533" s="3" t="s">
        <v>3465</v>
      </c>
      <c r="C4533" s="4">
        <v>331</v>
      </c>
      <c r="D4533" s="3" t="s">
        <v>603</v>
      </c>
      <c r="E4533" s="3" t="s">
        <v>13</v>
      </c>
      <c r="F4533" s="5">
        <v>0</v>
      </c>
      <c r="G4533" s="5">
        <v>60</v>
      </c>
      <c r="H4533" s="6">
        <v>0</v>
      </c>
      <c r="I4533" s="22">
        <v>2985.54</v>
      </c>
      <c r="J4533" s="24">
        <f t="shared" si="210"/>
        <v>2.0687170708886829E-5</v>
      </c>
      <c r="K4533" s="25">
        <f t="shared" si="212"/>
        <v>0.99626886314788843</v>
      </c>
      <c r="L4533" s="26" t="s">
        <v>7518</v>
      </c>
      <c r="M4533" s="28"/>
      <c r="N4533" s="28"/>
      <c r="O4533" s="20" t="s">
        <v>7530</v>
      </c>
      <c r="P4533" s="27" t="str">
        <f t="shared" si="211"/>
        <v>vermelho</v>
      </c>
    </row>
    <row r="4534" spans="1:16" ht="25.5">
      <c r="A4534" s="3" t="s">
        <v>7062</v>
      </c>
      <c r="B4534" s="3" t="s">
        <v>7063</v>
      </c>
      <c r="C4534" s="4">
        <v>61</v>
      </c>
      <c r="D4534" s="3" t="s">
        <v>48</v>
      </c>
      <c r="E4534" s="3" t="s">
        <v>49</v>
      </c>
      <c r="F4534" s="5">
        <v>294</v>
      </c>
      <c r="G4534" s="5">
        <v>84</v>
      </c>
      <c r="H4534" s="6">
        <v>15797.495999999999</v>
      </c>
      <c r="I4534" s="22">
        <v>2982.84</v>
      </c>
      <c r="J4534" s="24">
        <f t="shared" si="210"/>
        <v>2.066846207965594E-5</v>
      </c>
      <c r="K4534" s="25">
        <f t="shared" si="212"/>
        <v>0.99628953160996814</v>
      </c>
      <c r="L4534" s="26" t="s">
        <v>7518</v>
      </c>
      <c r="M4534" s="28"/>
      <c r="N4534" s="28"/>
      <c r="O4534" s="20" t="s">
        <v>7530</v>
      </c>
      <c r="P4534" s="27" t="str">
        <f t="shared" si="211"/>
        <v>vermelho</v>
      </c>
    </row>
    <row r="4535" spans="1:16" ht="25.5">
      <c r="A4535" s="3" t="s">
        <v>4</v>
      </c>
      <c r="B4535" s="3" t="s">
        <v>3466</v>
      </c>
      <c r="C4535" s="4">
        <v>327</v>
      </c>
      <c r="D4535" s="3" t="s">
        <v>100</v>
      </c>
      <c r="E4535" s="3" t="s">
        <v>7</v>
      </c>
      <c r="F4535" s="5">
        <v>0</v>
      </c>
      <c r="G4535" s="5">
        <v>96</v>
      </c>
      <c r="H4535" s="6">
        <v>0</v>
      </c>
      <c r="I4535" s="22">
        <v>2982.72</v>
      </c>
      <c r="J4535" s="24">
        <f t="shared" si="210"/>
        <v>2.0667630585023451E-5</v>
      </c>
      <c r="K4535" s="25">
        <f t="shared" si="212"/>
        <v>0.9963101992405532</v>
      </c>
      <c r="L4535" s="26" t="s">
        <v>7518</v>
      </c>
      <c r="M4535" s="28"/>
      <c r="N4535" s="28"/>
      <c r="O4535" s="20" t="s">
        <v>7530</v>
      </c>
      <c r="P4535" s="27" t="str">
        <f t="shared" si="211"/>
        <v>vermelho</v>
      </c>
    </row>
    <row r="4536" spans="1:16" ht="25.5">
      <c r="A4536" s="3" t="s">
        <v>4</v>
      </c>
      <c r="B4536" s="3" t="s">
        <v>3467</v>
      </c>
      <c r="C4536" s="4">
        <v>74</v>
      </c>
      <c r="D4536" s="3" t="s">
        <v>6</v>
      </c>
      <c r="E4536" s="3" t="s">
        <v>7</v>
      </c>
      <c r="F4536" s="5">
        <v>0</v>
      </c>
      <c r="G4536" s="5">
        <v>48</v>
      </c>
      <c r="H4536" s="6">
        <v>0</v>
      </c>
      <c r="I4536" s="22">
        <v>2982.72</v>
      </c>
      <c r="J4536" s="24">
        <f t="shared" si="210"/>
        <v>2.0667630585023451E-5</v>
      </c>
      <c r="K4536" s="25">
        <f t="shared" si="212"/>
        <v>0.99633086687113825</v>
      </c>
      <c r="L4536" s="26" t="s">
        <v>7518</v>
      </c>
      <c r="M4536" s="28"/>
      <c r="N4536" s="28"/>
      <c r="O4536" s="20" t="s">
        <v>7530</v>
      </c>
      <c r="P4536" s="27" t="str">
        <f t="shared" si="211"/>
        <v>vermelho</v>
      </c>
    </row>
    <row r="4537" spans="1:16" ht="25.5">
      <c r="A4537" s="3" t="s">
        <v>4</v>
      </c>
      <c r="B4537" s="3" t="s">
        <v>3468</v>
      </c>
      <c r="C4537" s="4">
        <v>267</v>
      </c>
      <c r="D4537" s="3" t="s">
        <v>125</v>
      </c>
      <c r="E4537" s="3" t="s">
        <v>16</v>
      </c>
      <c r="F4537" s="5">
        <v>144</v>
      </c>
      <c r="G4537" s="5">
        <v>60</v>
      </c>
      <c r="H4537" s="6">
        <v>7666.56</v>
      </c>
      <c r="I4537" s="22">
        <v>2982.72</v>
      </c>
      <c r="J4537" s="24">
        <f t="shared" si="210"/>
        <v>2.0667630585023451E-5</v>
      </c>
      <c r="K4537" s="25">
        <f t="shared" si="212"/>
        <v>0.99635153450172331</v>
      </c>
      <c r="L4537" s="26" t="s">
        <v>7518</v>
      </c>
      <c r="M4537" s="28"/>
      <c r="N4537" s="28"/>
      <c r="O4537" s="20" t="s">
        <v>7530</v>
      </c>
      <c r="P4537" s="27" t="str">
        <f t="shared" si="211"/>
        <v>vermelho</v>
      </c>
    </row>
    <row r="4538" spans="1:16" ht="25.5">
      <c r="A4538" s="3" t="s">
        <v>4</v>
      </c>
      <c r="B4538" s="3" t="s">
        <v>3469</v>
      </c>
      <c r="C4538" s="4">
        <v>231</v>
      </c>
      <c r="D4538" s="3" t="s">
        <v>52</v>
      </c>
      <c r="E4538" s="3" t="s">
        <v>7</v>
      </c>
      <c r="F4538" s="5">
        <v>0</v>
      </c>
      <c r="G4538" s="5">
        <v>96</v>
      </c>
      <c r="H4538" s="6">
        <v>0</v>
      </c>
      <c r="I4538" s="22">
        <v>2982.72</v>
      </c>
      <c r="J4538" s="24">
        <f t="shared" si="210"/>
        <v>2.0667630585023451E-5</v>
      </c>
      <c r="K4538" s="25">
        <f t="shared" si="212"/>
        <v>0.99637220213230837</v>
      </c>
      <c r="L4538" s="26" t="s">
        <v>7518</v>
      </c>
      <c r="M4538" s="28"/>
      <c r="N4538" s="28"/>
      <c r="O4538" s="20" t="s">
        <v>7530</v>
      </c>
      <c r="P4538" s="27" t="str">
        <f t="shared" si="211"/>
        <v>vermelho</v>
      </c>
    </row>
    <row r="4539" spans="1:16" ht="25.5">
      <c r="A4539" s="3" t="s">
        <v>4</v>
      </c>
      <c r="B4539" s="3" t="s">
        <v>3470</v>
      </c>
      <c r="C4539" s="4">
        <v>15</v>
      </c>
      <c r="D4539" s="3" t="s">
        <v>18</v>
      </c>
      <c r="E4539" s="3" t="s">
        <v>16</v>
      </c>
      <c r="F4539" s="5">
        <v>84</v>
      </c>
      <c r="G4539" s="5">
        <v>50</v>
      </c>
      <c r="H4539" s="6">
        <v>4198.2</v>
      </c>
      <c r="I4539" s="22">
        <v>2981.38</v>
      </c>
      <c r="J4539" s="24">
        <f t="shared" si="210"/>
        <v>2.0658345561627383E-5</v>
      </c>
      <c r="K4539" s="25">
        <f t="shared" si="212"/>
        <v>0.99639286047787001</v>
      </c>
      <c r="L4539" s="26" t="s">
        <v>7518</v>
      </c>
      <c r="M4539" s="28"/>
      <c r="N4539" s="28"/>
      <c r="O4539" s="20" t="s">
        <v>7530</v>
      </c>
      <c r="P4539" s="27" t="str">
        <f t="shared" si="211"/>
        <v>vermelho</v>
      </c>
    </row>
    <row r="4540" spans="1:16" ht="25.5">
      <c r="A4540" s="3" t="s">
        <v>4</v>
      </c>
      <c r="B4540" s="3" t="s">
        <v>3471</v>
      </c>
      <c r="C4540" s="4">
        <v>273</v>
      </c>
      <c r="D4540" s="3" t="s">
        <v>149</v>
      </c>
      <c r="E4540" s="3" t="s">
        <v>16</v>
      </c>
      <c r="F4540" s="5">
        <v>0</v>
      </c>
      <c r="G4540" s="5">
        <v>72</v>
      </c>
      <c r="H4540" s="6">
        <v>0</v>
      </c>
      <c r="I4540" s="22">
        <v>2975.2640000000001</v>
      </c>
      <c r="J4540" s="24">
        <f t="shared" si="210"/>
        <v>2.0615967051858447E-5</v>
      </c>
      <c r="K4540" s="25">
        <f t="shared" si="212"/>
        <v>0.99641347644492184</v>
      </c>
      <c r="L4540" s="26" t="s">
        <v>7518</v>
      </c>
      <c r="M4540" s="28"/>
      <c r="N4540" s="28"/>
      <c r="O4540" s="20">
        <v>2774.05</v>
      </c>
      <c r="P4540" s="27" t="str">
        <f t="shared" si="211"/>
        <v>laranja</v>
      </c>
    </row>
    <row r="4541" spans="1:16" ht="25.5">
      <c r="A4541" s="3" t="s">
        <v>4</v>
      </c>
      <c r="B4541" s="3" t="s">
        <v>3472</v>
      </c>
      <c r="C4541" s="4">
        <v>261</v>
      </c>
      <c r="D4541" s="3" t="s">
        <v>9</v>
      </c>
      <c r="E4541" s="3" t="s">
        <v>10</v>
      </c>
      <c r="F4541" s="5">
        <v>0</v>
      </c>
      <c r="G4541" s="5">
        <v>56</v>
      </c>
      <c r="H4541" s="6">
        <v>0</v>
      </c>
      <c r="I4541" s="22">
        <v>2973.47</v>
      </c>
      <c r="J4541" s="24">
        <f t="shared" si="210"/>
        <v>2.0603536207102807E-5</v>
      </c>
      <c r="K4541" s="25">
        <f t="shared" si="212"/>
        <v>0.99643407998112898</v>
      </c>
      <c r="L4541" s="26" t="s">
        <v>7518</v>
      </c>
      <c r="M4541" s="28"/>
      <c r="N4541" s="28"/>
      <c r="O4541" s="20">
        <v>9012.84</v>
      </c>
      <c r="P4541" s="27" t="str">
        <f t="shared" si="211"/>
        <v>verde</v>
      </c>
    </row>
    <row r="4542" spans="1:16" ht="25.5">
      <c r="A4542" s="3" t="s">
        <v>7064</v>
      </c>
      <c r="B4542" s="3" t="s">
        <v>7065</v>
      </c>
      <c r="C4542" s="4">
        <v>41</v>
      </c>
      <c r="D4542" s="3" t="s">
        <v>178</v>
      </c>
      <c r="E4542" s="3" t="s">
        <v>41</v>
      </c>
      <c r="F4542" s="5">
        <v>222</v>
      </c>
      <c r="G4542" s="5">
        <v>48</v>
      </c>
      <c r="H4542" s="6">
        <v>12538.62</v>
      </c>
      <c r="I4542" s="22">
        <v>2972.16</v>
      </c>
      <c r="J4542" s="24">
        <f t="shared" si="210"/>
        <v>2.0594459057364858E-5</v>
      </c>
      <c r="K4542" s="25">
        <f t="shared" si="212"/>
        <v>0.99645467444018632</v>
      </c>
      <c r="L4542" s="26" t="s">
        <v>7518</v>
      </c>
      <c r="M4542" s="28"/>
      <c r="N4542" s="28"/>
      <c r="O4542" s="20" t="s">
        <v>7530</v>
      </c>
      <c r="P4542" s="27" t="str">
        <f t="shared" si="211"/>
        <v>vermelho</v>
      </c>
    </row>
    <row r="4543" spans="1:16" ht="25.5">
      <c r="A4543" s="3" t="s">
        <v>7066</v>
      </c>
      <c r="B4543" s="3" t="s">
        <v>7067</v>
      </c>
      <c r="C4543" s="4">
        <v>218</v>
      </c>
      <c r="D4543" s="3" t="s">
        <v>104</v>
      </c>
      <c r="E4543" s="3" t="s">
        <v>16</v>
      </c>
      <c r="F4543" s="5">
        <v>345</v>
      </c>
      <c r="G4543" s="5">
        <v>63</v>
      </c>
      <c r="H4543" s="6">
        <v>17405.55</v>
      </c>
      <c r="I4543" s="22">
        <v>2969.73</v>
      </c>
      <c r="J4543" s="24">
        <f t="shared" si="210"/>
        <v>2.0577621291057057E-5</v>
      </c>
      <c r="K4543" s="25">
        <f t="shared" si="212"/>
        <v>0.99647525206147736</v>
      </c>
      <c r="L4543" s="26" t="s">
        <v>7518</v>
      </c>
      <c r="M4543" s="28"/>
      <c r="N4543" s="28"/>
      <c r="O4543" s="20" t="s">
        <v>7530</v>
      </c>
      <c r="P4543" s="27" t="str">
        <f t="shared" si="211"/>
        <v>vermelho</v>
      </c>
    </row>
    <row r="4544" spans="1:16" ht="25.5">
      <c r="A4544" s="3" t="s">
        <v>4</v>
      </c>
      <c r="B4544" s="3" t="s">
        <v>3473</v>
      </c>
      <c r="C4544" s="4">
        <v>296</v>
      </c>
      <c r="D4544" s="3" t="s">
        <v>282</v>
      </c>
      <c r="E4544" s="3" t="s">
        <v>10</v>
      </c>
      <c r="F4544" s="5">
        <v>0</v>
      </c>
      <c r="G4544" s="5">
        <v>48</v>
      </c>
      <c r="H4544" s="6">
        <v>0</v>
      </c>
      <c r="I4544" s="22">
        <v>2969.52</v>
      </c>
      <c r="J4544" s="24">
        <f t="shared" si="210"/>
        <v>2.0576166175450208E-5</v>
      </c>
      <c r="K4544" s="25">
        <f t="shared" si="212"/>
        <v>0.99649582822765281</v>
      </c>
      <c r="L4544" s="26" t="s">
        <v>7518</v>
      </c>
      <c r="M4544" s="28"/>
      <c r="N4544" s="28"/>
      <c r="O4544" s="20" t="s">
        <v>7530</v>
      </c>
      <c r="P4544" s="27" t="str">
        <f t="shared" si="211"/>
        <v>vermelho</v>
      </c>
    </row>
    <row r="4545" spans="1:16">
      <c r="A4545" s="3" t="s">
        <v>4</v>
      </c>
      <c r="B4545" s="3" t="s">
        <v>3474</v>
      </c>
      <c r="C4545" s="4">
        <v>232</v>
      </c>
      <c r="D4545" s="3" t="s">
        <v>174</v>
      </c>
      <c r="E4545" s="3" t="s">
        <v>16</v>
      </c>
      <c r="F4545" s="5">
        <v>48</v>
      </c>
      <c r="G4545" s="5">
        <v>48</v>
      </c>
      <c r="H4545" s="6">
        <v>3221.64</v>
      </c>
      <c r="I4545" s="22">
        <v>2961.6</v>
      </c>
      <c r="J4545" s="24">
        <f t="shared" si="210"/>
        <v>2.0521287529706261E-5</v>
      </c>
      <c r="K4545" s="25">
        <f t="shared" si="212"/>
        <v>0.99651634951518253</v>
      </c>
      <c r="L4545" s="26" t="s">
        <v>7518</v>
      </c>
      <c r="M4545" s="28"/>
      <c r="N4545" s="28"/>
      <c r="O4545" s="20" t="s">
        <v>7530</v>
      </c>
      <c r="P4545" s="27" t="str">
        <f t="shared" si="211"/>
        <v>vermelho</v>
      </c>
    </row>
    <row r="4546" spans="1:16" ht="51">
      <c r="A4546" s="3" t="s">
        <v>4</v>
      </c>
      <c r="B4546" s="3" t="s">
        <v>3475</v>
      </c>
      <c r="C4546" s="4">
        <v>282</v>
      </c>
      <c r="D4546" s="3" t="s">
        <v>12</v>
      </c>
      <c r="E4546" s="3" t="s">
        <v>13</v>
      </c>
      <c r="F4546" s="5">
        <v>60</v>
      </c>
      <c r="G4546" s="5">
        <v>54</v>
      </c>
      <c r="H4546" s="6">
        <v>2922</v>
      </c>
      <c r="I4546" s="22">
        <v>2956.14</v>
      </c>
      <c r="J4546" s="24">
        <f t="shared" si="210"/>
        <v>2.0483454523928237E-5</v>
      </c>
      <c r="K4546" s="25">
        <f t="shared" si="212"/>
        <v>0.99653683296970641</v>
      </c>
      <c r="L4546" s="26" t="s">
        <v>7518</v>
      </c>
      <c r="M4546" s="28"/>
      <c r="N4546" s="28"/>
      <c r="O4546" s="20" t="s">
        <v>7530</v>
      </c>
      <c r="P4546" s="27" t="str">
        <f t="shared" si="211"/>
        <v>vermelho</v>
      </c>
    </row>
    <row r="4547" spans="1:16">
      <c r="A4547" s="3" t="s">
        <v>4</v>
      </c>
      <c r="B4547" s="3" t="s">
        <v>3476</v>
      </c>
      <c r="C4547" s="4">
        <v>315</v>
      </c>
      <c r="D4547" s="3" t="s">
        <v>63</v>
      </c>
      <c r="E4547" s="3" t="s">
        <v>7</v>
      </c>
      <c r="F4547" s="5">
        <v>0</v>
      </c>
      <c r="G4547" s="5">
        <v>48</v>
      </c>
      <c r="H4547" s="6">
        <v>0</v>
      </c>
      <c r="I4547" s="22">
        <v>2940.72</v>
      </c>
      <c r="J4547" s="24">
        <f t="shared" ref="J4547:J4610" si="213">I4547/$I$6364</f>
        <v>2.0376607463654038E-5</v>
      </c>
      <c r="K4547" s="25">
        <f t="shared" si="212"/>
        <v>0.99655720957717009</v>
      </c>
      <c r="L4547" s="26" t="s">
        <v>7518</v>
      </c>
      <c r="M4547" s="28"/>
      <c r="N4547" s="28">
        <v>-1.2473641700967576E-2</v>
      </c>
      <c r="O4547" s="20">
        <v>1852.32</v>
      </c>
      <c r="P4547" s="27" t="str">
        <f t="shared" ref="P4547:P4610" si="214">IF(O4547&lt;=0,"vermelho",IFERROR(IF(O4547/I4547&lt;=0.5098,"amarelo",IF(O4547/I4547&lt;1,"laranja","verde")),"vermelho"))</f>
        <v>laranja</v>
      </c>
    </row>
    <row r="4548" spans="1:16" ht="25.5">
      <c r="A4548" s="3" t="s">
        <v>4</v>
      </c>
      <c r="B4548" s="3" t="s">
        <v>3477</v>
      </c>
      <c r="C4548" s="4">
        <v>39</v>
      </c>
      <c r="D4548" s="3" t="s">
        <v>26</v>
      </c>
      <c r="E4548" s="3" t="s">
        <v>13</v>
      </c>
      <c r="F4548" s="5">
        <v>0</v>
      </c>
      <c r="G4548" s="5">
        <v>48</v>
      </c>
      <c r="H4548" s="6">
        <v>0</v>
      </c>
      <c r="I4548" s="22">
        <v>2934.72</v>
      </c>
      <c r="J4548" s="24">
        <f t="shared" si="213"/>
        <v>2.0335032732029832E-5</v>
      </c>
      <c r="K4548" s="25">
        <f t="shared" ref="K4548:K4611" si="215">J4548+K4547</f>
        <v>0.99657754460990211</v>
      </c>
      <c r="L4548" s="26" t="s">
        <v>7518</v>
      </c>
      <c r="M4548" s="28"/>
      <c r="N4548" s="28"/>
      <c r="O4548" s="20" t="s">
        <v>7530</v>
      </c>
      <c r="P4548" s="27" t="str">
        <f t="shared" si="214"/>
        <v>vermelho</v>
      </c>
    </row>
    <row r="4549" spans="1:16" ht="25.5">
      <c r="A4549" s="3" t="s">
        <v>4</v>
      </c>
      <c r="B4549" s="3" t="s">
        <v>3478</v>
      </c>
      <c r="C4549" s="4">
        <v>217</v>
      </c>
      <c r="D4549" s="3" t="s">
        <v>91</v>
      </c>
      <c r="E4549" s="3" t="s">
        <v>16</v>
      </c>
      <c r="F4549" s="5">
        <v>504</v>
      </c>
      <c r="G4549" s="5">
        <v>60</v>
      </c>
      <c r="H4549" s="6">
        <v>22795.08</v>
      </c>
      <c r="I4549" s="22">
        <v>2934.24</v>
      </c>
      <c r="J4549" s="24">
        <f t="shared" si="213"/>
        <v>2.0331706753499897E-5</v>
      </c>
      <c r="K4549" s="25">
        <f t="shared" si="215"/>
        <v>0.99659787631665564</v>
      </c>
      <c r="L4549" s="26" t="s">
        <v>7518</v>
      </c>
      <c r="M4549" s="28"/>
      <c r="N4549" s="28"/>
      <c r="O4549" s="20" t="s">
        <v>7530</v>
      </c>
      <c r="P4549" s="27" t="str">
        <f t="shared" si="214"/>
        <v>vermelho</v>
      </c>
    </row>
    <row r="4550" spans="1:16" ht="25.5">
      <c r="A4550" s="3" t="s">
        <v>4</v>
      </c>
      <c r="B4550" s="3" t="s">
        <v>3479</v>
      </c>
      <c r="C4550" s="4">
        <v>31</v>
      </c>
      <c r="D4550" s="3" t="s">
        <v>194</v>
      </c>
      <c r="E4550" s="3" t="s">
        <v>16</v>
      </c>
      <c r="F4550" s="5">
        <v>96</v>
      </c>
      <c r="G4550" s="5">
        <v>60</v>
      </c>
      <c r="H4550" s="6">
        <v>4173.12</v>
      </c>
      <c r="I4550" s="22">
        <v>2929.8</v>
      </c>
      <c r="J4550" s="24">
        <f t="shared" si="213"/>
        <v>2.0300941452097991E-5</v>
      </c>
      <c r="K4550" s="25">
        <f t="shared" si="215"/>
        <v>0.99661817725810775</v>
      </c>
      <c r="L4550" s="26" t="s">
        <v>7518</v>
      </c>
      <c r="M4550" s="28"/>
      <c r="N4550" s="28"/>
      <c r="O4550" s="20" t="s">
        <v>7530</v>
      </c>
      <c r="P4550" s="27" t="str">
        <f t="shared" si="214"/>
        <v>vermelho</v>
      </c>
    </row>
    <row r="4551" spans="1:16" ht="25.5">
      <c r="A4551" s="3" t="s">
        <v>4</v>
      </c>
      <c r="B4551" s="3" t="s">
        <v>3480</v>
      </c>
      <c r="C4551" s="4">
        <v>218</v>
      </c>
      <c r="D4551" s="3" t="s">
        <v>104</v>
      </c>
      <c r="E4551" s="3" t="s">
        <v>16</v>
      </c>
      <c r="F4551" s="5">
        <v>72</v>
      </c>
      <c r="G4551" s="5">
        <v>60</v>
      </c>
      <c r="H4551" s="6">
        <v>3167.28</v>
      </c>
      <c r="I4551" s="22">
        <v>2929.8</v>
      </c>
      <c r="J4551" s="24">
        <f t="shared" si="213"/>
        <v>2.0300941452097991E-5</v>
      </c>
      <c r="K4551" s="25">
        <f t="shared" si="215"/>
        <v>0.99663847819955986</v>
      </c>
      <c r="L4551" s="26" t="s">
        <v>7518</v>
      </c>
      <c r="M4551" s="28"/>
      <c r="N4551" s="28"/>
      <c r="O4551" s="20" t="s">
        <v>7530</v>
      </c>
      <c r="P4551" s="27" t="str">
        <f t="shared" si="214"/>
        <v>vermelho</v>
      </c>
    </row>
    <row r="4552" spans="1:16" ht="25.5">
      <c r="A4552" s="3" t="s">
        <v>4</v>
      </c>
      <c r="B4552" s="3" t="s">
        <v>3481</v>
      </c>
      <c r="C4552" s="4">
        <v>218</v>
      </c>
      <c r="D4552" s="3" t="s">
        <v>104</v>
      </c>
      <c r="E4552" s="3" t="s">
        <v>16</v>
      </c>
      <c r="F4552" s="5">
        <v>72</v>
      </c>
      <c r="G4552" s="5">
        <v>60</v>
      </c>
      <c r="H4552" s="6">
        <v>3167.28</v>
      </c>
      <c r="I4552" s="22">
        <v>2929.8</v>
      </c>
      <c r="J4552" s="24">
        <f t="shared" si="213"/>
        <v>2.0300941452097991E-5</v>
      </c>
      <c r="K4552" s="25">
        <f t="shared" si="215"/>
        <v>0.99665877914101197</v>
      </c>
      <c r="L4552" s="26" t="s">
        <v>7518</v>
      </c>
      <c r="M4552" s="28"/>
      <c r="N4552" s="28"/>
      <c r="O4552" s="20" t="s">
        <v>7530</v>
      </c>
      <c r="P4552" s="27" t="str">
        <f t="shared" si="214"/>
        <v>vermelho</v>
      </c>
    </row>
    <row r="4553" spans="1:16" ht="25.5">
      <c r="A4553" s="3" t="s">
        <v>4</v>
      </c>
      <c r="B4553" s="3" t="s">
        <v>3482</v>
      </c>
      <c r="C4553" s="4">
        <v>218</v>
      </c>
      <c r="D4553" s="3" t="s">
        <v>104</v>
      </c>
      <c r="E4553" s="3" t="s">
        <v>16</v>
      </c>
      <c r="F4553" s="5">
        <v>48</v>
      </c>
      <c r="G4553" s="5">
        <v>60</v>
      </c>
      <c r="H4553" s="6">
        <v>3612</v>
      </c>
      <c r="I4553" s="22">
        <v>2929.8</v>
      </c>
      <c r="J4553" s="24">
        <f t="shared" si="213"/>
        <v>2.0300941452097991E-5</v>
      </c>
      <c r="K4553" s="25">
        <f t="shared" si="215"/>
        <v>0.99667908008246409</v>
      </c>
      <c r="L4553" s="26" t="s">
        <v>7518</v>
      </c>
      <c r="M4553" s="28"/>
      <c r="N4553" s="28"/>
      <c r="O4553" s="20" t="s">
        <v>7530</v>
      </c>
      <c r="P4553" s="27" t="str">
        <f t="shared" si="214"/>
        <v>vermelho</v>
      </c>
    </row>
    <row r="4554" spans="1:16" ht="25.5">
      <c r="A4554" s="3" t="s">
        <v>4</v>
      </c>
      <c r="B4554" s="3" t="s">
        <v>3483</v>
      </c>
      <c r="C4554" s="4">
        <v>218</v>
      </c>
      <c r="D4554" s="3" t="s">
        <v>104</v>
      </c>
      <c r="E4554" s="3" t="s">
        <v>16</v>
      </c>
      <c r="F4554" s="5">
        <v>132</v>
      </c>
      <c r="G4554" s="5">
        <v>60</v>
      </c>
      <c r="H4554" s="6">
        <v>6801</v>
      </c>
      <c r="I4554" s="22">
        <v>2929.8</v>
      </c>
      <c r="J4554" s="24">
        <f t="shared" si="213"/>
        <v>2.0300941452097991E-5</v>
      </c>
      <c r="K4554" s="25">
        <f t="shared" si="215"/>
        <v>0.9966993810239162</v>
      </c>
      <c r="L4554" s="26" t="s">
        <v>7518</v>
      </c>
      <c r="M4554" s="28"/>
      <c r="N4554" s="28"/>
      <c r="O4554" s="20" t="s">
        <v>7530</v>
      </c>
      <c r="P4554" s="27" t="str">
        <f t="shared" si="214"/>
        <v>vermelho</v>
      </c>
    </row>
    <row r="4555" spans="1:16" ht="25.5">
      <c r="A4555" s="3" t="s">
        <v>4</v>
      </c>
      <c r="B4555" s="3" t="s">
        <v>3484</v>
      </c>
      <c r="C4555" s="4">
        <v>53</v>
      </c>
      <c r="D4555" s="3" t="s">
        <v>34</v>
      </c>
      <c r="E4555" s="3" t="s">
        <v>16</v>
      </c>
      <c r="F4555" s="5">
        <v>0</v>
      </c>
      <c r="G4555" s="5">
        <v>60</v>
      </c>
      <c r="H4555" s="6">
        <v>0</v>
      </c>
      <c r="I4555" s="22">
        <v>2929.8</v>
      </c>
      <c r="J4555" s="24">
        <f t="shared" si="213"/>
        <v>2.0300941452097991E-5</v>
      </c>
      <c r="K4555" s="25">
        <f t="shared" si="215"/>
        <v>0.99671968196536831</v>
      </c>
      <c r="L4555" s="26" t="s">
        <v>7518</v>
      </c>
      <c r="M4555" s="28"/>
      <c r="N4555" s="28"/>
      <c r="O4555" s="20" t="s">
        <v>7530</v>
      </c>
      <c r="P4555" s="27" t="str">
        <f t="shared" si="214"/>
        <v>vermelho</v>
      </c>
    </row>
    <row r="4556" spans="1:16" ht="25.5">
      <c r="A4556" s="3" t="s">
        <v>4</v>
      </c>
      <c r="B4556" s="3" t="s">
        <v>3485</v>
      </c>
      <c r="C4556" s="4">
        <v>208</v>
      </c>
      <c r="D4556" s="3" t="s">
        <v>15</v>
      </c>
      <c r="E4556" s="3" t="s">
        <v>16</v>
      </c>
      <c r="F4556" s="5">
        <v>84</v>
      </c>
      <c r="G4556" s="5">
        <v>60</v>
      </c>
      <c r="H4556" s="6">
        <v>3791.16</v>
      </c>
      <c r="I4556" s="22">
        <v>2929.68</v>
      </c>
      <c r="J4556" s="24">
        <f t="shared" si="213"/>
        <v>2.0300109957465505E-5</v>
      </c>
      <c r="K4556" s="25">
        <f t="shared" si="215"/>
        <v>0.99673998207532577</v>
      </c>
      <c r="L4556" s="26" t="s">
        <v>7518</v>
      </c>
      <c r="M4556" s="28"/>
      <c r="N4556" s="28"/>
      <c r="O4556" s="20" t="s">
        <v>7530</v>
      </c>
      <c r="P4556" s="27" t="str">
        <f t="shared" si="214"/>
        <v>vermelho</v>
      </c>
    </row>
    <row r="4557" spans="1:16" ht="25.5">
      <c r="A4557" s="3" t="s">
        <v>4</v>
      </c>
      <c r="B4557" s="3" t="s">
        <v>3486</v>
      </c>
      <c r="C4557" s="4">
        <v>267</v>
      </c>
      <c r="D4557" s="3" t="s">
        <v>125</v>
      </c>
      <c r="E4557" s="3" t="s">
        <v>16</v>
      </c>
      <c r="F4557" s="5">
        <v>72</v>
      </c>
      <c r="G4557" s="5">
        <v>60</v>
      </c>
      <c r="H4557" s="6">
        <v>4199.28</v>
      </c>
      <c r="I4557" s="22">
        <v>2929.68</v>
      </c>
      <c r="J4557" s="24">
        <f t="shared" si="213"/>
        <v>2.0300109957465505E-5</v>
      </c>
      <c r="K4557" s="25">
        <f t="shared" si="215"/>
        <v>0.99676028218528323</v>
      </c>
      <c r="L4557" s="26" t="s">
        <v>7518</v>
      </c>
      <c r="M4557" s="28"/>
      <c r="N4557" s="28"/>
      <c r="O4557" s="20">
        <v>2929.68</v>
      </c>
      <c r="P4557" s="27" t="str">
        <f t="shared" si="214"/>
        <v>verde</v>
      </c>
    </row>
    <row r="4558" spans="1:16" ht="25.5">
      <c r="A4558" s="3" t="s">
        <v>4</v>
      </c>
      <c r="B4558" s="3" t="s">
        <v>3487</v>
      </c>
      <c r="C4558" s="4">
        <v>23</v>
      </c>
      <c r="D4558" s="3" t="s">
        <v>87</v>
      </c>
      <c r="E4558" s="3" t="s">
        <v>7</v>
      </c>
      <c r="F4558" s="5">
        <v>102</v>
      </c>
      <c r="G4558" s="5">
        <v>36</v>
      </c>
      <c r="H4558" s="6">
        <v>6332.1</v>
      </c>
      <c r="I4558" s="22">
        <v>2929.68</v>
      </c>
      <c r="J4558" s="24">
        <f t="shared" si="213"/>
        <v>2.0300109957465505E-5</v>
      </c>
      <c r="K4558" s="25">
        <f t="shared" si="215"/>
        <v>0.99678058229524069</v>
      </c>
      <c r="L4558" s="26" t="s">
        <v>7518</v>
      </c>
      <c r="M4558" s="28"/>
      <c r="N4558" s="28"/>
      <c r="O4558" s="20" t="s">
        <v>7530</v>
      </c>
      <c r="P4558" s="27" t="str">
        <f t="shared" si="214"/>
        <v>vermelho</v>
      </c>
    </row>
    <row r="4559" spans="1:16">
      <c r="A4559" s="3" t="s">
        <v>4</v>
      </c>
      <c r="B4559" s="3" t="s">
        <v>3488</v>
      </c>
      <c r="C4559" s="4">
        <v>315</v>
      </c>
      <c r="D4559" s="3" t="s">
        <v>63</v>
      </c>
      <c r="E4559" s="3" t="s">
        <v>7</v>
      </c>
      <c r="F4559" s="5">
        <v>234</v>
      </c>
      <c r="G4559" s="5">
        <v>48</v>
      </c>
      <c r="H4559" s="6">
        <v>12588.18</v>
      </c>
      <c r="I4559" s="22">
        <v>2929.6179999999999</v>
      </c>
      <c r="J4559" s="24">
        <f t="shared" si="213"/>
        <v>2.0299680351905388E-5</v>
      </c>
      <c r="K4559" s="25">
        <f t="shared" si="215"/>
        <v>0.99680088197559258</v>
      </c>
      <c r="L4559" s="26" t="s">
        <v>7518</v>
      </c>
      <c r="M4559" s="28"/>
      <c r="N4559" s="28"/>
      <c r="O4559" s="20" t="s">
        <v>7530</v>
      </c>
      <c r="P4559" s="27" t="str">
        <f t="shared" si="214"/>
        <v>vermelho</v>
      </c>
    </row>
    <row r="4560" spans="1:16" ht="38.25">
      <c r="A4560" s="3" t="s">
        <v>4</v>
      </c>
      <c r="B4560" s="3" t="s">
        <v>3489</v>
      </c>
      <c r="C4560" s="4">
        <v>333</v>
      </c>
      <c r="D4560" s="3" t="s">
        <v>1394</v>
      </c>
      <c r="E4560" s="3" t="s">
        <v>41</v>
      </c>
      <c r="F4560" s="5">
        <v>0</v>
      </c>
      <c r="G4560" s="5">
        <v>48</v>
      </c>
      <c r="H4560" s="6">
        <v>0</v>
      </c>
      <c r="I4560" s="22">
        <v>2929.56</v>
      </c>
      <c r="J4560" s="24">
        <f t="shared" si="213"/>
        <v>2.0299278462833019E-5</v>
      </c>
      <c r="K4560" s="25">
        <f t="shared" si="215"/>
        <v>0.99682118125405539</v>
      </c>
      <c r="L4560" s="26" t="s">
        <v>7518</v>
      </c>
      <c r="M4560" s="28"/>
      <c r="N4560" s="28"/>
      <c r="O4560" s="20" t="s">
        <v>7530</v>
      </c>
      <c r="P4560" s="27" t="str">
        <f t="shared" si="214"/>
        <v>vermelho</v>
      </c>
    </row>
    <row r="4561" spans="1:16" ht="25.5">
      <c r="A4561" s="3" t="s">
        <v>4</v>
      </c>
      <c r="B4561" s="3" t="s">
        <v>3490</v>
      </c>
      <c r="C4561" s="4">
        <v>321</v>
      </c>
      <c r="D4561" s="3" t="s">
        <v>136</v>
      </c>
      <c r="E4561" s="3" t="s">
        <v>41</v>
      </c>
      <c r="F4561" s="5">
        <v>66</v>
      </c>
      <c r="G4561" s="5">
        <v>60</v>
      </c>
      <c r="H4561" s="6">
        <v>3493.86</v>
      </c>
      <c r="I4561" s="22">
        <v>2929.44</v>
      </c>
      <c r="J4561" s="24">
        <f t="shared" si="213"/>
        <v>2.0298446968200537E-5</v>
      </c>
      <c r="K4561" s="25">
        <f t="shared" si="215"/>
        <v>0.99684147970102355</v>
      </c>
      <c r="L4561" s="26" t="s">
        <v>7518</v>
      </c>
      <c r="M4561" s="28"/>
      <c r="N4561" s="28"/>
      <c r="O4561" s="20" t="s">
        <v>7530</v>
      </c>
      <c r="P4561" s="27" t="str">
        <f t="shared" si="214"/>
        <v>vermelho</v>
      </c>
    </row>
    <row r="4562" spans="1:16" ht="38.25">
      <c r="A4562" s="3" t="s">
        <v>7068</v>
      </c>
      <c r="B4562" s="3" t="s">
        <v>4963</v>
      </c>
      <c r="C4562" s="4">
        <v>301</v>
      </c>
      <c r="D4562" s="3" t="s">
        <v>519</v>
      </c>
      <c r="E4562" s="3" t="s">
        <v>16</v>
      </c>
      <c r="F4562" s="5">
        <v>0</v>
      </c>
      <c r="G4562" s="5">
        <v>96</v>
      </c>
      <c r="H4562" s="6">
        <v>0</v>
      </c>
      <c r="I4562" s="22">
        <v>2923.2</v>
      </c>
      <c r="J4562" s="24">
        <f t="shared" si="213"/>
        <v>2.0255209247311364E-5</v>
      </c>
      <c r="K4562" s="25">
        <f t="shared" si="215"/>
        <v>0.99686173491027086</v>
      </c>
      <c r="L4562" s="26" t="s">
        <v>7518</v>
      </c>
      <c r="M4562" s="28"/>
      <c r="N4562" s="28"/>
      <c r="O4562" s="20">
        <v>284940.21000000002</v>
      </c>
      <c r="P4562" s="27" t="str">
        <f t="shared" si="214"/>
        <v>verde</v>
      </c>
    </row>
    <row r="4563" spans="1:16" ht="38.25">
      <c r="A4563" s="3" t="s">
        <v>4</v>
      </c>
      <c r="B4563" s="3" t="s">
        <v>3491</v>
      </c>
      <c r="C4563" s="4">
        <v>38</v>
      </c>
      <c r="D4563" s="3" t="s">
        <v>184</v>
      </c>
      <c r="E4563" s="3" t="s">
        <v>49</v>
      </c>
      <c r="F4563" s="5">
        <v>0</v>
      </c>
      <c r="G4563" s="5">
        <v>48</v>
      </c>
      <c r="H4563" s="6">
        <v>0</v>
      </c>
      <c r="I4563" s="22">
        <v>2922.6</v>
      </c>
      <c r="J4563" s="24">
        <f t="shared" si="213"/>
        <v>2.0251051774148946E-5</v>
      </c>
      <c r="K4563" s="25">
        <f t="shared" si="215"/>
        <v>0.99688198596204503</v>
      </c>
      <c r="L4563" s="26" t="s">
        <v>7518</v>
      </c>
      <c r="M4563" s="28"/>
      <c r="N4563" s="28"/>
      <c r="O4563" s="20" t="s">
        <v>7530</v>
      </c>
      <c r="P4563" s="27" t="str">
        <f t="shared" si="214"/>
        <v>vermelho</v>
      </c>
    </row>
    <row r="4564" spans="1:16">
      <c r="A4564" s="3" t="s">
        <v>4</v>
      </c>
      <c r="B4564" s="3" t="s">
        <v>3492</v>
      </c>
      <c r="C4564" s="4">
        <v>167</v>
      </c>
      <c r="D4564" s="3" t="s">
        <v>251</v>
      </c>
      <c r="E4564" s="3" t="s">
        <v>49</v>
      </c>
      <c r="F4564" s="5">
        <v>0</v>
      </c>
      <c r="G4564" s="5">
        <v>60</v>
      </c>
      <c r="H4564" s="6">
        <v>0</v>
      </c>
      <c r="I4564" s="22">
        <v>2922.6</v>
      </c>
      <c r="J4564" s="24">
        <f t="shared" si="213"/>
        <v>2.0251051774148946E-5</v>
      </c>
      <c r="K4564" s="25">
        <f t="shared" si="215"/>
        <v>0.99690223701381919</v>
      </c>
      <c r="L4564" s="26" t="s">
        <v>7518</v>
      </c>
      <c r="M4564" s="28"/>
      <c r="N4564" s="28"/>
      <c r="O4564" s="20" t="s">
        <v>7530</v>
      </c>
      <c r="P4564" s="27" t="str">
        <f t="shared" si="214"/>
        <v>vermelho</v>
      </c>
    </row>
    <row r="4565" spans="1:16" ht="25.5">
      <c r="A4565" s="3" t="s">
        <v>4</v>
      </c>
      <c r="B4565" s="3" t="s">
        <v>3493</v>
      </c>
      <c r="C4565" s="4">
        <v>316</v>
      </c>
      <c r="D4565" s="3" t="s">
        <v>247</v>
      </c>
      <c r="E4565" s="3" t="s">
        <v>10</v>
      </c>
      <c r="F4565" s="5">
        <v>0</v>
      </c>
      <c r="G4565" s="5">
        <v>72</v>
      </c>
      <c r="H4565" s="6">
        <v>0</v>
      </c>
      <c r="I4565" s="22">
        <v>2913.84</v>
      </c>
      <c r="J4565" s="24">
        <f t="shared" si="213"/>
        <v>2.0190352665977613E-5</v>
      </c>
      <c r="K4565" s="25">
        <f t="shared" si="215"/>
        <v>0.99692242736648518</v>
      </c>
      <c r="L4565" s="26" t="s">
        <v>7518</v>
      </c>
      <c r="M4565" s="28"/>
      <c r="N4565" s="28"/>
      <c r="O4565" s="20" t="s">
        <v>7530</v>
      </c>
      <c r="P4565" s="27" t="str">
        <f t="shared" si="214"/>
        <v>vermelho</v>
      </c>
    </row>
    <row r="4566" spans="1:16">
      <c r="A4566" s="3" t="s">
        <v>4</v>
      </c>
      <c r="B4566" s="3" t="s">
        <v>3494</v>
      </c>
      <c r="C4566" s="4">
        <v>217</v>
      </c>
      <c r="D4566" s="3" t="s">
        <v>91</v>
      </c>
      <c r="E4566" s="3" t="s">
        <v>16</v>
      </c>
      <c r="F4566" s="5">
        <v>0</v>
      </c>
      <c r="G4566" s="5">
        <v>66</v>
      </c>
      <c r="H4566" s="6">
        <v>0</v>
      </c>
      <c r="I4566" s="22">
        <v>2912.46</v>
      </c>
      <c r="J4566" s="24">
        <f t="shared" si="213"/>
        <v>2.0180790477704045E-5</v>
      </c>
      <c r="K4566" s="25">
        <f t="shared" si="215"/>
        <v>0.9969426081569629</v>
      </c>
      <c r="L4566" s="26" t="s">
        <v>7518</v>
      </c>
      <c r="M4566" s="28"/>
      <c r="N4566" s="28"/>
      <c r="O4566" s="20" t="s">
        <v>7530</v>
      </c>
      <c r="P4566" s="27" t="str">
        <f t="shared" si="214"/>
        <v>vermelho</v>
      </c>
    </row>
    <row r="4567" spans="1:16" ht="38.25">
      <c r="A4567" s="3" t="s">
        <v>4</v>
      </c>
      <c r="B4567" s="3" t="s">
        <v>3495</v>
      </c>
      <c r="C4567" s="4">
        <v>371</v>
      </c>
      <c r="D4567" s="3" t="s">
        <v>82</v>
      </c>
      <c r="E4567" s="3" t="s">
        <v>49</v>
      </c>
      <c r="F4567" s="5">
        <v>51</v>
      </c>
      <c r="G4567" s="5">
        <v>63</v>
      </c>
      <c r="H4567" s="6">
        <v>2138.4899999999998</v>
      </c>
      <c r="I4567" s="22">
        <v>2912.22</v>
      </c>
      <c r="J4567" s="24">
        <f t="shared" si="213"/>
        <v>2.0179127488439074E-5</v>
      </c>
      <c r="K4567" s="25">
        <f t="shared" si="215"/>
        <v>0.99696278728445131</v>
      </c>
      <c r="L4567" s="26" t="s">
        <v>7518</v>
      </c>
      <c r="M4567" s="28"/>
      <c r="N4567" s="28"/>
      <c r="O4567" s="20" t="s">
        <v>7530</v>
      </c>
      <c r="P4567" s="27" t="str">
        <f t="shared" si="214"/>
        <v>vermelho</v>
      </c>
    </row>
    <row r="4568" spans="1:16" ht="25.5">
      <c r="A4568" s="3" t="s">
        <v>4</v>
      </c>
      <c r="B4568" s="3" t="s">
        <v>3496</v>
      </c>
      <c r="C4568" s="4">
        <v>273</v>
      </c>
      <c r="D4568" s="3" t="s">
        <v>149</v>
      </c>
      <c r="E4568" s="3" t="s">
        <v>16</v>
      </c>
      <c r="F4568" s="5">
        <v>0</v>
      </c>
      <c r="G4568" s="5">
        <v>78</v>
      </c>
      <c r="H4568" s="6">
        <v>0</v>
      </c>
      <c r="I4568" s="22">
        <v>2910.0160000000001</v>
      </c>
      <c r="J4568" s="24">
        <f t="shared" si="213"/>
        <v>2.016385570368912E-5</v>
      </c>
      <c r="K4568" s="25">
        <f t="shared" si="215"/>
        <v>0.996982951140155</v>
      </c>
      <c r="L4568" s="26" t="s">
        <v>7518</v>
      </c>
      <c r="M4568" s="28"/>
      <c r="N4568" s="28"/>
      <c r="O4568" s="20" t="s">
        <v>7530</v>
      </c>
      <c r="P4568" s="27" t="str">
        <f t="shared" si="214"/>
        <v>vermelho</v>
      </c>
    </row>
    <row r="4569" spans="1:16" ht="25.5">
      <c r="A4569" s="3" t="s">
        <v>4</v>
      </c>
      <c r="B4569" s="3" t="s">
        <v>3497</v>
      </c>
      <c r="C4569" s="4">
        <v>178</v>
      </c>
      <c r="D4569" s="3" t="s">
        <v>74</v>
      </c>
      <c r="E4569" s="3" t="s">
        <v>7</v>
      </c>
      <c r="F4569" s="5">
        <v>72</v>
      </c>
      <c r="G4569" s="5">
        <v>66</v>
      </c>
      <c r="H4569" s="6">
        <v>3495.48</v>
      </c>
      <c r="I4569" s="22">
        <v>2903.34</v>
      </c>
      <c r="J4569" s="24">
        <f t="shared" si="213"/>
        <v>2.0117596885635259E-5</v>
      </c>
      <c r="K4569" s="25">
        <f t="shared" si="215"/>
        <v>0.99700306873704059</v>
      </c>
      <c r="L4569" s="26" t="s">
        <v>7518</v>
      </c>
      <c r="M4569" s="28"/>
      <c r="N4569" s="28"/>
      <c r="O4569" s="20" t="s">
        <v>7530</v>
      </c>
      <c r="P4569" s="27" t="str">
        <f t="shared" si="214"/>
        <v>vermelho</v>
      </c>
    </row>
    <row r="4570" spans="1:16">
      <c r="A4570" s="3" t="s">
        <v>4</v>
      </c>
      <c r="B4570" s="3" t="s">
        <v>3498</v>
      </c>
      <c r="C4570" s="4">
        <v>315</v>
      </c>
      <c r="D4570" s="3" t="s">
        <v>63</v>
      </c>
      <c r="E4570" s="3" t="s">
        <v>7</v>
      </c>
      <c r="F4570" s="5">
        <v>0</v>
      </c>
      <c r="G4570" s="5">
        <v>63</v>
      </c>
      <c r="H4570" s="6">
        <v>0</v>
      </c>
      <c r="I4570" s="22">
        <v>2901.36</v>
      </c>
      <c r="J4570" s="24">
        <f t="shared" si="213"/>
        <v>2.010387722419927E-5</v>
      </c>
      <c r="K4570" s="25">
        <f t="shared" si="215"/>
        <v>0.99702317261426476</v>
      </c>
      <c r="L4570" s="26" t="s">
        <v>7518</v>
      </c>
      <c r="M4570" s="28"/>
      <c r="N4570" s="28"/>
      <c r="O4570" s="20" t="s">
        <v>7530</v>
      </c>
      <c r="P4570" s="27" t="str">
        <f t="shared" si="214"/>
        <v>vermelho</v>
      </c>
    </row>
    <row r="4571" spans="1:16">
      <c r="A4571" s="3" t="s">
        <v>4</v>
      </c>
      <c r="B4571" s="3" t="s">
        <v>3499</v>
      </c>
      <c r="C4571" s="4">
        <v>240</v>
      </c>
      <c r="D4571" s="3" t="s">
        <v>69</v>
      </c>
      <c r="E4571" s="3" t="s">
        <v>16</v>
      </c>
      <c r="F4571" s="5">
        <v>72</v>
      </c>
      <c r="G4571" s="5">
        <v>60</v>
      </c>
      <c r="H4571" s="6">
        <v>3216.24</v>
      </c>
      <c r="I4571" s="22">
        <v>2900.28</v>
      </c>
      <c r="J4571" s="24">
        <f t="shared" si="213"/>
        <v>2.0096393772506916E-5</v>
      </c>
      <c r="K4571" s="25">
        <f t="shared" si="215"/>
        <v>0.9970432690080373</v>
      </c>
      <c r="L4571" s="26" t="s">
        <v>7518</v>
      </c>
      <c r="M4571" s="28"/>
      <c r="N4571" s="28">
        <v>3.2817574905063089E-2</v>
      </c>
      <c r="O4571" s="20">
        <v>3531.36</v>
      </c>
      <c r="P4571" s="27" t="str">
        <f t="shared" si="214"/>
        <v>verde</v>
      </c>
    </row>
    <row r="4572" spans="1:16" ht="38.25">
      <c r="A4572" s="3" t="s">
        <v>7069</v>
      </c>
      <c r="B4572" s="3" t="s">
        <v>7070</v>
      </c>
      <c r="C4572" s="4">
        <v>371</v>
      </c>
      <c r="D4572" s="3" t="s">
        <v>82</v>
      </c>
      <c r="E4572" s="3" t="s">
        <v>49</v>
      </c>
      <c r="F4572" s="5">
        <v>102</v>
      </c>
      <c r="G4572" s="5">
        <v>60</v>
      </c>
      <c r="H4572" s="6">
        <v>4771.68</v>
      </c>
      <c r="I4572" s="22">
        <v>2893.62</v>
      </c>
      <c r="J4572" s="24">
        <f t="shared" si="213"/>
        <v>2.0050245820404047E-5</v>
      </c>
      <c r="K4572" s="25">
        <f t="shared" si="215"/>
        <v>0.99706331925385772</v>
      </c>
      <c r="L4572" s="26" t="s">
        <v>7518</v>
      </c>
      <c r="M4572" s="28"/>
      <c r="N4572" s="28"/>
      <c r="O4572" s="20" t="s">
        <v>7530</v>
      </c>
      <c r="P4572" s="27" t="str">
        <f t="shared" si="214"/>
        <v>vermelho</v>
      </c>
    </row>
    <row r="4573" spans="1:16" ht="38.25">
      <c r="A4573" s="3" t="s">
        <v>4</v>
      </c>
      <c r="B4573" s="3" t="s">
        <v>3500</v>
      </c>
      <c r="C4573" s="4">
        <v>34</v>
      </c>
      <c r="D4573" s="3" t="s">
        <v>54</v>
      </c>
      <c r="E4573" s="3" t="s">
        <v>49</v>
      </c>
      <c r="F4573" s="5">
        <v>0</v>
      </c>
      <c r="G4573" s="5">
        <v>48</v>
      </c>
      <c r="H4573" s="6">
        <v>0</v>
      </c>
      <c r="I4573" s="22">
        <v>2891.52</v>
      </c>
      <c r="J4573" s="24">
        <f t="shared" si="213"/>
        <v>2.003569466433558E-5</v>
      </c>
      <c r="K4573" s="25">
        <f t="shared" si="215"/>
        <v>0.99708335494852207</v>
      </c>
      <c r="L4573" s="26" t="s">
        <v>7518</v>
      </c>
      <c r="M4573" s="28"/>
      <c r="N4573" s="28"/>
      <c r="O4573" s="20" t="s">
        <v>7530</v>
      </c>
      <c r="P4573" s="27" t="str">
        <f t="shared" si="214"/>
        <v>vermelho</v>
      </c>
    </row>
    <row r="4574" spans="1:16" ht="25.5">
      <c r="A4574" s="3" t="s">
        <v>4</v>
      </c>
      <c r="B4574" s="3" t="s">
        <v>3501</v>
      </c>
      <c r="C4574" s="4">
        <v>273</v>
      </c>
      <c r="D4574" s="3" t="s">
        <v>149</v>
      </c>
      <c r="E4574" s="3" t="s">
        <v>16</v>
      </c>
      <c r="F4574" s="5">
        <v>351</v>
      </c>
      <c r="G4574" s="5">
        <v>59</v>
      </c>
      <c r="H4574" s="6">
        <v>16748.97</v>
      </c>
      <c r="I4574" s="22">
        <v>2883.34</v>
      </c>
      <c r="J4574" s="24">
        <f t="shared" si="213"/>
        <v>1.9979014446887916E-5</v>
      </c>
      <c r="K4574" s="25">
        <f t="shared" si="215"/>
        <v>0.99710333396296891</v>
      </c>
      <c r="L4574" s="26" t="s">
        <v>7518</v>
      </c>
      <c r="M4574" s="28"/>
      <c r="N4574" s="28">
        <v>5.2928338080448362E-2</v>
      </c>
      <c r="O4574" s="20">
        <v>12943.2</v>
      </c>
      <c r="P4574" s="27" t="str">
        <f t="shared" si="214"/>
        <v>verde</v>
      </c>
    </row>
    <row r="4575" spans="1:16" ht="25.5">
      <c r="A4575" s="3" t="s">
        <v>4</v>
      </c>
      <c r="B4575" s="3" t="s">
        <v>3502</v>
      </c>
      <c r="C4575" s="4">
        <v>267</v>
      </c>
      <c r="D4575" s="3" t="s">
        <v>125</v>
      </c>
      <c r="E4575" s="3" t="s">
        <v>16</v>
      </c>
      <c r="F4575" s="5">
        <v>66</v>
      </c>
      <c r="G4575" s="5">
        <v>60</v>
      </c>
      <c r="H4575" s="6">
        <v>2869.02</v>
      </c>
      <c r="I4575" s="22">
        <v>2879.4</v>
      </c>
      <c r="J4575" s="24">
        <f t="shared" si="213"/>
        <v>1.995171370645469E-5</v>
      </c>
      <c r="K4575" s="25">
        <f t="shared" si="215"/>
        <v>0.99712328567667541</v>
      </c>
      <c r="L4575" s="26" t="s">
        <v>7518</v>
      </c>
      <c r="M4575" s="28"/>
      <c r="N4575" s="28"/>
      <c r="O4575" s="20" t="s">
        <v>7530</v>
      </c>
      <c r="P4575" s="27" t="str">
        <f t="shared" si="214"/>
        <v>vermelho</v>
      </c>
    </row>
    <row r="4576" spans="1:16" ht="25.5">
      <c r="A4576" s="3" t="s">
        <v>4</v>
      </c>
      <c r="B4576" s="3" t="s">
        <v>3503</v>
      </c>
      <c r="C4576" s="4">
        <v>194</v>
      </c>
      <c r="D4576" s="3" t="s">
        <v>145</v>
      </c>
      <c r="E4576" s="3" t="s">
        <v>16</v>
      </c>
      <c r="F4576" s="5">
        <v>108</v>
      </c>
      <c r="G4576" s="5">
        <v>48</v>
      </c>
      <c r="H4576" s="6">
        <v>5781.84</v>
      </c>
      <c r="I4576" s="22">
        <v>2879.16</v>
      </c>
      <c r="J4576" s="24">
        <f t="shared" si="213"/>
        <v>1.9950050717189722E-5</v>
      </c>
      <c r="K4576" s="25">
        <f t="shared" si="215"/>
        <v>0.99714323572739261</v>
      </c>
      <c r="L4576" s="26" t="s">
        <v>7518</v>
      </c>
      <c r="M4576" s="28"/>
      <c r="N4576" s="28"/>
      <c r="O4576" s="20" t="s">
        <v>7530</v>
      </c>
      <c r="P4576" s="27" t="str">
        <f t="shared" si="214"/>
        <v>vermelho</v>
      </c>
    </row>
    <row r="4577" spans="1:16" ht="38.25">
      <c r="A4577" s="3" t="s">
        <v>4</v>
      </c>
      <c r="B4577" s="3" t="s">
        <v>3504</v>
      </c>
      <c r="C4577" s="4">
        <v>334</v>
      </c>
      <c r="D4577" s="3" t="s">
        <v>531</v>
      </c>
      <c r="E4577" s="3" t="s">
        <v>7</v>
      </c>
      <c r="F4577" s="5">
        <v>0</v>
      </c>
      <c r="G4577" s="5">
        <v>72</v>
      </c>
      <c r="H4577" s="6">
        <v>0</v>
      </c>
      <c r="I4577" s="22">
        <v>2876.33</v>
      </c>
      <c r="J4577" s="24">
        <f t="shared" si="213"/>
        <v>1.9930441302106973E-5</v>
      </c>
      <c r="K4577" s="25">
        <f t="shared" si="215"/>
        <v>0.99716316616869471</v>
      </c>
      <c r="L4577" s="26" t="s">
        <v>7518</v>
      </c>
      <c r="M4577" s="28"/>
      <c r="N4577" s="28"/>
      <c r="O4577" s="20" t="s">
        <v>7530</v>
      </c>
      <c r="P4577" s="27" t="str">
        <f t="shared" si="214"/>
        <v>vermelho</v>
      </c>
    </row>
    <row r="4578" spans="1:16" ht="25.5">
      <c r="A4578" s="3" t="s">
        <v>4</v>
      </c>
      <c r="B4578" s="3" t="s">
        <v>3505</v>
      </c>
      <c r="C4578" s="4">
        <v>273</v>
      </c>
      <c r="D4578" s="3" t="s">
        <v>149</v>
      </c>
      <c r="E4578" s="3" t="s">
        <v>16</v>
      </c>
      <c r="F4578" s="5">
        <v>0</v>
      </c>
      <c r="G4578" s="5">
        <v>48</v>
      </c>
      <c r="H4578" s="6">
        <v>0</v>
      </c>
      <c r="I4578" s="22">
        <v>2876.2179999999998</v>
      </c>
      <c r="J4578" s="24">
        <f t="shared" si="213"/>
        <v>1.9929665240449988E-5</v>
      </c>
      <c r="K4578" s="25">
        <f t="shared" si="215"/>
        <v>0.99718309583393516</v>
      </c>
      <c r="L4578" s="26" t="s">
        <v>7518</v>
      </c>
      <c r="M4578" s="28"/>
      <c r="N4578" s="28"/>
      <c r="O4578" s="20" t="s">
        <v>7530</v>
      </c>
      <c r="P4578" s="27" t="str">
        <f t="shared" si="214"/>
        <v>vermelho</v>
      </c>
    </row>
    <row r="4579" spans="1:16">
      <c r="A4579" s="3" t="s">
        <v>4</v>
      </c>
      <c r="B4579" s="3" t="s">
        <v>3506</v>
      </c>
      <c r="C4579" s="4">
        <v>231</v>
      </c>
      <c r="D4579" s="3" t="s">
        <v>52</v>
      </c>
      <c r="E4579" s="3" t="s">
        <v>7</v>
      </c>
      <c r="F4579" s="5">
        <v>246</v>
      </c>
      <c r="G4579" s="5">
        <v>84</v>
      </c>
      <c r="H4579" s="6">
        <v>13272.012000000001</v>
      </c>
      <c r="I4579" s="22">
        <v>2876.16</v>
      </c>
      <c r="J4579" s="24">
        <f t="shared" si="213"/>
        <v>1.992926335137762E-5</v>
      </c>
      <c r="K4579" s="25">
        <f t="shared" si="215"/>
        <v>0.99720302509728653</v>
      </c>
      <c r="L4579" s="26" t="s">
        <v>7518</v>
      </c>
      <c r="M4579" s="28"/>
      <c r="N4579" s="28"/>
      <c r="O4579" s="20" t="s">
        <v>7530</v>
      </c>
      <c r="P4579" s="27" t="str">
        <f t="shared" si="214"/>
        <v>vermelho</v>
      </c>
    </row>
    <row r="4580" spans="1:16" ht="38.25">
      <c r="A4580" s="3" t="s">
        <v>4</v>
      </c>
      <c r="B4580" s="3" t="s">
        <v>3507</v>
      </c>
      <c r="C4580" s="4">
        <v>292</v>
      </c>
      <c r="D4580" s="3" t="s">
        <v>57</v>
      </c>
      <c r="E4580" s="3" t="s">
        <v>49</v>
      </c>
      <c r="F4580" s="5">
        <v>0</v>
      </c>
      <c r="G4580" s="5">
        <v>96</v>
      </c>
      <c r="H4580" s="6">
        <v>0</v>
      </c>
      <c r="I4580" s="22">
        <v>2876.16</v>
      </c>
      <c r="J4580" s="24">
        <f t="shared" si="213"/>
        <v>1.992926335137762E-5</v>
      </c>
      <c r="K4580" s="25">
        <f t="shared" si="215"/>
        <v>0.9972229543606379</v>
      </c>
      <c r="L4580" s="26" t="s">
        <v>7518</v>
      </c>
      <c r="M4580" s="28"/>
      <c r="N4580" s="28"/>
      <c r="O4580" s="20" t="s">
        <v>7530</v>
      </c>
      <c r="P4580" s="27" t="str">
        <f t="shared" si="214"/>
        <v>vermelho</v>
      </c>
    </row>
    <row r="4581" spans="1:16" ht="25.5">
      <c r="A4581" s="3" t="s">
        <v>4</v>
      </c>
      <c r="B4581" s="3" t="s">
        <v>3508</v>
      </c>
      <c r="C4581" s="4">
        <v>327</v>
      </c>
      <c r="D4581" s="3" t="s">
        <v>100</v>
      </c>
      <c r="E4581" s="3" t="s">
        <v>7</v>
      </c>
      <c r="F4581" s="5">
        <v>0</v>
      </c>
      <c r="G4581" s="5">
        <v>48</v>
      </c>
      <c r="H4581" s="6">
        <v>0</v>
      </c>
      <c r="I4581" s="22">
        <v>2876.16</v>
      </c>
      <c r="J4581" s="24">
        <f t="shared" si="213"/>
        <v>1.992926335137762E-5</v>
      </c>
      <c r="K4581" s="25">
        <f t="shared" si="215"/>
        <v>0.99724288362398927</v>
      </c>
      <c r="L4581" s="26" t="s">
        <v>7518</v>
      </c>
      <c r="M4581" s="28"/>
      <c r="N4581" s="28"/>
      <c r="O4581" s="20" t="s">
        <v>7530</v>
      </c>
      <c r="P4581" s="27" t="str">
        <f t="shared" si="214"/>
        <v>vermelho</v>
      </c>
    </row>
    <row r="4582" spans="1:16" ht="25.5">
      <c r="A4582" s="3" t="s">
        <v>7071</v>
      </c>
      <c r="B4582" s="3" t="s">
        <v>7072</v>
      </c>
      <c r="C4582" s="4">
        <v>273</v>
      </c>
      <c r="D4582" s="3" t="s">
        <v>149</v>
      </c>
      <c r="E4582" s="3" t="s">
        <v>16</v>
      </c>
      <c r="F4582" s="5">
        <v>0</v>
      </c>
      <c r="G4582" s="5">
        <v>54</v>
      </c>
      <c r="H4582" s="6">
        <v>0</v>
      </c>
      <c r="I4582" s="22">
        <v>2876.04</v>
      </c>
      <c r="J4582" s="24">
        <f t="shared" si="213"/>
        <v>1.9928431856745137E-5</v>
      </c>
      <c r="K4582" s="25">
        <f t="shared" si="215"/>
        <v>0.99726281205584599</v>
      </c>
      <c r="L4582" s="26" t="s">
        <v>7518</v>
      </c>
      <c r="M4582" s="28"/>
      <c r="N4582" s="28"/>
      <c r="O4582" s="20" t="s">
        <v>7530</v>
      </c>
      <c r="P4582" s="27" t="str">
        <f t="shared" si="214"/>
        <v>vermelho</v>
      </c>
    </row>
    <row r="4583" spans="1:16">
      <c r="A4583" s="3" t="s">
        <v>4</v>
      </c>
      <c r="B4583" s="3" t="s">
        <v>3509</v>
      </c>
      <c r="C4583" s="4">
        <v>334</v>
      </c>
      <c r="D4583" s="3" t="s">
        <v>531</v>
      </c>
      <c r="E4583" s="3" t="s">
        <v>7</v>
      </c>
      <c r="F4583" s="5">
        <v>60</v>
      </c>
      <c r="G4583" s="5">
        <v>72</v>
      </c>
      <c r="H4583" s="6">
        <v>3404.04</v>
      </c>
      <c r="I4583" s="22">
        <v>2873.28</v>
      </c>
      <c r="J4583" s="24">
        <f t="shared" si="213"/>
        <v>1.9909307480198006E-5</v>
      </c>
      <c r="K4583" s="25">
        <f t="shared" si="215"/>
        <v>0.99728272136332619</v>
      </c>
      <c r="L4583" s="26" t="s">
        <v>7518</v>
      </c>
      <c r="M4583" s="28">
        <v>1.862262872770926E-2</v>
      </c>
      <c r="N4583" s="28"/>
      <c r="O4583" s="20" t="s">
        <v>7530</v>
      </c>
      <c r="P4583" s="27" t="str">
        <f t="shared" si="214"/>
        <v>vermelho</v>
      </c>
    </row>
    <row r="4584" spans="1:16" ht="25.5">
      <c r="A4584" s="3" t="s">
        <v>4</v>
      </c>
      <c r="B4584" s="3" t="s">
        <v>3510</v>
      </c>
      <c r="C4584" s="4">
        <v>218</v>
      </c>
      <c r="D4584" s="3" t="s">
        <v>104</v>
      </c>
      <c r="E4584" s="3" t="s">
        <v>16</v>
      </c>
      <c r="F4584" s="5">
        <v>0</v>
      </c>
      <c r="G4584" s="5">
        <v>60</v>
      </c>
      <c r="H4584" s="6">
        <v>0</v>
      </c>
      <c r="I4584" s="22">
        <v>2871</v>
      </c>
      <c r="J4584" s="24">
        <f t="shared" si="213"/>
        <v>1.9893509082180807E-5</v>
      </c>
      <c r="K4584" s="25">
        <f t="shared" si="215"/>
        <v>0.99730261487240834</v>
      </c>
      <c r="L4584" s="26" t="s">
        <v>7518</v>
      </c>
      <c r="M4584" s="28"/>
      <c r="N4584" s="28"/>
      <c r="O4584" s="20" t="s">
        <v>7530</v>
      </c>
      <c r="P4584" s="27" t="str">
        <f t="shared" si="214"/>
        <v>vermelho</v>
      </c>
    </row>
    <row r="4585" spans="1:16" ht="25.5">
      <c r="A4585" s="3" t="s">
        <v>4</v>
      </c>
      <c r="B4585" s="3" t="s">
        <v>3511</v>
      </c>
      <c r="C4585" s="4">
        <v>273</v>
      </c>
      <c r="D4585" s="3" t="s">
        <v>149</v>
      </c>
      <c r="E4585" s="3" t="s">
        <v>16</v>
      </c>
      <c r="F4585" s="5">
        <v>0</v>
      </c>
      <c r="G4585" s="5">
        <v>60</v>
      </c>
      <c r="H4585" s="6">
        <v>0</v>
      </c>
      <c r="I4585" s="22">
        <v>2867.4</v>
      </c>
      <c r="J4585" s="24">
        <f t="shared" si="213"/>
        <v>1.9868564243206286E-5</v>
      </c>
      <c r="K4585" s="25">
        <f t="shared" si="215"/>
        <v>0.99732248343665153</v>
      </c>
      <c r="L4585" s="26" t="s">
        <v>7518</v>
      </c>
      <c r="M4585" s="28"/>
      <c r="N4585" s="28"/>
      <c r="O4585" s="20" t="s">
        <v>7530</v>
      </c>
      <c r="P4585" s="27" t="str">
        <f t="shared" si="214"/>
        <v>vermelho</v>
      </c>
    </row>
    <row r="4586" spans="1:16" ht="25.5">
      <c r="A4586" s="3" t="s">
        <v>4</v>
      </c>
      <c r="B4586" s="3" t="s">
        <v>3512</v>
      </c>
      <c r="C4586" s="4">
        <v>299</v>
      </c>
      <c r="D4586" s="3" t="s">
        <v>111</v>
      </c>
      <c r="E4586" s="3" t="s">
        <v>49</v>
      </c>
      <c r="F4586" s="5">
        <v>0</v>
      </c>
      <c r="G4586" s="5">
        <v>54</v>
      </c>
      <c r="H4586" s="6">
        <v>0</v>
      </c>
      <c r="I4586" s="22">
        <v>2860.83</v>
      </c>
      <c r="J4586" s="24">
        <f t="shared" si="213"/>
        <v>1.9823039912077783E-5</v>
      </c>
      <c r="K4586" s="25">
        <f t="shared" si="215"/>
        <v>0.99734230647656363</v>
      </c>
      <c r="L4586" s="26" t="s">
        <v>7518</v>
      </c>
      <c r="M4586" s="28"/>
      <c r="N4586" s="28"/>
      <c r="O4586" s="20" t="s">
        <v>7530</v>
      </c>
      <c r="P4586" s="27" t="str">
        <f t="shared" si="214"/>
        <v>vermelho</v>
      </c>
    </row>
    <row r="4587" spans="1:16" ht="25.5">
      <c r="A4587" s="3" t="s">
        <v>4</v>
      </c>
      <c r="B4587" s="3" t="s">
        <v>3513</v>
      </c>
      <c r="C4587" s="4">
        <v>273</v>
      </c>
      <c r="D4587" s="3" t="s">
        <v>149</v>
      </c>
      <c r="E4587" s="3" t="s">
        <v>16</v>
      </c>
      <c r="F4587" s="5">
        <v>0</v>
      </c>
      <c r="G4587" s="5">
        <v>48</v>
      </c>
      <c r="H4587" s="6">
        <v>0</v>
      </c>
      <c r="I4587" s="22">
        <v>2858.88</v>
      </c>
      <c r="J4587" s="24">
        <f t="shared" si="213"/>
        <v>1.9809528124299917E-5</v>
      </c>
      <c r="K4587" s="25">
        <f t="shared" si="215"/>
        <v>0.99736211600468794</v>
      </c>
      <c r="L4587" s="26" t="s">
        <v>7518</v>
      </c>
      <c r="M4587" s="28"/>
      <c r="N4587" s="28"/>
      <c r="O4587" s="20" t="s">
        <v>7530</v>
      </c>
      <c r="P4587" s="27" t="str">
        <f t="shared" si="214"/>
        <v>vermelho</v>
      </c>
    </row>
    <row r="4588" spans="1:16" ht="25.5">
      <c r="A4588" s="3" t="s">
        <v>4</v>
      </c>
      <c r="B4588" s="3" t="s">
        <v>3514</v>
      </c>
      <c r="C4588" s="4">
        <v>296</v>
      </c>
      <c r="D4588" s="3" t="s">
        <v>282</v>
      </c>
      <c r="E4588" s="3" t="s">
        <v>10</v>
      </c>
      <c r="F4588" s="5">
        <v>144</v>
      </c>
      <c r="G4588" s="5">
        <v>59</v>
      </c>
      <c r="H4588" s="6">
        <v>6590.28</v>
      </c>
      <c r="I4588" s="22">
        <v>2856.09</v>
      </c>
      <c r="J4588" s="24">
        <f t="shared" si="213"/>
        <v>1.9790195874094666E-5</v>
      </c>
      <c r="K4588" s="25">
        <f t="shared" si="215"/>
        <v>0.997381906200562</v>
      </c>
      <c r="L4588" s="26" t="s">
        <v>7518</v>
      </c>
      <c r="M4588" s="28"/>
      <c r="N4588" s="28"/>
      <c r="O4588" s="20" t="s">
        <v>7530</v>
      </c>
      <c r="P4588" s="27" t="str">
        <f t="shared" si="214"/>
        <v>vermelho</v>
      </c>
    </row>
    <row r="4589" spans="1:16" ht="25.5">
      <c r="A4589" s="3" t="s">
        <v>4</v>
      </c>
      <c r="B4589" s="3" t="s">
        <v>3515</v>
      </c>
      <c r="C4589" s="4">
        <v>327</v>
      </c>
      <c r="D4589" s="3" t="s">
        <v>100</v>
      </c>
      <c r="E4589" s="3" t="s">
        <v>7</v>
      </c>
      <c r="F4589" s="5">
        <v>0</v>
      </c>
      <c r="G4589" s="5">
        <v>48</v>
      </c>
      <c r="H4589" s="6">
        <v>0</v>
      </c>
      <c r="I4589" s="22">
        <v>2855.52</v>
      </c>
      <c r="J4589" s="24">
        <f t="shared" si="213"/>
        <v>1.9786246274590365E-5</v>
      </c>
      <c r="K4589" s="25">
        <f t="shared" si="215"/>
        <v>0.99740169244683663</v>
      </c>
      <c r="L4589" s="26" t="s">
        <v>7518</v>
      </c>
      <c r="M4589" s="28"/>
      <c r="N4589" s="28"/>
      <c r="O4589" s="20" t="s">
        <v>7530</v>
      </c>
      <c r="P4589" s="27" t="str">
        <f t="shared" si="214"/>
        <v>vermelho</v>
      </c>
    </row>
    <row r="4590" spans="1:16" ht="25.5">
      <c r="A4590" s="3" t="s">
        <v>4</v>
      </c>
      <c r="B4590" s="3" t="s">
        <v>3516</v>
      </c>
      <c r="C4590" s="4">
        <v>264</v>
      </c>
      <c r="D4590" s="3" t="s">
        <v>40</v>
      </c>
      <c r="E4590" s="3" t="s">
        <v>41</v>
      </c>
      <c r="F4590" s="5">
        <v>36</v>
      </c>
      <c r="G4590" s="5">
        <v>70</v>
      </c>
      <c r="H4590" s="6">
        <v>2035.08</v>
      </c>
      <c r="I4590" s="22">
        <v>2854.44</v>
      </c>
      <c r="J4590" s="24">
        <f t="shared" si="213"/>
        <v>1.9778762822898008E-5</v>
      </c>
      <c r="K4590" s="25">
        <f t="shared" si="215"/>
        <v>0.99742147120965952</v>
      </c>
      <c r="L4590" s="26" t="s">
        <v>7518</v>
      </c>
      <c r="M4590" s="28"/>
      <c r="N4590" s="28"/>
      <c r="O4590" s="20" t="s">
        <v>7530</v>
      </c>
      <c r="P4590" s="27" t="str">
        <f t="shared" si="214"/>
        <v>vermelho</v>
      </c>
    </row>
    <row r="4591" spans="1:16">
      <c r="A4591" s="3" t="s">
        <v>4</v>
      </c>
      <c r="B4591" s="3" t="s">
        <v>3517</v>
      </c>
      <c r="C4591" s="4">
        <v>264</v>
      </c>
      <c r="D4591" s="3" t="s">
        <v>40</v>
      </c>
      <c r="E4591" s="3" t="s">
        <v>41</v>
      </c>
      <c r="F4591" s="5">
        <v>0</v>
      </c>
      <c r="G4591" s="5">
        <v>96</v>
      </c>
      <c r="H4591" s="6">
        <v>0</v>
      </c>
      <c r="I4591" s="22">
        <v>2854.27</v>
      </c>
      <c r="J4591" s="24">
        <f t="shared" si="213"/>
        <v>1.9777584872168655E-5</v>
      </c>
      <c r="K4591" s="25">
        <f t="shared" si="215"/>
        <v>0.99744124879453167</v>
      </c>
      <c r="L4591" s="26" t="s">
        <v>7518</v>
      </c>
      <c r="M4591" s="28"/>
      <c r="N4591" s="28"/>
      <c r="O4591" s="20" t="s">
        <v>7530</v>
      </c>
      <c r="P4591" s="27" t="str">
        <f t="shared" si="214"/>
        <v>vermelho</v>
      </c>
    </row>
    <row r="4592" spans="1:16">
      <c r="A4592" s="3" t="s">
        <v>7073</v>
      </c>
      <c r="B4592" s="3" t="s">
        <v>7074</v>
      </c>
      <c r="C4592" s="4">
        <v>240</v>
      </c>
      <c r="D4592" s="3" t="s">
        <v>69</v>
      </c>
      <c r="E4592" s="3" t="s">
        <v>16</v>
      </c>
      <c r="F4592" s="5">
        <v>60</v>
      </c>
      <c r="G4592" s="5">
        <v>60</v>
      </c>
      <c r="H4592" s="6">
        <v>3937.92</v>
      </c>
      <c r="I4592" s="22">
        <v>2851.32</v>
      </c>
      <c r="J4592" s="24">
        <f t="shared" si="213"/>
        <v>1.9757143962453423E-5</v>
      </c>
      <c r="K4592" s="25">
        <f t="shared" si="215"/>
        <v>0.99746100593849407</v>
      </c>
      <c r="L4592" s="26" t="s">
        <v>7518</v>
      </c>
      <c r="M4592" s="28"/>
      <c r="N4592" s="28"/>
      <c r="O4592" s="20">
        <v>3616.68</v>
      </c>
      <c r="P4592" s="27" t="str">
        <f t="shared" si="214"/>
        <v>verde</v>
      </c>
    </row>
    <row r="4593" spans="1:16" ht="25.5">
      <c r="A4593" s="3" t="s">
        <v>4</v>
      </c>
      <c r="B4593" s="3" t="s">
        <v>3518</v>
      </c>
      <c r="C4593" s="4">
        <v>187</v>
      </c>
      <c r="D4593" s="3" t="s">
        <v>96</v>
      </c>
      <c r="E4593" s="3" t="s">
        <v>7</v>
      </c>
      <c r="F4593" s="5">
        <v>66</v>
      </c>
      <c r="G4593" s="5">
        <v>42</v>
      </c>
      <c r="H4593" s="6">
        <v>4502.34</v>
      </c>
      <c r="I4593" s="22">
        <v>2849.64</v>
      </c>
      <c r="J4593" s="24">
        <f t="shared" si="213"/>
        <v>1.9745503037598645E-5</v>
      </c>
      <c r="K4593" s="25">
        <f t="shared" si="215"/>
        <v>0.9974807514415317</v>
      </c>
      <c r="L4593" s="26" t="s">
        <v>7518</v>
      </c>
      <c r="M4593" s="28"/>
      <c r="N4593" s="28"/>
      <c r="O4593" s="20" t="s">
        <v>7530</v>
      </c>
      <c r="P4593" s="27" t="str">
        <f t="shared" si="214"/>
        <v>vermelho</v>
      </c>
    </row>
    <row r="4594" spans="1:16" ht="25.5">
      <c r="A4594" s="3" t="s">
        <v>4</v>
      </c>
      <c r="B4594" s="3" t="s">
        <v>3519</v>
      </c>
      <c r="C4594" s="4">
        <v>74</v>
      </c>
      <c r="D4594" s="3" t="s">
        <v>6</v>
      </c>
      <c r="E4594" s="3" t="s">
        <v>7</v>
      </c>
      <c r="F4594" s="5">
        <v>252</v>
      </c>
      <c r="G4594" s="5">
        <v>72</v>
      </c>
      <c r="H4594" s="6">
        <v>9198.48</v>
      </c>
      <c r="I4594" s="22">
        <v>2846.52</v>
      </c>
      <c r="J4594" s="24">
        <f t="shared" si="213"/>
        <v>1.972388417715406E-5</v>
      </c>
      <c r="K4594" s="25">
        <f t="shared" si="215"/>
        <v>0.99750047532570885</v>
      </c>
      <c r="L4594" s="26" t="s">
        <v>7518</v>
      </c>
      <c r="M4594" s="28"/>
      <c r="N4594" s="28"/>
      <c r="O4594" s="20" t="s">
        <v>7530</v>
      </c>
      <c r="P4594" s="27" t="str">
        <f t="shared" si="214"/>
        <v>vermelho</v>
      </c>
    </row>
    <row r="4595" spans="1:16" ht="25.5">
      <c r="A4595" s="3" t="s">
        <v>4</v>
      </c>
      <c r="B4595" s="3" t="s">
        <v>3520</v>
      </c>
      <c r="C4595" s="4">
        <v>316</v>
      </c>
      <c r="D4595" s="3" t="s">
        <v>247</v>
      </c>
      <c r="E4595" s="3" t="s">
        <v>10</v>
      </c>
      <c r="F4595" s="5">
        <v>0</v>
      </c>
      <c r="G4595" s="5">
        <v>60</v>
      </c>
      <c r="H4595" s="6">
        <v>0</v>
      </c>
      <c r="I4595" s="22">
        <v>2842.08</v>
      </c>
      <c r="J4595" s="24">
        <f t="shared" si="213"/>
        <v>1.969311887575215E-5</v>
      </c>
      <c r="K4595" s="25">
        <f t="shared" si="215"/>
        <v>0.99752016844458458</v>
      </c>
      <c r="L4595" s="26" t="s">
        <v>7518</v>
      </c>
      <c r="M4595" s="28"/>
      <c r="N4595" s="28"/>
      <c r="O4595" s="20" t="s">
        <v>7530</v>
      </c>
      <c r="P4595" s="27" t="str">
        <f t="shared" si="214"/>
        <v>vermelho</v>
      </c>
    </row>
    <row r="4596" spans="1:16" ht="25.5">
      <c r="A4596" s="3" t="s">
        <v>4</v>
      </c>
      <c r="B4596" s="3" t="s">
        <v>3521</v>
      </c>
      <c r="C4596" s="4">
        <v>273</v>
      </c>
      <c r="D4596" s="3" t="s">
        <v>149</v>
      </c>
      <c r="E4596" s="3" t="s">
        <v>16</v>
      </c>
      <c r="F4596" s="5">
        <v>0</v>
      </c>
      <c r="G4596" s="5">
        <v>36</v>
      </c>
      <c r="H4596" s="6">
        <v>0</v>
      </c>
      <c r="I4596" s="22">
        <v>2838.96</v>
      </c>
      <c r="J4596" s="24">
        <f t="shared" si="213"/>
        <v>1.9671500015307565E-5</v>
      </c>
      <c r="K4596" s="25">
        <f t="shared" si="215"/>
        <v>0.99753983994459994</v>
      </c>
      <c r="L4596" s="26" t="s">
        <v>7518</v>
      </c>
      <c r="M4596" s="28"/>
      <c r="N4596" s="28"/>
      <c r="O4596" s="20" t="s">
        <v>7530</v>
      </c>
      <c r="P4596" s="27" t="str">
        <f t="shared" si="214"/>
        <v>vermelho</v>
      </c>
    </row>
    <row r="4597" spans="1:16" ht="25.5">
      <c r="A4597" s="3" t="s">
        <v>4</v>
      </c>
      <c r="B4597" s="3" t="s">
        <v>3522</v>
      </c>
      <c r="C4597" s="4">
        <v>261</v>
      </c>
      <c r="D4597" s="3" t="s">
        <v>9</v>
      </c>
      <c r="E4597" s="3" t="s">
        <v>10</v>
      </c>
      <c r="F4597" s="5">
        <v>0</v>
      </c>
      <c r="G4597" s="5">
        <v>51</v>
      </c>
      <c r="H4597" s="6">
        <v>0</v>
      </c>
      <c r="I4597" s="22">
        <v>2832.66</v>
      </c>
      <c r="J4597" s="24">
        <f t="shared" si="213"/>
        <v>1.9627846547102153E-5</v>
      </c>
      <c r="K4597" s="25">
        <f t="shared" si="215"/>
        <v>0.99755946779114701</v>
      </c>
      <c r="L4597" s="26" t="s">
        <v>7518</v>
      </c>
      <c r="M4597" s="28"/>
      <c r="N4597" s="28"/>
      <c r="O4597" s="20" t="s">
        <v>7530</v>
      </c>
      <c r="P4597" s="27" t="str">
        <f t="shared" si="214"/>
        <v>vermelho</v>
      </c>
    </row>
    <row r="4598" spans="1:16" ht="38.25">
      <c r="A4598" s="3" t="s">
        <v>7075</v>
      </c>
      <c r="B4598" s="3" t="s">
        <v>7076</v>
      </c>
      <c r="C4598" s="4">
        <v>143</v>
      </c>
      <c r="D4598" s="3" t="s">
        <v>44</v>
      </c>
      <c r="E4598" s="3" t="s">
        <v>41</v>
      </c>
      <c r="F4598" s="5">
        <v>3396</v>
      </c>
      <c r="G4598" s="5">
        <v>48</v>
      </c>
      <c r="H4598" s="6">
        <v>205895.7</v>
      </c>
      <c r="I4598" s="22">
        <v>2831.52</v>
      </c>
      <c r="J4598" s="24">
        <f t="shared" si="213"/>
        <v>1.9619947348093557E-5</v>
      </c>
      <c r="K4598" s="25">
        <f t="shared" si="215"/>
        <v>0.99757908773849513</v>
      </c>
      <c r="L4598" s="26" t="s">
        <v>7518</v>
      </c>
      <c r="M4598" s="28"/>
      <c r="N4598" s="28"/>
      <c r="O4598" s="20" t="s">
        <v>7530</v>
      </c>
      <c r="P4598" s="27" t="str">
        <f t="shared" si="214"/>
        <v>vermelho</v>
      </c>
    </row>
    <row r="4599" spans="1:16" ht="25.5">
      <c r="A4599" s="3" t="s">
        <v>4</v>
      </c>
      <c r="B4599" s="3" t="s">
        <v>3523</v>
      </c>
      <c r="C4599" s="4">
        <v>266</v>
      </c>
      <c r="D4599" s="3" t="s">
        <v>80</v>
      </c>
      <c r="E4599" s="3" t="s">
        <v>10</v>
      </c>
      <c r="F4599" s="5">
        <v>0</v>
      </c>
      <c r="G4599" s="5">
        <v>96</v>
      </c>
      <c r="H4599" s="6">
        <v>0</v>
      </c>
      <c r="I4599" s="22">
        <v>2823.66</v>
      </c>
      <c r="J4599" s="24">
        <f t="shared" si="213"/>
        <v>1.9565484449665848E-5</v>
      </c>
      <c r="K4599" s="25">
        <f t="shared" si="215"/>
        <v>0.99759865322294483</v>
      </c>
      <c r="L4599" s="26" t="s">
        <v>7518</v>
      </c>
      <c r="M4599" s="28"/>
      <c r="N4599" s="28"/>
      <c r="O4599" s="20" t="s">
        <v>7530</v>
      </c>
      <c r="P4599" s="27" t="str">
        <f t="shared" si="214"/>
        <v>vermelho</v>
      </c>
    </row>
    <row r="4600" spans="1:16" ht="25.5">
      <c r="A4600" s="3" t="s">
        <v>4</v>
      </c>
      <c r="B4600" s="3" t="s">
        <v>3524</v>
      </c>
      <c r="C4600" s="4">
        <v>320</v>
      </c>
      <c r="D4600" s="3" t="s">
        <v>218</v>
      </c>
      <c r="E4600" s="3" t="s">
        <v>49</v>
      </c>
      <c r="F4600" s="5">
        <v>0</v>
      </c>
      <c r="G4600" s="5">
        <v>60</v>
      </c>
      <c r="H4600" s="6">
        <v>0</v>
      </c>
      <c r="I4600" s="22">
        <v>2823.24</v>
      </c>
      <c r="J4600" s="24">
        <f t="shared" si="213"/>
        <v>1.9562574218452155E-5</v>
      </c>
      <c r="K4600" s="25">
        <f t="shared" si="215"/>
        <v>0.99761821579716325</v>
      </c>
      <c r="L4600" s="26" t="s">
        <v>7518</v>
      </c>
      <c r="M4600" s="28"/>
      <c r="N4600" s="28"/>
      <c r="O4600" s="20" t="s">
        <v>7530</v>
      </c>
      <c r="P4600" s="27" t="str">
        <f t="shared" si="214"/>
        <v>vermelho</v>
      </c>
    </row>
    <row r="4601" spans="1:16" ht="25.5">
      <c r="A4601" s="3" t="s">
        <v>4</v>
      </c>
      <c r="B4601" s="3" t="s">
        <v>3525</v>
      </c>
      <c r="C4601" s="4">
        <v>327</v>
      </c>
      <c r="D4601" s="3" t="s">
        <v>100</v>
      </c>
      <c r="E4601" s="3" t="s">
        <v>7</v>
      </c>
      <c r="F4601" s="5">
        <v>0</v>
      </c>
      <c r="G4601" s="5">
        <v>48</v>
      </c>
      <c r="H4601" s="6">
        <v>0</v>
      </c>
      <c r="I4601" s="22">
        <v>2823.12</v>
      </c>
      <c r="J4601" s="24">
        <f t="shared" si="213"/>
        <v>1.9561742723819673E-5</v>
      </c>
      <c r="K4601" s="25">
        <f t="shared" si="215"/>
        <v>0.99763777753988703</v>
      </c>
      <c r="L4601" s="26" t="s">
        <v>7518</v>
      </c>
      <c r="M4601" s="28"/>
      <c r="N4601" s="28"/>
      <c r="O4601" s="20" t="s">
        <v>7530</v>
      </c>
      <c r="P4601" s="27" t="str">
        <f t="shared" si="214"/>
        <v>vermelho</v>
      </c>
    </row>
    <row r="4602" spans="1:16" ht="25.5">
      <c r="A4602" s="3" t="s">
        <v>4</v>
      </c>
      <c r="B4602" s="3" t="s">
        <v>3526</v>
      </c>
      <c r="C4602" s="4">
        <v>93</v>
      </c>
      <c r="D4602" s="3" t="s">
        <v>20</v>
      </c>
      <c r="E4602" s="3" t="s">
        <v>7</v>
      </c>
      <c r="F4602" s="5">
        <v>0</v>
      </c>
      <c r="G4602" s="5">
        <v>48</v>
      </c>
      <c r="H4602" s="6">
        <v>0</v>
      </c>
      <c r="I4602" s="22">
        <v>2822.88</v>
      </c>
      <c r="J4602" s="24">
        <f t="shared" si="213"/>
        <v>1.9560079734554705E-5</v>
      </c>
      <c r="K4602" s="25">
        <f t="shared" si="215"/>
        <v>0.99765733761962161</v>
      </c>
      <c r="L4602" s="26" t="s">
        <v>7518</v>
      </c>
      <c r="M4602" s="28"/>
      <c r="N4602" s="28"/>
      <c r="O4602" s="20" t="s">
        <v>7530</v>
      </c>
      <c r="P4602" s="27" t="str">
        <f t="shared" si="214"/>
        <v>vermelho</v>
      </c>
    </row>
    <row r="4603" spans="1:16" ht="25.5">
      <c r="A4603" s="3" t="s">
        <v>7077</v>
      </c>
      <c r="B4603" s="3" t="s">
        <v>7078</v>
      </c>
      <c r="C4603" s="4">
        <v>302</v>
      </c>
      <c r="D4603" s="3" t="s">
        <v>293</v>
      </c>
      <c r="E4603" s="3" t="s">
        <v>49</v>
      </c>
      <c r="F4603" s="5">
        <v>0</v>
      </c>
      <c r="G4603" s="5">
        <v>48</v>
      </c>
      <c r="H4603" s="6">
        <v>0</v>
      </c>
      <c r="I4603" s="22">
        <v>2813.52</v>
      </c>
      <c r="J4603" s="24">
        <f t="shared" si="213"/>
        <v>1.9495223153220947E-5</v>
      </c>
      <c r="K4603" s="25">
        <f t="shared" si="215"/>
        <v>0.99767683284277486</v>
      </c>
      <c r="L4603" s="26" t="s">
        <v>7518</v>
      </c>
      <c r="M4603" s="28"/>
      <c r="N4603" s="28"/>
      <c r="O4603" s="20" t="s">
        <v>7530</v>
      </c>
      <c r="P4603" s="27" t="str">
        <f t="shared" si="214"/>
        <v>vermelho</v>
      </c>
    </row>
    <row r="4604" spans="1:16" ht="25.5">
      <c r="A4604" s="3" t="s">
        <v>4</v>
      </c>
      <c r="B4604" s="3" t="s">
        <v>3527</v>
      </c>
      <c r="C4604" s="4">
        <v>218</v>
      </c>
      <c r="D4604" s="3" t="s">
        <v>104</v>
      </c>
      <c r="E4604" s="3" t="s">
        <v>16</v>
      </c>
      <c r="F4604" s="5">
        <v>0</v>
      </c>
      <c r="G4604" s="5">
        <v>54</v>
      </c>
      <c r="H4604" s="6">
        <v>0</v>
      </c>
      <c r="I4604" s="22">
        <v>2807.46</v>
      </c>
      <c r="J4604" s="24">
        <f t="shared" si="213"/>
        <v>1.9453232674280506E-5</v>
      </c>
      <c r="K4604" s="25">
        <f t="shared" si="215"/>
        <v>0.99769628607544913</v>
      </c>
      <c r="L4604" s="26" t="s">
        <v>7518</v>
      </c>
      <c r="M4604" s="28"/>
      <c r="N4604" s="28"/>
      <c r="O4604" s="20" t="s">
        <v>7530</v>
      </c>
      <c r="P4604" s="27" t="str">
        <f t="shared" si="214"/>
        <v>vermelho</v>
      </c>
    </row>
    <row r="4605" spans="1:16" ht="38.25">
      <c r="A4605" s="3" t="s">
        <v>4</v>
      </c>
      <c r="B4605" s="3" t="s">
        <v>3528</v>
      </c>
      <c r="C4605" s="4">
        <v>45</v>
      </c>
      <c r="D4605" s="3" t="s">
        <v>23</v>
      </c>
      <c r="E4605" s="3" t="s">
        <v>7</v>
      </c>
      <c r="F4605" s="5">
        <v>96</v>
      </c>
      <c r="G4605" s="5">
        <v>48</v>
      </c>
      <c r="H4605" s="6">
        <v>6241.08</v>
      </c>
      <c r="I4605" s="22">
        <v>2795.52</v>
      </c>
      <c r="J4605" s="24">
        <f t="shared" si="213"/>
        <v>1.9370498958348342E-5</v>
      </c>
      <c r="K4605" s="25">
        <f t="shared" si="215"/>
        <v>0.99771565657440753</v>
      </c>
      <c r="L4605" s="26" t="s">
        <v>7518</v>
      </c>
      <c r="M4605" s="28"/>
      <c r="N4605" s="28"/>
      <c r="O4605" s="20">
        <v>3892.2</v>
      </c>
      <c r="P4605" s="27" t="str">
        <f t="shared" si="214"/>
        <v>verde</v>
      </c>
    </row>
    <row r="4606" spans="1:16" ht="38.25">
      <c r="A4606" s="3" t="s">
        <v>4</v>
      </c>
      <c r="B4606" s="3" t="s">
        <v>3529</v>
      </c>
      <c r="C4606" s="4">
        <v>11</v>
      </c>
      <c r="D4606" s="3" t="s">
        <v>61</v>
      </c>
      <c r="E4606" s="3" t="s">
        <v>10</v>
      </c>
      <c r="F4606" s="5">
        <v>0</v>
      </c>
      <c r="G4606" s="5">
        <v>54</v>
      </c>
      <c r="H4606" s="6">
        <v>0</v>
      </c>
      <c r="I4606" s="22">
        <v>2795.22</v>
      </c>
      <c r="J4606" s="24">
        <f t="shared" si="213"/>
        <v>1.9368420221767131E-5</v>
      </c>
      <c r="K4606" s="25">
        <f t="shared" si="215"/>
        <v>0.99773502499462929</v>
      </c>
      <c r="L4606" s="26" t="s">
        <v>7518</v>
      </c>
      <c r="M4606" s="28"/>
      <c r="N4606" s="28"/>
      <c r="O4606" s="20">
        <v>2922</v>
      </c>
      <c r="P4606" s="27" t="str">
        <f t="shared" si="214"/>
        <v>verde</v>
      </c>
    </row>
    <row r="4607" spans="1:16" ht="25.5">
      <c r="A4607" s="3" t="s">
        <v>4</v>
      </c>
      <c r="B4607" s="3" t="s">
        <v>3530</v>
      </c>
      <c r="C4607" s="4">
        <v>264</v>
      </c>
      <c r="D4607" s="3" t="s">
        <v>40</v>
      </c>
      <c r="E4607" s="3" t="s">
        <v>7</v>
      </c>
      <c r="F4607" s="5">
        <v>0</v>
      </c>
      <c r="G4607" s="5">
        <v>36</v>
      </c>
      <c r="H4607" s="6">
        <v>0</v>
      </c>
      <c r="I4607" s="22">
        <v>2791.44</v>
      </c>
      <c r="J4607" s="24">
        <f t="shared" si="213"/>
        <v>1.9342228140843885E-5</v>
      </c>
      <c r="K4607" s="25">
        <f t="shared" si="215"/>
        <v>0.99775436722277011</v>
      </c>
      <c r="L4607" s="26" t="s">
        <v>7518</v>
      </c>
      <c r="M4607" s="28"/>
      <c r="N4607" s="28"/>
      <c r="O4607" s="20" t="s">
        <v>7530</v>
      </c>
      <c r="P4607" s="27" t="str">
        <f t="shared" si="214"/>
        <v>vermelho</v>
      </c>
    </row>
    <row r="4608" spans="1:16" ht="25.5">
      <c r="A4608" s="3" t="s">
        <v>4</v>
      </c>
      <c r="B4608" s="3" t="s">
        <v>3531</v>
      </c>
      <c r="C4608" s="4">
        <v>299</v>
      </c>
      <c r="D4608" s="3" t="s">
        <v>111</v>
      </c>
      <c r="E4608" s="3" t="s">
        <v>49</v>
      </c>
      <c r="F4608" s="5">
        <v>0</v>
      </c>
      <c r="G4608" s="5">
        <v>48</v>
      </c>
      <c r="H4608" s="6">
        <v>0</v>
      </c>
      <c r="I4608" s="22">
        <v>2783.52</v>
      </c>
      <c r="J4608" s="24">
        <f t="shared" si="213"/>
        <v>1.9287349495099938E-5</v>
      </c>
      <c r="K4608" s="25">
        <f t="shared" si="215"/>
        <v>0.99777365457226519</v>
      </c>
      <c r="L4608" s="26" t="s">
        <v>7518</v>
      </c>
      <c r="M4608" s="28"/>
      <c r="N4608" s="28"/>
      <c r="O4608" s="20" t="s">
        <v>7530</v>
      </c>
      <c r="P4608" s="27" t="str">
        <f t="shared" si="214"/>
        <v>vermelho</v>
      </c>
    </row>
    <row r="4609" spans="1:16" ht="25.5">
      <c r="A4609" s="3" t="s">
        <v>4</v>
      </c>
      <c r="B4609" s="3" t="s">
        <v>3532</v>
      </c>
      <c r="C4609" s="4">
        <v>327</v>
      </c>
      <c r="D4609" s="3" t="s">
        <v>100</v>
      </c>
      <c r="E4609" s="3" t="s">
        <v>7</v>
      </c>
      <c r="F4609" s="5">
        <v>135</v>
      </c>
      <c r="G4609" s="5">
        <v>48</v>
      </c>
      <c r="H4609" s="6">
        <v>8392.65</v>
      </c>
      <c r="I4609" s="22">
        <v>2783.52</v>
      </c>
      <c r="J4609" s="24">
        <f t="shared" si="213"/>
        <v>1.9287349495099938E-5</v>
      </c>
      <c r="K4609" s="25">
        <f t="shared" si="215"/>
        <v>0.99779294192176027</v>
      </c>
      <c r="L4609" s="26" t="s">
        <v>7518</v>
      </c>
      <c r="M4609" s="28"/>
      <c r="N4609" s="28"/>
      <c r="O4609" s="20" t="s">
        <v>7530</v>
      </c>
      <c r="P4609" s="27" t="str">
        <f t="shared" si="214"/>
        <v>vermelho</v>
      </c>
    </row>
    <row r="4610" spans="1:16" ht="25.5">
      <c r="A4610" s="3" t="s">
        <v>4</v>
      </c>
      <c r="B4610" s="3" t="s">
        <v>3533</v>
      </c>
      <c r="C4610" s="4">
        <v>217</v>
      </c>
      <c r="D4610" s="3" t="s">
        <v>91</v>
      </c>
      <c r="E4610" s="3" t="s">
        <v>16</v>
      </c>
      <c r="F4610" s="5">
        <v>60</v>
      </c>
      <c r="G4610" s="5">
        <v>63</v>
      </c>
      <c r="H4610" s="6">
        <v>2734.8</v>
      </c>
      <c r="I4610" s="22">
        <v>2771.37</v>
      </c>
      <c r="J4610" s="24">
        <f t="shared" si="213"/>
        <v>1.9203160663560925E-5</v>
      </c>
      <c r="K4610" s="25">
        <f t="shared" si="215"/>
        <v>0.99781214508242377</v>
      </c>
      <c r="L4610" s="26" t="s">
        <v>7518</v>
      </c>
      <c r="M4610" s="28"/>
      <c r="N4610" s="28"/>
      <c r="O4610" s="20" t="s">
        <v>7530</v>
      </c>
      <c r="P4610" s="27" t="str">
        <f t="shared" si="214"/>
        <v>vermelho</v>
      </c>
    </row>
    <row r="4611" spans="1:16">
      <c r="A4611" s="3" t="s">
        <v>4</v>
      </c>
      <c r="B4611" s="3" t="s">
        <v>3534</v>
      </c>
      <c r="C4611" s="4">
        <v>232</v>
      </c>
      <c r="D4611" s="3" t="s">
        <v>174</v>
      </c>
      <c r="E4611" s="3" t="s">
        <v>16</v>
      </c>
      <c r="F4611" s="5">
        <v>108</v>
      </c>
      <c r="G4611" s="5">
        <v>48</v>
      </c>
      <c r="H4611" s="6">
        <v>5741.28</v>
      </c>
      <c r="I4611" s="22">
        <v>2770.68</v>
      </c>
      <c r="J4611" s="24">
        <f t="shared" ref="J4611:J4674" si="216">I4611/$I$6364</f>
        <v>1.9198379569424141E-5</v>
      </c>
      <c r="K4611" s="25">
        <f t="shared" si="215"/>
        <v>0.9978313434619932</v>
      </c>
      <c r="L4611" s="26" t="s">
        <v>7518</v>
      </c>
      <c r="M4611" s="28"/>
      <c r="N4611" s="28">
        <v>5.556140900380975E-2</v>
      </c>
      <c r="O4611" s="20">
        <v>3476.76</v>
      </c>
      <c r="P4611" s="27" t="str">
        <f t="shared" ref="P4611:P4674" si="217">IF(O4611&lt;=0,"vermelho",IFERROR(IF(O4611/I4611&lt;=0.5098,"amarelo",IF(O4611/I4611&lt;1,"laranja","verde")),"vermelho"))</f>
        <v>verde</v>
      </c>
    </row>
    <row r="4612" spans="1:16" ht="25.5">
      <c r="A4612" s="3" t="s">
        <v>4</v>
      </c>
      <c r="B4612" s="3" t="s">
        <v>3535</v>
      </c>
      <c r="C4612" s="4">
        <v>327</v>
      </c>
      <c r="D4612" s="3" t="s">
        <v>100</v>
      </c>
      <c r="E4612" s="3" t="s">
        <v>7</v>
      </c>
      <c r="F4612" s="5">
        <v>96</v>
      </c>
      <c r="G4612" s="5">
        <v>72</v>
      </c>
      <c r="H4612" s="6">
        <v>6053.04</v>
      </c>
      <c r="I4612" s="22">
        <v>2769.6</v>
      </c>
      <c r="J4612" s="24">
        <f t="shared" si="216"/>
        <v>1.9190896117731788E-5</v>
      </c>
      <c r="K4612" s="25">
        <f t="shared" ref="K4612:K4675" si="218">J4612+K4611</f>
        <v>0.99785053435811089</v>
      </c>
      <c r="L4612" s="26" t="s">
        <v>7518</v>
      </c>
      <c r="M4612" s="28"/>
      <c r="N4612" s="28"/>
      <c r="O4612" s="20" t="s">
        <v>7530</v>
      </c>
      <c r="P4612" s="27" t="str">
        <f t="shared" si="217"/>
        <v>vermelho</v>
      </c>
    </row>
    <row r="4613" spans="1:16" ht="25.5">
      <c r="A4613" s="3" t="s">
        <v>4</v>
      </c>
      <c r="B4613" s="3" t="s">
        <v>3536</v>
      </c>
      <c r="C4613" s="4">
        <v>296</v>
      </c>
      <c r="D4613" s="3" t="s">
        <v>282</v>
      </c>
      <c r="E4613" s="3" t="s">
        <v>10</v>
      </c>
      <c r="F4613" s="5">
        <v>0</v>
      </c>
      <c r="G4613" s="5">
        <v>60</v>
      </c>
      <c r="H4613" s="6">
        <v>0</v>
      </c>
      <c r="I4613" s="22">
        <v>2767.44</v>
      </c>
      <c r="J4613" s="24">
        <f t="shared" si="216"/>
        <v>1.9175929214347074E-5</v>
      </c>
      <c r="K4613" s="25">
        <f t="shared" si="218"/>
        <v>0.99786971028732518</v>
      </c>
      <c r="L4613" s="26" t="s">
        <v>7518</v>
      </c>
      <c r="M4613" s="28"/>
      <c r="N4613" s="28"/>
      <c r="O4613" s="20" t="s">
        <v>7530</v>
      </c>
      <c r="P4613" s="27" t="str">
        <f t="shared" si="217"/>
        <v>vermelho</v>
      </c>
    </row>
    <row r="4614" spans="1:16" ht="25.5">
      <c r="A4614" s="3" t="s">
        <v>4</v>
      </c>
      <c r="B4614" s="3" t="s">
        <v>3537</v>
      </c>
      <c r="C4614" s="4">
        <v>39</v>
      </c>
      <c r="D4614" s="3" t="s">
        <v>26</v>
      </c>
      <c r="E4614" s="3" t="s">
        <v>13</v>
      </c>
      <c r="F4614" s="5">
        <v>0</v>
      </c>
      <c r="G4614" s="5">
        <v>57</v>
      </c>
      <c r="H4614" s="6">
        <v>0</v>
      </c>
      <c r="I4614" s="22">
        <v>2757.87</v>
      </c>
      <c r="J4614" s="24">
        <f t="shared" si="216"/>
        <v>1.9109617517406472E-5</v>
      </c>
      <c r="K4614" s="25">
        <f t="shared" si="218"/>
        <v>0.99788881990484257</v>
      </c>
      <c r="L4614" s="26" t="s">
        <v>7518</v>
      </c>
      <c r="M4614" s="28"/>
      <c r="N4614" s="28"/>
      <c r="O4614" s="20" t="s">
        <v>7530</v>
      </c>
      <c r="P4614" s="27" t="str">
        <f t="shared" si="217"/>
        <v>vermelho</v>
      </c>
    </row>
    <row r="4615" spans="1:16">
      <c r="A4615" s="3" t="s">
        <v>4</v>
      </c>
      <c r="B4615" s="3" t="s">
        <v>3538</v>
      </c>
      <c r="C4615" s="4">
        <v>315</v>
      </c>
      <c r="D4615" s="3" t="s">
        <v>63</v>
      </c>
      <c r="E4615" s="3" t="s">
        <v>7</v>
      </c>
      <c r="F4615" s="5">
        <v>48</v>
      </c>
      <c r="G4615" s="5">
        <v>57</v>
      </c>
      <c r="H4615" s="6">
        <v>2515.9679999999998</v>
      </c>
      <c r="I4615" s="22">
        <v>2743.05</v>
      </c>
      <c r="J4615" s="24">
        <f t="shared" si="216"/>
        <v>1.9006927930294693E-5</v>
      </c>
      <c r="K4615" s="25">
        <f t="shared" si="218"/>
        <v>0.9979078268327729</v>
      </c>
      <c r="L4615" s="26" t="s">
        <v>7518</v>
      </c>
      <c r="M4615" s="28"/>
      <c r="N4615" s="28"/>
      <c r="O4615" s="20" t="s">
        <v>7530</v>
      </c>
      <c r="P4615" s="27" t="str">
        <f t="shared" si="217"/>
        <v>vermelho</v>
      </c>
    </row>
    <row r="4616" spans="1:16" ht="25.5">
      <c r="A4616" s="3" t="s">
        <v>4</v>
      </c>
      <c r="B4616" s="3" t="s">
        <v>3539</v>
      </c>
      <c r="C4616" s="4">
        <v>264</v>
      </c>
      <c r="D4616" s="3" t="s">
        <v>40</v>
      </c>
      <c r="E4616" s="3" t="s">
        <v>41</v>
      </c>
      <c r="F4616" s="5">
        <v>0</v>
      </c>
      <c r="G4616" s="5">
        <v>48</v>
      </c>
      <c r="H4616" s="6">
        <v>0</v>
      </c>
      <c r="I4616" s="22">
        <v>2742.3389999999999</v>
      </c>
      <c r="J4616" s="24">
        <f t="shared" si="216"/>
        <v>1.9002001324597223E-5</v>
      </c>
      <c r="K4616" s="25">
        <f t="shared" si="218"/>
        <v>0.99792682883409745</v>
      </c>
      <c r="L4616" s="26" t="s">
        <v>7518</v>
      </c>
      <c r="M4616" s="28"/>
      <c r="N4616" s="28"/>
      <c r="O4616" s="20" t="s">
        <v>7530</v>
      </c>
      <c r="P4616" s="27" t="str">
        <f t="shared" si="217"/>
        <v>vermelho</v>
      </c>
    </row>
    <row r="4617" spans="1:16" ht="38.25">
      <c r="A4617" s="3" t="s">
        <v>4</v>
      </c>
      <c r="B4617" s="3" t="s">
        <v>3540</v>
      </c>
      <c r="C4617" s="4">
        <v>34</v>
      </c>
      <c r="D4617" s="3" t="s">
        <v>54</v>
      </c>
      <c r="E4617" s="3" t="s">
        <v>49</v>
      </c>
      <c r="F4617" s="5">
        <v>141</v>
      </c>
      <c r="G4617" s="5">
        <v>48</v>
      </c>
      <c r="H4617" s="6">
        <v>7951.95</v>
      </c>
      <c r="I4617" s="22">
        <v>2735.52</v>
      </c>
      <c r="J4617" s="24">
        <f t="shared" si="216"/>
        <v>1.8954751642106319E-5</v>
      </c>
      <c r="K4617" s="25">
        <f t="shared" si="218"/>
        <v>0.9979457835857396</v>
      </c>
      <c r="L4617" s="26" t="s">
        <v>7518</v>
      </c>
      <c r="M4617" s="28"/>
      <c r="N4617" s="28"/>
      <c r="O4617" s="20" t="s">
        <v>7530</v>
      </c>
      <c r="P4617" s="27" t="str">
        <f t="shared" si="217"/>
        <v>vermelho</v>
      </c>
    </row>
    <row r="4618" spans="1:16" ht="25.5">
      <c r="A4618" s="3" t="s">
        <v>4</v>
      </c>
      <c r="B4618" s="3" t="s">
        <v>3541</v>
      </c>
      <c r="C4618" s="4">
        <v>299</v>
      </c>
      <c r="D4618" s="3" t="s">
        <v>111</v>
      </c>
      <c r="E4618" s="3" t="s">
        <v>49</v>
      </c>
      <c r="F4618" s="5">
        <v>0</v>
      </c>
      <c r="G4618" s="5">
        <v>78</v>
      </c>
      <c r="H4618" s="6">
        <v>0</v>
      </c>
      <c r="I4618" s="22">
        <v>2732.58</v>
      </c>
      <c r="J4618" s="24">
        <f t="shared" si="216"/>
        <v>1.8934380023610459E-5</v>
      </c>
      <c r="K4618" s="25">
        <f t="shared" si="218"/>
        <v>0.99796471796576325</v>
      </c>
      <c r="L4618" s="26" t="s">
        <v>7518</v>
      </c>
      <c r="M4618" s="28"/>
      <c r="N4618" s="28"/>
      <c r="O4618" s="20" t="s">
        <v>7530</v>
      </c>
      <c r="P4618" s="27" t="str">
        <f t="shared" si="217"/>
        <v>vermelho</v>
      </c>
    </row>
    <row r="4619" spans="1:16" ht="25.5">
      <c r="A4619" s="3" t="s">
        <v>4</v>
      </c>
      <c r="B4619" s="3" t="s">
        <v>3542</v>
      </c>
      <c r="C4619" s="4">
        <v>299</v>
      </c>
      <c r="D4619" s="3" t="s">
        <v>111</v>
      </c>
      <c r="E4619" s="3" t="s">
        <v>49</v>
      </c>
      <c r="F4619" s="5">
        <v>0</v>
      </c>
      <c r="G4619" s="5">
        <v>48</v>
      </c>
      <c r="H4619" s="6">
        <v>0</v>
      </c>
      <c r="I4619" s="22">
        <v>2732.52</v>
      </c>
      <c r="J4619" s="24">
        <f t="shared" si="216"/>
        <v>1.8933964276294216E-5</v>
      </c>
      <c r="K4619" s="25">
        <f t="shared" si="218"/>
        <v>0.99798365193003957</v>
      </c>
      <c r="L4619" s="26" t="s">
        <v>7518</v>
      </c>
      <c r="M4619" s="28"/>
      <c r="N4619" s="28"/>
      <c r="O4619" s="20" t="s">
        <v>7530</v>
      </c>
      <c r="P4619" s="27" t="str">
        <f t="shared" si="217"/>
        <v>vermelho</v>
      </c>
    </row>
    <row r="4620" spans="1:16" ht="25.5">
      <c r="A4620" s="3" t="s">
        <v>4</v>
      </c>
      <c r="B4620" s="3" t="s">
        <v>3543</v>
      </c>
      <c r="C4620" s="4">
        <v>264</v>
      </c>
      <c r="D4620" s="3" t="s">
        <v>40</v>
      </c>
      <c r="E4620" s="3" t="s">
        <v>7</v>
      </c>
      <c r="F4620" s="5">
        <v>0</v>
      </c>
      <c r="G4620" s="5">
        <v>48</v>
      </c>
      <c r="H4620" s="6">
        <v>0</v>
      </c>
      <c r="I4620" s="22">
        <v>2719.68</v>
      </c>
      <c r="J4620" s="24">
        <f t="shared" si="216"/>
        <v>1.8844994350618423E-5</v>
      </c>
      <c r="K4620" s="25">
        <f t="shared" si="218"/>
        <v>0.99800249692439014</v>
      </c>
      <c r="L4620" s="26" t="s">
        <v>7518</v>
      </c>
      <c r="M4620" s="28"/>
      <c r="N4620" s="28"/>
      <c r="O4620" s="20" t="s">
        <v>7530</v>
      </c>
      <c r="P4620" s="27" t="str">
        <f t="shared" si="217"/>
        <v>vermelho</v>
      </c>
    </row>
    <row r="4621" spans="1:16" ht="25.5">
      <c r="A4621" s="3" t="s">
        <v>4</v>
      </c>
      <c r="B4621" s="3" t="s">
        <v>3544</v>
      </c>
      <c r="C4621" s="4">
        <v>296</v>
      </c>
      <c r="D4621" s="3" t="s">
        <v>282</v>
      </c>
      <c r="E4621" s="3" t="s">
        <v>10</v>
      </c>
      <c r="F4621" s="5">
        <v>0</v>
      </c>
      <c r="G4621" s="5">
        <v>54</v>
      </c>
      <c r="H4621" s="6">
        <v>0</v>
      </c>
      <c r="I4621" s="22">
        <v>2716.4589999999998</v>
      </c>
      <c r="J4621" s="24">
        <f t="shared" si="216"/>
        <v>1.8822675648858165E-5</v>
      </c>
      <c r="K4621" s="25">
        <f t="shared" si="218"/>
        <v>0.99802131960003904</v>
      </c>
      <c r="L4621" s="26" t="s">
        <v>7518</v>
      </c>
      <c r="M4621" s="28">
        <v>-3.7383452218962755E-2</v>
      </c>
      <c r="N4621" s="28"/>
      <c r="O4621" s="20" t="s">
        <v>7530</v>
      </c>
      <c r="P4621" s="27" t="str">
        <f t="shared" si="217"/>
        <v>vermelho</v>
      </c>
    </row>
    <row r="4622" spans="1:16" ht="25.5">
      <c r="A4622" s="3" t="s">
        <v>4</v>
      </c>
      <c r="B4622" s="3" t="s">
        <v>3545</v>
      </c>
      <c r="C4622" s="4">
        <v>299</v>
      </c>
      <c r="D4622" s="3" t="s">
        <v>111</v>
      </c>
      <c r="E4622" s="3" t="s">
        <v>49</v>
      </c>
      <c r="F4622" s="5">
        <v>90</v>
      </c>
      <c r="G4622" s="5">
        <v>48</v>
      </c>
      <c r="H4622" s="6">
        <v>5615.1</v>
      </c>
      <c r="I4622" s="22">
        <v>2716.32</v>
      </c>
      <c r="J4622" s="24">
        <f t="shared" si="216"/>
        <v>1.8821712500908874E-5</v>
      </c>
      <c r="K4622" s="25">
        <f t="shared" si="218"/>
        <v>0.99804014131253993</v>
      </c>
      <c r="L4622" s="26" t="s">
        <v>7518</v>
      </c>
      <c r="M4622" s="28"/>
      <c r="N4622" s="28"/>
      <c r="O4622" s="20" t="s">
        <v>7530</v>
      </c>
      <c r="P4622" s="27" t="str">
        <f t="shared" si="217"/>
        <v>vermelho</v>
      </c>
    </row>
    <row r="4623" spans="1:16" ht="25.5">
      <c r="A4623" s="3" t="s">
        <v>4</v>
      </c>
      <c r="B4623" s="3" t="s">
        <v>3546</v>
      </c>
      <c r="C4623" s="4">
        <v>261</v>
      </c>
      <c r="D4623" s="3" t="s">
        <v>9</v>
      </c>
      <c r="E4623" s="3" t="s">
        <v>10</v>
      </c>
      <c r="F4623" s="5">
        <v>48</v>
      </c>
      <c r="G4623" s="5">
        <v>42</v>
      </c>
      <c r="H4623" s="6">
        <v>3137.52</v>
      </c>
      <c r="I4623" s="22">
        <v>2711.58</v>
      </c>
      <c r="J4623" s="24">
        <f t="shared" si="216"/>
        <v>1.878886846292575E-5</v>
      </c>
      <c r="K4623" s="25">
        <f t="shared" si="218"/>
        <v>0.99805893018100289</v>
      </c>
      <c r="L4623" s="26" t="s">
        <v>7518</v>
      </c>
      <c r="M4623" s="28"/>
      <c r="N4623" s="28"/>
      <c r="O4623" s="20" t="s">
        <v>7530</v>
      </c>
      <c r="P4623" s="27" t="str">
        <f t="shared" si="217"/>
        <v>vermelho</v>
      </c>
    </row>
    <row r="4624" spans="1:16" ht="25.5">
      <c r="A4624" s="3" t="s">
        <v>4</v>
      </c>
      <c r="B4624" s="3" t="s">
        <v>3547</v>
      </c>
      <c r="C4624" s="4">
        <v>23</v>
      </c>
      <c r="D4624" s="3" t="s">
        <v>87</v>
      </c>
      <c r="E4624" s="3" t="s">
        <v>7</v>
      </c>
      <c r="F4624" s="5">
        <v>48</v>
      </c>
      <c r="G4624" s="5">
        <v>42</v>
      </c>
      <c r="H4624" s="6">
        <v>3023.5680000000002</v>
      </c>
      <c r="I4624" s="22">
        <v>2710.1689999999999</v>
      </c>
      <c r="J4624" s="24">
        <f t="shared" si="216"/>
        <v>1.8779091471872124E-5</v>
      </c>
      <c r="K4624" s="25">
        <f t="shared" si="218"/>
        <v>0.99807770927247474</v>
      </c>
      <c r="L4624" s="26" t="s">
        <v>7518</v>
      </c>
      <c r="M4624" s="28"/>
      <c r="N4624" s="28"/>
      <c r="O4624" s="20" t="s">
        <v>7530</v>
      </c>
      <c r="P4624" s="27" t="str">
        <f t="shared" si="217"/>
        <v>vermelho</v>
      </c>
    </row>
    <row r="4625" spans="1:16" ht="25.5">
      <c r="A4625" s="3" t="s">
        <v>4</v>
      </c>
      <c r="B4625" s="3" t="s">
        <v>3548</v>
      </c>
      <c r="C4625" s="4">
        <v>23</v>
      </c>
      <c r="D4625" s="3" t="s">
        <v>87</v>
      </c>
      <c r="E4625" s="3" t="s">
        <v>7</v>
      </c>
      <c r="F4625" s="5">
        <v>0</v>
      </c>
      <c r="G4625" s="5">
        <v>42</v>
      </c>
      <c r="H4625" s="6">
        <v>0</v>
      </c>
      <c r="I4625" s="22">
        <v>2710.1689999999999</v>
      </c>
      <c r="J4625" s="24">
        <f t="shared" si="216"/>
        <v>1.8779091471872124E-5</v>
      </c>
      <c r="K4625" s="25">
        <f t="shared" si="218"/>
        <v>0.9980964883639466</v>
      </c>
      <c r="L4625" s="26" t="s">
        <v>7518</v>
      </c>
      <c r="M4625" s="28"/>
      <c r="N4625" s="28"/>
      <c r="O4625" s="20" t="s">
        <v>7530</v>
      </c>
      <c r="P4625" s="27" t="str">
        <f t="shared" si="217"/>
        <v>vermelho</v>
      </c>
    </row>
    <row r="4626" spans="1:16" ht="38.25">
      <c r="A4626" s="3" t="s">
        <v>4</v>
      </c>
      <c r="B4626" s="3" t="s">
        <v>3549</v>
      </c>
      <c r="C4626" s="4">
        <v>34</v>
      </c>
      <c r="D4626" s="3" t="s">
        <v>54</v>
      </c>
      <c r="E4626" s="3" t="s">
        <v>49</v>
      </c>
      <c r="F4626" s="5">
        <v>198</v>
      </c>
      <c r="G4626" s="5">
        <v>60</v>
      </c>
      <c r="H4626" s="6">
        <v>10975.44</v>
      </c>
      <c r="I4626" s="22">
        <v>2695.2</v>
      </c>
      <c r="J4626" s="24">
        <f t="shared" si="216"/>
        <v>1.8675369445591676E-5</v>
      </c>
      <c r="K4626" s="25">
        <f t="shared" si="218"/>
        <v>0.99811516373339215</v>
      </c>
      <c r="L4626" s="26" t="s">
        <v>7518</v>
      </c>
      <c r="M4626" s="28">
        <v>-4.7295520938726827E-4</v>
      </c>
      <c r="N4626" s="28"/>
      <c r="O4626" s="20" t="s">
        <v>7530</v>
      </c>
      <c r="P4626" s="27" t="str">
        <f t="shared" si="217"/>
        <v>vermelho</v>
      </c>
    </row>
    <row r="4627" spans="1:16" ht="25.5">
      <c r="A4627" s="3" t="s">
        <v>4</v>
      </c>
      <c r="B4627" s="3" t="s">
        <v>3550</v>
      </c>
      <c r="C4627" s="4">
        <v>74</v>
      </c>
      <c r="D4627" s="3" t="s">
        <v>6</v>
      </c>
      <c r="E4627" s="3" t="s">
        <v>7</v>
      </c>
      <c r="F4627" s="5">
        <v>48</v>
      </c>
      <c r="G4627" s="5">
        <v>54</v>
      </c>
      <c r="H4627" s="6">
        <v>2466</v>
      </c>
      <c r="I4627" s="22">
        <v>2689.98</v>
      </c>
      <c r="J4627" s="24">
        <f t="shared" si="216"/>
        <v>1.8639199429078624E-5</v>
      </c>
      <c r="K4627" s="25">
        <f t="shared" si="218"/>
        <v>0.99813380293282128</v>
      </c>
      <c r="L4627" s="26" t="s">
        <v>7518</v>
      </c>
      <c r="M4627" s="28"/>
      <c r="N4627" s="28"/>
      <c r="O4627" s="20" t="s">
        <v>7530</v>
      </c>
      <c r="P4627" s="27" t="str">
        <f t="shared" si="217"/>
        <v>vermelho</v>
      </c>
    </row>
    <row r="4628" spans="1:16" ht="25.5">
      <c r="A4628" s="3" t="s">
        <v>4</v>
      </c>
      <c r="B4628" s="3" t="s">
        <v>3551</v>
      </c>
      <c r="C4628" s="4">
        <v>23</v>
      </c>
      <c r="D4628" s="3" t="s">
        <v>87</v>
      </c>
      <c r="E4628" s="3" t="s">
        <v>7</v>
      </c>
      <c r="F4628" s="5">
        <v>72</v>
      </c>
      <c r="G4628" s="5">
        <v>48</v>
      </c>
      <c r="H4628" s="6">
        <v>2839.752</v>
      </c>
      <c r="I4628" s="22">
        <v>2684.4</v>
      </c>
      <c r="J4628" s="24">
        <f t="shared" si="216"/>
        <v>1.8600534928668115E-5</v>
      </c>
      <c r="K4628" s="25">
        <f t="shared" si="218"/>
        <v>0.99815240346774992</v>
      </c>
      <c r="L4628" s="26" t="s">
        <v>7518</v>
      </c>
      <c r="M4628" s="28"/>
      <c r="N4628" s="28"/>
      <c r="O4628" s="20" t="s">
        <v>7530</v>
      </c>
      <c r="P4628" s="27" t="str">
        <f t="shared" si="217"/>
        <v>vermelho</v>
      </c>
    </row>
    <row r="4629" spans="1:16" ht="38.25">
      <c r="A4629" s="3" t="s">
        <v>4</v>
      </c>
      <c r="B4629" s="3" t="s">
        <v>3552</v>
      </c>
      <c r="C4629" s="4">
        <v>270</v>
      </c>
      <c r="D4629" s="3" t="s">
        <v>266</v>
      </c>
      <c r="E4629" s="3" t="s">
        <v>49</v>
      </c>
      <c r="F4629" s="5">
        <v>0</v>
      </c>
      <c r="G4629" s="5">
        <v>36</v>
      </c>
      <c r="H4629" s="6">
        <v>0</v>
      </c>
      <c r="I4629" s="22">
        <v>2663.28</v>
      </c>
      <c r="J4629" s="24">
        <f t="shared" si="216"/>
        <v>1.8454191873350924E-5</v>
      </c>
      <c r="K4629" s="25">
        <f t="shared" si="218"/>
        <v>0.99817085765962321</v>
      </c>
      <c r="L4629" s="26" t="s">
        <v>7518</v>
      </c>
      <c r="M4629" s="28"/>
      <c r="N4629" s="28"/>
      <c r="O4629" s="20" t="s">
        <v>7530</v>
      </c>
      <c r="P4629" s="27" t="str">
        <f t="shared" si="217"/>
        <v>vermelho</v>
      </c>
    </row>
    <row r="4630" spans="1:16" ht="25.5">
      <c r="A4630" s="3" t="s">
        <v>4</v>
      </c>
      <c r="B4630" s="3" t="s">
        <v>3553</v>
      </c>
      <c r="C4630" s="4">
        <v>231</v>
      </c>
      <c r="D4630" s="3" t="s">
        <v>52</v>
      </c>
      <c r="E4630" s="3" t="s">
        <v>7</v>
      </c>
      <c r="F4630" s="5">
        <v>0</v>
      </c>
      <c r="G4630" s="5">
        <v>48</v>
      </c>
      <c r="H4630" s="6">
        <v>0</v>
      </c>
      <c r="I4630" s="22">
        <v>2663.28</v>
      </c>
      <c r="J4630" s="24">
        <f t="shared" si="216"/>
        <v>1.8454191873350924E-5</v>
      </c>
      <c r="K4630" s="25">
        <f t="shared" si="218"/>
        <v>0.99818931185149651</v>
      </c>
      <c r="L4630" s="26" t="s">
        <v>7518</v>
      </c>
      <c r="M4630" s="28"/>
      <c r="N4630" s="28"/>
      <c r="O4630" s="20" t="s">
        <v>7530</v>
      </c>
      <c r="P4630" s="27" t="str">
        <f t="shared" si="217"/>
        <v>vermelho</v>
      </c>
    </row>
    <row r="4631" spans="1:16" ht="38.25">
      <c r="A4631" s="3" t="s">
        <v>4</v>
      </c>
      <c r="B4631" s="3" t="s">
        <v>3554</v>
      </c>
      <c r="C4631" s="4">
        <v>39</v>
      </c>
      <c r="D4631" s="3" t="s">
        <v>26</v>
      </c>
      <c r="E4631" s="3" t="s">
        <v>13</v>
      </c>
      <c r="F4631" s="5">
        <v>0</v>
      </c>
      <c r="G4631" s="5">
        <v>48</v>
      </c>
      <c r="H4631" s="6">
        <v>0</v>
      </c>
      <c r="I4631" s="22">
        <v>2663.16</v>
      </c>
      <c r="J4631" s="24">
        <f t="shared" si="216"/>
        <v>1.8453360378718438E-5</v>
      </c>
      <c r="K4631" s="25">
        <f t="shared" si="218"/>
        <v>0.99820776521187526</v>
      </c>
      <c r="L4631" s="26" t="s">
        <v>7518</v>
      </c>
      <c r="M4631" s="28"/>
      <c r="N4631" s="28"/>
      <c r="O4631" s="20">
        <v>1826.4</v>
      </c>
      <c r="P4631" s="27" t="str">
        <f t="shared" si="217"/>
        <v>laranja</v>
      </c>
    </row>
    <row r="4632" spans="1:16" ht="25.5">
      <c r="A4632" s="3" t="s">
        <v>4</v>
      </c>
      <c r="B4632" s="3" t="s">
        <v>3555</v>
      </c>
      <c r="C4632" s="4">
        <v>197</v>
      </c>
      <c r="D4632" s="3" t="s">
        <v>66</v>
      </c>
      <c r="E4632" s="3" t="s">
        <v>41</v>
      </c>
      <c r="F4632" s="5">
        <v>141</v>
      </c>
      <c r="G4632" s="5">
        <v>48</v>
      </c>
      <c r="H4632" s="6">
        <v>7174.59</v>
      </c>
      <c r="I4632" s="22">
        <v>2663.16</v>
      </c>
      <c r="J4632" s="24">
        <f t="shared" si="216"/>
        <v>1.8453360378718438E-5</v>
      </c>
      <c r="K4632" s="25">
        <f t="shared" si="218"/>
        <v>0.99822621857225402</v>
      </c>
      <c r="L4632" s="26" t="s">
        <v>7518</v>
      </c>
      <c r="M4632" s="28"/>
      <c r="N4632" s="28"/>
      <c r="O4632" s="20" t="s">
        <v>7530</v>
      </c>
      <c r="P4632" s="27" t="str">
        <f t="shared" si="217"/>
        <v>vermelho</v>
      </c>
    </row>
    <row r="4633" spans="1:16" ht="25.5">
      <c r="A4633" s="3" t="s">
        <v>7079</v>
      </c>
      <c r="B4633" s="3" t="s">
        <v>7080</v>
      </c>
      <c r="C4633" s="4">
        <v>337</v>
      </c>
      <c r="D4633" s="3" t="s">
        <v>202</v>
      </c>
      <c r="E4633" s="3" t="s">
        <v>16</v>
      </c>
      <c r="F4633" s="5">
        <v>0</v>
      </c>
      <c r="G4633" s="5">
        <v>48</v>
      </c>
      <c r="H4633" s="6">
        <v>0</v>
      </c>
      <c r="I4633" s="22">
        <v>2663.16</v>
      </c>
      <c r="J4633" s="24">
        <f t="shared" si="216"/>
        <v>1.8453360378718438E-5</v>
      </c>
      <c r="K4633" s="25">
        <f t="shared" si="218"/>
        <v>0.99824467193263278</v>
      </c>
      <c r="L4633" s="26" t="s">
        <v>7518</v>
      </c>
      <c r="M4633" s="28"/>
      <c r="N4633" s="28"/>
      <c r="O4633" s="20" t="s">
        <v>7530</v>
      </c>
      <c r="P4633" s="27" t="str">
        <f t="shared" si="217"/>
        <v>vermelho</v>
      </c>
    </row>
    <row r="4634" spans="1:16" ht="25.5">
      <c r="A4634" s="3" t="s">
        <v>4</v>
      </c>
      <c r="B4634" s="3" t="s">
        <v>3556</v>
      </c>
      <c r="C4634" s="4">
        <v>273</v>
      </c>
      <c r="D4634" s="3" t="s">
        <v>149</v>
      </c>
      <c r="E4634" s="3" t="s">
        <v>16</v>
      </c>
      <c r="F4634" s="5">
        <v>0</v>
      </c>
      <c r="G4634" s="5">
        <v>60</v>
      </c>
      <c r="H4634" s="6">
        <v>0</v>
      </c>
      <c r="I4634" s="22">
        <v>2662.44</v>
      </c>
      <c r="J4634" s="24">
        <f t="shared" si="216"/>
        <v>1.8448371410923535E-5</v>
      </c>
      <c r="K4634" s="25">
        <f t="shared" si="218"/>
        <v>0.99826312030404374</v>
      </c>
      <c r="L4634" s="26" t="s">
        <v>7518</v>
      </c>
      <c r="M4634" s="28">
        <v>-4.1244980209002816E-2</v>
      </c>
      <c r="N4634" s="28"/>
      <c r="O4634" s="20" t="s">
        <v>7530</v>
      </c>
      <c r="P4634" s="27" t="str">
        <f t="shared" si="217"/>
        <v>vermelho</v>
      </c>
    </row>
    <row r="4635" spans="1:16" ht="25.5">
      <c r="A4635" s="3" t="s">
        <v>4</v>
      </c>
      <c r="B4635" s="3" t="s">
        <v>3557</v>
      </c>
      <c r="C4635" s="4">
        <v>296</v>
      </c>
      <c r="D4635" s="3" t="s">
        <v>282</v>
      </c>
      <c r="E4635" s="3" t="s">
        <v>10</v>
      </c>
      <c r="F4635" s="5">
        <v>0</v>
      </c>
      <c r="G4635" s="5">
        <v>54</v>
      </c>
      <c r="H4635" s="6">
        <v>0</v>
      </c>
      <c r="I4635" s="22">
        <v>2660.58</v>
      </c>
      <c r="J4635" s="24">
        <f t="shared" si="216"/>
        <v>1.8435483244120032E-5</v>
      </c>
      <c r="K4635" s="25">
        <f t="shared" si="218"/>
        <v>0.99828155578728783</v>
      </c>
      <c r="L4635" s="26" t="s">
        <v>7518</v>
      </c>
      <c r="M4635" s="28"/>
      <c r="N4635" s="28"/>
      <c r="O4635" s="20" t="s">
        <v>7530</v>
      </c>
      <c r="P4635" s="27" t="str">
        <f t="shared" si="217"/>
        <v>vermelho</v>
      </c>
    </row>
    <row r="4636" spans="1:16" ht="25.5">
      <c r="A4636" s="3" t="s">
        <v>4</v>
      </c>
      <c r="B4636" s="3" t="s">
        <v>3558</v>
      </c>
      <c r="C4636" s="4">
        <v>23</v>
      </c>
      <c r="D4636" s="3" t="s">
        <v>87</v>
      </c>
      <c r="E4636" s="3" t="s">
        <v>7</v>
      </c>
      <c r="F4636" s="5">
        <v>0</v>
      </c>
      <c r="G4636" s="5">
        <v>42</v>
      </c>
      <c r="H4636" s="6">
        <v>0</v>
      </c>
      <c r="I4636" s="22">
        <v>2659.038</v>
      </c>
      <c r="J4636" s="24">
        <f t="shared" si="216"/>
        <v>1.8424798538092613E-5</v>
      </c>
      <c r="K4636" s="25">
        <f t="shared" si="218"/>
        <v>0.99829998058582592</v>
      </c>
      <c r="L4636" s="26" t="s">
        <v>7518</v>
      </c>
      <c r="M4636" s="28"/>
      <c r="N4636" s="28"/>
      <c r="O4636" s="20" t="s">
        <v>7530</v>
      </c>
      <c r="P4636" s="27" t="str">
        <f t="shared" si="217"/>
        <v>vermelho</v>
      </c>
    </row>
    <row r="4637" spans="1:16" ht="25.5">
      <c r="A4637" s="3" t="s">
        <v>4</v>
      </c>
      <c r="B4637" s="3" t="s">
        <v>3559</v>
      </c>
      <c r="C4637" s="4">
        <v>261</v>
      </c>
      <c r="D4637" s="3" t="s">
        <v>9</v>
      </c>
      <c r="E4637" s="3" t="s">
        <v>10</v>
      </c>
      <c r="F4637" s="5">
        <v>93</v>
      </c>
      <c r="G4637" s="5">
        <v>48</v>
      </c>
      <c r="H4637" s="6">
        <v>5779.89</v>
      </c>
      <c r="I4637" s="22">
        <v>2658.6</v>
      </c>
      <c r="J4637" s="24">
        <f t="shared" si="216"/>
        <v>1.8421763582684043E-5</v>
      </c>
      <c r="K4637" s="25">
        <f t="shared" si="218"/>
        <v>0.99831840234940861</v>
      </c>
      <c r="L4637" s="26" t="s">
        <v>7518</v>
      </c>
      <c r="M4637" s="28"/>
      <c r="N4637" s="28"/>
      <c r="O4637" s="20">
        <v>2999.88</v>
      </c>
      <c r="P4637" s="27" t="str">
        <f t="shared" si="217"/>
        <v>verde</v>
      </c>
    </row>
    <row r="4638" spans="1:16" ht="38.25">
      <c r="A4638" s="3" t="s">
        <v>4</v>
      </c>
      <c r="B4638" s="3" t="s">
        <v>3560</v>
      </c>
      <c r="C4638" s="4">
        <v>371</v>
      </c>
      <c r="D4638" s="3" t="s">
        <v>82</v>
      </c>
      <c r="E4638" s="3" t="s">
        <v>49</v>
      </c>
      <c r="F4638" s="5">
        <v>0</v>
      </c>
      <c r="G4638" s="5">
        <v>60</v>
      </c>
      <c r="H4638" s="6">
        <v>0</v>
      </c>
      <c r="I4638" s="22">
        <v>2639.4</v>
      </c>
      <c r="J4638" s="24">
        <f t="shared" si="216"/>
        <v>1.8288724441486598E-5</v>
      </c>
      <c r="K4638" s="25">
        <f t="shared" si="218"/>
        <v>0.99833669107385015</v>
      </c>
      <c r="L4638" s="26" t="s">
        <v>7518</v>
      </c>
      <c r="M4638" s="28"/>
      <c r="N4638" s="28"/>
      <c r="O4638" s="20" t="s">
        <v>7530</v>
      </c>
      <c r="P4638" s="27" t="str">
        <f t="shared" si="217"/>
        <v>vermelho</v>
      </c>
    </row>
    <row r="4639" spans="1:16" ht="38.25">
      <c r="A4639" s="3" t="s">
        <v>4</v>
      </c>
      <c r="B4639" s="3" t="s">
        <v>3561</v>
      </c>
      <c r="C4639" s="4">
        <v>296</v>
      </c>
      <c r="D4639" s="3" t="s">
        <v>282</v>
      </c>
      <c r="E4639" s="3" t="s">
        <v>10</v>
      </c>
      <c r="F4639" s="5">
        <v>63</v>
      </c>
      <c r="G4639" s="5">
        <v>54</v>
      </c>
      <c r="H4639" s="6">
        <v>3844.32</v>
      </c>
      <c r="I4639" s="22">
        <v>2636.364</v>
      </c>
      <c r="J4639" s="24">
        <f t="shared" si="216"/>
        <v>1.8267687627284753E-5</v>
      </c>
      <c r="K4639" s="25">
        <f t="shared" si="218"/>
        <v>0.9983549587614774</v>
      </c>
      <c r="L4639" s="26" t="s">
        <v>7518</v>
      </c>
      <c r="M4639" s="28"/>
      <c r="N4639" s="28"/>
      <c r="O4639" s="20" t="s">
        <v>7530</v>
      </c>
      <c r="P4639" s="27" t="str">
        <f t="shared" si="217"/>
        <v>vermelho</v>
      </c>
    </row>
    <row r="4640" spans="1:16" ht="51">
      <c r="A4640" s="3" t="s">
        <v>4</v>
      </c>
      <c r="B4640" s="3" t="s">
        <v>3562</v>
      </c>
      <c r="C4640" s="4">
        <v>282</v>
      </c>
      <c r="D4640" s="3" t="s">
        <v>12</v>
      </c>
      <c r="E4640" s="3" t="s">
        <v>13</v>
      </c>
      <c r="F4640" s="5">
        <v>0</v>
      </c>
      <c r="G4640" s="5">
        <v>48</v>
      </c>
      <c r="H4640" s="6">
        <v>0</v>
      </c>
      <c r="I4640" s="22">
        <v>2631.36</v>
      </c>
      <c r="J4640" s="24">
        <f t="shared" si="216"/>
        <v>1.8233014301110168E-5</v>
      </c>
      <c r="K4640" s="25">
        <f t="shared" si="218"/>
        <v>0.99837319177577855</v>
      </c>
      <c r="L4640" s="26" t="s">
        <v>7518</v>
      </c>
      <c r="M4640" s="28"/>
      <c r="N4640" s="28"/>
      <c r="O4640" s="20" t="s">
        <v>7530</v>
      </c>
      <c r="P4640" s="27" t="str">
        <f t="shared" si="217"/>
        <v>vermelho</v>
      </c>
    </row>
    <row r="4641" spans="1:16" ht="38.25">
      <c r="A4641" s="3" t="s">
        <v>4</v>
      </c>
      <c r="B4641" s="3" t="s">
        <v>3563</v>
      </c>
      <c r="C4641" s="4">
        <v>371</v>
      </c>
      <c r="D4641" s="3" t="s">
        <v>82</v>
      </c>
      <c r="E4641" s="3" t="s">
        <v>49</v>
      </c>
      <c r="F4641" s="5">
        <v>294</v>
      </c>
      <c r="G4641" s="5">
        <v>90</v>
      </c>
      <c r="H4641" s="6">
        <v>14239.74</v>
      </c>
      <c r="I4641" s="22">
        <v>2613.6</v>
      </c>
      <c r="J4641" s="24">
        <f t="shared" si="216"/>
        <v>1.8109953095502527E-5</v>
      </c>
      <c r="K4641" s="25">
        <f t="shared" si="218"/>
        <v>0.99839130172887403</v>
      </c>
      <c r="L4641" s="26" t="s">
        <v>7518</v>
      </c>
      <c r="M4641" s="28"/>
      <c r="N4641" s="28"/>
      <c r="O4641" s="20" t="s">
        <v>7530</v>
      </c>
      <c r="P4641" s="27" t="str">
        <f t="shared" si="217"/>
        <v>vermelho</v>
      </c>
    </row>
    <row r="4642" spans="1:16">
      <c r="A4642" s="3" t="s">
        <v>4</v>
      </c>
      <c r="B4642" s="3" t="s">
        <v>3564</v>
      </c>
      <c r="C4642" s="4">
        <v>232</v>
      </c>
      <c r="D4642" s="3" t="s">
        <v>174</v>
      </c>
      <c r="E4642" s="3" t="s">
        <v>16</v>
      </c>
      <c r="F4642" s="5">
        <v>96</v>
      </c>
      <c r="G4642" s="5">
        <v>48</v>
      </c>
      <c r="H4642" s="6">
        <v>4256.6400000000003</v>
      </c>
      <c r="I4642" s="22">
        <v>2607.84</v>
      </c>
      <c r="J4642" s="24">
        <f t="shared" si="216"/>
        <v>1.8070041353143293E-5</v>
      </c>
      <c r="K4642" s="25">
        <f t="shared" si="218"/>
        <v>0.99840937177022715</v>
      </c>
      <c r="L4642" s="26" t="s">
        <v>7518</v>
      </c>
      <c r="M4642" s="28"/>
      <c r="N4642" s="28"/>
      <c r="O4642" s="20">
        <v>2607.84</v>
      </c>
      <c r="P4642" s="27" t="str">
        <f t="shared" si="217"/>
        <v>verde</v>
      </c>
    </row>
    <row r="4643" spans="1:16" ht="25.5">
      <c r="A4643" s="3" t="s">
        <v>4</v>
      </c>
      <c r="B4643" s="3" t="s">
        <v>3565</v>
      </c>
      <c r="C4643" s="4">
        <v>31</v>
      </c>
      <c r="D4643" s="3" t="s">
        <v>194</v>
      </c>
      <c r="E4643" s="3" t="s">
        <v>16</v>
      </c>
      <c r="F4643" s="5">
        <v>0</v>
      </c>
      <c r="G4643" s="5">
        <v>48</v>
      </c>
      <c r="H4643" s="6">
        <v>0</v>
      </c>
      <c r="I4643" s="22">
        <v>2607.84</v>
      </c>
      <c r="J4643" s="24">
        <f t="shared" si="216"/>
        <v>1.8070041353143293E-5</v>
      </c>
      <c r="K4643" s="25">
        <f t="shared" si="218"/>
        <v>0.99842744181158027</v>
      </c>
      <c r="L4643" s="26" t="s">
        <v>7518</v>
      </c>
      <c r="M4643" s="28"/>
      <c r="N4643" s="28">
        <v>4.1613517587450133E-2</v>
      </c>
      <c r="O4643" s="20">
        <v>7352.6</v>
      </c>
      <c r="P4643" s="27" t="str">
        <f t="shared" si="217"/>
        <v>verde</v>
      </c>
    </row>
    <row r="4644" spans="1:16" ht="25.5">
      <c r="A4644" s="3" t="s">
        <v>4</v>
      </c>
      <c r="B4644" s="3" t="s">
        <v>3566</v>
      </c>
      <c r="C4644" s="4">
        <v>197</v>
      </c>
      <c r="D4644" s="3" t="s">
        <v>66</v>
      </c>
      <c r="E4644" s="3" t="s">
        <v>41</v>
      </c>
      <c r="F4644" s="5">
        <v>120</v>
      </c>
      <c r="G4644" s="5">
        <v>45</v>
      </c>
      <c r="H4644" s="6">
        <v>5940.24</v>
      </c>
      <c r="I4644" s="22">
        <v>2596.59</v>
      </c>
      <c r="J4644" s="24">
        <f t="shared" si="216"/>
        <v>1.7992088731347915E-5</v>
      </c>
      <c r="K4644" s="25">
        <f t="shared" si="218"/>
        <v>0.9984454339003116</v>
      </c>
      <c r="L4644" s="26" t="s">
        <v>7518</v>
      </c>
      <c r="M4644" s="28"/>
      <c r="N4644" s="28"/>
      <c r="O4644" s="20" t="s">
        <v>7530</v>
      </c>
      <c r="P4644" s="27" t="str">
        <f t="shared" si="217"/>
        <v>vermelho</v>
      </c>
    </row>
    <row r="4645" spans="1:16" ht="25.5">
      <c r="A4645" s="3" t="s">
        <v>4</v>
      </c>
      <c r="B4645" s="3" t="s">
        <v>3567</v>
      </c>
      <c r="C4645" s="4">
        <v>297</v>
      </c>
      <c r="D4645" s="3" t="s">
        <v>115</v>
      </c>
      <c r="E4645" s="3" t="s">
        <v>41</v>
      </c>
      <c r="F4645" s="5">
        <v>264</v>
      </c>
      <c r="G4645" s="5">
        <v>45</v>
      </c>
      <c r="H4645" s="6">
        <v>14477.544</v>
      </c>
      <c r="I4645" s="22">
        <v>2574.8809999999999</v>
      </c>
      <c r="J4645" s="24">
        <f t="shared" si="216"/>
        <v>1.7841664423209611E-5</v>
      </c>
      <c r="K4645" s="25">
        <f t="shared" si="218"/>
        <v>0.9984632755647348</v>
      </c>
      <c r="L4645" s="26" t="s">
        <v>7518</v>
      </c>
      <c r="M4645" s="28"/>
      <c r="N4645" s="28"/>
      <c r="O4645" s="20" t="s">
        <v>7530</v>
      </c>
      <c r="P4645" s="27" t="str">
        <f t="shared" si="217"/>
        <v>vermelho</v>
      </c>
    </row>
    <row r="4646" spans="1:16" ht="25.5">
      <c r="A4646" s="3" t="s">
        <v>4</v>
      </c>
      <c r="B4646" s="3" t="s">
        <v>3568</v>
      </c>
      <c r="C4646" s="4">
        <v>197</v>
      </c>
      <c r="D4646" s="3" t="s">
        <v>66</v>
      </c>
      <c r="E4646" s="3" t="s">
        <v>41</v>
      </c>
      <c r="F4646" s="5">
        <v>78</v>
      </c>
      <c r="G4646" s="5">
        <v>36</v>
      </c>
      <c r="H4646" s="6">
        <v>4501.08</v>
      </c>
      <c r="I4646" s="22">
        <v>2567.64</v>
      </c>
      <c r="J4646" s="24">
        <f t="shared" si="216"/>
        <v>1.7791490651261136E-5</v>
      </c>
      <c r="K4646" s="25">
        <f t="shared" si="218"/>
        <v>0.99848106705538608</v>
      </c>
      <c r="L4646" s="26" t="s">
        <v>7518</v>
      </c>
      <c r="M4646" s="28"/>
      <c r="N4646" s="28"/>
      <c r="O4646" s="20" t="s">
        <v>7530</v>
      </c>
      <c r="P4646" s="27" t="str">
        <f t="shared" si="217"/>
        <v>vermelho</v>
      </c>
    </row>
    <row r="4647" spans="1:16" ht="38.25">
      <c r="A4647" s="3" t="s">
        <v>4</v>
      </c>
      <c r="B4647" s="3" t="s">
        <v>3569</v>
      </c>
      <c r="C4647" s="4">
        <v>371</v>
      </c>
      <c r="D4647" s="3" t="s">
        <v>82</v>
      </c>
      <c r="E4647" s="3" t="s">
        <v>49</v>
      </c>
      <c r="F4647" s="5">
        <v>315</v>
      </c>
      <c r="G4647" s="5">
        <v>48</v>
      </c>
      <c r="H4647" s="6">
        <v>17135.849999999999</v>
      </c>
      <c r="I4647" s="22">
        <v>2567.52</v>
      </c>
      <c r="J4647" s="24">
        <f t="shared" si="216"/>
        <v>1.7790659156628654E-5</v>
      </c>
      <c r="K4647" s="25">
        <f t="shared" si="218"/>
        <v>0.99849885771454272</v>
      </c>
      <c r="L4647" s="26" t="s">
        <v>7518</v>
      </c>
      <c r="M4647" s="28"/>
      <c r="N4647" s="28"/>
      <c r="O4647" s="20" t="s">
        <v>7530</v>
      </c>
      <c r="P4647" s="27" t="str">
        <f t="shared" si="217"/>
        <v>vermelho</v>
      </c>
    </row>
    <row r="4648" spans="1:16" ht="38.25">
      <c r="A4648" s="3" t="s">
        <v>4</v>
      </c>
      <c r="B4648" s="3" t="s">
        <v>3570</v>
      </c>
      <c r="C4648" s="4">
        <v>45</v>
      </c>
      <c r="D4648" s="3" t="s">
        <v>23</v>
      </c>
      <c r="E4648" s="3" t="s">
        <v>7</v>
      </c>
      <c r="F4648" s="5">
        <v>36</v>
      </c>
      <c r="G4648" s="5">
        <v>48</v>
      </c>
      <c r="H4648" s="6">
        <v>1907.52</v>
      </c>
      <c r="I4648" s="22">
        <v>2567.52</v>
      </c>
      <c r="J4648" s="24">
        <f t="shared" si="216"/>
        <v>1.7790659156628654E-5</v>
      </c>
      <c r="K4648" s="25">
        <f t="shared" si="218"/>
        <v>0.99851664837369936</v>
      </c>
      <c r="L4648" s="26" t="s">
        <v>7518</v>
      </c>
      <c r="M4648" s="28"/>
      <c r="N4648" s="28"/>
      <c r="O4648" s="20" t="s">
        <v>7530</v>
      </c>
      <c r="P4648" s="27" t="str">
        <f t="shared" si="217"/>
        <v>vermelho</v>
      </c>
    </row>
    <row r="4649" spans="1:16" ht="25.5">
      <c r="A4649" s="3" t="s">
        <v>4</v>
      </c>
      <c r="B4649" s="3" t="s">
        <v>3571</v>
      </c>
      <c r="C4649" s="4">
        <v>194</v>
      </c>
      <c r="D4649" s="3" t="s">
        <v>145</v>
      </c>
      <c r="E4649" s="3" t="s">
        <v>16</v>
      </c>
      <c r="F4649" s="5">
        <v>0</v>
      </c>
      <c r="G4649" s="5">
        <v>78</v>
      </c>
      <c r="H4649" s="6">
        <v>0</v>
      </c>
      <c r="I4649" s="22">
        <v>2544.75</v>
      </c>
      <c r="J4649" s="24">
        <f t="shared" si="216"/>
        <v>1.7632883050114805E-5</v>
      </c>
      <c r="K4649" s="25">
        <f t="shared" si="218"/>
        <v>0.99853428125674948</v>
      </c>
      <c r="L4649" s="26" t="s">
        <v>7518</v>
      </c>
      <c r="M4649" s="28"/>
      <c r="N4649" s="28"/>
      <c r="O4649" s="20" t="s">
        <v>7530</v>
      </c>
      <c r="P4649" s="27" t="str">
        <f t="shared" si="217"/>
        <v>vermelho</v>
      </c>
    </row>
    <row r="4650" spans="1:16" ht="38.25">
      <c r="A4650" s="3" t="s">
        <v>4</v>
      </c>
      <c r="B4650" s="3" t="s">
        <v>3572</v>
      </c>
      <c r="C4650" s="4">
        <v>371</v>
      </c>
      <c r="D4650" s="3" t="s">
        <v>82</v>
      </c>
      <c r="E4650" s="3" t="s">
        <v>49</v>
      </c>
      <c r="F4650" s="5">
        <v>0</v>
      </c>
      <c r="G4650" s="5">
        <v>60</v>
      </c>
      <c r="H4650" s="6">
        <v>0</v>
      </c>
      <c r="I4650" s="22">
        <v>2543.4</v>
      </c>
      <c r="J4650" s="24">
        <f t="shared" si="216"/>
        <v>1.762352873549936E-5</v>
      </c>
      <c r="K4650" s="25">
        <f t="shared" si="218"/>
        <v>0.99855190478548495</v>
      </c>
      <c r="L4650" s="26" t="s">
        <v>7518</v>
      </c>
      <c r="M4650" s="28"/>
      <c r="N4650" s="28"/>
      <c r="O4650" s="20" t="s">
        <v>7530</v>
      </c>
      <c r="P4650" s="27" t="str">
        <f t="shared" si="217"/>
        <v>vermelho</v>
      </c>
    </row>
    <row r="4651" spans="1:16" ht="51">
      <c r="A4651" s="3" t="s">
        <v>4</v>
      </c>
      <c r="B4651" s="3" t="s">
        <v>3573</v>
      </c>
      <c r="C4651" s="4">
        <v>282</v>
      </c>
      <c r="D4651" s="3" t="s">
        <v>12</v>
      </c>
      <c r="E4651" s="3" t="s">
        <v>13</v>
      </c>
      <c r="F4651" s="5">
        <v>96</v>
      </c>
      <c r="G4651" s="5">
        <v>36</v>
      </c>
      <c r="H4651" s="6">
        <v>4932.75</v>
      </c>
      <c r="I4651" s="22">
        <v>2537.64</v>
      </c>
      <c r="J4651" s="24">
        <f t="shared" si="216"/>
        <v>1.7583616993140126E-5</v>
      </c>
      <c r="K4651" s="25">
        <f t="shared" si="218"/>
        <v>0.99856948840247806</v>
      </c>
      <c r="L4651" s="26" t="s">
        <v>7518</v>
      </c>
      <c r="M4651" s="28"/>
      <c r="N4651" s="28"/>
      <c r="O4651" s="20" t="s">
        <v>7530</v>
      </c>
      <c r="P4651" s="27" t="str">
        <f t="shared" si="217"/>
        <v>vermelho</v>
      </c>
    </row>
    <row r="4652" spans="1:16" ht="25.5">
      <c r="A4652" s="3" t="s">
        <v>4</v>
      </c>
      <c r="B4652" s="3" t="s">
        <v>3574</v>
      </c>
      <c r="C4652" s="4">
        <v>317</v>
      </c>
      <c r="D4652" s="3" t="s">
        <v>78</v>
      </c>
      <c r="E4652" s="3" t="s">
        <v>10</v>
      </c>
      <c r="F4652" s="5">
        <v>96</v>
      </c>
      <c r="G4652" s="5">
        <v>48</v>
      </c>
      <c r="H4652" s="6">
        <v>6419.04</v>
      </c>
      <c r="I4652" s="22">
        <v>2520.96</v>
      </c>
      <c r="J4652" s="24">
        <f t="shared" si="216"/>
        <v>1.7468039239224845E-5</v>
      </c>
      <c r="K4652" s="25">
        <f t="shared" si="218"/>
        <v>0.99858695644171724</v>
      </c>
      <c r="L4652" s="26" t="s">
        <v>7518</v>
      </c>
      <c r="M4652" s="28"/>
      <c r="N4652" s="28"/>
      <c r="O4652" s="20">
        <v>2951.16</v>
      </c>
      <c r="P4652" s="27" t="str">
        <f t="shared" si="217"/>
        <v>verde</v>
      </c>
    </row>
    <row r="4653" spans="1:16" ht="25.5">
      <c r="A4653" s="3" t="s">
        <v>4</v>
      </c>
      <c r="B4653" s="3" t="s">
        <v>3575</v>
      </c>
      <c r="C4653" s="4">
        <v>299</v>
      </c>
      <c r="D4653" s="3" t="s">
        <v>111</v>
      </c>
      <c r="E4653" s="3" t="s">
        <v>49</v>
      </c>
      <c r="F4653" s="5">
        <v>0</v>
      </c>
      <c r="G4653" s="5">
        <v>36</v>
      </c>
      <c r="H4653" s="6">
        <v>0</v>
      </c>
      <c r="I4653" s="22">
        <v>2503.44</v>
      </c>
      <c r="J4653" s="24">
        <f t="shared" si="216"/>
        <v>1.7346641022882175E-5</v>
      </c>
      <c r="K4653" s="25">
        <f t="shared" si="218"/>
        <v>0.99860430308274017</v>
      </c>
      <c r="L4653" s="26" t="s">
        <v>7518</v>
      </c>
      <c r="M4653" s="28"/>
      <c r="N4653" s="28"/>
      <c r="O4653" s="20" t="s">
        <v>7530</v>
      </c>
      <c r="P4653" s="27" t="str">
        <f t="shared" si="217"/>
        <v>vermelho</v>
      </c>
    </row>
    <row r="4654" spans="1:16" ht="25.5">
      <c r="A4654" s="3" t="s">
        <v>4</v>
      </c>
      <c r="B4654" s="3" t="s">
        <v>3576</v>
      </c>
      <c r="C4654" s="4">
        <v>317</v>
      </c>
      <c r="D4654" s="3" t="s">
        <v>78</v>
      </c>
      <c r="E4654" s="3" t="s">
        <v>10</v>
      </c>
      <c r="F4654" s="5">
        <v>435</v>
      </c>
      <c r="G4654" s="5">
        <v>72</v>
      </c>
      <c r="H4654" s="6">
        <v>25744.560000000001</v>
      </c>
      <c r="I4654" s="22">
        <v>2503.44</v>
      </c>
      <c r="J4654" s="24">
        <f t="shared" si="216"/>
        <v>1.7346641022882175E-5</v>
      </c>
      <c r="K4654" s="25">
        <f t="shared" si="218"/>
        <v>0.99862164972376311</v>
      </c>
      <c r="L4654" s="26" t="s">
        <v>7518</v>
      </c>
      <c r="M4654" s="28"/>
      <c r="N4654" s="28"/>
      <c r="O4654" s="20" t="s">
        <v>7530</v>
      </c>
      <c r="P4654" s="27" t="str">
        <f t="shared" si="217"/>
        <v>vermelho</v>
      </c>
    </row>
    <row r="4655" spans="1:16" ht="25.5">
      <c r="A4655" s="3" t="s">
        <v>4</v>
      </c>
      <c r="B4655" s="3" t="s">
        <v>3577</v>
      </c>
      <c r="C4655" s="4">
        <v>316</v>
      </c>
      <c r="D4655" s="3" t="s">
        <v>247</v>
      </c>
      <c r="E4655" s="3" t="s">
        <v>10</v>
      </c>
      <c r="F4655" s="5">
        <v>0</v>
      </c>
      <c r="G4655" s="5">
        <v>71</v>
      </c>
      <c r="H4655" s="6">
        <v>0</v>
      </c>
      <c r="I4655" s="22">
        <v>2496.77</v>
      </c>
      <c r="J4655" s="24">
        <f t="shared" si="216"/>
        <v>1.7300423779559933E-5</v>
      </c>
      <c r="K4655" s="25">
        <f t="shared" si="218"/>
        <v>0.99863895014754267</v>
      </c>
      <c r="L4655" s="26" t="s">
        <v>7518</v>
      </c>
      <c r="M4655" s="28"/>
      <c r="N4655" s="28"/>
      <c r="O4655" s="20" t="s">
        <v>7530</v>
      </c>
      <c r="P4655" s="27" t="str">
        <f t="shared" si="217"/>
        <v>vermelho</v>
      </c>
    </row>
    <row r="4656" spans="1:16" ht="25.5">
      <c r="A4656" s="3" t="s">
        <v>4</v>
      </c>
      <c r="B4656" s="3" t="s">
        <v>3578</v>
      </c>
      <c r="C4656" s="4">
        <v>270</v>
      </c>
      <c r="D4656" s="3" t="s">
        <v>266</v>
      </c>
      <c r="E4656" s="3" t="s">
        <v>49</v>
      </c>
      <c r="F4656" s="5">
        <v>0</v>
      </c>
      <c r="G4656" s="5">
        <v>48</v>
      </c>
      <c r="H4656" s="6">
        <v>0</v>
      </c>
      <c r="I4656" s="22">
        <v>2492.64</v>
      </c>
      <c r="J4656" s="24">
        <f t="shared" si="216"/>
        <v>1.7271806505958606E-5</v>
      </c>
      <c r="K4656" s="25">
        <f t="shared" si="218"/>
        <v>0.99865622195404868</v>
      </c>
      <c r="L4656" s="26" t="s">
        <v>7518</v>
      </c>
      <c r="M4656" s="28"/>
      <c r="N4656" s="28"/>
      <c r="O4656" s="20" t="s">
        <v>7530</v>
      </c>
      <c r="P4656" s="27" t="str">
        <f t="shared" si="217"/>
        <v>vermelho</v>
      </c>
    </row>
    <row r="4657" spans="1:16" ht="25.5">
      <c r="A4657" s="3" t="s">
        <v>4</v>
      </c>
      <c r="B4657" s="3" t="s">
        <v>3579</v>
      </c>
      <c r="C4657" s="4">
        <v>194</v>
      </c>
      <c r="D4657" s="3" t="s">
        <v>145</v>
      </c>
      <c r="E4657" s="3" t="s">
        <v>16</v>
      </c>
      <c r="F4657" s="5">
        <v>576</v>
      </c>
      <c r="G4657" s="5">
        <v>78</v>
      </c>
      <c r="H4657" s="6">
        <v>31584.6</v>
      </c>
      <c r="I4657" s="22">
        <v>2492.4899999999998</v>
      </c>
      <c r="J4657" s="24">
        <f t="shared" si="216"/>
        <v>1.7270767137668001E-5</v>
      </c>
      <c r="K4657" s="25">
        <f t="shared" si="218"/>
        <v>0.99867349272118633</v>
      </c>
      <c r="L4657" s="26" t="s">
        <v>7518</v>
      </c>
      <c r="M4657" s="28"/>
      <c r="N4657" s="28"/>
      <c r="O4657" s="20" t="s">
        <v>7530</v>
      </c>
      <c r="P4657" s="27" t="str">
        <f t="shared" si="217"/>
        <v>vermelho</v>
      </c>
    </row>
    <row r="4658" spans="1:16" ht="25.5">
      <c r="A4658" s="3" t="s">
        <v>4</v>
      </c>
      <c r="B4658" s="3" t="s">
        <v>3580</v>
      </c>
      <c r="C4658" s="4">
        <v>317</v>
      </c>
      <c r="D4658" s="3" t="s">
        <v>78</v>
      </c>
      <c r="E4658" s="3" t="s">
        <v>10</v>
      </c>
      <c r="F4658" s="5">
        <v>0</v>
      </c>
      <c r="G4658" s="5">
        <v>36</v>
      </c>
      <c r="H4658" s="6">
        <v>0</v>
      </c>
      <c r="I4658" s="22">
        <v>2487.42</v>
      </c>
      <c r="J4658" s="24">
        <f t="shared" si="216"/>
        <v>1.7235636489445554E-5</v>
      </c>
      <c r="K4658" s="25">
        <f t="shared" si="218"/>
        <v>0.99869072835767581</v>
      </c>
      <c r="L4658" s="26" t="s">
        <v>7518</v>
      </c>
      <c r="M4658" s="28"/>
      <c r="N4658" s="28"/>
      <c r="O4658" s="20" t="s">
        <v>7530</v>
      </c>
      <c r="P4658" s="27" t="str">
        <f t="shared" si="217"/>
        <v>vermelho</v>
      </c>
    </row>
    <row r="4659" spans="1:16" ht="25.5">
      <c r="A4659" s="3" t="s">
        <v>4</v>
      </c>
      <c r="B4659" s="3" t="s">
        <v>3581</v>
      </c>
      <c r="C4659" s="4">
        <v>93</v>
      </c>
      <c r="D4659" s="3" t="s">
        <v>20</v>
      </c>
      <c r="E4659" s="3" t="s">
        <v>7</v>
      </c>
      <c r="F4659" s="5">
        <v>0</v>
      </c>
      <c r="G4659" s="5">
        <v>42</v>
      </c>
      <c r="H4659" s="6">
        <v>0</v>
      </c>
      <c r="I4659" s="22">
        <v>2483.58</v>
      </c>
      <c r="J4659" s="24">
        <f t="shared" si="216"/>
        <v>1.7209028661206062E-5</v>
      </c>
      <c r="K4659" s="25">
        <f t="shared" si="218"/>
        <v>0.99870793738633701</v>
      </c>
      <c r="L4659" s="26" t="s">
        <v>7518</v>
      </c>
      <c r="M4659" s="28"/>
      <c r="N4659" s="28">
        <v>4.3058576386256028E-2</v>
      </c>
      <c r="O4659" s="20">
        <v>15544.71</v>
      </c>
      <c r="P4659" s="27" t="str">
        <f t="shared" si="217"/>
        <v>verde</v>
      </c>
    </row>
    <row r="4660" spans="1:16" ht="25.5">
      <c r="A4660" s="3" t="s">
        <v>4</v>
      </c>
      <c r="B4660" s="3" t="s">
        <v>3582</v>
      </c>
      <c r="C4660" s="4">
        <v>299</v>
      </c>
      <c r="D4660" s="3" t="s">
        <v>111</v>
      </c>
      <c r="E4660" s="3" t="s">
        <v>49</v>
      </c>
      <c r="F4660" s="5">
        <v>156</v>
      </c>
      <c r="G4660" s="5">
        <v>48</v>
      </c>
      <c r="H4660" s="6">
        <v>5937</v>
      </c>
      <c r="I4660" s="22">
        <v>2476.6799999999998</v>
      </c>
      <c r="J4660" s="24">
        <f t="shared" si="216"/>
        <v>1.7161217719838229E-5</v>
      </c>
      <c r="K4660" s="25">
        <f t="shared" si="218"/>
        <v>0.99872509860405689</v>
      </c>
      <c r="L4660" s="26" t="s">
        <v>7518</v>
      </c>
      <c r="M4660" s="28"/>
      <c r="N4660" s="28"/>
      <c r="O4660" s="20" t="s">
        <v>7530</v>
      </c>
      <c r="P4660" s="27" t="str">
        <f t="shared" si="217"/>
        <v>vermelho</v>
      </c>
    </row>
    <row r="4661" spans="1:16" ht="25.5">
      <c r="A4661" s="3" t="s">
        <v>4</v>
      </c>
      <c r="B4661" s="3" t="s">
        <v>3583</v>
      </c>
      <c r="C4661" s="4">
        <v>217</v>
      </c>
      <c r="D4661" s="3" t="s">
        <v>91</v>
      </c>
      <c r="E4661" s="3" t="s">
        <v>16</v>
      </c>
      <c r="F4661" s="5">
        <v>0</v>
      </c>
      <c r="G4661" s="5">
        <v>48</v>
      </c>
      <c r="H4661" s="6">
        <v>0</v>
      </c>
      <c r="I4661" s="22">
        <v>2472</v>
      </c>
      <c r="J4661" s="24">
        <f t="shared" si="216"/>
        <v>1.7128789429171355E-5</v>
      </c>
      <c r="K4661" s="25">
        <f t="shared" si="218"/>
        <v>0.99874222739348606</v>
      </c>
      <c r="L4661" s="26" t="s">
        <v>7518</v>
      </c>
      <c r="M4661" s="28"/>
      <c r="N4661" s="28"/>
      <c r="O4661" s="20" t="s">
        <v>7530</v>
      </c>
      <c r="P4661" s="27" t="str">
        <f t="shared" si="217"/>
        <v>vermelho</v>
      </c>
    </row>
    <row r="4662" spans="1:16">
      <c r="A4662" s="3" t="s">
        <v>4</v>
      </c>
      <c r="B4662" s="3" t="s">
        <v>3584</v>
      </c>
      <c r="C4662" s="4">
        <v>231</v>
      </c>
      <c r="D4662" s="3" t="s">
        <v>52</v>
      </c>
      <c r="E4662" s="3" t="s">
        <v>7</v>
      </c>
      <c r="F4662" s="5">
        <v>48</v>
      </c>
      <c r="G4662" s="5">
        <v>48</v>
      </c>
      <c r="H4662" s="6">
        <v>2638.2</v>
      </c>
      <c r="I4662" s="22">
        <v>2471.52</v>
      </c>
      <c r="J4662" s="24">
        <f t="shared" si="216"/>
        <v>1.7125463450641416E-5</v>
      </c>
      <c r="K4662" s="25">
        <f t="shared" si="218"/>
        <v>0.99875935285693673</v>
      </c>
      <c r="L4662" s="26" t="s">
        <v>7518</v>
      </c>
      <c r="M4662" s="28"/>
      <c r="N4662" s="28"/>
      <c r="O4662" s="20" t="s">
        <v>7530</v>
      </c>
      <c r="P4662" s="27" t="str">
        <f t="shared" si="217"/>
        <v>vermelho</v>
      </c>
    </row>
    <row r="4663" spans="1:16" ht="25.5">
      <c r="A4663" s="3" t="s">
        <v>4</v>
      </c>
      <c r="B4663" s="3" t="s">
        <v>3585</v>
      </c>
      <c r="C4663" s="4">
        <v>317</v>
      </c>
      <c r="D4663" s="3" t="s">
        <v>78</v>
      </c>
      <c r="E4663" s="3" t="s">
        <v>10</v>
      </c>
      <c r="F4663" s="5">
        <v>150</v>
      </c>
      <c r="G4663" s="5">
        <v>45</v>
      </c>
      <c r="H4663" s="6">
        <v>7653.6</v>
      </c>
      <c r="I4663" s="22">
        <v>2468.9699999999998</v>
      </c>
      <c r="J4663" s="24">
        <f t="shared" si="216"/>
        <v>1.7107794189701129E-5</v>
      </c>
      <c r="K4663" s="25">
        <f t="shared" si="218"/>
        <v>0.99877646065112646</v>
      </c>
      <c r="L4663" s="26" t="s">
        <v>7518</v>
      </c>
      <c r="M4663" s="28"/>
      <c r="N4663" s="28"/>
      <c r="O4663" s="20" t="s">
        <v>7530</v>
      </c>
      <c r="P4663" s="27" t="str">
        <f t="shared" si="217"/>
        <v>vermelho</v>
      </c>
    </row>
    <row r="4664" spans="1:16" ht="25.5">
      <c r="A4664" s="3" t="s">
        <v>4</v>
      </c>
      <c r="B4664" s="3" t="s">
        <v>3586</v>
      </c>
      <c r="C4664" s="4">
        <v>41</v>
      </c>
      <c r="D4664" s="3" t="s">
        <v>178</v>
      </c>
      <c r="E4664" s="3" t="s">
        <v>41</v>
      </c>
      <c r="F4664" s="5">
        <v>36</v>
      </c>
      <c r="G4664" s="5">
        <v>36</v>
      </c>
      <c r="H4664" s="6">
        <v>1979.64</v>
      </c>
      <c r="I4664" s="22">
        <v>2450.16</v>
      </c>
      <c r="J4664" s="24">
        <f t="shared" si="216"/>
        <v>1.6977457406059257E-5</v>
      </c>
      <c r="K4664" s="25">
        <f t="shared" si="218"/>
        <v>0.99879343810853249</v>
      </c>
      <c r="L4664" s="26" t="s">
        <v>7518</v>
      </c>
      <c r="M4664" s="28"/>
      <c r="N4664" s="28"/>
      <c r="O4664" s="20" t="s">
        <v>7530</v>
      </c>
      <c r="P4664" s="27" t="str">
        <f t="shared" si="217"/>
        <v>vermelho</v>
      </c>
    </row>
    <row r="4665" spans="1:16" ht="25.5">
      <c r="A4665" s="3" t="s">
        <v>4</v>
      </c>
      <c r="B4665" s="3" t="s">
        <v>3587</v>
      </c>
      <c r="C4665" s="4">
        <v>194</v>
      </c>
      <c r="D4665" s="3" t="s">
        <v>145</v>
      </c>
      <c r="E4665" s="3" t="s">
        <v>16</v>
      </c>
      <c r="F4665" s="5">
        <v>0</v>
      </c>
      <c r="G4665" s="5">
        <v>72</v>
      </c>
      <c r="H4665" s="6">
        <v>0</v>
      </c>
      <c r="I4665" s="22">
        <v>2444.7600000000002</v>
      </c>
      <c r="J4665" s="24">
        <f t="shared" si="216"/>
        <v>1.6940040147597476E-5</v>
      </c>
      <c r="K4665" s="25">
        <f t="shared" si="218"/>
        <v>0.99881037814868012</v>
      </c>
      <c r="L4665" s="26" t="s">
        <v>7518</v>
      </c>
      <c r="M4665" s="28"/>
      <c r="N4665" s="28"/>
      <c r="O4665" s="20" t="s">
        <v>7530</v>
      </c>
      <c r="P4665" s="27" t="str">
        <f t="shared" si="217"/>
        <v>vermelho</v>
      </c>
    </row>
    <row r="4666" spans="1:16" ht="38.25">
      <c r="A4666" s="3" t="s">
        <v>7081</v>
      </c>
      <c r="B4666" s="3" t="s">
        <v>7082</v>
      </c>
      <c r="C4666" s="4">
        <v>292</v>
      </c>
      <c r="D4666" s="3" t="s">
        <v>57</v>
      </c>
      <c r="E4666" s="3" t="s">
        <v>49</v>
      </c>
      <c r="F4666" s="5">
        <v>96</v>
      </c>
      <c r="G4666" s="5">
        <v>36</v>
      </c>
      <c r="H4666" s="6">
        <v>5787.9359999999997</v>
      </c>
      <c r="I4666" s="22">
        <v>2444.7600000000002</v>
      </c>
      <c r="J4666" s="24">
        <f t="shared" si="216"/>
        <v>1.6940040147597476E-5</v>
      </c>
      <c r="K4666" s="25">
        <f t="shared" si="218"/>
        <v>0.99882731818882775</v>
      </c>
      <c r="L4666" s="26" t="s">
        <v>7518</v>
      </c>
      <c r="M4666" s="28"/>
      <c r="N4666" s="28"/>
      <c r="O4666" s="20" t="s">
        <v>7530</v>
      </c>
      <c r="P4666" s="27" t="str">
        <f t="shared" si="217"/>
        <v>vermelho</v>
      </c>
    </row>
    <row r="4667" spans="1:16" ht="25.5">
      <c r="A4667" s="3" t="s">
        <v>4</v>
      </c>
      <c r="B4667" s="3" t="s">
        <v>3588</v>
      </c>
      <c r="C4667" s="4">
        <v>197</v>
      </c>
      <c r="D4667" s="3" t="s">
        <v>66</v>
      </c>
      <c r="E4667" s="3" t="s">
        <v>41</v>
      </c>
      <c r="F4667" s="5">
        <v>0</v>
      </c>
      <c r="G4667" s="5">
        <v>36</v>
      </c>
      <c r="H4667" s="6">
        <v>0</v>
      </c>
      <c r="I4667" s="22">
        <v>2428.3200000000002</v>
      </c>
      <c r="J4667" s="24">
        <f t="shared" si="216"/>
        <v>1.6826125382947163E-5</v>
      </c>
      <c r="K4667" s="25">
        <f t="shared" si="218"/>
        <v>0.99884414431421065</v>
      </c>
      <c r="L4667" s="26" t="s">
        <v>7518</v>
      </c>
      <c r="M4667" s="28"/>
      <c r="N4667" s="28"/>
      <c r="O4667" s="20" t="s">
        <v>7530</v>
      </c>
      <c r="P4667" s="27" t="str">
        <f t="shared" si="217"/>
        <v>vermelho</v>
      </c>
    </row>
    <row r="4668" spans="1:16" ht="25.5">
      <c r="A4668" s="3" t="s">
        <v>7083</v>
      </c>
      <c r="B4668" s="3" t="s">
        <v>7084</v>
      </c>
      <c r="C4668" s="4">
        <v>316</v>
      </c>
      <c r="D4668" s="3" t="s">
        <v>247</v>
      </c>
      <c r="E4668" s="3" t="s">
        <v>10</v>
      </c>
      <c r="F4668" s="5">
        <v>786</v>
      </c>
      <c r="G4668" s="5">
        <v>60</v>
      </c>
      <c r="H4668" s="6">
        <v>33339.9</v>
      </c>
      <c r="I4668" s="22">
        <v>2428.1999999999998</v>
      </c>
      <c r="J4668" s="24">
        <f t="shared" si="216"/>
        <v>1.6825293888314674E-5</v>
      </c>
      <c r="K4668" s="25">
        <f t="shared" si="218"/>
        <v>0.998860969608099</v>
      </c>
      <c r="L4668" s="26" t="s">
        <v>7518</v>
      </c>
      <c r="M4668" s="28"/>
      <c r="N4668" s="28"/>
      <c r="O4668" s="20">
        <v>3896.76</v>
      </c>
      <c r="P4668" s="27" t="str">
        <f t="shared" si="217"/>
        <v>verde</v>
      </c>
    </row>
    <row r="4669" spans="1:16" ht="25.5">
      <c r="A4669" s="3" t="s">
        <v>4</v>
      </c>
      <c r="B4669" s="3" t="s">
        <v>3589</v>
      </c>
      <c r="C4669" s="4">
        <v>19</v>
      </c>
      <c r="D4669" s="3" t="s">
        <v>72</v>
      </c>
      <c r="E4669" s="3" t="s">
        <v>41</v>
      </c>
      <c r="F4669" s="5">
        <v>108</v>
      </c>
      <c r="G4669" s="5">
        <v>36</v>
      </c>
      <c r="H4669" s="6">
        <v>7095.48</v>
      </c>
      <c r="I4669" s="22">
        <v>2423.64</v>
      </c>
      <c r="J4669" s="24">
        <f t="shared" si="216"/>
        <v>1.6793697092280282E-5</v>
      </c>
      <c r="K4669" s="25">
        <f t="shared" si="218"/>
        <v>0.99887776330519129</v>
      </c>
      <c r="L4669" s="26" t="s">
        <v>7518</v>
      </c>
      <c r="M4669" s="28"/>
      <c r="N4669" s="28"/>
      <c r="O4669" s="20" t="s">
        <v>7530</v>
      </c>
      <c r="P4669" s="27" t="str">
        <f t="shared" si="217"/>
        <v>vermelho</v>
      </c>
    </row>
    <row r="4670" spans="1:16" ht="25.5">
      <c r="A4670" s="3" t="s">
        <v>4</v>
      </c>
      <c r="B4670" s="3" t="s">
        <v>3590</v>
      </c>
      <c r="C4670" s="4">
        <v>19</v>
      </c>
      <c r="D4670" s="3" t="s">
        <v>72</v>
      </c>
      <c r="E4670" s="3" t="s">
        <v>41</v>
      </c>
      <c r="F4670" s="5">
        <v>108</v>
      </c>
      <c r="G4670" s="5">
        <v>36</v>
      </c>
      <c r="H4670" s="6">
        <v>7095.48</v>
      </c>
      <c r="I4670" s="22">
        <v>2423.64</v>
      </c>
      <c r="J4670" s="24">
        <f t="shared" si="216"/>
        <v>1.6793697092280282E-5</v>
      </c>
      <c r="K4670" s="25">
        <f t="shared" si="218"/>
        <v>0.99889455700228358</v>
      </c>
      <c r="L4670" s="26" t="s">
        <v>7518</v>
      </c>
      <c r="M4670" s="28"/>
      <c r="N4670" s="28"/>
      <c r="O4670" s="20" t="s">
        <v>7530</v>
      </c>
      <c r="P4670" s="27" t="str">
        <f t="shared" si="217"/>
        <v>vermelho</v>
      </c>
    </row>
    <row r="4671" spans="1:16" ht="51">
      <c r="A4671" s="3" t="s">
        <v>7085</v>
      </c>
      <c r="B4671" s="3" t="s">
        <v>7086</v>
      </c>
      <c r="C4671" s="4">
        <v>282</v>
      </c>
      <c r="D4671" s="3" t="s">
        <v>12</v>
      </c>
      <c r="E4671" s="3" t="s">
        <v>13</v>
      </c>
      <c r="F4671" s="5">
        <v>72</v>
      </c>
      <c r="G4671" s="5">
        <v>48</v>
      </c>
      <c r="H4671" s="6">
        <v>3172.3919999999998</v>
      </c>
      <c r="I4671" s="22">
        <v>2403.3960000000002</v>
      </c>
      <c r="J4671" s="24">
        <f t="shared" si="216"/>
        <v>1.6653423947780223E-5</v>
      </c>
      <c r="K4671" s="25">
        <f t="shared" si="218"/>
        <v>0.99891121042623132</v>
      </c>
      <c r="L4671" s="26" t="s">
        <v>7518</v>
      </c>
      <c r="M4671" s="28"/>
      <c r="N4671" s="28"/>
      <c r="O4671" s="20" t="s">
        <v>7530</v>
      </c>
      <c r="P4671" s="27" t="str">
        <f t="shared" si="217"/>
        <v>vermelho</v>
      </c>
    </row>
    <row r="4672" spans="1:16" ht="25.5">
      <c r="A4672" s="3" t="s">
        <v>4</v>
      </c>
      <c r="B4672" s="3" t="s">
        <v>3591</v>
      </c>
      <c r="C4672" s="4">
        <v>197</v>
      </c>
      <c r="D4672" s="3" t="s">
        <v>66</v>
      </c>
      <c r="E4672" s="3" t="s">
        <v>41</v>
      </c>
      <c r="F4672" s="5">
        <v>0</v>
      </c>
      <c r="G4672" s="5">
        <v>54</v>
      </c>
      <c r="H4672" s="6">
        <v>0</v>
      </c>
      <c r="I4672" s="22">
        <v>2402.2800000000002</v>
      </c>
      <c r="J4672" s="24">
        <f t="shared" si="216"/>
        <v>1.6645691047698124E-5</v>
      </c>
      <c r="K4672" s="25">
        <f t="shared" si="218"/>
        <v>0.99892785611727897</v>
      </c>
      <c r="L4672" s="26" t="s">
        <v>7518</v>
      </c>
      <c r="M4672" s="28"/>
      <c r="N4672" s="28"/>
      <c r="O4672" s="20" t="s">
        <v>7530</v>
      </c>
      <c r="P4672" s="27" t="str">
        <f t="shared" si="217"/>
        <v>vermelho</v>
      </c>
    </row>
    <row r="4673" spans="1:16" ht="25.5">
      <c r="A4673" s="3" t="s">
        <v>4</v>
      </c>
      <c r="B4673" s="3" t="s">
        <v>3592</v>
      </c>
      <c r="C4673" s="4">
        <v>299</v>
      </c>
      <c r="D4673" s="3" t="s">
        <v>111</v>
      </c>
      <c r="E4673" s="3" t="s">
        <v>49</v>
      </c>
      <c r="F4673" s="5">
        <v>0</v>
      </c>
      <c r="G4673" s="5">
        <v>60</v>
      </c>
      <c r="H4673" s="6">
        <v>0</v>
      </c>
      <c r="I4673" s="22">
        <v>2397</v>
      </c>
      <c r="J4673" s="24">
        <f t="shared" si="216"/>
        <v>1.6609105283868825E-5</v>
      </c>
      <c r="K4673" s="25">
        <f t="shared" si="218"/>
        <v>0.99894446522256286</v>
      </c>
      <c r="L4673" s="26" t="s">
        <v>7518</v>
      </c>
      <c r="M4673" s="28"/>
      <c r="N4673" s="28"/>
      <c r="O4673" s="20" t="s">
        <v>7530</v>
      </c>
      <c r="P4673" s="27" t="str">
        <f t="shared" si="217"/>
        <v>vermelho</v>
      </c>
    </row>
    <row r="4674" spans="1:16" ht="25.5">
      <c r="A4674" s="3" t="s">
        <v>4</v>
      </c>
      <c r="B4674" s="3" t="s">
        <v>3593</v>
      </c>
      <c r="C4674" s="4">
        <v>299</v>
      </c>
      <c r="D4674" s="3" t="s">
        <v>111</v>
      </c>
      <c r="E4674" s="3" t="s">
        <v>49</v>
      </c>
      <c r="F4674" s="5">
        <v>0</v>
      </c>
      <c r="G4674" s="5">
        <v>60</v>
      </c>
      <c r="H4674" s="6">
        <v>0</v>
      </c>
      <c r="I4674" s="22">
        <v>2397</v>
      </c>
      <c r="J4674" s="24">
        <f t="shared" si="216"/>
        <v>1.6609105283868825E-5</v>
      </c>
      <c r="K4674" s="25">
        <f t="shared" si="218"/>
        <v>0.99896107432784675</v>
      </c>
      <c r="L4674" s="26" t="s">
        <v>7518</v>
      </c>
      <c r="M4674" s="28"/>
      <c r="N4674" s="28"/>
      <c r="O4674" s="20" t="s">
        <v>7530</v>
      </c>
      <c r="P4674" s="27" t="str">
        <f t="shared" si="217"/>
        <v>vermelho</v>
      </c>
    </row>
    <row r="4675" spans="1:16" ht="25.5">
      <c r="A4675" s="3" t="s">
        <v>4</v>
      </c>
      <c r="B4675" s="3" t="s">
        <v>3594</v>
      </c>
      <c r="C4675" s="4">
        <v>61</v>
      </c>
      <c r="D4675" s="3" t="s">
        <v>48</v>
      </c>
      <c r="E4675" s="3" t="s">
        <v>49</v>
      </c>
      <c r="F4675" s="5">
        <v>156</v>
      </c>
      <c r="G4675" s="5">
        <v>72</v>
      </c>
      <c r="H4675" s="6">
        <v>8852.52</v>
      </c>
      <c r="I4675" s="22">
        <v>2396.88</v>
      </c>
      <c r="J4675" s="24">
        <f t="shared" ref="J4675:J4738" si="219">I4675/$I$6364</f>
        <v>1.660827378923634E-5</v>
      </c>
      <c r="K4675" s="25">
        <f t="shared" si="218"/>
        <v>0.998977682601636</v>
      </c>
      <c r="L4675" s="26" t="s">
        <v>7518</v>
      </c>
      <c r="M4675" s="28"/>
      <c r="N4675" s="28"/>
      <c r="O4675" s="20" t="s">
        <v>7530</v>
      </c>
      <c r="P4675" s="27" t="str">
        <f t="shared" ref="P4675:P4738" si="220">IF(O4675&lt;=0,"vermelho",IFERROR(IF(O4675/I4675&lt;=0.5098,"amarelo",IF(O4675/I4675&lt;1,"laranja","verde")),"vermelho"))</f>
        <v>vermelho</v>
      </c>
    </row>
    <row r="4676" spans="1:16" ht="38.25">
      <c r="A4676" s="3" t="s">
        <v>4</v>
      </c>
      <c r="B4676" s="3" t="s">
        <v>3595</v>
      </c>
      <c r="C4676" s="4">
        <v>371</v>
      </c>
      <c r="D4676" s="3" t="s">
        <v>82</v>
      </c>
      <c r="E4676" s="3" t="s">
        <v>49</v>
      </c>
      <c r="F4676" s="5">
        <v>93</v>
      </c>
      <c r="G4676" s="5">
        <v>36</v>
      </c>
      <c r="H4676" s="6">
        <v>4091.07</v>
      </c>
      <c r="I4676" s="22">
        <v>2396.88</v>
      </c>
      <c r="J4676" s="24">
        <f t="shared" si="219"/>
        <v>1.660827378923634E-5</v>
      </c>
      <c r="K4676" s="25">
        <f t="shared" ref="K4676:K4739" si="221">J4676+K4675</f>
        <v>0.99899429087542524</v>
      </c>
      <c r="L4676" s="26" t="s">
        <v>7518</v>
      </c>
      <c r="M4676" s="28"/>
      <c r="N4676" s="28"/>
      <c r="O4676" s="20" t="s">
        <v>7530</v>
      </c>
      <c r="P4676" s="27" t="str">
        <f t="shared" si="220"/>
        <v>vermelho</v>
      </c>
    </row>
    <row r="4677" spans="1:16" ht="25.5">
      <c r="A4677" s="3" t="s">
        <v>4</v>
      </c>
      <c r="B4677" s="3" t="s">
        <v>3596</v>
      </c>
      <c r="C4677" s="4">
        <v>317</v>
      </c>
      <c r="D4677" s="3" t="s">
        <v>78</v>
      </c>
      <c r="E4677" s="3" t="s">
        <v>10</v>
      </c>
      <c r="F4677" s="5">
        <v>0</v>
      </c>
      <c r="G4677" s="5">
        <v>36</v>
      </c>
      <c r="H4677" s="6">
        <v>0</v>
      </c>
      <c r="I4677" s="22">
        <v>2390.4</v>
      </c>
      <c r="J4677" s="24">
        <f t="shared" si="219"/>
        <v>1.6563373079082202E-5</v>
      </c>
      <c r="K4677" s="25">
        <f t="shared" si="221"/>
        <v>0.99901085424850433</v>
      </c>
      <c r="L4677" s="26" t="s">
        <v>7518</v>
      </c>
      <c r="M4677" s="28"/>
      <c r="N4677" s="28"/>
      <c r="O4677" s="20" t="s">
        <v>7530</v>
      </c>
      <c r="P4677" s="27" t="str">
        <f t="shared" si="220"/>
        <v>vermelho</v>
      </c>
    </row>
    <row r="4678" spans="1:16" ht="25.5">
      <c r="A4678" s="3" t="s">
        <v>4</v>
      </c>
      <c r="B4678" s="3" t="s">
        <v>3597</v>
      </c>
      <c r="C4678" s="4">
        <v>317</v>
      </c>
      <c r="D4678" s="3" t="s">
        <v>78</v>
      </c>
      <c r="E4678" s="3" t="s">
        <v>10</v>
      </c>
      <c r="F4678" s="5">
        <v>126</v>
      </c>
      <c r="G4678" s="5">
        <v>36</v>
      </c>
      <c r="H4678" s="6">
        <v>7891.86</v>
      </c>
      <c r="I4678" s="22">
        <v>2386.44</v>
      </c>
      <c r="J4678" s="24">
        <f t="shared" si="219"/>
        <v>1.6535933756210228E-5</v>
      </c>
      <c r="K4678" s="25">
        <f t="shared" si="221"/>
        <v>0.9990273901822605</v>
      </c>
      <c r="L4678" s="26" t="s">
        <v>7518</v>
      </c>
      <c r="M4678" s="28"/>
      <c r="N4678" s="28"/>
      <c r="O4678" s="20">
        <v>2894.04</v>
      </c>
      <c r="P4678" s="27" t="str">
        <f t="shared" si="220"/>
        <v>verde</v>
      </c>
    </row>
    <row r="4679" spans="1:16" ht="38.25">
      <c r="A4679" s="3" t="s">
        <v>4</v>
      </c>
      <c r="B4679" s="3" t="s">
        <v>3598</v>
      </c>
      <c r="C4679" s="4">
        <v>371</v>
      </c>
      <c r="D4679" s="3" t="s">
        <v>82</v>
      </c>
      <c r="E4679" s="3" t="s">
        <v>49</v>
      </c>
      <c r="F4679" s="5">
        <v>60</v>
      </c>
      <c r="G4679" s="5">
        <v>54</v>
      </c>
      <c r="H4679" s="6">
        <v>2608.1999999999998</v>
      </c>
      <c r="I4679" s="22">
        <v>2375.46</v>
      </c>
      <c r="J4679" s="24">
        <f t="shared" si="219"/>
        <v>1.6459851997337938E-5</v>
      </c>
      <c r="K4679" s="25">
        <f t="shared" si="221"/>
        <v>0.99904385003425789</v>
      </c>
      <c r="L4679" s="26" t="s">
        <v>7518</v>
      </c>
      <c r="M4679" s="28"/>
      <c r="N4679" s="28"/>
      <c r="O4679" s="20" t="s">
        <v>7530</v>
      </c>
      <c r="P4679" s="27" t="str">
        <f t="shared" si="220"/>
        <v>vermelho</v>
      </c>
    </row>
    <row r="4680" spans="1:16" ht="38.25">
      <c r="A4680" s="3" t="s">
        <v>4</v>
      </c>
      <c r="B4680" s="3" t="s">
        <v>3599</v>
      </c>
      <c r="C4680" s="4">
        <v>292</v>
      </c>
      <c r="D4680" s="3" t="s">
        <v>57</v>
      </c>
      <c r="E4680" s="3" t="s">
        <v>49</v>
      </c>
      <c r="F4680" s="5">
        <v>72</v>
      </c>
      <c r="G4680" s="5">
        <v>48</v>
      </c>
      <c r="H4680" s="6">
        <v>3354.8040000000001</v>
      </c>
      <c r="I4680" s="22">
        <v>2349.2399999999998</v>
      </c>
      <c r="J4680" s="24">
        <f t="shared" si="219"/>
        <v>1.6278170420140171E-5</v>
      </c>
      <c r="K4680" s="25">
        <f t="shared" si="221"/>
        <v>0.99906012820467804</v>
      </c>
      <c r="L4680" s="26" t="s">
        <v>7518</v>
      </c>
      <c r="M4680" s="28"/>
      <c r="N4680" s="28"/>
      <c r="O4680" s="20" t="s">
        <v>7530</v>
      </c>
      <c r="P4680" s="27" t="str">
        <f t="shared" si="220"/>
        <v>vermelho</v>
      </c>
    </row>
    <row r="4681" spans="1:16" ht="25.5">
      <c r="A4681" s="3" t="s">
        <v>4</v>
      </c>
      <c r="B4681" s="3" t="s">
        <v>3600</v>
      </c>
      <c r="C4681" s="4">
        <v>270</v>
      </c>
      <c r="D4681" s="3" t="s">
        <v>266</v>
      </c>
      <c r="E4681" s="3" t="s">
        <v>49</v>
      </c>
      <c r="F4681" s="5">
        <v>0</v>
      </c>
      <c r="G4681" s="5">
        <v>48</v>
      </c>
      <c r="H4681" s="6">
        <v>0</v>
      </c>
      <c r="I4681" s="22">
        <v>2343.84</v>
      </c>
      <c r="J4681" s="24">
        <f t="shared" si="219"/>
        <v>1.6240753161678393E-5</v>
      </c>
      <c r="K4681" s="25">
        <f t="shared" si="221"/>
        <v>0.99907636895783969</v>
      </c>
      <c r="L4681" s="26" t="s">
        <v>7518</v>
      </c>
      <c r="M4681" s="28"/>
      <c r="N4681" s="28"/>
      <c r="O4681" s="20" t="s">
        <v>7530</v>
      </c>
      <c r="P4681" s="27" t="str">
        <f t="shared" si="220"/>
        <v>vermelho</v>
      </c>
    </row>
    <row r="4682" spans="1:16">
      <c r="A4682" s="3" t="s">
        <v>4</v>
      </c>
      <c r="B4682" s="3" t="s">
        <v>3601</v>
      </c>
      <c r="C4682" s="4">
        <v>231</v>
      </c>
      <c r="D4682" s="3" t="s">
        <v>52</v>
      </c>
      <c r="E4682" s="3" t="s">
        <v>7</v>
      </c>
      <c r="F4682" s="5">
        <v>60</v>
      </c>
      <c r="G4682" s="5">
        <v>36</v>
      </c>
      <c r="H4682" s="6">
        <v>2461.86</v>
      </c>
      <c r="I4682" s="22">
        <v>2315.64</v>
      </c>
      <c r="J4682" s="24">
        <f t="shared" si="219"/>
        <v>1.604535192304464E-5</v>
      </c>
      <c r="K4682" s="25">
        <f t="shared" si="221"/>
        <v>0.9990924143097627</v>
      </c>
      <c r="L4682" s="26" t="s">
        <v>7518</v>
      </c>
      <c r="M4682" s="28"/>
      <c r="N4682" s="28"/>
      <c r="O4682" s="20" t="s">
        <v>7530</v>
      </c>
      <c r="P4682" s="27" t="str">
        <f t="shared" si="220"/>
        <v>vermelho</v>
      </c>
    </row>
    <row r="4683" spans="1:16" ht="38.25">
      <c r="A4683" s="3" t="s">
        <v>4</v>
      </c>
      <c r="B4683" s="3" t="s">
        <v>3602</v>
      </c>
      <c r="C4683" s="4">
        <v>331</v>
      </c>
      <c r="D4683" s="3" t="s">
        <v>603</v>
      </c>
      <c r="E4683" s="3" t="s">
        <v>13</v>
      </c>
      <c r="F4683" s="5">
        <v>0</v>
      </c>
      <c r="G4683" s="5">
        <v>48</v>
      </c>
      <c r="H4683" s="6">
        <v>0</v>
      </c>
      <c r="I4683" s="22">
        <v>2304</v>
      </c>
      <c r="J4683" s="24">
        <f t="shared" si="219"/>
        <v>1.596469694369369E-5</v>
      </c>
      <c r="K4683" s="25">
        <f t="shared" si="221"/>
        <v>0.99910837900670635</v>
      </c>
      <c r="L4683" s="26" t="s">
        <v>7518</v>
      </c>
      <c r="M4683" s="28"/>
      <c r="N4683" s="28"/>
      <c r="O4683" s="20" t="s">
        <v>7530</v>
      </c>
      <c r="P4683" s="27" t="str">
        <f t="shared" si="220"/>
        <v>vermelho</v>
      </c>
    </row>
    <row r="4684" spans="1:16" ht="38.25">
      <c r="A4684" s="3" t="s">
        <v>4</v>
      </c>
      <c r="B4684" s="3" t="s">
        <v>3603</v>
      </c>
      <c r="C4684" s="4">
        <v>371</v>
      </c>
      <c r="D4684" s="3" t="s">
        <v>82</v>
      </c>
      <c r="E4684" s="3" t="s">
        <v>49</v>
      </c>
      <c r="F4684" s="5">
        <v>0</v>
      </c>
      <c r="G4684" s="5">
        <v>48</v>
      </c>
      <c r="H4684" s="6">
        <v>0</v>
      </c>
      <c r="I4684" s="22">
        <v>2303.52</v>
      </c>
      <c r="J4684" s="24">
        <f t="shared" si="219"/>
        <v>1.5961370965163751E-5</v>
      </c>
      <c r="K4684" s="25">
        <f t="shared" si="221"/>
        <v>0.9991243403776715</v>
      </c>
      <c r="L4684" s="26" t="s">
        <v>7518</v>
      </c>
      <c r="M4684" s="28"/>
      <c r="N4684" s="28"/>
      <c r="O4684" s="20" t="s">
        <v>7530</v>
      </c>
      <c r="P4684" s="27" t="str">
        <f t="shared" si="220"/>
        <v>vermelho</v>
      </c>
    </row>
    <row r="4685" spans="1:16" ht="38.25">
      <c r="A4685" s="3" t="s">
        <v>4</v>
      </c>
      <c r="B4685" s="3" t="s">
        <v>3604</v>
      </c>
      <c r="C4685" s="4">
        <v>38</v>
      </c>
      <c r="D4685" s="3" t="s">
        <v>184</v>
      </c>
      <c r="E4685" s="3" t="s">
        <v>49</v>
      </c>
      <c r="F4685" s="5">
        <v>0</v>
      </c>
      <c r="G4685" s="5">
        <v>45</v>
      </c>
      <c r="H4685" s="6">
        <v>0</v>
      </c>
      <c r="I4685" s="22">
        <v>2291.0100000000002</v>
      </c>
      <c r="J4685" s="24">
        <f t="shared" si="219"/>
        <v>1.5874687649727292E-5</v>
      </c>
      <c r="K4685" s="25">
        <f t="shared" si="221"/>
        <v>0.99914021506532125</v>
      </c>
      <c r="L4685" s="26" t="s">
        <v>7518</v>
      </c>
      <c r="M4685" s="28"/>
      <c r="N4685" s="28"/>
      <c r="O4685" s="20" t="s">
        <v>7530</v>
      </c>
      <c r="P4685" s="27" t="str">
        <f t="shared" si="220"/>
        <v>vermelho</v>
      </c>
    </row>
    <row r="4686" spans="1:16" ht="38.25">
      <c r="A4686" s="3" t="s">
        <v>4</v>
      </c>
      <c r="B4686" s="3" t="s">
        <v>3605</v>
      </c>
      <c r="C4686" s="4">
        <v>299</v>
      </c>
      <c r="D4686" s="3" t="s">
        <v>111</v>
      </c>
      <c r="E4686" s="3" t="s">
        <v>49</v>
      </c>
      <c r="F4686" s="5">
        <v>144</v>
      </c>
      <c r="G4686" s="5">
        <v>72</v>
      </c>
      <c r="H4686" s="6">
        <v>5860.44</v>
      </c>
      <c r="I4686" s="22">
        <v>2290.3200000000002</v>
      </c>
      <c r="J4686" s="24">
        <f t="shared" si="219"/>
        <v>1.5869906555590508E-5</v>
      </c>
      <c r="K4686" s="25">
        <f t="shared" si="221"/>
        <v>0.9991560849718768</v>
      </c>
      <c r="L4686" s="26" t="s">
        <v>7518</v>
      </c>
      <c r="M4686" s="28"/>
      <c r="N4686" s="28"/>
      <c r="O4686" s="20" t="s">
        <v>7530</v>
      </c>
      <c r="P4686" s="27" t="str">
        <f t="shared" si="220"/>
        <v>vermelho</v>
      </c>
    </row>
    <row r="4687" spans="1:16" ht="38.25">
      <c r="A4687" s="3" t="s">
        <v>4</v>
      </c>
      <c r="B4687" s="3" t="s">
        <v>3606</v>
      </c>
      <c r="C4687" s="4">
        <v>292</v>
      </c>
      <c r="D4687" s="3" t="s">
        <v>57</v>
      </c>
      <c r="E4687" s="3" t="s">
        <v>49</v>
      </c>
      <c r="F4687" s="5">
        <v>327</v>
      </c>
      <c r="G4687" s="5">
        <v>48</v>
      </c>
      <c r="H4687" s="6">
        <v>17623.475999999999</v>
      </c>
      <c r="I4687" s="22">
        <v>2267.52</v>
      </c>
      <c r="J4687" s="24">
        <f t="shared" si="219"/>
        <v>1.5711922575418539E-5</v>
      </c>
      <c r="K4687" s="25">
        <f t="shared" si="221"/>
        <v>0.99917179689445224</v>
      </c>
      <c r="L4687" s="26" t="s">
        <v>7518</v>
      </c>
      <c r="M4687" s="28"/>
      <c r="N4687" s="28"/>
      <c r="O4687" s="20" t="s">
        <v>7530</v>
      </c>
      <c r="P4687" s="27" t="str">
        <f t="shared" si="220"/>
        <v>vermelho</v>
      </c>
    </row>
    <row r="4688" spans="1:16" ht="25.5">
      <c r="A4688" s="3" t="s">
        <v>4</v>
      </c>
      <c r="B4688" s="3" t="s">
        <v>3607</v>
      </c>
      <c r="C4688" s="4">
        <v>93</v>
      </c>
      <c r="D4688" s="3" t="s">
        <v>20</v>
      </c>
      <c r="E4688" s="3" t="s">
        <v>7</v>
      </c>
      <c r="F4688" s="5">
        <v>72</v>
      </c>
      <c r="G4688" s="5">
        <v>48</v>
      </c>
      <c r="H4688" s="6">
        <v>3580.74</v>
      </c>
      <c r="I4688" s="22">
        <v>2253.12</v>
      </c>
      <c r="J4688" s="24">
        <f t="shared" si="219"/>
        <v>1.561214321952045E-5</v>
      </c>
      <c r="K4688" s="25">
        <f t="shared" si="221"/>
        <v>0.99918740903767178</v>
      </c>
      <c r="L4688" s="26" t="s">
        <v>7518</v>
      </c>
      <c r="M4688" s="28">
        <v>-4.5554709034174808E-2</v>
      </c>
      <c r="N4688" s="28"/>
      <c r="O4688" s="20" t="s">
        <v>7530</v>
      </c>
      <c r="P4688" s="27" t="str">
        <f t="shared" si="220"/>
        <v>vermelho</v>
      </c>
    </row>
    <row r="4689" spans="1:16" ht="51">
      <c r="A4689" s="3" t="s">
        <v>4</v>
      </c>
      <c r="B4689" s="3" t="s">
        <v>3608</v>
      </c>
      <c r="C4689" s="4">
        <v>282</v>
      </c>
      <c r="D4689" s="3" t="s">
        <v>12</v>
      </c>
      <c r="E4689" s="3" t="s">
        <v>13</v>
      </c>
      <c r="F4689" s="5">
        <v>0</v>
      </c>
      <c r="G4689" s="5">
        <v>48</v>
      </c>
      <c r="H4689" s="6">
        <v>0</v>
      </c>
      <c r="I4689" s="22">
        <v>2250.2399999999998</v>
      </c>
      <c r="J4689" s="24">
        <f t="shared" si="219"/>
        <v>1.5592187348340833E-5</v>
      </c>
      <c r="K4689" s="25">
        <f t="shared" si="221"/>
        <v>0.99920300122502015</v>
      </c>
      <c r="L4689" s="26" t="s">
        <v>7518</v>
      </c>
      <c r="M4689" s="28"/>
      <c r="N4689" s="28"/>
      <c r="O4689" s="20" t="s">
        <v>7530</v>
      </c>
      <c r="P4689" s="27" t="str">
        <f t="shared" si="220"/>
        <v>vermelho</v>
      </c>
    </row>
    <row r="4690" spans="1:16" ht="25.5">
      <c r="A4690" s="3" t="s">
        <v>4</v>
      </c>
      <c r="B4690" s="3" t="s">
        <v>3609</v>
      </c>
      <c r="C4690" s="4">
        <v>335</v>
      </c>
      <c r="D4690" s="3" t="s">
        <v>36</v>
      </c>
      <c r="E4690" s="3" t="s">
        <v>7</v>
      </c>
      <c r="F4690" s="5">
        <v>0</v>
      </c>
      <c r="G4690" s="5">
        <v>42</v>
      </c>
      <c r="H4690" s="6">
        <v>0</v>
      </c>
      <c r="I4690" s="22">
        <v>2237.16</v>
      </c>
      <c r="J4690" s="24">
        <f t="shared" si="219"/>
        <v>1.5501554433400072E-5</v>
      </c>
      <c r="K4690" s="25">
        <f t="shared" si="221"/>
        <v>0.99921850277945357</v>
      </c>
      <c r="L4690" s="26" t="s">
        <v>7518</v>
      </c>
      <c r="M4690" s="28"/>
      <c r="N4690" s="28"/>
      <c r="O4690" s="20">
        <v>2237.16</v>
      </c>
      <c r="P4690" s="27" t="str">
        <f t="shared" si="220"/>
        <v>verde</v>
      </c>
    </row>
    <row r="4691" spans="1:16" ht="51">
      <c r="A4691" s="3" t="s">
        <v>4</v>
      </c>
      <c r="B4691" s="3" t="s">
        <v>3610</v>
      </c>
      <c r="C4691" s="4">
        <v>282</v>
      </c>
      <c r="D4691" s="3" t="s">
        <v>12</v>
      </c>
      <c r="E4691" s="3" t="s">
        <v>13</v>
      </c>
      <c r="F4691" s="5">
        <v>96</v>
      </c>
      <c r="G4691" s="5">
        <v>36</v>
      </c>
      <c r="H4691" s="6">
        <v>2911.56</v>
      </c>
      <c r="I4691" s="22">
        <v>2237.04</v>
      </c>
      <c r="J4691" s="24">
        <f t="shared" si="219"/>
        <v>1.550072293876759E-5</v>
      </c>
      <c r="K4691" s="25">
        <f t="shared" si="221"/>
        <v>0.99923400350239233</v>
      </c>
      <c r="L4691" s="26" t="s">
        <v>7518</v>
      </c>
      <c r="M4691" s="28"/>
      <c r="N4691" s="28"/>
      <c r="O4691" s="20" t="s">
        <v>7530</v>
      </c>
      <c r="P4691" s="27" t="str">
        <f t="shared" si="220"/>
        <v>vermelho</v>
      </c>
    </row>
    <row r="4692" spans="1:16" ht="38.25">
      <c r="A4692" s="3" t="s">
        <v>4</v>
      </c>
      <c r="B4692" s="3" t="s">
        <v>3611</v>
      </c>
      <c r="C4692" s="4">
        <v>38</v>
      </c>
      <c r="D4692" s="3" t="s">
        <v>184</v>
      </c>
      <c r="E4692" s="3" t="s">
        <v>49</v>
      </c>
      <c r="F4692" s="5">
        <v>0</v>
      </c>
      <c r="G4692" s="5">
        <v>45</v>
      </c>
      <c r="H4692" s="6">
        <v>0</v>
      </c>
      <c r="I4692" s="22">
        <v>2217.2399999999998</v>
      </c>
      <c r="J4692" s="24">
        <f t="shared" si="219"/>
        <v>1.5363526324407721E-5</v>
      </c>
      <c r="K4692" s="25">
        <f t="shared" si="221"/>
        <v>0.9992493670287167</v>
      </c>
      <c r="L4692" s="26" t="s">
        <v>7518</v>
      </c>
      <c r="M4692" s="28"/>
      <c r="N4692" s="28"/>
      <c r="O4692" s="20" t="s">
        <v>7530</v>
      </c>
      <c r="P4692" s="27" t="str">
        <f t="shared" si="220"/>
        <v>vermelho</v>
      </c>
    </row>
    <row r="4693" spans="1:16" ht="38.25">
      <c r="A4693" s="3" t="s">
        <v>4</v>
      </c>
      <c r="B4693" s="3" t="s">
        <v>3612</v>
      </c>
      <c r="C4693" s="4">
        <v>292</v>
      </c>
      <c r="D4693" s="3" t="s">
        <v>57</v>
      </c>
      <c r="E4693" s="3" t="s">
        <v>49</v>
      </c>
      <c r="F4693" s="5">
        <v>48</v>
      </c>
      <c r="G4693" s="5">
        <v>48</v>
      </c>
      <c r="H4693" s="6">
        <v>2452.08</v>
      </c>
      <c r="I4693" s="22">
        <v>2209.8000000000002</v>
      </c>
      <c r="J4693" s="24">
        <f t="shared" si="219"/>
        <v>1.5311973657193712E-5</v>
      </c>
      <c r="K4693" s="25">
        <f t="shared" si="221"/>
        <v>0.99926467900237392</v>
      </c>
      <c r="L4693" s="26" t="s">
        <v>7518</v>
      </c>
      <c r="M4693" s="28"/>
      <c r="N4693" s="28"/>
      <c r="O4693" s="20" t="s">
        <v>7530</v>
      </c>
      <c r="P4693" s="27" t="str">
        <f t="shared" si="220"/>
        <v>vermelho</v>
      </c>
    </row>
    <row r="4694" spans="1:16" ht="38.25">
      <c r="A4694" s="3" t="s">
        <v>4</v>
      </c>
      <c r="B4694" s="3" t="s">
        <v>3613</v>
      </c>
      <c r="C4694" s="4">
        <v>34</v>
      </c>
      <c r="D4694" s="3" t="s">
        <v>54</v>
      </c>
      <c r="E4694" s="3" t="s">
        <v>49</v>
      </c>
      <c r="F4694" s="5">
        <v>84</v>
      </c>
      <c r="G4694" s="5">
        <v>48</v>
      </c>
      <c r="H4694" s="6">
        <v>5267.91</v>
      </c>
      <c r="I4694" s="22">
        <v>2207.52</v>
      </c>
      <c r="J4694" s="24">
        <f t="shared" si="219"/>
        <v>1.5296175259176516E-5</v>
      </c>
      <c r="K4694" s="25">
        <f t="shared" si="221"/>
        <v>0.99927997517763312</v>
      </c>
      <c r="L4694" s="26" t="s">
        <v>7518</v>
      </c>
      <c r="M4694" s="28"/>
      <c r="N4694" s="28"/>
      <c r="O4694" s="20" t="s">
        <v>7530</v>
      </c>
      <c r="P4694" s="27" t="str">
        <f t="shared" si="220"/>
        <v>vermelho</v>
      </c>
    </row>
    <row r="4695" spans="1:16" ht="25.5">
      <c r="A4695" s="3" t="s">
        <v>4</v>
      </c>
      <c r="B4695" s="3" t="s">
        <v>3614</v>
      </c>
      <c r="C4695" s="4">
        <v>299</v>
      </c>
      <c r="D4695" s="3" t="s">
        <v>111</v>
      </c>
      <c r="E4695" s="3" t="s">
        <v>49</v>
      </c>
      <c r="F4695" s="5">
        <v>78</v>
      </c>
      <c r="G4695" s="5">
        <v>42</v>
      </c>
      <c r="H4695" s="6">
        <v>3695.22</v>
      </c>
      <c r="I4695" s="22">
        <v>2198.58</v>
      </c>
      <c r="J4695" s="24">
        <f t="shared" si="219"/>
        <v>1.5234228909056453E-5</v>
      </c>
      <c r="K4695" s="25">
        <f t="shared" si="221"/>
        <v>0.99929520940654215</v>
      </c>
      <c r="L4695" s="26" t="s">
        <v>7518</v>
      </c>
      <c r="M4695" s="28"/>
      <c r="N4695" s="28"/>
      <c r="O4695" s="20">
        <v>1854.36</v>
      </c>
      <c r="P4695" s="27" t="str">
        <f t="shared" si="220"/>
        <v>laranja</v>
      </c>
    </row>
    <row r="4696" spans="1:16" ht="25.5">
      <c r="A4696" s="3" t="s">
        <v>4</v>
      </c>
      <c r="B4696" s="3" t="s">
        <v>3615</v>
      </c>
      <c r="C4696" s="4">
        <v>178</v>
      </c>
      <c r="D4696" s="3" t="s">
        <v>74</v>
      </c>
      <c r="E4696" s="3" t="s">
        <v>7</v>
      </c>
      <c r="F4696" s="5">
        <v>219</v>
      </c>
      <c r="G4696" s="5">
        <v>36</v>
      </c>
      <c r="H4696" s="6">
        <v>10123.404</v>
      </c>
      <c r="I4696" s="22">
        <v>2195.64</v>
      </c>
      <c r="J4696" s="24">
        <f t="shared" si="219"/>
        <v>1.5213857290560594E-5</v>
      </c>
      <c r="K4696" s="25">
        <f t="shared" si="221"/>
        <v>0.99931042326383268</v>
      </c>
      <c r="L4696" s="26" t="s">
        <v>7518</v>
      </c>
      <c r="M4696" s="28"/>
      <c r="N4696" s="28"/>
      <c r="O4696" s="20">
        <v>4727.28</v>
      </c>
      <c r="P4696" s="27" t="str">
        <f t="shared" si="220"/>
        <v>verde</v>
      </c>
    </row>
    <row r="4697" spans="1:16" ht="38.25">
      <c r="A4697" s="3" t="s">
        <v>4</v>
      </c>
      <c r="B4697" s="3" t="s">
        <v>3616</v>
      </c>
      <c r="C4697" s="4">
        <v>371</v>
      </c>
      <c r="D4697" s="3" t="s">
        <v>82</v>
      </c>
      <c r="E4697" s="3" t="s">
        <v>49</v>
      </c>
      <c r="F4697" s="5">
        <v>156</v>
      </c>
      <c r="G4697" s="5">
        <v>45</v>
      </c>
      <c r="H4697" s="6">
        <v>7896.72</v>
      </c>
      <c r="I4697" s="22">
        <v>2178.75</v>
      </c>
      <c r="J4697" s="24">
        <f t="shared" si="219"/>
        <v>1.5096824421038465E-5</v>
      </c>
      <c r="K4697" s="25">
        <f t="shared" si="221"/>
        <v>0.9993255200882537</v>
      </c>
      <c r="L4697" s="26" t="s">
        <v>7518</v>
      </c>
      <c r="M4697" s="28"/>
      <c r="N4697" s="28"/>
      <c r="O4697" s="20" t="s">
        <v>7530</v>
      </c>
      <c r="P4697" s="27" t="str">
        <f t="shared" si="220"/>
        <v>vermelho</v>
      </c>
    </row>
    <row r="4698" spans="1:16" ht="38.25">
      <c r="A4698" s="3" t="s">
        <v>4</v>
      </c>
      <c r="B4698" s="3" t="s">
        <v>3617</v>
      </c>
      <c r="C4698" s="4">
        <v>38</v>
      </c>
      <c r="D4698" s="3" t="s">
        <v>184</v>
      </c>
      <c r="E4698" s="3" t="s">
        <v>49</v>
      </c>
      <c r="F4698" s="5">
        <v>36</v>
      </c>
      <c r="G4698" s="5">
        <v>36</v>
      </c>
      <c r="H4698" s="6">
        <v>1911.33</v>
      </c>
      <c r="I4698" s="22">
        <v>2164.6799999999998</v>
      </c>
      <c r="J4698" s="24">
        <f t="shared" si="219"/>
        <v>1.499933167537971E-5</v>
      </c>
      <c r="K4698" s="25">
        <f t="shared" si="221"/>
        <v>0.99934051941992907</v>
      </c>
      <c r="L4698" s="26" t="s">
        <v>7518</v>
      </c>
      <c r="M4698" s="28"/>
      <c r="N4698" s="28"/>
      <c r="O4698" s="20" t="s">
        <v>7530</v>
      </c>
      <c r="P4698" s="27" t="str">
        <f t="shared" si="220"/>
        <v>vermelho</v>
      </c>
    </row>
    <row r="4699" spans="1:16" ht="38.25">
      <c r="A4699" s="3" t="s">
        <v>4</v>
      </c>
      <c r="B4699" s="3" t="s">
        <v>3618</v>
      </c>
      <c r="C4699" s="4">
        <v>292</v>
      </c>
      <c r="D4699" s="3" t="s">
        <v>57</v>
      </c>
      <c r="E4699" s="3" t="s">
        <v>49</v>
      </c>
      <c r="F4699" s="5">
        <v>179</v>
      </c>
      <c r="G4699" s="5">
        <v>62</v>
      </c>
      <c r="H4699" s="6">
        <v>6560.18</v>
      </c>
      <c r="I4699" s="22">
        <v>2156.44</v>
      </c>
      <c r="J4699" s="24">
        <f t="shared" si="219"/>
        <v>1.4942235710615806E-5</v>
      </c>
      <c r="K4699" s="25">
        <f t="shared" si="221"/>
        <v>0.99935546165563971</v>
      </c>
      <c r="L4699" s="26" t="s">
        <v>7518</v>
      </c>
      <c r="M4699" s="28"/>
      <c r="N4699" s="28"/>
      <c r="O4699" s="20" t="s">
        <v>7530</v>
      </c>
      <c r="P4699" s="27" t="str">
        <f t="shared" si="220"/>
        <v>vermelho</v>
      </c>
    </row>
    <row r="4700" spans="1:16" ht="51">
      <c r="A4700" s="3" t="s">
        <v>4</v>
      </c>
      <c r="B4700" s="3" t="s">
        <v>3619</v>
      </c>
      <c r="C4700" s="4">
        <v>282</v>
      </c>
      <c r="D4700" s="3" t="s">
        <v>12</v>
      </c>
      <c r="E4700" s="3" t="s">
        <v>13</v>
      </c>
      <c r="F4700" s="5">
        <v>0</v>
      </c>
      <c r="G4700" s="5">
        <v>48</v>
      </c>
      <c r="H4700" s="6">
        <v>0</v>
      </c>
      <c r="I4700" s="22">
        <v>2156.3319999999999</v>
      </c>
      <c r="J4700" s="24">
        <f t="shared" si="219"/>
        <v>1.494148736544657E-5</v>
      </c>
      <c r="K4700" s="25">
        <f t="shared" si="221"/>
        <v>0.99937040314300518</v>
      </c>
      <c r="L4700" s="26" t="s">
        <v>7518</v>
      </c>
      <c r="M4700" s="28"/>
      <c r="N4700" s="28"/>
      <c r="O4700" s="20" t="s">
        <v>7530</v>
      </c>
      <c r="P4700" s="27" t="str">
        <f t="shared" si="220"/>
        <v>vermelho</v>
      </c>
    </row>
    <row r="4701" spans="1:16" ht="25.5">
      <c r="A4701" s="3" t="s">
        <v>4</v>
      </c>
      <c r="B4701" s="3" t="s">
        <v>3620</v>
      </c>
      <c r="C4701" s="4">
        <v>316</v>
      </c>
      <c r="D4701" s="3" t="s">
        <v>247</v>
      </c>
      <c r="E4701" s="3" t="s">
        <v>10</v>
      </c>
      <c r="F4701" s="5">
        <v>0</v>
      </c>
      <c r="G4701" s="5">
        <v>48</v>
      </c>
      <c r="H4701" s="6">
        <v>0</v>
      </c>
      <c r="I4701" s="22">
        <v>2116.3200000000002</v>
      </c>
      <c r="J4701" s="24">
        <f t="shared" si="219"/>
        <v>1.4664239338488641E-5</v>
      </c>
      <c r="K4701" s="25">
        <f t="shared" si="221"/>
        <v>0.99938506738234367</v>
      </c>
      <c r="L4701" s="26" t="s">
        <v>7518</v>
      </c>
      <c r="M4701" s="28"/>
      <c r="N4701" s="28"/>
      <c r="O4701" s="20" t="s">
        <v>7530</v>
      </c>
      <c r="P4701" s="27" t="str">
        <f t="shared" si="220"/>
        <v>vermelho</v>
      </c>
    </row>
    <row r="4702" spans="1:16" ht="38.25">
      <c r="A4702" s="3" t="s">
        <v>4</v>
      </c>
      <c r="B4702" s="3" t="s">
        <v>3621</v>
      </c>
      <c r="C4702" s="4">
        <v>371</v>
      </c>
      <c r="D4702" s="3" t="s">
        <v>82</v>
      </c>
      <c r="E4702" s="3" t="s">
        <v>49</v>
      </c>
      <c r="F4702" s="5">
        <v>582</v>
      </c>
      <c r="G4702" s="5">
        <v>48</v>
      </c>
      <c r="H4702" s="6">
        <v>32601.360000000001</v>
      </c>
      <c r="I4702" s="22">
        <v>2111.52</v>
      </c>
      <c r="J4702" s="24">
        <f t="shared" si="219"/>
        <v>1.4630979553189278E-5</v>
      </c>
      <c r="K4702" s="25">
        <f t="shared" si="221"/>
        <v>0.9993996983618969</v>
      </c>
      <c r="L4702" s="26" t="s">
        <v>7518</v>
      </c>
      <c r="M4702" s="28"/>
      <c r="N4702" s="28"/>
      <c r="O4702" s="20" t="s">
        <v>7530</v>
      </c>
      <c r="P4702" s="27" t="str">
        <f t="shared" si="220"/>
        <v>vermelho</v>
      </c>
    </row>
    <row r="4703" spans="1:16" ht="38.25">
      <c r="A4703" s="3" t="s">
        <v>4</v>
      </c>
      <c r="B4703" s="3" t="s">
        <v>3622</v>
      </c>
      <c r="C4703" s="4">
        <v>371</v>
      </c>
      <c r="D4703" s="3" t="s">
        <v>82</v>
      </c>
      <c r="E4703" s="3" t="s">
        <v>49</v>
      </c>
      <c r="F4703" s="5">
        <v>456</v>
      </c>
      <c r="G4703" s="5">
        <v>48</v>
      </c>
      <c r="H4703" s="6">
        <v>26029.919999999998</v>
      </c>
      <c r="I4703" s="22">
        <v>2111.52</v>
      </c>
      <c r="J4703" s="24">
        <f t="shared" si="219"/>
        <v>1.4630979553189278E-5</v>
      </c>
      <c r="K4703" s="25">
        <f t="shared" si="221"/>
        <v>0.99941432934145014</v>
      </c>
      <c r="L4703" s="26" t="s">
        <v>7518</v>
      </c>
      <c r="M4703" s="28"/>
      <c r="N4703" s="28"/>
      <c r="O4703" s="20" t="s">
        <v>7530</v>
      </c>
      <c r="P4703" s="27" t="str">
        <f t="shared" si="220"/>
        <v>vermelho</v>
      </c>
    </row>
    <row r="4704" spans="1:16" ht="25.5">
      <c r="A4704" s="3" t="s">
        <v>4</v>
      </c>
      <c r="B4704" s="3" t="s">
        <v>3623</v>
      </c>
      <c r="C4704" s="4">
        <v>299</v>
      </c>
      <c r="D4704" s="3" t="s">
        <v>111</v>
      </c>
      <c r="E4704" s="3" t="s">
        <v>49</v>
      </c>
      <c r="F4704" s="5">
        <v>52</v>
      </c>
      <c r="G4704" s="5">
        <v>48</v>
      </c>
      <c r="H4704" s="6">
        <v>2364.96</v>
      </c>
      <c r="I4704" s="22">
        <v>2111.52</v>
      </c>
      <c r="J4704" s="24">
        <f t="shared" si="219"/>
        <v>1.4630979553189278E-5</v>
      </c>
      <c r="K4704" s="25">
        <f t="shared" si="221"/>
        <v>0.99942896032100337</v>
      </c>
      <c r="L4704" s="26" t="s">
        <v>7518</v>
      </c>
      <c r="M4704" s="28"/>
      <c r="N4704" s="28"/>
      <c r="O4704" s="20" t="s">
        <v>7530</v>
      </c>
      <c r="P4704" s="27" t="str">
        <f t="shared" si="220"/>
        <v>vermelho</v>
      </c>
    </row>
    <row r="4705" spans="1:16" ht="38.25">
      <c r="A4705" s="3" t="s">
        <v>4</v>
      </c>
      <c r="B4705" s="3" t="s">
        <v>3624</v>
      </c>
      <c r="C4705" s="4">
        <v>371</v>
      </c>
      <c r="D4705" s="3" t="s">
        <v>82</v>
      </c>
      <c r="E4705" s="3" t="s">
        <v>49</v>
      </c>
      <c r="F4705" s="5">
        <v>261</v>
      </c>
      <c r="G4705" s="5">
        <v>48</v>
      </c>
      <c r="H4705" s="6">
        <v>14232.03</v>
      </c>
      <c r="I4705" s="22">
        <v>2111.52</v>
      </c>
      <c r="J4705" s="24">
        <f t="shared" si="219"/>
        <v>1.4630979553189278E-5</v>
      </c>
      <c r="K4705" s="25">
        <f t="shared" si="221"/>
        <v>0.9994435913005566</v>
      </c>
      <c r="L4705" s="26" t="s">
        <v>7518</v>
      </c>
      <c r="M4705" s="28"/>
      <c r="N4705" s="28"/>
      <c r="O4705" s="20" t="s">
        <v>7530</v>
      </c>
      <c r="P4705" s="27" t="str">
        <f t="shared" si="220"/>
        <v>vermelho</v>
      </c>
    </row>
    <row r="4706" spans="1:16" ht="38.25">
      <c r="A4706" s="3" t="s">
        <v>4</v>
      </c>
      <c r="B4706" s="3" t="s">
        <v>3625</v>
      </c>
      <c r="C4706" s="4">
        <v>371</v>
      </c>
      <c r="D4706" s="3" t="s">
        <v>82</v>
      </c>
      <c r="E4706" s="3" t="s">
        <v>49</v>
      </c>
      <c r="F4706" s="5">
        <v>36</v>
      </c>
      <c r="G4706" s="5">
        <v>48</v>
      </c>
      <c r="H4706" s="6">
        <v>2040.6</v>
      </c>
      <c r="I4706" s="22">
        <v>2111.52</v>
      </c>
      <c r="J4706" s="24">
        <f t="shared" si="219"/>
        <v>1.4630979553189278E-5</v>
      </c>
      <c r="K4706" s="25">
        <f t="shared" si="221"/>
        <v>0.99945822228010983</v>
      </c>
      <c r="L4706" s="26" t="s">
        <v>7518</v>
      </c>
      <c r="M4706" s="28"/>
      <c r="N4706" s="28"/>
      <c r="O4706" s="20" t="s">
        <v>7530</v>
      </c>
      <c r="P4706" s="27" t="str">
        <f t="shared" si="220"/>
        <v>vermelho</v>
      </c>
    </row>
    <row r="4707" spans="1:16" ht="25.5">
      <c r="A4707" s="3" t="s">
        <v>4</v>
      </c>
      <c r="B4707" s="3" t="s">
        <v>3626</v>
      </c>
      <c r="C4707" s="4">
        <v>299</v>
      </c>
      <c r="D4707" s="3" t="s">
        <v>111</v>
      </c>
      <c r="E4707" s="3" t="s">
        <v>49</v>
      </c>
      <c r="F4707" s="5">
        <v>0</v>
      </c>
      <c r="G4707" s="5">
        <v>48</v>
      </c>
      <c r="H4707" s="6">
        <v>0</v>
      </c>
      <c r="I4707" s="22">
        <v>2111.52</v>
      </c>
      <c r="J4707" s="24">
        <f t="shared" si="219"/>
        <v>1.4630979553189278E-5</v>
      </c>
      <c r="K4707" s="25">
        <f t="shared" si="221"/>
        <v>0.99947285325966306</v>
      </c>
      <c r="L4707" s="26" t="s">
        <v>7518</v>
      </c>
      <c r="M4707" s="28"/>
      <c r="N4707" s="28"/>
      <c r="O4707" s="20" t="s">
        <v>7530</v>
      </c>
      <c r="P4707" s="27" t="str">
        <f t="shared" si="220"/>
        <v>vermelho</v>
      </c>
    </row>
    <row r="4708" spans="1:16" ht="38.25">
      <c r="A4708" s="3" t="s">
        <v>7087</v>
      </c>
      <c r="B4708" s="3" t="s">
        <v>7088</v>
      </c>
      <c r="C4708" s="4">
        <v>371</v>
      </c>
      <c r="D4708" s="3" t="s">
        <v>82</v>
      </c>
      <c r="E4708" s="3" t="s">
        <v>49</v>
      </c>
      <c r="F4708" s="5">
        <v>0</v>
      </c>
      <c r="G4708" s="5">
        <v>48</v>
      </c>
      <c r="H4708" s="6">
        <v>0</v>
      </c>
      <c r="I4708" s="22">
        <v>2111.52</v>
      </c>
      <c r="J4708" s="24">
        <f t="shared" si="219"/>
        <v>1.4630979553189278E-5</v>
      </c>
      <c r="K4708" s="25">
        <f t="shared" si="221"/>
        <v>0.9994874842392163</v>
      </c>
      <c r="L4708" s="26" t="s">
        <v>7518</v>
      </c>
      <c r="M4708" s="28"/>
      <c r="N4708" s="28"/>
      <c r="O4708" s="20" t="s">
        <v>7530</v>
      </c>
      <c r="P4708" s="27" t="str">
        <f t="shared" si="220"/>
        <v>vermelho</v>
      </c>
    </row>
    <row r="4709" spans="1:16" ht="38.25">
      <c r="A4709" s="3" t="s">
        <v>4</v>
      </c>
      <c r="B4709" s="3" t="s">
        <v>3627</v>
      </c>
      <c r="C4709" s="4">
        <v>371</v>
      </c>
      <c r="D4709" s="3" t="s">
        <v>82</v>
      </c>
      <c r="E4709" s="3" t="s">
        <v>49</v>
      </c>
      <c r="F4709" s="5">
        <v>0</v>
      </c>
      <c r="G4709" s="5">
        <v>48</v>
      </c>
      <c r="H4709" s="6">
        <v>0</v>
      </c>
      <c r="I4709" s="22">
        <v>2109.6</v>
      </c>
      <c r="J4709" s="24">
        <f t="shared" si="219"/>
        <v>1.4617675639069532E-5</v>
      </c>
      <c r="K4709" s="25">
        <f t="shared" si="221"/>
        <v>0.99950210191485533</v>
      </c>
      <c r="L4709" s="26" t="s">
        <v>7518</v>
      </c>
      <c r="M4709" s="28"/>
      <c r="N4709" s="28"/>
      <c r="O4709" s="20" t="s">
        <v>7530</v>
      </c>
      <c r="P4709" s="27" t="str">
        <f t="shared" si="220"/>
        <v>vermelho</v>
      </c>
    </row>
    <row r="4710" spans="1:16" ht="38.25">
      <c r="A4710" s="3" t="s">
        <v>4</v>
      </c>
      <c r="B4710" s="3" t="s">
        <v>3628</v>
      </c>
      <c r="C4710" s="4">
        <v>371</v>
      </c>
      <c r="D4710" s="3" t="s">
        <v>82</v>
      </c>
      <c r="E4710" s="3" t="s">
        <v>49</v>
      </c>
      <c r="F4710" s="5">
        <v>105</v>
      </c>
      <c r="G4710" s="5">
        <v>48</v>
      </c>
      <c r="H4710" s="6">
        <v>5638.47</v>
      </c>
      <c r="I4710" s="22">
        <v>2109.6</v>
      </c>
      <c r="J4710" s="24">
        <f t="shared" si="219"/>
        <v>1.4617675639069532E-5</v>
      </c>
      <c r="K4710" s="25">
        <f t="shared" si="221"/>
        <v>0.99951671959049437</v>
      </c>
      <c r="L4710" s="26" t="s">
        <v>7518</v>
      </c>
      <c r="M4710" s="28">
        <v>2.9503088319933295E-2</v>
      </c>
      <c r="N4710" s="28"/>
      <c r="O4710" s="20">
        <v>2109.6</v>
      </c>
      <c r="P4710" s="27" t="str">
        <f t="shared" si="220"/>
        <v>verde</v>
      </c>
    </row>
    <row r="4711" spans="1:16" ht="25.5">
      <c r="A4711" s="3" t="s">
        <v>4</v>
      </c>
      <c r="B4711" s="3" t="s">
        <v>3629</v>
      </c>
      <c r="C4711" s="4">
        <v>328</v>
      </c>
      <c r="D4711" s="3" t="s">
        <v>215</v>
      </c>
      <c r="E4711" s="3" t="s">
        <v>41</v>
      </c>
      <c r="F4711" s="5">
        <v>0</v>
      </c>
      <c r="G4711" s="5">
        <v>39</v>
      </c>
      <c r="H4711" s="6">
        <v>0</v>
      </c>
      <c r="I4711" s="22">
        <v>2097.06</v>
      </c>
      <c r="J4711" s="24">
        <f t="shared" si="219"/>
        <v>1.453078444997495E-5</v>
      </c>
      <c r="K4711" s="25">
        <f t="shared" si="221"/>
        <v>0.99953125037494439</v>
      </c>
      <c r="L4711" s="26" t="s">
        <v>7518</v>
      </c>
      <c r="M4711" s="28"/>
      <c r="N4711" s="28"/>
      <c r="O4711" s="20" t="s">
        <v>7530</v>
      </c>
      <c r="P4711" s="27" t="str">
        <f t="shared" si="220"/>
        <v>vermelho</v>
      </c>
    </row>
    <row r="4712" spans="1:16" ht="38.25">
      <c r="A4712" s="3" t="s">
        <v>4</v>
      </c>
      <c r="B4712" s="3" t="s">
        <v>3630</v>
      </c>
      <c r="C4712" s="4">
        <v>34</v>
      </c>
      <c r="D4712" s="3" t="s">
        <v>54</v>
      </c>
      <c r="E4712" s="3" t="s">
        <v>49</v>
      </c>
      <c r="F4712" s="5">
        <v>192</v>
      </c>
      <c r="G4712" s="5">
        <v>27</v>
      </c>
      <c r="H4712" s="6">
        <v>11182.08</v>
      </c>
      <c r="I4712" s="22">
        <v>2090.6999999999998</v>
      </c>
      <c r="J4712" s="24">
        <f t="shared" si="219"/>
        <v>1.4486715234453294E-5</v>
      </c>
      <c r="K4712" s="25">
        <f t="shared" si="221"/>
        <v>0.9995457370901788</v>
      </c>
      <c r="L4712" s="26" t="s">
        <v>7518</v>
      </c>
      <c r="M4712" s="28"/>
      <c r="N4712" s="28"/>
      <c r="O4712" s="20" t="s">
        <v>7530</v>
      </c>
      <c r="P4712" s="27" t="str">
        <f t="shared" si="220"/>
        <v>vermelho</v>
      </c>
    </row>
    <row r="4713" spans="1:16" ht="25.5">
      <c r="A4713" s="3" t="s">
        <v>4</v>
      </c>
      <c r="B4713" s="3" t="s">
        <v>3631</v>
      </c>
      <c r="C4713" s="4">
        <v>197</v>
      </c>
      <c r="D4713" s="3" t="s">
        <v>66</v>
      </c>
      <c r="E4713" s="3" t="s">
        <v>41</v>
      </c>
      <c r="F4713" s="5">
        <v>120</v>
      </c>
      <c r="G4713" s="5">
        <v>48</v>
      </c>
      <c r="H4713" s="6">
        <v>7714.8</v>
      </c>
      <c r="I4713" s="22">
        <v>2063.52</v>
      </c>
      <c r="J4713" s="24">
        <f t="shared" si="219"/>
        <v>1.4298381700195659E-5</v>
      </c>
      <c r="K4713" s="25">
        <f t="shared" si="221"/>
        <v>0.99956003547187899</v>
      </c>
      <c r="L4713" s="26" t="s">
        <v>7518</v>
      </c>
      <c r="M4713" s="28"/>
      <c r="N4713" s="28"/>
      <c r="O4713" s="20" t="s">
        <v>7530</v>
      </c>
      <c r="P4713" s="27" t="str">
        <f t="shared" si="220"/>
        <v>vermelho</v>
      </c>
    </row>
    <row r="4714" spans="1:16" ht="38.25">
      <c r="A4714" s="3" t="s">
        <v>4</v>
      </c>
      <c r="B4714" s="3" t="s">
        <v>3632</v>
      </c>
      <c r="C4714" s="4">
        <v>371</v>
      </c>
      <c r="D4714" s="3" t="s">
        <v>82</v>
      </c>
      <c r="E4714" s="3" t="s">
        <v>49</v>
      </c>
      <c r="F4714" s="5">
        <v>0</v>
      </c>
      <c r="G4714" s="5">
        <v>48</v>
      </c>
      <c r="H4714" s="6">
        <v>0</v>
      </c>
      <c r="I4714" s="22">
        <v>2061.6</v>
      </c>
      <c r="J4714" s="24">
        <f t="shared" si="219"/>
        <v>1.4285077786075915E-5</v>
      </c>
      <c r="K4714" s="25">
        <f t="shared" si="221"/>
        <v>0.99957432054966511</v>
      </c>
      <c r="L4714" s="26" t="s">
        <v>7518</v>
      </c>
      <c r="M4714" s="28"/>
      <c r="N4714" s="28"/>
      <c r="O4714" s="20">
        <v>2061.6</v>
      </c>
      <c r="P4714" s="27" t="str">
        <f t="shared" si="220"/>
        <v>verde</v>
      </c>
    </row>
    <row r="4715" spans="1:16" ht="25.5">
      <c r="A4715" s="3" t="s">
        <v>4</v>
      </c>
      <c r="B4715" s="3" t="s">
        <v>3633</v>
      </c>
      <c r="C4715" s="4">
        <v>299</v>
      </c>
      <c r="D4715" s="3" t="s">
        <v>111</v>
      </c>
      <c r="E4715" s="3" t="s">
        <v>49</v>
      </c>
      <c r="F4715" s="5">
        <v>0</v>
      </c>
      <c r="G4715" s="5">
        <v>48</v>
      </c>
      <c r="H4715" s="6">
        <v>0</v>
      </c>
      <c r="I4715" s="22">
        <v>2061.36</v>
      </c>
      <c r="J4715" s="24">
        <f t="shared" si="219"/>
        <v>1.4283414796810947E-5</v>
      </c>
      <c r="K4715" s="25">
        <f t="shared" si="221"/>
        <v>0.99958860396446192</v>
      </c>
      <c r="L4715" s="26" t="s">
        <v>7518</v>
      </c>
      <c r="M4715" s="28"/>
      <c r="N4715" s="28"/>
      <c r="O4715" s="20" t="s">
        <v>7530</v>
      </c>
      <c r="P4715" s="27" t="str">
        <f t="shared" si="220"/>
        <v>vermelho</v>
      </c>
    </row>
    <row r="4716" spans="1:16" ht="25.5">
      <c r="A4716" s="3" t="s">
        <v>4</v>
      </c>
      <c r="B4716" s="3" t="s">
        <v>3634</v>
      </c>
      <c r="C4716" s="4">
        <v>317</v>
      </c>
      <c r="D4716" s="3" t="s">
        <v>78</v>
      </c>
      <c r="E4716" s="3" t="s">
        <v>10</v>
      </c>
      <c r="F4716" s="5">
        <v>0</v>
      </c>
      <c r="G4716" s="5">
        <v>36</v>
      </c>
      <c r="H4716" s="6">
        <v>0</v>
      </c>
      <c r="I4716" s="22">
        <v>2051.64</v>
      </c>
      <c r="J4716" s="24">
        <f t="shared" si="219"/>
        <v>1.4216063731579737E-5</v>
      </c>
      <c r="K4716" s="25">
        <f t="shared" si="221"/>
        <v>0.99960282002819345</v>
      </c>
      <c r="L4716" s="26" t="s">
        <v>7518</v>
      </c>
      <c r="M4716" s="28"/>
      <c r="N4716" s="28"/>
      <c r="O4716" s="20" t="s">
        <v>7530</v>
      </c>
      <c r="P4716" s="27" t="str">
        <f t="shared" si="220"/>
        <v>vermelho</v>
      </c>
    </row>
    <row r="4717" spans="1:16" ht="25.5">
      <c r="A4717" s="3" t="s">
        <v>4</v>
      </c>
      <c r="B4717" s="3" t="s">
        <v>3635</v>
      </c>
      <c r="C4717" s="4">
        <v>187</v>
      </c>
      <c r="D4717" s="3" t="s">
        <v>96</v>
      </c>
      <c r="E4717" s="3" t="s">
        <v>7</v>
      </c>
      <c r="F4717" s="5">
        <v>0</v>
      </c>
      <c r="G4717" s="5">
        <v>60</v>
      </c>
      <c r="H4717" s="6">
        <v>0</v>
      </c>
      <c r="I4717" s="22">
        <v>2037.36</v>
      </c>
      <c r="J4717" s="24">
        <f t="shared" si="219"/>
        <v>1.4117115870314138E-5</v>
      </c>
      <c r="K4717" s="25">
        <f t="shared" si="221"/>
        <v>0.99961693714406374</v>
      </c>
      <c r="L4717" s="26" t="s">
        <v>7518</v>
      </c>
      <c r="M4717" s="28"/>
      <c r="N4717" s="28"/>
      <c r="O4717" s="20" t="s">
        <v>7530</v>
      </c>
      <c r="P4717" s="27" t="str">
        <f t="shared" si="220"/>
        <v>vermelho</v>
      </c>
    </row>
    <row r="4718" spans="1:16" ht="38.25">
      <c r="A4718" s="3" t="s">
        <v>4</v>
      </c>
      <c r="B4718" s="3" t="s">
        <v>3636</v>
      </c>
      <c r="C4718" s="4">
        <v>371</v>
      </c>
      <c r="D4718" s="3" t="s">
        <v>82</v>
      </c>
      <c r="E4718" s="3" t="s">
        <v>49</v>
      </c>
      <c r="F4718" s="5">
        <v>0</v>
      </c>
      <c r="G4718" s="5">
        <v>36</v>
      </c>
      <c r="H4718" s="6">
        <v>0</v>
      </c>
      <c r="I4718" s="22">
        <v>2034.54</v>
      </c>
      <c r="J4718" s="24">
        <f t="shared" si="219"/>
        <v>1.4097575746450762E-5</v>
      </c>
      <c r="K4718" s="25">
        <f t="shared" si="221"/>
        <v>0.99963103471981019</v>
      </c>
      <c r="L4718" s="26" t="s">
        <v>7518</v>
      </c>
      <c r="M4718" s="28"/>
      <c r="N4718" s="28"/>
      <c r="O4718" s="20">
        <v>7617.48</v>
      </c>
      <c r="P4718" s="27" t="str">
        <f t="shared" si="220"/>
        <v>verde</v>
      </c>
    </row>
    <row r="4719" spans="1:16" ht="25.5">
      <c r="A4719" s="3" t="s">
        <v>4</v>
      </c>
      <c r="B4719" s="3" t="s">
        <v>3637</v>
      </c>
      <c r="C4719" s="4">
        <v>197</v>
      </c>
      <c r="D4719" s="3" t="s">
        <v>66</v>
      </c>
      <c r="E4719" s="3" t="s">
        <v>41</v>
      </c>
      <c r="F4719" s="5">
        <v>0</v>
      </c>
      <c r="G4719" s="5">
        <v>36</v>
      </c>
      <c r="H4719" s="6">
        <v>0</v>
      </c>
      <c r="I4719" s="22">
        <v>2023.92</v>
      </c>
      <c r="J4719" s="24">
        <f t="shared" si="219"/>
        <v>1.4023988471475925E-5</v>
      </c>
      <c r="K4719" s="25">
        <f t="shared" si="221"/>
        <v>0.99964505870828169</v>
      </c>
      <c r="L4719" s="26" t="s">
        <v>7518</v>
      </c>
      <c r="M4719" s="28"/>
      <c r="N4719" s="28"/>
      <c r="O4719" s="20" t="s">
        <v>7530</v>
      </c>
      <c r="P4719" s="27" t="str">
        <f t="shared" si="220"/>
        <v>vermelho</v>
      </c>
    </row>
    <row r="4720" spans="1:16" ht="38.25">
      <c r="A4720" s="3" t="s">
        <v>4</v>
      </c>
      <c r="B4720" s="3" t="s">
        <v>1767</v>
      </c>
      <c r="C4720" s="4">
        <v>371</v>
      </c>
      <c r="D4720" s="3" t="s">
        <v>82</v>
      </c>
      <c r="E4720" s="3" t="s">
        <v>49</v>
      </c>
      <c r="F4720" s="5">
        <v>0</v>
      </c>
      <c r="G4720" s="5">
        <v>72</v>
      </c>
      <c r="H4720" s="6">
        <v>0</v>
      </c>
      <c r="I4720" s="22">
        <v>2013.336</v>
      </c>
      <c r="J4720" s="24">
        <f t="shared" si="219"/>
        <v>1.3950650644890832E-5</v>
      </c>
      <c r="K4720" s="25">
        <f t="shared" si="221"/>
        <v>0.9996590093589266</v>
      </c>
      <c r="L4720" s="26" t="s">
        <v>7518</v>
      </c>
      <c r="M4720" s="28">
        <v>-1.326913096879008E-2</v>
      </c>
      <c r="N4720" s="28"/>
      <c r="O4720" s="20">
        <v>3431.9920000000002</v>
      </c>
      <c r="P4720" s="27" t="str">
        <f t="shared" si="220"/>
        <v>verde</v>
      </c>
    </row>
    <row r="4721" spans="1:16" ht="25.5">
      <c r="A4721" s="3" t="s">
        <v>4</v>
      </c>
      <c r="B4721" s="3" t="s">
        <v>3638</v>
      </c>
      <c r="C4721" s="4">
        <v>23</v>
      </c>
      <c r="D4721" s="3" t="s">
        <v>87</v>
      </c>
      <c r="E4721" s="3" t="s">
        <v>7</v>
      </c>
      <c r="F4721" s="5">
        <v>0</v>
      </c>
      <c r="G4721" s="5">
        <v>36</v>
      </c>
      <c r="H4721" s="6">
        <v>0</v>
      </c>
      <c r="I4721" s="22">
        <v>2009.04</v>
      </c>
      <c r="J4721" s="24">
        <f t="shared" si="219"/>
        <v>1.3920883137047902E-5</v>
      </c>
      <c r="K4721" s="25">
        <f t="shared" si="221"/>
        <v>0.99967293024206361</v>
      </c>
      <c r="L4721" s="26" t="s">
        <v>7518</v>
      </c>
      <c r="M4721" s="28"/>
      <c r="N4721" s="28"/>
      <c r="O4721" s="20" t="s">
        <v>7530</v>
      </c>
      <c r="P4721" s="27" t="str">
        <f t="shared" si="220"/>
        <v>vermelho</v>
      </c>
    </row>
    <row r="4722" spans="1:16" ht="25.5">
      <c r="A4722" s="3" t="s">
        <v>4</v>
      </c>
      <c r="B4722" s="3" t="s">
        <v>3639</v>
      </c>
      <c r="C4722" s="4">
        <v>167</v>
      </c>
      <c r="D4722" s="3" t="s">
        <v>251</v>
      </c>
      <c r="E4722" s="3" t="s">
        <v>49</v>
      </c>
      <c r="F4722" s="5">
        <v>0</v>
      </c>
      <c r="G4722" s="5">
        <v>36</v>
      </c>
      <c r="H4722" s="6">
        <v>0</v>
      </c>
      <c r="I4722" s="22">
        <v>2009.04</v>
      </c>
      <c r="J4722" s="24">
        <f t="shared" si="219"/>
        <v>1.3920883137047902E-5</v>
      </c>
      <c r="K4722" s="25">
        <f t="shared" si="221"/>
        <v>0.99968685112520062</v>
      </c>
      <c r="L4722" s="26" t="s">
        <v>7518</v>
      </c>
      <c r="M4722" s="28"/>
      <c r="N4722" s="28"/>
      <c r="O4722" s="20">
        <v>3381.48</v>
      </c>
      <c r="P4722" s="27" t="str">
        <f t="shared" si="220"/>
        <v>verde</v>
      </c>
    </row>
    <row r="4723" spans="1:16" ht="38.25">
      <c r="A4723" s="3" t="s">
        <v>4</v>
      </c>
      <c r="B4723" s="3" t="s">
        <v>3640</v>
      </c>
      <c r="C4723" s="4">
        <v>45</v>
      </c>
      <c r="D4723" s="3" t="s">
        <v>23</v>
      </c>
      <c r="E4723" s="3" t="s">
        <v>7</v>
      </c>
      <c r="F4723" s="5">
        <v>0</v>
      </c>
      <c r="G4723" s="5">
        <v>60</v>
      </c>
      <c r="H4723" s="6">
        <v>0</v>
      </c>
      <c r="I4723" s="22">
        <v>1997.4</v>
      </c>
      <c r="J4723" s="24">
        <f t="shared" si="219"/>
        <v>1.384022815769695E-5</v>
      </c>
      <c r="K4723" s="25">
        <f t="shared" si="221"/>
        <v>0.99970069135335826</v>
      </c>
      <c r="L4723" s="26" t="s">
        <v>7518</v>
      </c>
      <c r="M4723" s="28"/>
      <c r="N4723" s="28"/>
      <c r="O4723" s="20" t="s">
        <v>7530</v>
      </c>
      <c r="P4723" s="27" t="str">
        <f t="shared" si="220"/>
        <v>vermelho</v>
      </c>
    </row>
    <row r="4724" spans="1:16" ht="38.25">
      <c r="A4724" s="3" t="s">
        <v>4</v>
      </c>
      <c r="B4724" s="3" t="s">
        <v>3641</v>
      </c>
      <c r="C4724" s="4">
        <v>45</v>
      </c>
      <c r="D4724" s="3" t="s">
        <v>23</v>
      </c>
      <c r="E4724" s="3" t="s">
        <v>7</v>
      </c>
      <c r="F4724" s="5">
        <v>87</v>
      </c>
      <c r="G4724" s="5">
        <v>60</v>
      </c>
      <c r="H4724" s="6">
        <v>5777.13</v>
      </c>
      <c r="I4724" s="22">
        <v>1997.4</v>
      </c>
      <c r="J4724" s="24">
        <f t="shared" si="219"/>
        <v>1.384022815769695E-5</v>
      </c>
      <c r="K4724" s="25">
        <f t="shared" si="221"/>
        <v>0.99971453158151591</v>
      </c>
      <c r="L4724" s="26" t="s">
        <v>7518</v>
      </c>
      <c r="M4724" s="28"/>
      <c r="N4724" s="28"/>
      <c r="O4724" s="20">
        <v>19341.240000000002</v>
      </c>
      <c r="P4724" s="27" t="str">
        <f t="shared" si="220"/>
        <v>verde</v>
      </c>
    </row>
    <row r="4725" spans="1:16" ht="25.5">
      <c r="A4725" s="3" t="s">
        <v>7089</v>
      </c>
      <c r="B4725" s="3" t="s">
        <v>7090</v>
      </c>
      <c r="C4725" s="4">
        <v>93</v>
      </c>
      <c r="D4725" s="3" t="s">
        <v>20</v>
      </c>
      <c r="E4725" s="3" t="s">
        <v>7</v>
      </c>
      <c r="F4725" s="5">
        <v>0</v>
      </c>
      <c r="G4725" s="5">
        <v>36</v>
      </c>
      <c r="H4725" s="6">
        <v>0</v>
      </c>
      <c r="I4725" s="22">
        <v>1965.6</v>
      </c>
      <c r="J4725" s="24">
        <f t="shared" si="219"/>
        <v>1.3619882080088677E-5</v>
      </c>
      <c r="K4725" s="25">
        <f t="shared" si="221"/>
        <v>0.99972815146359595</v>
      </c>
      <c r="L4725" s="26" t="s">
        <v>7518</v>
      </c>
      <c r="M4725" s="28"/>
      <c r="N4725" s="28"/>
      <c r="O4725" s="20" t="s">
        <v>7530</v>
      </c>
      <c r="P4725" s="27" t="str">
        <f t="shared" si="220"/>
        <v>vermelho</v>
      </c>
    </row>
    <row r="4726" spans="1:16" ht="25.5">
      <c r="A4726" s="3" t="s">
        <v>4</v>
      </c>
      <c r="B4726" s="3" t="s">
        <v>3642</v>
      </c>
      <c r="C4726" s="4">
        <v>23</v>
      </c>
      <c r="D4726" s="3" t="s">
        <v>87</v>
      </c>
      <c r="E4726" s="3" t="s">
        <v>7</v>
      </c>
      <c r="F4726" s="5">
        <v>0</v>
      </c>
      <c r="G4726" s="5">
        <v>30</v>
      </c>
      <c r="H4726" s="6">
        <v>0</v>
      </c>
      <c r="I4726" s="22">
        <v>1944.12</v>
      </c>
      <c r="J4726" s="24">
        <f t="shared" si="219"/>
        <v>1.3471044540874033E-5</v>
      </c>
      <c r="K4726" s="25">
        <f t="shared" si="221"/>
        <v>0.99974162250813681</v>
      </c>
      <c r="L4726" s="26" t="s">
        <v>7518</v>
      </c>
      <c r="M4726" s="28">
        <v>-2.5598655178497187E-2</v>
      </c>
      <c r="N4726" s="28"/>
      <c r="O4726" s="20">
        <v>1944.12</v>
      </c>
      <c r="P4726" s="27" t="str">
        <f t="shared" si="220"/>
        <v>verde</v>
      </c>
    </row>
    <row r="4727" spans="1:16" ht="25.5">
      <c r="A4727" s="3" t="s">
        <v>4</v>
      </c>
      <c r="B4727" s="3" t="s">
        <v>3643</v>
      </c>
      <c r="C4727" s="4">
        <v>197</v>
      </c>
      <c r="D4727" s="3" t="s">
        <v>66</v>
      </c>
      <c r="E4727" s="3" t="s">
        <v>41</v>
      </c>
      <c r="F4727" s="5">
        <v>36</v>
      </c>
      <c r="G4727" s="5">
        <v>30</v>
      </c>
      <c r="H4727" s="6">
        <v>2447.64</v>
      </c>
      <c r="I4727" s="22">
        <v>1913.7</v>
      </c>
      <c r="J4727" s="24">
        <f t="shared" si="219"/>
        <v>1.3260260651539328E-5</v>
      </c>
      <c r="K4727" s="25">
        <f t="shared" si="221"/>
        <v>0.99975488276878832</v>
      </c>
      <c r="L4727" s="26" t="s">
        <v>7518</v>
      </c>
      <c r="M4727" s="28"/>
      <c r="N4727" s="28"/>
      <c r="O4727" s="20" t="s">
        <v>7530</v>
      </c>
      <c r="P4727" s="27" t="str">
        <f t="shared" si="220"/>
        <v>vermelho</v>
      </c>
    </row>
    <row r="4728" spans="1:16" ht="25.5">
      <c r="A4728" s="3" t="s">
        <v>4</v>
      </c>
      <c r="B4728" s="3" t="s">
        <v>3644</v>
      </c>
      <c r="C4728" s="4">
        <v>39</v>
      </c>
      <c r="D4728" s="3" t="s">
        <v>26</v>
      </c>
      <c r="E4728" s="3" t="s">
        <v>13</v>
      </c>
      <c r="F4728" s="5">
        <v>60</v>
      </c>
      <c r="G4728" s="5">
        <v>36</v>
      </c>
      <c r="H4728" s="6">
        <v>2687.4</v>
      </c>
      <c r="I4728" s="22">
        <v>1907.64</v>
      </c>
      <c r="J4728" s="24">
        <f t="shared" si="219"/>
        <v>1.3218270172598884E-5</v>
      </c>
      <c r="K4728" s="25">
        <f t="shared" si="221"/>
        <v>0.99976810103896097</v>
      </c>
      <c r="L4728" s="26" t="s">
        <v>7518</v>
      </c>
      <c r="M4728" s="28"/>
      <c r="N4728" s="28"/>
      <c r="O4728" s="20" t="s">
        <v>7530</v>
      </c>
      <c r="P4728" s="27" t="str">
        <f t="shared" si="220"/>
        <v>vermelho</v>
      </c>
    </row>
    <row r="4729" spans="1:16" ht="25.5">
      <c r="A4729" s="3" t="s">
        <v>4</v>
      </c>
      <c r="B4729" s="3" t="s">
        <v>3645</v>
      </c>
      <c r="C4729" s="4">
        <v>296</v>
      </c>
      <c r="D4729" s="3" t="s">
        <v>282</v>
      </c>
      <c r="E4729" s="3" t="s">
        <v>10</v>
      </c>
      <c r="F4729" s="5">
        <v>0</v>
      </c>
      <c r="G4729" s="5">
        <v>36</v>
      </c>
      <c r="H4729" s="6">
        <v>0</v>
      </c>
      <c r="I4729" s="22">
        <v>1865.88</v>
      </c>
      <c r="J4729" s="24">
        <f t="shared" si="219"/>
        <v>1.2928910040494436E-5</v>
      </c>
      <c r="K4729" s="25">
        <f t="shared" si="221"/>
        <v>0.99978102994900142</v>
      </c>
      <c r="L4729" s="26" t="s">
        <v>7518</v>
      </c>
      <c r="M4729" s="28"/>
      <c r="N4729" s="28"/>
      <c r="O4729" s="20" t="s">
        <v>7530</v>
      </c>
      <c r="P4729" s="27" t="str">
        <f t="shared" si="220"/>
        <v>vermelho</v>
      </c>
    </row>
    <row r="4730" spans="1:16" ht="25.5">
      <c r="A4730" s="3" t="s">
        <v>4</v>
      </c>
      <c r="B4730" s="3" t="s">
        <v>3646</v>
      </c>
      <c r="C4730" s="4">
        <v>321</v>
      </c>
      <c r="D4730" s="3" t="s">
        <v>136</v>
      </c>
      <c r="E4730" s="3" t="s">
        <v>41</v>
      </c>
      <c r="F4730" s="5">
        <v>48</v>
      </c>
      <c r="G4730" s="5">
        <v>36</v>
      </c>
      <c r="H4730" s="6">
        <v>2315.52</v>
      </c>
      <c r="I4730" s="22">
        <v>1821.48</v>
      </c>
      <c r="J4730" s="24">
        <f t="shared" si="219"/>
        <v>1.2621257026475339E-5</v>
      </c>
      <c r="K4730" s="25">
        <f t="shared" si="221"/>
        <v>0.99979365120602792</v>
      </c>
      <c r="L4730" s="26" t="s">
        <v>7518</v>
      </c>
      <c r="M4730" s="28"/>
      <c r="N4730" s="28"/>
      <c r="O4730" s="20" t="s">
        <v>7530</v>
      </c>
      <c r="P4730" s="27" t="str">
        <f t="shared" si="220"/>
        <v>vermelho</v>
      </c>
    </row>
    <row r="4731" spans="1:16" ht="25.5">
      <c r="A4731" s="3" t="s">
        <v>4</v>
      </c>
      <c r="B4731" s="3" t="s">
        <v>3647</v>
      </c>
      <c r="C4731" s="4">
        <v>197</v>
      </c>
      <c r="D4731" s="3" t="s">
        <v>66</v>
      </c>
      <c r="E4731" s="3" t="s">
        <v>41</v>
      </c>
      <c r="F4731" s="5">
        <v>0</v>
      </c>
      <c r="G4731" s="5">
        <v>30</v>
      </c>
      <c r="H4731" s="6">
        <v>0</v>
      </c>
      <c r="I4731" s="22">
        <v>1763.7</v>
      </c>
      <c r="J4731" s="24">
        <f t="shared" si="219"/>
        <v>1.2220892360934271E-5</v>
      </c>
      <c r="K4731" s="25">
        <f t="shared" si="221"/>
        <v>0.99980587209838889</v>
      </c>
      <c r="L4731" s="26" t="s">
        <v>7518</v>
      </c>
      <c r="M4731" s="28"/>
      <c r="N4731" s="28"/>
      <c r="O4731" s="20" t="s">
        <v>7530</v>
      </c>
      <c r="P4731" s="27" t="str">
        <f t="shared" si="220"/>
        <v>vermelho</v>
      </c>
    </row>
    <row r="4732" spans="1:16" ht="25.5">
      <c r="A4732" s="3" t="s">
        <v>4</v>
      </c>
      <c r="B4732" s="3" t="s">
        <v>3648</v>
      </c>
      <c r="C4732" s="4">
        <v>187</v>
      </c>
      <c r="D4732" s="3" t="s">
        <v>96</v>
      </c>
      <c r="E4732" s="3" t="s">
        <v>7</v>
      </c>
      <c r="F4732" s="5">
        <v>0</v>
      </c>
      <c r="G4732" s="5">
        <v>48</v>
      </c>
      <c r="H4732" s="6">
        <v>0</v>
      </c>
      <c r="I4732" s="22">
        <v>1704.48</v>
      </c>
      <c r="J4732" s="24">
        <f t="shared" si="219"/>
        <v>1.1810549759803393E-5</v>
      </c>
      <c r="K4732" s="25">
        <f t="shared" si="221"/>
        <v>0.99981768264814874</v>
      </c>
      <c r="L4732" s="26" t="s">
        <v>7518</v>
      </c>
      <c r="M4732" s="28"/>
      <c r="N4732" s="28"/>
      <c r="O4732" s="20" t="s">
        <v>7530</v>
      </c>
      <c r="P4732" s="27" t="str">
        <f t="shared" si="220"/>
        <v>vermelho</v>
      </c>
    </row>
    <row r="4733" spans="1:16" ht="25.5">
      <c r="A4733" s="3" t="s">
        <v>4</v>
      </c>
      <c r="B4733" s="3" t="s">
        <v>3649</v>
      </c>
      <c r="C4733" s="4">
        <v>74</v>
      </c>
      <c r="D4733" s="3" t="s">
        <v>6</v>
      </c>
      <c r="E4733" s="3" t="s">
        <v>7</v>
      </c>
      <c r="F4733" s="5">
        <v>216</v>
      </c>
      <c r="G4733" s="5">
        <v>48</v>
      </c>
      <c r="H4733" s="6">
        <v>13966.92</v>
      </c>
      <c r="I4733" s="22">
        <v>1704.48</v>
      </c>
      <c r="J4733" s="24">
        <f t="shared" si="219"/>
        <v>1.1810549759803393E-5</v>
      </c>
      <c r="K4733" s="25">
        <f t="shared" si="221"/>
        <v>0.99982949319790859</v>
      </c>
      <c r="L4733" s="26" t="s">
        <v>7518</v>
      </c>
      <c r="M4733" s="28"/>
      <c r="N4733" s="28"/>
      <c r="O4733" s="20" t="s">
        <v>7530</v>
      </c>
      <c r="P4733" s="27" t="str">
        <f t="shared" si="220"/>
        <v>vermelho</v>
      </c>
    </row>
    <row r="4734" spans="1:16" ht="51">
      <c r="A4734" s="3" t="s">
        <v>4</v>
      </c>
      <c r="B4734" s="3" t="s">
        <v>3650</v>
      </c>
      <c r="C4734" s="4">
        <v>282</v>
      </c>
      <c r="D4734" s="3" t="s">
        <v>12</v>
      </c>
      <c r="E4734" s="3" t="s">
        <v>13</v>
      </c>
      <c r="F4734" s="5">
        <v>0</v>
      </c>
      <c r="G4734" s="5">
        <v>36</v>
      </c>
      <c r="H4734" s="6">
        <v>0</v>
      </c>
      <c r="I4734" s="22">
        <v>1670.04</v>
      </c>
      <c r="J4734" s="24">
        <f t="shared" si="219"/>
        <v>1.1571910800280472E-5</v>
      </c>
      <c r="K4734" s="25">
        <f t="shared" si="221"/>
        <v>0.99984106510870885</v>
      </c>
      <c r="L4734" s="26" t="s">
        <v>7518</v>
      </c>
      <c r="M4734" s="28">
        <v>3.5111192467878069E-2</v>
      </c>
      <c r="N4734" s="28"/>
      <c r="O4734" s="20" t="s">
        <v>7530</v>
      </c>
      <c r="P4734" s="27" t="str">
        <f t="shared" si="220"/>
        <v>vermelho</v>
      </c>
    </row>
    <row r="4735" spans="1:16" ht="25.5">
      <c r="A4735" s="3" t="s">
        <v>4</v>
      </c>
      <c r="B4735" s="3" t="s">
        <v>3651</v>
      </c>
      <c r="C4735" s="4">
        <v>328</v>
      </c>
      <c r="D4735" s="3" t="s">
        <v>215</v>
      </c>
      <c r="E4735" s="3" t="s">
        <v>41</v>
      </c>
      <c r="F4735" s="5">
        <v>0</v>
      </c>
      <c r="G4735" s="5">
        <v>36</v>
      </c>
      <c r="H4735" s="6">
        <v>0</v>
      </c>
      <c r="I4735" s="22">
        <v>1662.36</v>
      </c>
      <c r="J4735" s="24">
        <f t="shared" si="219"/>
        <v>1.1518695143801492E-5</v>
      </c>
      <c r="K4735" s="25">
        <f t="shared" si="221"/>
        <v>0.99985258380385267</v>
      </c>
      <c r="L4735" s="26" t="s">
        <v>7518</v>
      </c>
      <c r="M4735" s="28"/>
      <c r="N4735" s="28"/>
      <c r="O4735" s="20" t="s">
        <v>7530</v>
      </c>
      <c r="P4735" s="27" t="str">
        <f t="shared" si="220"/>
        <v>vermelho</v>
      </c>
    </row>
    <row r="4736" spans="1:16" ht="25.5">
      <c r="A4736" s="3" t="s">
        <v>4</v>
      </c>
      <c r="B4736" s="3" t="s">
        <v>3652</v>
      </c>
      <c r="C4736" s="4">
        <v>74</v>
      </c>
      <c r="D4736" s="3" t="s">
        <v>6</v>
      </c>
      <c r="E4736" s="3" t="s">
        <v>7</v>
      </c>
      <c r="F4736" s="5">
        <v>132</v>
      </c>
      <c r="G4736" s="5">
        <v>48</v>
      </c>
      <c r="H4736" s="6">
        <v>7110</v>
      </c>
      <c r="I4736" s="22">
        <v>1653.36</v>
      </c>
      <c r="J4736" s="24">
        <f t="shared" si="219"/>
        <v>1.1456333046365189E-5</v>
      </c>
      <c r="K4736" s="25">
        <f t="shared" si="221"/>
        <v>0.999864040136899</v>
      </c>
      <c r="L4736" s="26" t="s">
        <v>7518</v>
      </c>
      <c r="M4736" s="28"/>
      <c r="N4736" s="28"/>
      <c r="O4736" s="20" t="s">
        <v>7530</v>
      </c>
      <c r="P4736" s="27" t="str">
        <f t="shared" si="220"/>
        <v>vermelho</v>
      </c>
    </row>
    <row r="4737" spans="1:16" ht="25.5">
      <c r="A4737" s="3" t="s">
        <v>7091</v>
      </c>
      <c r="B4737" s="3" t="s">
        <v>7092</v>
      </c>
      <c r="C4737" s="4">
        <v>31</v>
      </c>
      <c r="D4737" s="3" t="s">
        <v>194</v>
      </c>
      <c r="E4737" s="3" t="s">
        <v>16</v>
      </c>
      <c r="F4737" s="5">
        <v>384</v>
      </c>
      <c r="G4737" s="5">
        <v>24</v>
      </c>
      <c r="H4737" s="6">
        <v>21765.96</v>
      </c>
      <c r="I4737" s="22">
        <v>1629.96</v>
      </c>
      <c r="J4737" s="24">
        <f t="shared" si="219"/>
        <v>1.12941915930308E-5</v>
      </c>
      <c r="K4737" s="25">
        <f t="shared" si="221"/>
        <v>0.99987533432849207</v>
      </c>
      <c r="L4737" s="26" t="s">
        <v>7518</v>
      </c>
      <c r="M4737" s="28"/>
      <c r="N4737" s="28"/>
      <c r="O4737" s="20" t="s">
        <v>7530</v>
      </c>
      <c r="P4737" s="27" t="str">
        <f t="shared" si="220"/>
        <v>vermelho</v>
      </c>
    </row>
    <row r="4738" spans="1:16" ht="38.25">
      <c r="A4738" s="3" t="s">
        <v>4</v>
      </c>
      <c r="B4738" s="3" t="s">
        <v>3653</v>
      </c>
      <c r="C4738" s="4">
        <v>371</v>
      </c>
      <c r="D4738" s="3" t="s">
        <v>82</v>
      </c>
      <c r="E4738" s="3" t="s">
        <v>49</v>
      </c>
      <c r="F4738" s="5">
        <v>0</v>
      </c>
      <c r="G4738" s="5">
        <v>54</v>
      </c>
      <c r="H4738" s="6">
        <v>0</v>
      </c>
      <c r="I4738" s="22">
        <v>1617.894</v>
      </c>
      <c r="J4738" s="24">
        <f t="shared" si="219"/>
        <v>1.121058480773453E-5</v>
      </c>
      <c r="K4738" s="25">
        <f t="shared" si="221"/>
        <v>0.99988654491329976</v>
      </c>
      <c r="L4738" s="26" t="s">
        <v>7518</v>
      </c>
      <c r="M4738" s="28"/>
      <c r="N4738" s="28"/>
      <c r="O4738" s="20" t="s">
        <v>7530</v>
      </c>
      <c r="P4738" s="27" t="str">
        <f t="shared" si="220"/>
        <v>vermelho</v>
      </c>
    </row>
    <row r="4739" spans="1:16" ht="25.5">
      <c r="A4739" s="3" t="s">
        <v>4</v>
      </c>
      <c r="B4739" s="3" t="s">
        <v>3654</v>
      </c>
      <c r="C4739" s="4">
        <v>231</v>
      </c>
      <c r="D4739" s="3" t="s">
        <v>52</v>
      </c>
      <c r="E4739" s="3" t="s">
        <v>7</v>
      </c>
      <c r="F4739" s="5">
        <v>102</v>
      </c>
      <c r="G4739" s="5">
        <v>48</v>
      </c>
      <c r="H4739" s="6">
        <v>4366.9799999999996</v>
      </c>
      <c r="I4739" s="22">
        <v>1597.92</v>
      </c>
      <c r="J4739" s="24">
        <f t="shared" ref="J4739:J4802" si="222">I4739/$I$6364</f>
        <v>1.1072182526157561E-5</v>
      </c>
      <c r="K4739" s="25">
        <f t="shared" si="221"/>
        <v>0.99989761709582592</v>
      </c>
      <c r="L4739" s="26" t="s">
        <v>7518</v>
      </c>
      <c r="M4739" s="28"/>
      <c r="N4739" s="28"/>
      <c r="O4739" s="20" t="s">
        <v>7530</v>
      </c>
      <c r="P4739" s="27" t="str">
        <f t="shared" ref="P4739:P4802" si="223">IF(O4739&lt;=0,"vermelho",IFERROR(IF(O4739/I4739&lt;=0.5098,"amarelo",IF(O4739/I4739&lt;1,"laranja","verde")),"vermelho"))</f>
        <v>vermelho</v>
      </c>
    </row>
    <row r="4740" spans="1:16" ht="38.25">
      <c r="A4740" s="3" t="s">
        <v>4</v>
      </c>
      <c r="B4740" s="3" t="s">
        <v>3655</v>
      </c>
      <c r="C4740" s="4">
        <v>34</v>
      </c>
      <c r="D4740" s="3" t="s">
        <v>54</v>
      </c>
      <c r="E4740" s="3" t="s">
        <v>49</v>
      </c>
      <c r="F4740" s="5">
        <v>0</v>
      </c>
      <c r="G4740" s="5">
        <v>24</v>
      </c>
      <c r="H4740" s="6">
        <v>0</v>
      </c>
      <c r="I4740" s="22">
        <v>1597.92</v>
      </c>
      <c r="J4740" s="24">
        <f t="shared" si="222"/>
        <v>1.1072182526157561E-5</v>
      </c>
      <c r="K4740" s="25">
        <f t="shared" ref="K4740:K4803" si="224">J4740+K4739</f>
        <v>0.99990868927835208</v>
      </c>
      <c r="L4740" s="26" t="s">
        <v>7518</v>
      </c>
      <c r="M4740" s="28"/>
      <c r="N4740" s="28"/>
      <c r="O4740" s="20" t="s">
        <v>7530</v>
      </c>
      <c r="P4740" s="27" t="str">
        <f t="shared" si="223"/>
        <v>vermelho</v>
      </c>
    </row>
    <row r="4741" spans="1:16" ht="38.25">
      <c r="A4741" s="3" t="s">
        <v>4</v>
      </c>
      <c r="B4741" s="3" t="s">
        <v>3656</v>
      </c>
      <c r="C4741" s="4">
        <v>231</v>
      </c>
      <c r="D4741" s="3" t="s">
        <v>52</v>
      </c>
      <c r="E4741" s="3" t="s">
        <v>7</v>
      </c>
      <c r="F4741" s="5">
        <v>48</v>
      </c>
      <c r="G4741" s="5">
        <v>48</v>
      </c>
      <c r="H4741" s="6">
        <v>2839.68</v>
      </c>
      <c r="I4741" s="22">
        <v>1597.92</v>
      </c>
      <c r="J4741" s="24">
        <f t="shared" si="222"/>
        <v>1.1072182526157561E-5</v>
      </c>
      <c r="K4741" s="25">
        <f t="shared" si="224"/>
        <v>0.99991976146087824</v>
      </c>
      <c r="L4741" s="26" t="s">
        <v>7518</v>
      </c>
      <c r="M4741" s="28"/>
      <c r="N4741" s="28"/>
      <c r="O4741" s="20" t="s">
        <v>7530</v>
      </c>
      <c r="P4741" s="27" t="str">
        <f t="shared" si="223"/>
        <v>vermelho</v>
      </c>
    </row>
    <row r="4742" spans="1:16" ht="25.5">
      <c r="A4742" s="3" t="s">
        <v>4</v>
      </c>
      <c r="B4742" s="3" t="s">
        <v>3657</v>
      </c>
      <c r="C4742" s="4">
        <v>23</v>
      </c>
      <c r="D4742" s="3" t="s">
        <v>87</v>
      </c>
      <c r="E4742" s="3" t="s">
        <v>7</v>
      </c>
      <c r="F4742" s="5">
        <v>0</v>
      </c>
      <c r="G4742" s="5">
        <v>24</v>
      </c>
      <c r="H4742" s="6">
        <v>0</v>
      </c>
      <c r="I4742" s="22">
        <v>1597.92</v>
      </c>
      <c r="J4742" s="24">
        <f t="shared" si="222"/>
        <v>1.1072182526157561E-5</v>
      </c>
      <c r="K4742" s="25">
        <f t="shared" si="224"/>
        <v>0.9999308336434044</v>
      </c>
      <c r="L4742" s="26" t="s">
        <v>7518</v>
      </c>
      <c r="M4742" s="28">
        <v>-0.10749676522764801</v>
      </c>
      <c r="N4742" s="28"/>
      <c r="O4742" s="20">
        <v>1597.92</v>
      </c>
      <c r="P4742" s="27" t="str">
        <f t="shared" si="223"/>
        <v>verde</v>
      </c>
    </row>
    <row r="4743" spans="1:16" ht="25.5">
      <c r="A4743" s="3" t="s">
        <v>4</v>
      </c>
      <c r="B4743" s="3" t="s">
        <v>3658</v>
      </c>
      <c r="C4743" s="4">
        <v>327</v>
      </c>
      <c r="D4743" s="3" t="s">
        <v>100</v>
      </c>
      <c r="E4743" s="3" t="s">
        <v>7</v>
      </c>
      <c r="F4743" s="5">
        <v>0</v>
      </c>
      <c r="G4743" s="5">
        <v>48</v>
      </c>
      <c r="H4743" s="6">
        <v>0</v>
      </c>
      <c r="I4743" s="22">
        <v>1597.92</v>
      </c>
      <c r="J4743" s="24">
        <f t="shared" si="222"/>
        <v>1.1072182526157561E-5</v>
      </c>
      <c r="K4743" s="25">
        <f t="shared" si="224"/>
        <v>0.99994190582593057</v>
      </c>
      <c r="L4743" s="26" t="s">
        <v>7518</v>
      </c>
      <c r="M4743" s="28"/>
      <c r="N4743" s="28"/>
      <c r="O4743" s="20" t="s">
        <v>7530</v>
      </c>
      <c r="P4743" s="27" t="str">
        <f t="shared" si="223"/>
        <v>vermelho</v>
      </c>
    </row>
    <row r="4744" spans="1:16" ht="25.5">
      <c r="A4744" s="3" t="s">
        <v>4</v>
      </c>
      <c r="B4744" s="3" t="s">
        <v>3659</v>
      </c>
      <c r="C4744" s="4">
        <v>231</v>
      </c>
      <c r="D4744" s="3" t="s">
        <v>52</v>
      </c>
      <c r="E4744" s="3" t="s">
        <v>7</v>
      </c>
      <c r="F4744" s="5">
        <v>0</v>
      </c>
      <c r="G4744" s="5">
        <v>48</v>
      </c>
      <c r="H4744" s="6">
        <v>0</v>
      </c>
      <c r="I4744" s="22">
        <v>1597.92</v>
      </c>
      <c r="J4744" s="24">
        <f t="shared" si="222"/>
        <v>1.1072182526157561E-5</v>
      </c>
      <c r="K4744" s="25">
        <f t="shared" si="224"/>
        <v>0.99995297800845673</v>
      </c>
      <c r="L4744" s="26" t="s">
        <v>7518</v>
      </c>
      <c r="M4744" s="28"/>
      <c r="N4744" s="28"/>
      <c r="O4744" s="20" t="s">
        <v>7530</v>
      </c>
      <c r="P4744" s="27" t="str">
        <f t="shared" si="223"/>
        <v>vermelho</v>
      </c>
    </row>
    <row r="4745" spans="1:16" ht="25.5">
      <c r="A4745" s="3" t="s">
        <v>4</v>
      </c>
      <c r="B4745" s="3" t="s">
        <v>3660</v>
      </c>
      <c r="C4745" s="4">
        <v>23</v>
      </c>
      <c r="D4745" s="3" t="s">
        <v>87</v>
      </c>
      <c r="E4745" s="3" t="s">
        <v>7</v>
      </c>
      <c r="F4745" s="5">
        <v>207</v>
      </c>
      <c r="G4745" s="5">
        <v>48</v>
      </c>
      <c r="H4745" s="6">
        <v>11105.937</v>
      </c>
      <c r="I4745" s="22">
        <v>1597.92</v>
      </c>
      <c r="J4745" s="24">
        <f t="shared" si="222"/>
        <v>1.1072182526157561E-5</v>
      </c>
      <c r="K4745" s="25">
        <f t="shared" si="224"/>
        <v>0.99996405019098289</v>
      </c>
      <c r="L4745" s="26" t="s">
        <v>7518</v>
      </c>
      <c r="M4745" s="28"/>
      <c r="N4745" s="28"/>
      <c r="O4745" s="20" t="s">
        <v>7530</v>
      </c>
      <c r="P4745" s="27" t="str">
        <f t="shared" si="223"/>
        <v>vermelho</v>
      </c>
    </row>
    <row r="4746" spans="1:16" ht="25.5">
      <c r="A4746" s="3" t="s">
        <v>4</v>
      </c>
      <c r="B4746" s="3" t="s">
        <v>3661</v>
      </c>
      <c r="C4746" s="4">
        <v>231</v>
      </c>
      <c r="D4746" s="3" t="s">
        <v>52</v>
      </c>
      <c r="E4746" s="3" t="s">
        <v>7</v>
      </c>
      <c r="F4746" s="5">
        <v>0</v>
      </c>
      <c r="G4746" s="5">
        <v>48</v>
      </c>
      <c r="H4746" s="6">
        <v>0</v>
      </c>
      <c r="I4746" s="22">
        <v>1597.92</v>
      </c>
      <c r="J4746" s="24">
        <f t="shared" si="222"/>
        <v>1.1072182526157561E-5</v>
      </c>
      <c r="K4746" s="25">
        <f t="shared" si="224"/>
        <v>0.99997512237350905</v>
      </c>
      <c r="L4746" s="26" t="s">
        <v>7518</v>
      </c>
      <c r="M4746" s="28"/>
      <c r="N4746" s="28"/>
      <c r="O4746" s="20" t="s">
        <v>7530</v>
      </c>
      <c r="P4746" s="27" t="str">
        <f t="shared" si="223"/>
        <v>vermelho</v>
      </c>
    </row>
    <row r="4747" spans="1:16" ht="25.5">
      <c r="A4747" s="3" t="s">
        <v>4</v>
      </c>
      <c r="B4747" s="3" t="s">
        <v>3662</v>
      </c>
      <c r="C4747" s="4">
        <v>328</v>
      </c>
      <c r="D4747" s="3" t="s">
        <v>215</v>
      </c>
      <c r="E4747" s="3" t="s">
        <v>41</v>
      </c>
      <c r="F4747" s="5">
        <v>0</v>
      </c>
      <c r="G4747" s="5">
        <v>30</v>
      </c>
      <c r="H4747" s="6">
        <v>0</v>
      </c>
      <c r="I4747" s="22">
        <v>1555.5</v>
      </c>
      <c r="J4747" s="24">
        <f t="shared" si="222"/>
        <v>1.0778249173574449E-5</v>
      </c>
      <c r="K4747" s="25">
        <f t="shared" si="224"/>
        <v>0.99998590062268267</v>
      </c>
      <c r="L4747" s="26" t="s">
        <v>7518</v>
      </c>
      <c r="M4747" s="28"/>
      <c r="N4747" s="28"/>
      <c r="O4747" s="20" t="s">
        <v>7530</v>
      </c>
      <c r="P4747" s="27" t="str">
        <f t="shared" si="223"/>
        <v>vermelho</v>
      </c>
    </row>
    <row r="4748" spans="1:16" ht="25.5">
      <c r="A4748" s="3" t="s">
        <v>4</v>
      </c>
      <c r="B4748" s="3" t="s">
        <v>3663</v>
      </c>
      <c r="C4748" s="4">
        <v>39</v>
      </c>
      <c r="D4748" s="3" t="s">
        <v>26</v>
      </c>
      <c r="E4748" s="3" t="s">
        <v>13</v>
      </c>
      <c r="F4748" s="5">
        <v>0</v>
      </c>
      <c r="G4748" s="5">
        <v>24</v>
      </c>
      <c r="H4748" s="6">
        <v>0</v>
      </c>
      <c r="I4748" s="22">
        <v>1326.72</v>
      </c>
      <c r="J4748" s="24">
        <f t="shared" si="222"/>
        <v>9.1930046567436152E-6</v>
      </c>
      <c r="K4748" s="25">
        <f t="shared" si="224"/>
        <v>0.9999950936273394</v>
      </c>
      <c r="L4748" s="26" t="s">
        <v>7518</v>
      </c>
      <c r="M4748" s="28"/>
      <c r="N4748" s="28"/>
      <c r="O4748" s="20" t="s">
        <v>7530</v>
      </c>
      <c r="P4748" s="27" t="str">
        <f t="shared" si="223"/>
        <v>vermelho</v>
      </c>
    </row>
    <row r="4749" spans="1:16" ht="25.5">
      <c r="A4749" s="3" t="s">
        <v>4</v>
      </c>
      <c r="B4749" s="3" t="s">
        <v>3664</v>
      </c>
      <c r="C4749" s="4">
        <v>264</v>
      </c>
      <c r="D4749" s="3" t="s">
        <v>40</v>
      </c>
      <c r="E4749" s="3" t="s">
        <v>41</v>
      </c>
      <c r="F4749" s="5">
        <v>0</v>
      </c>
      <c r="G4749" s="5">
        <v>11</v>
      </c>
      <c r="H4749" s="6">
        <v>0</v>
      </c>
      <c r="I4749" s="22">
        <v>428.12</v>
      </c>
      <c r="J4749" s="24">
        <f t="shared" si="222"/>
        <v>2.9664956838255823E-6</v>
      </c>
      <c r="K4749" s="25">
        <f t="shared" si="224"/>
        <v>0.99999806012302328</v>
      </c>
      <c r="L4749" s="26" t="s">
        <v>7518</v>
      </c>
      <c r="M4749" s="28"/>
      <c r="N4749" s="28"/>
      <c r="O4749" s="20" t="s">
        <v>7530</v>
      </c>
      <c r="P4749" s="27" t="str">
        <f t="shared" si="223"/>
        <v>vermelho</v>
      </c>
    </row>
    <row r="4750" spans="1:16" ht="25.5">
      <c r="A4750" s="3" t="s">
        <v>7093</v>
      </c>
      <c r="B4750" s="3" t="s">
        <v>7094</v>
      </c>
      <c r="C4750" s="4">
        <v>93</v>
      </c>
      <c r="D4750" s="3" t="s">
        <v>20</v>
      </c>
      <c r="E4750" s="3" t="s">
        <v>7</v>
      </c>
      <c r="F4750" s="5">
        <v>318</v>
      </c>
      <c r="G4750" s="5">
        <v>4</v>
      </c>
      <c r="H4750" s="6">
        <v>18378.240000000002</v>
      </c>
      <c r="I4750" s="22">
        <v>279.95999999999998</v>
      </c>
      <c r="J4750" s="24">
        <f t="shared" si="222"/>
        <v>1.9398769775852799E-6</v>
      </c>
      <c r="K4750" s="25">
        <f t="shared" si="224"/>
        <v>1.0000000000000009</v>
      </c>
      <c r="L4750" s="26" t="s">
        <v>7518</v>
      </c>
      <c r="M4750" s="28"/>
      <c r="N4750" s="28"/>
      <c r="O4750" s="20" t="s">
        <v>7530</v>
      </c>
      <c r="P4750" s="27" t="str">
        <f t="shared" si="223"/>
        <v>vermelho</v>
      </c>
    </row>
    <row r="4751" spans="1:16" ht="25.5">
      <c r="A4751" s="3" t="s">
        <v>4</v>
      </c>
      <c r="B4751" s="3" t="s">
        <v>39</v>
      </c>
      <c r="C4751" s="4">
        <v>264</v>
      </c>
      <c r="D4751" s="3" t="s">
        <v>40</v>
      </c>
      <c r="E4751" s="3" t="s">
        <v>10</v>
      </c>
      <c r="F4751" s="5">
        <v>888</v>
      </c>
      <c r="G4751" s="5">
        <v>0</v>
      </c>
      <c r="H4751" s="6">
        <v>40915.440000000002</v>
      </c>
      <c r="I4751" s="22">
        <v>0</v>
      </c>
      <c r="J4751" s="24">
        <f t="shared" si="222"/>
        <v>0</v>
      </c>
      <c r="K4751" s="25">
        <f t="shared" si="224"/>
        <v>1.0000000000000009</v>
      </c>
      <c r="L4751" s="27"/>
      <c r="M4751" s="28"/>
      <c r="N4751" s="28"/>
      <c r="O4751" s="20" t="s">
        <v>7530</v>
      </c>
      <c r="P4751" s="27" t="str">
        <f t="shared" si="223"/>
        <v>vermelho</v>
      </c>
    </row>
    <row r="4752" spans="1:16" ht="25.5">
      <c r="A4752" s="3" t="s">
        <v>4</v>
      </c>
      <c r="B4752" s="3" t="s">
        <v>58</v>
      </c>
      <c r="C4752" s="4">
        <v>264</v>
      </c>
      <c r="D4752" s="3" t="s">
        <v>40</v>
      </c>
      <c r="E4752" s="3" t="s">
        <v>10</v>
      </c>
      <c r="F4752" s="5">
        <v>468</v>
      </c>
      <c r="G4752" s="5">
        <v>0</v>
      </c>
      <c r="H4752" s="6">
        <v>20223.48</v>
      </c>
      <c r="I4752" s="22">
        <v>0</v>
      </c>
      <c r="J4752" s="24">
        <f t="shared" si="222"/>
        <v>0</v>
      </c>
      <c r="K4752" s="25">
        <f t="shared" si="224"/>
        <v>1.0000000000000009</v>
      </c>
      <c r="L4752" s="27"/>
      <c r="M4752" s="28"/>
      <c r="N4752" s="28"/>
      <c r="O4752" s="20">
        <v>24122.955999999998</v>
      </c>
      <c r="P4752" s="27" t="str">
        <f t="shared" si="223"/>
        <v>vermelho</v>
      </c>
    </row>
    <row r="4753" spans="1:16" ht="25.5">
      <c r="A4753" s="3" t="s">
        <v>4</v>
      </c>
      <c r="B4753" s="3" t="s">
        <v>148</v>
      </c>
      <c r="C4753" s="4">
        <v>273</v>
      </c>
      <c r="D4753" s="3" t="s">
        <v>149</v>
      </c>
      <c r="E4753" s="3" t="s">
        <v>10</v>
      </c>
      <c r="F4753" s="5">
        <v>264</v>
      </c>
      <c r="G4753" s="5">
        <v>0</v>
      </c>
      <c r="H4753" s="6">
        <v>14039.52</v>
      </c>
      <c r="I4753" s="22">
        <v>0</v>
      </c>
      <c r="J4753" s="24">
        <f t="shared" si="222"/>
        <v>0</v>
      </c>
      <c r="K4753" s="25">
        <f t="shared" si="224"/>
        <v>1.0000000000000009</v>
      </c>
      <c r="L4753" s="27"/>
      <c r="M4753" s="28"/>
      <c r="N4753" s="28"/>
      <c r="O4753" s="20">
        <v>25233.72</v>
      </c>
      <c r="P4753" s="27" t="str">
        <f t="shared" si="223"/>
        <v>vermelho</v>
      </c>
    </row>
    <row r="4754" spans="1:16" ht="38.25">
      <c r="A4754" s="3" t="s">
        <v>4</v>
      </c>
      <c r="B4754" s="3" t="s">
        <v>166</v>
      </c>
      <c r="C4754" s="4">
        <v>292</v>
      </c>
      <c r="D4754" s="3" t="s">
        <v>57</v>
      </c>
      <c r="E4754" s="3" t="s">
        <v>16</v>
      </c>
      <c r="F4754" s="5">
        <v>225</v>
      </c>
      <c r="G4754" s="5">
        <v>0</v>
      </c>
      <c r="H4754" s="6">
        <v>12036.69</v>
      </c>
      <c r="I4754" s="22">
        <v>0</v>
      </c>
      <c r="J4754" s="24">
        <f t="shared" si="222"/>
        <v>0</v>
      </c>
      <c r="K4754" s="25">
        <f t="shared" si="224"/>
        <v>1.0000000000000009</v>
      </c>
      <c r="L4754" s="27"/>
      <c r="M4754" s="28"/>
      <c r="N4754" s="28"/>
      <c r="O4754" s="20" t="s">
        <v>7530</v>
      </c>
      <c r="P4754" s="27" t="str">
        <f t="shared" si="223"/>
        <v>vermelho</v>
      </c>
    </row>
    <row r="4755" spans="1:16" ht="25.5">
      <c r="A4755" s="3" t="s">
        <v>4</v>
      </c>
      <c r="B4755" s="3" t="s">
        <v>182</v>
      </c>
      <c r="C4755" s="4">
        <v>273</v>
      </c>
      <c r="D4755" s="3" t="s">
        <v>149</v>
      </c>
      <c r="E4755" s="3" t="s">
        <v>10</v>
      </c>
      <c r="F4755" s="5">
        <v>737</v>
      </c>
      <c r="G4755" s="5">
        <v>0</v>
      </c>
      <c r="H4755" s="6">
        <v>33193.18</v>
      </c>
      <c r="I4755" s="22">
        <v>0</v>
      </c>
      <c r="J4755" s="24">
        <f t="shared" si="222"/>
        <v>0</v>
      </c>
      <c r="K4755" s="25">
        <f t="shared" si="224"/>
        <v>1.0000000000000009</v>
      </c>
      <c r="L4755" s="27"/>
      <c r="M4755" s="28"/>
      <c r="N4755" s="28"/>
      <c r="O4755" s="20" t="s">
        <v>7530</v>
      </c>
      <c r="P4755" s="27" t="str">
        <f t="shared" si="223"/>
        <v>vermelho</v>
      </c>
    </row>
    <row r="4756" spans="1:16" ht="38.25">
      <c r="A4756" s="3" t="s">
        <v>4</v>
      </c>
      <c r="B4756" s="3" t="s">
        <v>183</v>
      </c>
      <c r="C4756" s="4">
        <v>38</v>
      </c>
      <c r="D4756" s="3" t="s">
        <v>184</v>
      </c>
      <c r="E4756" s="3" t="s">
        <v>16</v>
      </c>
      <c r="F4756" s="5">
        <v>231</v>
      </c>
      <c r="G4756" s="5">
        <v>0</v>
      </c>
      <c r="H4756" s="6">
        <v>12366.69</v>
      </c>
      <c r="I4756" s="22">
        <v>0</v>
      </c>
      <c r="J4756" s="24">
        <f t="shared" si="222"/>
        <v>0</v>
      </c>
      <c r="K4756" s="25">
        <f t="shared" si="224"/>
        <v>1.0000000000000009</v>
      </c>
      <c r="L4756" s="27"/>
      <c r="M4756" s="28"/>
      <c r="N4756" s="28"/>
      <c r="O4756" s="20">
        <v>24270.959999999999</v>
      </c>
      <c r="P4756" s="27" t="str">
        <f t="shared" si="223"/>
        <v>vermelho</v>
      </c>
    </row>
    <row r="4757" spans="1:16" ht="25.5">
      <c r="A4757" s="3" t="s">
        <v>4</v>
      </c>
      <c r="B4757" s="3" t="s">
        <v>240</v>
      </c>
      <c r="C4757" s="4">
        <v>273</v>
      </c>
      <c r="D4757" s="3" t="s">
        <v>149</v>
      </c>
      <c r="E4757" s="3" t="s">
        <v>10</v>
      </c>
      <c r="F4757" s="5">
        <v>438</v>
      </c>
      <c r="G4757" s="5">
        <v>0</v>
      </c>
      <c r="H4757" s="6">
        <v>24945.42</v>
      </c>
      <c r="I4757" s="22">
        <v>0</v>
      </c>
      <c r="J4757" s="24">
        <f t="shared" si="222"/>
        <v>0</v>
      </c>
      <c r="K4757" s="25">
        <f t="shared" si="224"/>
        <v>1.0000000000000009</v>
      </c>
      <c r="L4757" s="27"/>
      <c r="M4757" s="28"/>
      <c r="N4757" s="28"/>
      <c r="O4757" s="20" t="s">
        <v>7530</v>
      </c>
      <c r="P4757" s="27" t="str">
        <f t="shared" si="223"/>
        <v>vermelho</v>
      </c>
    </row>
    <row r="4758" spans="1:16" ht="38.25">
      <c r="A4758" s="3" t="s">
        <v>4</v>
      </c>
      <c r="B4758" s="3" t="s">
        <v>335</v>
      </c>
      <c r="C4758" s="4">
        <v>264</v>
      </c>
      <c r="D4758" s="3" t="s">
        <v>40</v>
      </c>
      <c r="E4758" s="3" t="s">
        <v>10</v>
      </c>
      <c r="F4758" s="5">
        <v>231</v>
      </c>
      <c r="G4758" s="5">
        <v>0</v>
      </c>
      <c r="H4758" s="6">
        <v>12263.49</v>
      </c>
      <c r="I4758" s="22">
        <v>0</v>
      </c>
      <c r="J4758" s="24">
        <f t="shared" si="222"/>
        <v>0</v>
      </c>
      <c r="K4758" s="25">
        <f t="shared" si="224"/>
        <v>1.0000000000000009</v>
      </c>
      <c r="L4758" s="27"/>
      <c r="M4758" s="28"/>
      <c r="N4758" s="28"/>
      <c r="O4758" s="20">
        <v>10649.43</v>
      </c>
      <c r="P4758" s="27" t="str">
        <f t="shared" si="223"/>
        <v>vermelho</v>
      </c>
    </row>
    <row r="4759" spans="1:16" ht="25.5">
      <c r="A4759" s="3" t="s">
        <v>4</v>
      </c>
      <c r="B4759" s="3" t="s">
        <v>350</v>
      </c>
      <c r="C4759" s="4">
        <v>273</v>
      </c>
      <c r="D4759" s="3" t="s">
        <v>149</v>
      </c>
      <c r="E4759" s="3" t="s">
        <v>10</v>
      </c>
      <c r="F4759" s="5">
        <v>354</v>
      </c>
      <c r="G4759" s="5">
        <v>0</v>
      </c>
      <c r="H4759" s="6">
        <v>19686.509999999998</v>
      </c>
      <c r="I4759" s="22">
        <v>0</v>
      </c>
      <c r="J4759" s="24">
        <f t="shared" si="222"/>
        <v>0</v>
      </c>
      <c r="K4759" s="25">
        <f t="shared" si="224"/>
        <v>1.0000000000000009</v>
      </c>
      <c r="L4759" s="27"/>
      <c r="M4759" s="28">
        <v>-2.2987276352133199E-2</v>
      </c>
      <c r="N4759" s="28">
        <v>6.1962775918497602E-2</v>
      </c>
      <c r="O4759" s="20">
        <v>15244.26</v>
      </c>
      <c r="P4759" s="27" t="str">
        <f t="shared" si="223"/>
        <v>vermelho</v>
      </c>
    </row>
    <row r="4760" spans="1:16" ht="38.25">
      <c r="A4760" s="3" t="s">
        <v>4</v>
      </c>
      <c r="B4760" s="3" t="s">
        <v>414</v>
      </c>
      <c r="C4760" s="4">
        <v>371</v>
      </c>
      <c r="D4760" s="3" t="s">
        <v>82</v>
      </c>
      <c r="E4760" s="3" t="s">
        <v>16</v>
      </c>
      <c r="F4760" s="5">
        <v>405</v>
      </c>
      <c r="G4760" s="5">
        <v>0</v>
      </c>
      <c r="H4760" s="6">
        <v>18031.89</v>
      </c>
      <c r="I4760" s="22">
        <v>0</v>
      </c>
      <c r="J4760" s="24">
        <f t="shared" si="222"/>
        <v>0</v>
      </c>
      <c r="K4760" s="25">
        <f t="shared" si="224"/>
        <v>1.0000000000000009</v>
      </c>
      <c r="L4760" s="27"/>
      <c r="M4760" s="28"/>
      <c r="N4760" s="28"/>
      <c r="O4760" s="20" t="s">
        <v>7530</v>
      </c>
      <c r="P4760" s="27" t="str">
        <f t="shared" si="223"/>
        <v>vermelho</v>
      </c>
    </row>
    <row r="4761" spans="1:16">
      <c r="A4761" s="3" t="s">
        <v>4</v>
      </c>
      <c r="B4761" s="3" t="s">
        <v>449</v>
      </c>
      <c r="C4761" s="4">
        <v>264</v>
      </c>
      <c r="D4761" s="3" t="s">
        <v>40</v>
      </c>
      <c r="E4761" s="3" t="s">
        <v>10</v>
      </c>
      <c r="F4761" s="5">
        <v>180</v>
      </c>
      <c r="G4761" s="5">
        <v>0</v>
      </c>
      <c r="H4761" s="6">
        <v>6156.84</v>
      </c>
      <c r="I4761" s="22">
        <v>0</v>
      </c>
      <c r="J4761" s="24">
        <f t="shared" si="222"/>
        <v>0</v>
      </c>
      <c r="K4761" s="25">
        <f t="shared" si="224"/>
        <v>1.0000000000000009</v>
      </c>
      <c r="L4761" s="27"/>
      <c r="M4761" s="28"/>
      <c r="N4761" s="28"/>
      <c r="O4761" s="20" t="s">
        <v>7530</v>
      </c>
      <c r="P4761" s="27" t="str">
        <f t="shared" si="223"/>
        <v>vermelho</v>
      </c>
    </row>
    <row r="4762" spans="1:16" ht="25.5">
      <c r="A4762" s="3" t="s">
        <v>4</v>
      </c>
      <c r="B4762" s="3" t="s">
        <v>618</v>
      </c>
      <c r="C4762" s="4">
        <v>296</v>
      </c>
      <c r="D4762" s="3" t="s">
        <v>282</v>
      </c>
      <c r="E4762" s="3" t="s">
        <v>7</v>
      </c>
      <c r="F4762" s="5">
        <v>372</v>
      </c>
      <c r="G4762" s="5">
        <v>0</v>
      </c>
      <c r="H4762" s="6">
        <v>20802.12</v>
      </c>
      <c r="I4762" s="22">
        <v>0</v>
      </c>
      <c r="J4762" s="24">
        <f t="shared" si="222"/>
        <v>0</v>
      </c>
      <c r="K4762" s="25">
        <f t="shared" si="224"/>
        <v>1.0000000000000009</v>
      </c>
      <c r="L4762" s="27"/>
      <c r="M4762" s="28"/>
      <c r="N4762" s="28"/>
      <c r="O4762" s="20">
        <v>8705.5339999999997</v>
      </c>
      <c r="P4762" s="27" t="str">
        <f t="shared" si="223"/>
        <v>vermelho</v>
      </c>
    </row>
    <row r="4763" spans="1:16" ht="25.5">
      <c r="A4763" s="3" t="s">
        <v>4</v>
      </c>
      <c r="B4763" s="3" t="s">
        <v>618</v>
      </c>
      <c r="C4763" s="4">
        <v>296</v>
      </c>
      <c r="D4763" s="3" t="s">
        <v>282</v>
      </c>
      <c r="E4763" s="3" t="s">
        <v>41</v>
      </c>
      <c r="F4763" s="5">
        <v>48</v>
      </c>
      <c r="G4763" s="5">
        <v>0</v>
      </c>
      <c r="H4763" s="6">
        <v>3002.4</v>
      </c>
      <c r="I4763" s="22">
        <v>0</v>
      </c>
      <c r="J4763" s="24">
        <f t="shared" si="222"/>
        <v>0</v>
      </c>
      <c r="K4763" s="25">
        <f t="shared" si="224"/>
        <v>1.0000000000000009</v>
      </c>
      <c r="L4763" s="27"/>
      <c r="M4763" s="28"/>
      <c r="N4763" s="28"/>
      <c r="O4763" s="20">
        <v>8705.5339999999997</v>
      </c>
      <c r="P4763" s="27" t="str">
        <f t="shared" si="223"/>
        <v>vermelho</v>
      </c>
    </row>
    <row r="4764" spans="1:16" ht="25.5">
      <c r="A4764" s="3" t="s">
        <v>4</v>
      </c>
      <c r="B4764" s="3" t="s">
        <v>793</v>
      </c>
      <c r="C4764" s="4">
        <v>296</v>
      </c>
      <c r="D4764" s="3" t="s">
        <v>282</v>
      </c>
      <c r="E4764" s="3" t="s">
        <v>16</v>
      </c>
      <c r="F4764" s="5">
        <v>456</v>
      </c>
      <c r="G4764" s="5">
        <v>0</v>
      </c>
      <c r="H4764" s="6">
        <v>24143.279999999999</v>
      </c>
      <c r="I4764" s="22">
        <v>0</v>
      </c>
      <c r="J4764" s="24">
        <f t="shared" si="222"/>
        <v>0</v>
      </c>
      <c r="K4764" s="25">
        <f t="shared" si="224"/>
        <v>1.0000000000000009</v>
      </c>
      <c r="L4764" s="27"/>
      <c r="M4764" s="28">
        <v>4.3305778956457826E-2</v>
      </c>
      <c r="N4764" s="28"/>
      <c r="O4764" s="20">
        <v>2512.1999999999998</v>
      </c>
      <c r="P4764" s="27" t="str">
        <f t="shared" si="223"/>
        <v>vermelho</v>
      </c>
    </row>
    <row r="4765" spans="1:16" ht="25.5">
      <c r="A4765" s="3" t="s">
        <v>4</v>
      </c>
      <c r="B4765" s="3" t="s">
        <v>829</v>
      </c>
      <c r="C4765" s="4">
        <v>264</v>
      </c>
      <c r="D4765" s="3" t="s">
        <v>40</v>
      </c>
      <c r="E4765" s="3" t="s">
        <v>10</v>
      </c>
      <c r="F4765" s="5">
        <v>42</v>
      </c>
      <c r="G4765" s="5">
        <v>0</v>
      </c>
      <c r="H4765" s="6">
        <v>3093.78</v>
      </c>
      <c r="I4765" s="22">
        <v>0</v>
      </c>
      <c r="J4765" s="24">
        <f t="shared" si="222"/>
        <v>0</v>
      </c>
      <c r="K4765" s="25">
        <f t="shared" si="224"/>
        <v>1.0000000000000009</v>
      </c>
      <c r="L4765" s="27"/>
      <c r="M4765" s="28">
        <v>-2.2768641725871144E-2</v>
      </c>
      <c r="N4765" s="28"/>
      <c r="O4765" s="20">
        <v>11118.84</v>
      </c>
      <c r="P4765" s="27" t="str">
        <f t="shared" si="223"/>
        <v>vermelho</v>
      </c>
    </row>
    <row r="4766" spans="1:16" ht="38.25">
      <c r="A4766" s="3" t="s">
        <v>4</v>
      </c>
      <c r="B4766" s="3" t="s">
        <v>863</v>
      </c>
      <c r="C4766" s="4">
        <v>371</v>
      </c>
      <c r="D4766" s="3" t="s">
        <v>82</v>
      </c>
      <c r="E4766" s="3" t="s">
        <v>16</v>
      </c>
      <c r="F4766" s="5">
        <v>228</v>
      </c>
      <c r="G4766" s="5">
        <v>0</v>
      </c>
      <c r="H4766" s="6">
        <v>13087.2</v>
      </c>
      <c r="I4766" s="22">
        <v>0</v>
      </c>
      <c r="J4766" s="24">
        <f t="shared" si="222"/>
        <v>0</v>
      </c>
      <c r="K4766" s="25">
        <f t="shared" si="224"/>
        <v>1.0000000000000009</v>
      </c>
      <c r="L4766" s="27"/>
      <c r="M4766" s="28"/>
      <c r="N4766" s="28"/>
      <c r="O4766" s="20">
        <v>5971.5</v>
      </c>
      <c r="P4766" s="27" t="str">
        <f t="shared" si="223"/>
        <v>vermelho</v>
      </c>
    </row>
    <row r="4767" spans="1:16" ht="25.5">
      <c r="A4767" s="3" t="s">
        <v>4</v>
      </c>
      <c r="B4767" s="3" t="s">
        <v>997</v>
      </c>
      <c r="C4767" s="4">
        <v>296</v>
      </c>
      <c r="D4767" s="3" t="s">
        <v>282</v>
      </c>
      <c r="E4767" s="3" t="s">
        <v>16</v>
      </c>
      <c r="F4767" s="5">
        <v>545</v>
      </c>
      <c r="G4767" s="5">
        <v>0</v>
      </c>
      <c r="H4767" s="6">
        <v>31232.75</v>
      </c>
      <c r="I4767" s="22">
        <v>0</v>
      </c>
      <c r="J4767" s="24">
        <f t="shared" si="222"/>
        <v>0</v>
      </c>
      <c r="K4767" s="25">
        <f t="shared" si="224"/>
        <v>1.0000000000000009</v>
      </c>
      <c r="L4767" s="27"/>
      <c r="M4767" s="28"/>
      <c r="N4767" s="28"/>
      <c r="O4767" s="20">
        <v>7957.73</v>
      </c>
      <c r="P4767" s="27" t="str">
        <f t="shared" si="223"/>
        <v>vermelho</v>
      </c>
    </row>
    <row r="4768" spans="1:16" ht="25.5">
      <c r="A4768" s="3" t="s">
        <v>4</v>
      </c>
      <c r="B4768" s="3" t="s">
        <v>1200</v>
      </c>
      <c r="C4768" s="4">
        <v>270</v>
      </c>
      <c r="D4768" s="3" t="s">
        <v>266</v>
      </c>
      <c r="E4768" s="3" t="s">
        <v>16</v>
      </c>
      <c r="F4768" s="5">
        <v>630</v>
      </c>
      <c r="G4768" s="5">
        <v>0</v>
      </c>
      <c r="H4768" s="6">
        <v>34344.15</v>
      </c>
      <c r="I4768" s="22">
        <v>0</v>
      </c>
      <c r="J4768" s="24">
        <f t="shared" si="222"/>
        <v>0</v>
      </c>
      <c r="K4768" s="25">
        <f t="shared" si="224"/>
        <v>1.0000000000000009</v>
      </c>
      <c r="L4768" s="27"/>
      <c r="M4768" s="28"/>
      <c r="N4768" s="28"/>
      <c r="O4768" s="20" t="s">
        <v>7530</v>
      </c>
      <c r="P4768" s="27" t="str">
        <f t="shared" si="223"/>
        <v>vermelho</v>
      </c>
    </row>
    <row r="4769" spans="1:16" ht="25.5">
      <c r="A4769" s="3" t="s">
        <v>4</v>
      </c>
      <c r="B4769" s="3" t="s">
        <v>1216</v>
      </c>
      <c r="C4769" s="4">
        <v>266</v>
      </c>
      <c r="D4769" s="3" t="s">
        <v>80</v>
      </c>
      <c r="E4769" s="3" t="s">
        <v>7</v>
      </c>
      <c r="F4769" s="5">
        <v>105</v>
      </c>
      <c r="G4769" s="5">
        <v>0</v>
      </c>
      <c r="H4769" s="6">
        <v>5696.31</v>
      </c>
      <c r="I4769" s="22">
        <v>0</v>
      </c>
      <c r="J4769" s="24">
        <f t="shared" si="222"/>
        <v>0</v>
      </c>
      <c r="K4769" s="25">
        <f t="shared" si="224"/>
        <v>1.0000000000000009</v>
      </c>
      <c r="L4769" s="27"/>
      <c r="M4769" s="28"/>
      <c r="N4769" s="28"/>
      <c r="O4769" s="20" t="s">
        <v>7530</v>
      </c>
      <c r="P4769" s="27" t="str">
        <f t="shared" si="223"/>
        <v>vermelho</v>
      </c>
    </row>
    <row r="4770" spans="1:16" ht="25.5">
      <c r="A4770" s="3" t="s">
        <v>4</v>
      </c>
      <c r="B4770" s="3" t="s">
        <v>1275</v>
      </c>
      <c r="C4770" s="4">
        <v>296</v>
      </c>
      <c r="D4770" s="3" t="s">
        <v>282</v>
      </c>
      <c r="E4770" s="3" t="s">
        <v>7</v>
      </c>
      <c r="F4770" s="5">
        <v>78</v>
      </c>
      <c r="G4770" s="5">
        <v>0</v>
      </c>
      <c r="H4770" s="6">
        <v>3917.22</v>
      </c>
      <c r="I4770" s="22">
        <v>0</v>
      </c>
      <c r="J4770" s="24">
        <f t="shared" si="222"/>
        <v>0</v>
      </c>
      <c r="K4770" s="25">
        <f t="shared" si="224"/>
        <v>1.0000000000000009</v>
      </c>
      <c r="L4770" s="27"/>
      <c r="M4770" s="28"/>
      <c r="N4770" s="28">
        <v>-2.7679281192061533E-2</v>
      </c>
      <c r="O4770" s="20">
        <v>3940.701</v>
      </c>
      <c r="P4770" s="27" t="str">
        <f t="shared" si="223"/>
        <v>vermelho</v>
      </c>
    </row>
    <row r="4771" spans="1:16" ht="25.5">
      <c r="A4771" s="3" t="s">
        <v>4</v>
      </c>
      <c r="B4771" s="3" t="s">
        <v>1327</v>
      </c>
      <c r="C4771" s="4">
        <v>337</v>
      </c>
      <c r="D4771" s="3" t="s">
        <v>202</v>
      </c>
      <c r="E4771" s="3" t="s">
        <v>10</v>
      </c>
      <c r="F4771" s="5">
        <v>156</v>
      </c>
      <c r="G4771" s="5">
        <v>0</v>
      </c>
      <c r="H4771" s="6">
        <v>8250.06</v>
      </c>
      <c r="I4771" s="22">
        <v>0</v>
      </c>
      <c r="J4771" s="24">
        <f t="shared" si="222"/>
        <v>0</v>
      </c>
      <c r="K4771" s="25">
        <f t="shared" si="224"/>
        <v>1.0000000000000009</v>
      </c>
      <c r="L4771" s="27"/>
      <c r="M4771" s="28"/>
      <c r="N4771" s="28"/>
      <c r="O4771" s="20" t="s">
        <v>7530</v>
      </c>
      <c r="P4771" s="27" t="str">
        <f t="shared" si="223"/>
        <v>vermelho</v>
      </c>
    </row>
    <row r="4772" spans="1:16" ht="25.5">
      <c r="A4772" s="3" t="s">
        <v>4</v>
      </c>
      <c r="B4772" s="3" t="s">
        <v>1488</v>
      </c>
      <c r="C4772" s="4">
        <v>264</v>
      </c>
      <c r="D4772" s="3" t="s">
        <v>40</v>
      </c>
      <c r="E4772" s="3" t="s">
        <v>10</v>
      </c>
      <c r="F4772" s="5">
        <v>60</v>
      </c>
      <c r="G4772" s="5">
        <v>0</v>
      </c>
      <c r="H4772" s="6">
        <v>3761.16</v>
      </c>
      <c r="I4772" s="22">
        <v>0</v>
      </c>
      <c r="J4772" s="24">
        <f t="shared" si="222"/>
        <v>0</v>
      </c>
      <c r="K4772" s="25">
        <f t="shared" si="224"/>
        <v>1.0000000000000009</v>
      </c>
      <c r="L4772" s="27"/>
      <c r="M4772" s="28"/>
      <c r="N4772" s="28"/>
      <c r="O4772" s="20" t="s">
        <v>7530</v>
      </c>
      <c r="P4772" s="27" t="str">
        <f t="shared" si="223"/>
        <v>vermelho</v>
      </c>
    </row>
    <row r="4773" spans="1:16" ht="25.5">
      <c r="A4773" s="3" t="s">
        <v>4</v>
      </c>
      <c r="B4773" s="3" t="s">
        <v>1558</v>
      </c>
      <c r="C4773" s="4">
        <v>273</v>
      </c>
      <c r="D4773" s="3" t="s">
        <v>149</v>
      </c>
      <c r="E4773" s="3" t="s">
        <v>10</v>
      </c>
      <c r="F4773" s="5">
        <v>132</v>
      </c>
      <c r="G4773" s="5">
        <v>0</v>
      </c>
      <c r="H4773" s="6">
        <v>7316.01</v>
      </c>
      <c r="I4773" s="22">
        <v>0</v>
      </c>
      <c r="J4773" s="24">
        <f t="shared" si="222"/>
        <v>0</v>
      </c>
      <c r="K4773" s="25">
        <f t="shared" si="224"/>
        <v>1.0000000000000009</v>
      </c>
      <c r="L4773" s="27"/>
      <c r="M4773" s="28"/>
      <c r="N4773" s="28"/>
      <c r="O4773" s="20" t="s">
        <v>7530</v>
      </c>
      <c r="P4773" s="27" t="str">
        <f t="shared" si="223"/>
        <v>vermelho</v>
      </c>
    </row>
    <row r="4774" spans="1:16" ht="25.5">
      <c r="A4774" s="3" t="s">
        <v>4</v>
      </c>
      <c r="B4774" s="3" t="s">
        <v>1741</v>
      </c>
      <c r="C4774" s="4">
        <v>296</v>
      </c>
      <c r="D4774" s="3" t="s">
        <v>282</v>
      </c>
      <c r="E4774" s="3" t="s">
        <v>16</v>
      </c>
      <c r="F4774" s="5">
        <v>570</v>
      </c>
      <c r="G4774" s="5">
        <v>0</v>
      </c>
      <c r="H4774" s="6">
        <v>29748.9</v>
      </c>
      <c r="I4774" s="22">
        <v>0</v>
      </c>
      <c r="J4774" s="24">
        <f t="shared" si="222"/>
        <v>0</v>
      </c>
      <c r="K4774" s="25">
        <f t="shared" si="224"/>
        <v>1.0000000000000009</v>
      </c>
      <c r="L4774" s="27"/>
      <c r="M4774" s="28"/>
      <c r="N4774" s="28"/>
      <c r="O4774" s="20" t="s">
        <v>7530</v>
      </c>
      <c r="P4774" s="27" t="str">
        <f t="shared" si="223"/>
        <v>vermelho</v>
      </c>
    </row>
    <row r="4775" spans="1:16" ht="38.25">
      <c r="A4775" s="3" t="s">
        <v>4</v>
      </c>
      <c r="B4775" s="3" t="s">
        <v>1767</v>
      </c>
      <c r="C4775" s="4">
        <v>371</v>
      </c>
      <c r="D4775" s="3" t="s">
        <v>82</v>
      </c>
      <c r="E4775" s="3" t="s">
        <v>16</v>
      </c>
      <c r="F4775" s="5">
        <v>450</v>
      </c>
      <c r="G4775" s="5">
        <v>0</v>
      </c>
      <c r="H4775" s="6">
        <v>21708.93</v>
      </c>
      <c r="I4775" s="22">
        <v>0</v>
      </c>
      <c r="J4775" s="24">
        <f t="shared" si="222"/>
        <v>0</v>
      </c>
      <c r="K4775" s="25">
        <f t="shared" si="224"/>
        <v>1.0000000000000009</v>
      </c>
      <c r="L4775" s="27"/>
      <c r="M4775" s="28">
        <v>-1.326913096879008E-2</v>
      </c>
      <c r="N4775" s="28"/>
      <c r="O4775" s="20">
        <v>3431.9920000000002</v>
      </c>
      <c r="P4775" s="27" t="str">
        <f t="shared" si="223"/>
        <v>vermelho</v>
      </c>
    </row>
    <row r="4776" spans="1:16" ht="25.5">
      <c r="A4776" s="3" t="s">
        <v>4</v>
      </c>
      <c r="B4776" s="3" t="s">
        <v>1807</v>
      </c>
      <c r="C4776" s="4">
        <v>296</v>
      </c>
      <c r="D4776" s="3" t="s">
        <v>282</v>
      </c>
      <c r="E4776" s="3" t="s">
        <v>16</v>
      </c>
      <c r="F4776" s="5">
        <v>306</v>
      </c>
      <c r="G4776" s="5">
        <v>0</v>
      </c>
      <c r="H4776" s="6">
        <v>17255.88</v>
      </c>
      <c r="I4776" s="22">
        <v>0</v>
      </c>
      <c r="J4776" s="24">
        <f t="shared" si="222"/>
        <v>0</v>
      </c>
      <c r="K4776" s="25">
        <f t="shared" si="224"/>
        <v>1.0000000000000009</v>
      </c>
      <c r="L4776" s="27"/>
      <c r="M4776" s="28"/>
      <c r="N4776" s="28"/>
      <c r="O4776" s="20" t="s">
        <v>7530</v>
      </c>
      <c r="P4776" s="27" t="str">
        <f t="shared" si="223"/>
        <v>vermelho</v>
      </c>
    </row>
    <row r="4777" spans="1:16" ht="38.25">
      <c r="A4777" s="3" t="s">
        <v>4</v>
      </c>
      <c r="B4777" s="3" t="s">
        <v>1849</v>
      </c>
      <c r="C4777" s="4">
        <v>38</v>
      </c>
      <c r="D4777" s="3" t="s">
        <v>184</v>
      </c>
      <c r="E4777" s="3" t="s">
        <v>16</v>
      </c>
      <c r="F4777" s="5">
        <v>78</v>
      </c>
      <c r="G4777" s="5">
        <v>0</v>
      </c>
      <c r="H4777" s="6">
        <v>4577.22</v>
      </c>
      <c r="I4777" s="22">
        <v>0</v>
      </c>
      <c r="J4777" s="24">
        <f t="shared" si="222"/>
        <v>0</v>
      </c>
      <c r="K4777" s="25">
        <f t="shared" si="224"/>
        <v>1.0000000000000009</v>
      </c>
      <c r="L4777" s="27"/>
      <c r="M4777" s="28"/>
      <c r="N4777" s="28"/>
      <c r="O4777" s="20">
        <v>5617.68</v>
      </c>
      <c r="P4777" s="27" t="str">
        <f t="shared" si="223"/>
        <v>vermelho</v>
      </c>
    </row>
    <row r="4778" spans="1:16" ht="38.25">
      <c r="A4778" s="3" t="s">
        <v>4</v>
      </c>
      <c r="B4778" s="3" t="s">
        <v>1858</v>
      </c>
      <c r="C4778" s="4">
        <v>292</v>
      </c>
      <c r="D4778" s="3" t="s">
        <v>57</v>
      </c>
      <c r="E4778" s="3" t="s">
        <v>16</v>
      </c>
      <c r="F4778" s="5">
        <v>0</v>
      </c>
      <c r="G4778" s="5">
        <v>0</v>
      </c>
      <c r="H4778" s="6">
        <v>0</v>
      </c>
      <c r="I4778" s="22">
        <v>0</v>
      </c>
      <c r="J4778" s="24">
        <f t="shared" si="222"/>
        <v>0</v>
      </c>
      <c r="K4778" s="25">
        <f t="shared" si="224"/>
        <v>1.0000000000000009</v>
      </c>
      <c r="L4778" s="27"/>
      <c r="M4778" s="28"/>
      <c r="N4778" s="28">
        <v>8.1194785888582754E-2</v>
      </c>
      <c r="O4778" s="20">
        <v>2003.4</v>
      </c>
      <c r="P4778" s="27" t="str">
        <f t="shared" si="223"/>
        <v>vermelho</v>
      </c>
    </row>
    <row r="4779" spans="1:16" ht="25.5">
      <c r="A4779" s="3" t="s">
        <v>4</v>
      </c>
      <c r="B4779" s="3" t="s">
        <v>1866</v>
      </c>
      <c r="C4779" s="4">
        <v>264</v>
      </c>
      <c r="D4779" s="3" t="s">
        <v>40</v>
      </c>
      <c r="E4779" s="3" t="s">
        <v>10</v>
      </c>
      <c r="F4779" s="5">
        <v>342</v>
      </c>
      <c r="G4779" s="5">
        <v>0</v>
      </c>
      <c r="H4779" s="6">
        <v>16464.72</v>
      </c>
      <c r="I4779" s="22">
        <v>0</v>
      </c>
      <c r="J4779" s="24">
        <f t="shared" si="222"/>
        <v>0</v>
      </c>
      <c r="K4779" s="25">
        <f t="shared" si="224"/>
        <v>1.0000000000000009</v>
      </c>
      <c r="L4779" s="27"/>
      <c r="M4779" s="28"/>
      <c r="N4779" s="28"/>
      <c r="O4779" s="20" t="s">
        <v>7530</v>
      </c>
      <c r="P4779" s="27" t="str">
        <f t="shared" si="223"/>
        <v>vermelho</v>
      </c>
    </row>
    <row r="4780" spans="1:16" ht="25.5">
      <c r="A4780" s="3" t="s">
        <v>4</v>
      </c>
      <c r="B4780" s="3" t="s">
        <v>1900</v>
      </c>
      <c r="C4780" s="4">
        <v>264</v>
      </c>
      <c r="D4780" s="3" t="s">
        <v>40</v>
      </c>
      <c r="E4780" s="3" t="s">
        <v>10</v>
      </c>
      <c r="F4780" s="5">
        <v>348</v>
      </c>
      <c r="G4780" s="5">
        <v>0</v>
      </c>
      <c r="H4780" s="6">
        <v>13909.98</v>
      </c>
      <c r="I4780" s="22">
        <v>0</v>
      </c>
      <c r="J4780" s="24">
        <f t="shared" si="222"/>
        <v>0</v>
      </c>
      <c r="K4780" s="25">
        <f t="shared" si="224"/>
        <v>1.0000000000000009</v>
      </c>
      <c r="L4780" s="27"/>
      <c r="M4780" s="28"/>
      <c r="N4780" s="28"/>
      <c r="O4780" s="20" t="s">
        <v>7530</v>
      </c>
      <c r="P4780" s="27" t="str">
        <f t="shared" si="223"/>
        <v>vermelho</v>
      </c>
    </row>
    <row r="4781" spans="1:16" ht="25.5">
      <c r="A4781" s="3" t="s">
        <v>4</v>
      </c>
      <c r="B4781" s="3" t="s">
        <v>1928</v>
      </c>
      <c r="C4781" s="4">
        <v>296</v>
      </c>
      <c r="D4781" s="3" t="s">
        <v>282</v>
      </c>
      <c r="E4781" s="3" t="s">
        <v>16</v>
      </c>
      <c r="F4781" s="5">
        <v>274</v>
      </c>
      <c r="G4781" s="5">
        <v>0</v>
      </c>
      <c r="H4781" s="6">
        <v>13775.37</v>
      </c>
      <c r="I4781" s="22">
        <v>0</v>
      </c>
      <c r="J4781" s="24">
        <f t="shared" si="222"/>
        <v>0</v>
      </c>
      <c r="K4781" s="25">
        <f t="shared" si="224"/>
        <v>1.0000000000000009</v>
      </c>
      <c r="L4781" s="27"/>
      <c r="M4781" s="28"/>
      <c r="N4781" s="28"/>
      <c r="O4781" s="20" t="s">
        <v>7530</v>
      </c>
      <c r="P4781" s="27" t="str">
        <f t="shared" si="223"/>
        <v>vermelho</v>
      </c>
    </row>
    <row r="4782" spans="1:16" ht="25.5">
      <c r="A4782" s="3" t="s">
        <v>4</v>
      </c>
      <c r="B4782" s="3" t="s">
        <v>1975</v>
      </c>
      <c r="C4782" s="4">
        <v>296</v>
      </c>
      <c r="D4782" s="3" t="s">
        <v>282</v>
      </c>
      <c r="E4782" s="3" t="s">
        <v>16</v>
      </c>
      <c r="F4782" s="5">
        <v>102</v>
      </c>
      <c r="G4782" s="5">
        <v>0</v>
      </c>
      <c r="H4782" s="6">
        <v>5760.96</v>
      </c>
      <c r="I4782" s="22">
        <v>0</v>
      </c>
      <c r="J4782" s="24">
        <f t="shared" si="222"/>
        <v>0</v>
      </c>
      <c r="K4782" s="25">
        <f t="shared" si="224"/>
        <v>1.0000000000000009</v>
      </c>
      <c r="L4782" s="27"/>
      <c r="M4782" s="28"/>
      <c r="N4782" s="28"/>
      <c r="O4782" s="20" t="s">
        <v>7530</v>
      </c>
      <c r="P4782" s="27" t="str">
        <f t="shared" si="223"/>
        <v>vermelho</v>
      </c>
    </row>
    <row r="4783" spans="1:16" ht="25.5">
      <c r="A4783" s="3" t="s">
        <v>4</v>
      </c>
      <c r="B4783" s="3" t="s">
        <v>1980</v>
      </c>
      <c r="C4783" s="4">
        <v>264</v>
      </c>
      <c r="D4783" s="3" t="s">
        <v>40</v>
      </c>
      <c r="E4783" s="3" t="s">
        <v>10</v>
      </c>
      <c r="F4783" s="5">
        <v>522</v>
      </c>
      <c r="G4783" s="5">
        <v>0</v>
      </c>
      <c r="H4783" s="6">
        <v>19349.34</v>
      </c>
      <c r="I4783" s="22">
        <v>0</v>
      </c>
      <c r="J4783" s="24">
        <f t="shared" si="222"/>
        <v>0</v>
      </c>
      <c r="K4783" s="25">
        <f t="shared" si="224"/>
        <v>1.0000000000000009</v>
      </c>
      <c r="L4783" s="27"/>
      <c r="M4783" s="28"/>
      <c r="N4783" s="28"/>
      <c r="O4783" s="20" t="s">
        <v>7530</v>
      </c>
      <c r="P4783" s="27" t="str">
        <f t="shared" si="223"/>
        <v>vermelho</v>
      </c>
    </row>
    <row r="4784" spans="1:16" ht="25.5">
      <c r="A4784" s="3" t="s">
        <v>4</v>
      </c>
      <c r="B4784" s="3" t="s">
        <v>1993</v>
      </c>
      <c r="C4784" s="4">
        <v>273</v>
      </c>
      <c r="D4784" s="3" t="s">
        <v>149</v>
      </c>
      <c r="E4784" s="3" t="s">
        <v>10</v>
      </c>
      <c r="F4784" s="5">
        <v>63</v>
      </c>
      <c r="G4784" s="5">
        <v>0</v>
      </c>
      <c r="H4784" s="6">
        <v>3860.04</v>
      </c>
      <c r="I4784" s="22">
        <v>0</v>
      </c>
      <c r="J4784" s="24">
        <f t="shared" si="222"/>
        <v>0</v>
      </c>
      <c r="K4784" s="25">
        <f t="shared" si="224"/>
        <v>1.0000000000000009</v>
      </c>
      <c r="L4784" s="27"/>
      <c r="M4784" s="28"/>
      <c r="N4784" s="28"/>
      <c r="O4784" s="20" t="s">
        <v>7530</v>
      </c>
      <c r="P4784" s="27" t="str">
        <f t="shared" si="223"/>
        <v>vermelho</v>
      </c>
    </row>
    <row r="4785" spans="1:16" ht="38.25">
      <c r="A4785" s="3" t="s">
        <v>4</v>
      </c>
      <c r="B4785" s="3" t="s">
        <v>2006</v>
      </c>
      <c r="C4785" s="4">
        <v>292</v>
      </c>
      <c r="D4785" s="3" t="s">
        <v>57</v>
      </c>
      <c r="E4785" s="3" t="s">
        <v>49</v>
      </c>
      <c r="F4785" s="5">
        <v>174</v>
      </c>
      <c r="G4785" s="5">
        <v>0</v>
      </c>
      <c r="H4785" s="6">
        <v>8889.66</v>
      </c>
      <c r="I4785" s="22">
        <v>0</v>
      </c>
      <c r="J4785" s="24">
        <f t="shared" si="222"/>
        <v>0</v>
      </c>
      <c r="K4785" s="25">
        <f t="shared" si="224"/>
        <v>1.0000000000000009</v>
      </c>
      <c r="L4785" s="27"/>
      <c r="M4785" s="28"/>
      <c r="N4785" s="28"/>
      <c r="O4785" s="20" t="s">
        <v>7530</v>
      </c>
      <c r="P4785" s="27" t="str">
        <f t="shared" si="223"/>
        <v>vermelho</v>
      </c>
    </row>
    <row r="4786" spans="1:16" ht="38.25">
      <c r="A4786" s="3" t="s">
        <v>4</v>
      </c>
      <c r="B4786" s="3" t="s">
        <v>2006</v>
      </c>
      <c r="C4786" s="4">
        <v>292</v>
      </c>
      <c r="D4786" s="3" t="s">
        <v>57</v>
      </c>
      <c r="E4786" s="3" t="s">
        <v>16</v>
      </c>
      <c r="F4786" s="5">
        <v>453</v>
      </c>
      <c r="G4786" s="5">
        <v>0</v>
      </c>
      <c r="H4786" s="6">
        <v>26224.71</v>
      </c>
      <c r="I4786" s="22">
        <v>0</v>
      </c>
      <c r="J4786" s="24">
        <f t="shared" si="222"/>
        <v>0</v>
      </c>
      <c r="K4786" s="25">
        <f t="shared" si="224"/>
        <v>1.0000000000000009</v>
      </c>
      <c r="L4786" s="27"/>
      <c r="M4786" s="28"/>
      <c r="N4786" s="28"/>
      <c r="O4786" s="20" t="s">
        <v>7530</v>
      </c>
      <c r="P4786" s="27" t="str">
        <f t="shared" si="223"/>
        <v>vermelho</v>
      </c>
    </row>
    <row r="4787" spans="1:16" ht="25.5">
      <c r="A4787" s="3" t="s">
        <v>4</v>
      </c>
      <c r="B4787" s="3" t="s">
        <v>2080</v>
      </c>
      <c r="C4787" s="4">
        <v>296</v>
      </c>
      <c r="D4787" s="3" t="s">
        <v>282</v>
      </c>
      <c r="E4787" s="3" t="s">
        <v>7</v>
      </c>
      <c r="F4787" s="5">
        <v>72</v>
      </c>
      <c r="G4787" s="5">
        <v>0</v>
      </c>
      <c r="H4787" s="6">
        <v>3311.16</v>
      </c>
      <c r="I4787" s="22">
        <v>0</v>
      </c>
      <c r="J4787" s="24">
        <f t="shared" si="222"/>
        <v>0</v>
      </c>
      <c r="K4787" s="25">
        <f t="shared" si="224"/>
        <v>1.0000000000000009</v>
      </c>
      <c r="L4787" s="27"/>
      <c r="M4787" s="28"/>
      <c r="N4787" s="28"/>
      <c r="O4787" s="20" t="s">
        <v>7530</v>
      </c>
      <c r="P4787" s="27" t="str">
        <f t="shared" si="223"/>
        <v>vermelho</v>
      </c>
    </row>
    <row r="4788" spans="1:16" ht="25.5">
      <c r="A4788" s="3" t="s">
        <v>4</v>
      </c>
      <c r="B4788" s="3" t="s">
        <v>2106</v>
      </c>
      <c r="C4788" s="4">
        <v>264</v>
      </c>
      <c r="D4788" s="3" t="s">
        <v>40</v>
      </c>
      <c r="E4788" s="3" t="s">
        <v>10</v>
      </c>
      <c r="F4788" s="5">
        <v>60</v>
      </c>
      <c r="G4788" s="5">
        <v>0</v>
      </c>
      <c r="H4788" s="6">
        <v>2770.44</v>
      </c>
      <c r="I4788" s="22">
        <v>0</v>
      </c>
      <c r="J4788" s="24">
        <f t="shared" si="222"/>
        <v>0</v>
      </c>
      <c r="K4788" s="25">
        <f t="shared" si="224"/>
        <v>1.0000000000000009</v>
      </c>
      <c r="L4788" s="27"/>
      <c r="M4788" s="28"/>
      <c r="N4788" s="28"/>
      <c r="O4788" s="20" t="s">
        <v>7530</v>
      </c>
      <c r="P4788" s="27" t="str">
        <f t="shared" si="223"/>
        <v>vermelho</v>
      </c>
    </row>
    <row r="4789" spans="1:16" ht="38.25">
      <c r="A4789" s="3" t="s">
        <v>4</v>
      </c>
      <c r="B4789" s="3" t="s">
        <v>2223</v>
      </c>
      <c r="C4789" s="4">
        <v>296</v>
      </c>
      <c r="D4789" s="3" t="s">
        <v>282</v>
      </c>
      <c r="E4789" s="3" t="s">
        <v>16</v>
      </c>
      <c r="F4789" s="5">
        <v>477</v>
      </c>
      <c r="G4789" s="5">
        <v>0</v>
      </c>
      <c r="H4789" s="6">
        <v>28246.35</v>
      </c>
      <c r="I4789" s="22">
        <v>0</v>
      </c>
      <c r="J4789" s="24">
        <f t="shared" si="222"/>
        <v>0</v>
      </c>
      <c r="K4789" s="25">
        <f t="shared" si="224"/>
        <v>1.0000000000000009</v>
      </c>
      <c r="L4789" s="27"/>
      <c r="M4789" s="28"/>
      <c r="N4789" s="28"/>
      <c r="O4789" s="20" t="s">
        <v>7530</v>
      </c>
      <c r="P4789" s="27" t="str">
        <f t="shared" si="223"/>
        <v>vermelho</v>
      </c>
    </row>
    <row r="4790" spans="1:16" ht="25.5">
      <c r="A4790" s="3" t="s">
        <v>4</v>
      </c>
      <c r="B4790" s="3" t="s">
        <v>2237</v>
      </c>
      <c r="C4790" s="4">
        <v>273</v>
      </c>
      <c r="D4790" s="3" t="s">
        <v>149</v>
      </c>
      <c r="E4790" s="3" t="s">
        <v>10</v>
      </c>
      <c r="F4790" s="5">
        <v>309</v>
      </c>
      <c r="G4790" s="5">
        <v>0</v>
      </c>
      <c r="H4790" s="6">
        <v>17561.55</v>
      </c>
      <c r="I4790" s="22">
        <v>0</v>
      </c>
      <c r="J4790" s="24">
        <f t="shared" si="222"/>
        <v>0</v>
      </c>
      <c r="K4790" s="25">
        <f t="shared" si="224"/>
        <v>1.0000000000000009</v>
      </c>
      <c r="L4790" s="27"/>
      <c r="M4790" s="28"/>
      <c r="N4790" s="28"/>
      <c r="O4790" s="20" t="s">
        <v>7530</v>
      </c>
      <c r="P4790" s="27" t="str">
        <f t="shared" si="223"/>
        <v>vermelho</v>
      </c>
    </row>
    <row r="4791" spans="1:16" ht="25.5">
      <c r="A4791" s="3" t="s">
        <v>4</v>
      </c>
      <c r="B4791" s="3" t="s">
        <v>2263</v>
      </c>
      <c r="C4791" s="4">
        <v>296</v>
      </c>
      <c r="D4791" s="3" t="s">
        <v>282</v>
      </c>
      <c r="E4791" s="3" t="s">
        <v>7</v>
      </c>
      <c r="F4791" s="5">
        <v>144</v>
      </c>
      <c r="G4791" s="5">
        <v>0</v>
      </c>
      <c r="H4791" s="6">
        <v>7239.06</v>
      </c>
      <c r="I4791" s="22">
        <v>0</v>
      </c>
      <c r="J4791" s="24">
        <f t="shared" si="222"/>
        <v>0</v>
      </c>
      <c r="K4791" s="25">
        <f t="shared" si="224"/>
        <v>1.0000000000000009</v>
      </c>
      <c r="L4791" s="27"/>
      <c r="M4791" s="28"/>
      <c r="N4791" s="28"/>
      <c r="O4791" s="20" t="s">
        <v>7530</v>
      </c>
      <c r="P4791" s="27" t="str">
        <f t="shared" si="223"/>
        <v>vermelho</v>
      </c>
    </row>
    <row r="4792" spans="1:16" ht="25.5">
      <c r="A4792" s="3" t="s">
        <v>4</v>
      </c>
      <c r="B4792" s="3" t="s">
        <v>2319</v>
      </c>
      <c r="C4792" s="4">
        <v>273</v>
      </c>
      <c r="D4792" s="3" t="s">
        <v>149</v>
      </c>
      <c r="E4792" s="3" t="s">
        <v>10</v>
      </c>
      <c r="F4792" s="5">
        <v>243</v>
      </c>
      <c r="G4792" s="5">
        <v>0</v>
      </c>
      <c r="H4792" s="6">
        <v>13161.03</v>
      </c>
      <c r="I4792" s="22">
        <v>0</v>
      </c>
      <c r="J4792" s="24">
        <f t="shared" si="222"/>
        <v>0</v>
      </c>
      <c r="K4792" s="25">
        <f t="shared" si="224"/>
        <v>1.0000000000000009</v>
      </c>
      <c r="L4792" s="27"/>
      <c r="M4792" s="28"/>
      <c r="N4792" s="28"/>
      <c r="O4792" s="20" t="s">
        <v>7530</v>
      </c>
      <c r="P4792" s="27" t="str">
        <f t="shared" si="223"/>
        <v>vermelho</v>
      </c>
    </row>
    <row r="4793" spans="1:16">
      <c r="A4793" s="3" t="s">
        <v>4</v>
      </c>
      <c r="B4793" s="3" t="s">
        <v>2378</v>
      </c>
      <c r="C4793" s="4">
        <v>264</v>
      </c>
      <c r="D4793" s="3" t="s">
        <v>40</v>
      </c>
      <c r="E4793" s="3" t="s">
        <v>10</v>
      </c>
      <c r="F4793" s="5">
        <v>75</v>
      </c>
      <c r="G4793" s="5">
        <v>0</v>
      </c>
      <c r="H4793" s="6">
        <v>2746.23</v>
      </c>
      <c r="I4793" s="22">
        <v>0</v>
      </c>
      <c r="J4793" s="24">
        <f t="shared" si="222"/>
        <v>0</v>
      </c>
      <c r="K4793" s="25">
        <f t="shared" si="224"/>
        <v>1.0000000000000009</v>
      </c>
      <c r="L4793" s="27"/>
      <c r="M4793" s="28"/>
      <c r="N4793" s="28"/>
      <c r="O4793" s="20">
        <v>2283.1799999999998</v>
      </c>
      <c r="P4793" s="27" t="str">
        <f t="shared" si="223"/>
        <v>vermelho</v>
      </c>
    </row>
    <row r="4794" spans="1:16" ht="25.5">
      <c r="A4794" s="3" t="s">
        <v>4</v>
      </c>
      <c r="B4794" s="3" t="s">
        <v>2460</v>
      </c>
      <c r="C4794" s="4">
        <v>273</v>
      </c>
      <c r="D4794" s="3" t="s">
        <v>149</v>
      </c>
      <c r="E4794" s="3" t="s">
        <v>10</v>
      </c>
      <c r="F4794" s="5">
        <v>225</v>
      </c>
      <c r="G4794" s="5">
        <v>0</v>
      </c>
      <c r="H4794" s="6">
        <v>11329.32</v>
      </c>
      <c r="I4794" s="22">
        <v>0</v>
      </c>
      <c r="J4794" s="24">
        <f t="shared" si="222"/>
        <v>0</v>
      </c>
      <c r="K4794" s="25">
        <f t="shared" si="224"/>
        <v>1.0000000000000009</v>
      </c>
      <c r="L4794" s="27"/>
      <c r="M4794" s="28"/>
      <c r="N4794" s="28"/>
      <c r="O4794" s="20" t="s">
        <v>7530</v>
      </c>
      <c r="P4794" s="27" t="str">
        <f t="shared" si="223"/>
        <v>vermelho</v>
      </c>
    </row>
    <row r="4795" spans="1:16" ht="25.5">
      <c r="A4795" s="3" t="s">
        <v>4</v>
      </c>
      <c r="B4795" s="3" t="s">
        <v>2477</v>
      </c>
      <c r="C4795" s="4">
        <v>296</v>
      </c>
      <c r="D4795" s="3" t="s">
        <v>282</v>
      </c>
      <c r="E4795" s="3" t="s">
        <v>7</v>
      </c>
      <c r="F4795" s="5">
        <v>102</v>
      </c>
      <c r="G4795" s="5">
        <v>0</v>
      </c>
      <c r="H4795" s="6">
        <v>6313.38</v>
      </c>
      <c r="I4795" s="22">
        <v>0</v>
      </c>
      <c r="J4795" s="24">
        <f t="shared" si="222"/>
        <v>0</v>
      </c>
      <c r="K4795" s="25">
        <f t="shared" si="224"/>
        <v>1.0000000000000009</v>
      </c>
      <c r="L4795" s="27"/>
      <c r="M4795" s="28"/>
      <c r="N4795" s="28"/>
      <c r="O4795" s="20">
        <v>5145.7219999999998</v>
      </c>
      <c r="P4795" s="27" t="str">
        <f t="shared" si="223"/>
        <v>vermelho</v>
      </c>
    </row>
    <row r="4796" spans="1:16" ht="25.5">
      <c r="A4796" s="3" t="s">
        <v>4</v>
      </c>
      <c r="B4796" s="3" t="s">
        <v>2546</v>
      </c>
      <c r="C4796" s="4">
        <v>296</v>
      </c>
      <c r="D4796" s="3" t="s">
        <v>282</v>
      </c>
      <c r="E4796" s="3" t="s">
        <v>16</v>
      </c>
      <c r="F4796" s="5">
        <v>60</v>
      </c>
      <c r="G4796" s="5">
        <v>0</v>
      </c>
      <c r="H4796" s="6">
        <v>2753.4</v>
      </c>
      <c r="I4796" s="22">
        <v>0</v>
      </c>
      <c r="J4796" s="24">
        <f t="shared" si="222"/>
        <v>0</v>
      </c>
      <c r="K4796" s="25">
        <f t="shared" si="224"/>
        <v>1.0000000000000009</v>
      </c>
      <c r="L4796" s="27"/>
      <c r="M4796" s="28"/>
      <c r="N4796" s="28"/>
      <c r="O4796" s="20" t="s">
        <v>7530</v>
      </c>
      <c r="P4796" s="27" t="str">
        <f t="shared" si="223"/>
        <v>vermelho</v>
      </c>
    </row>
    <row r="4797" spans="1:16" ht="25.5">
      <c r="A4797" s="3" t="s">
        <v>4</v>
      </c>
      <c r="B4797" s="3" t="s">
        <v>2592</v>
      </c>
      <c r="C4797" s="4">
        <v>273</v>
      </c>
      <c r="D4797" s="3" t="s">
        <v>149</v>
      </c>
      <c r="E4797" s="3" t="s">
        <v>10</v>
      </c>
      <c r="F4797" s="5">
        <v>480</v>
      </c>
      <c r="G4797" s="5">
        <v>0</v>
      </c>
      <c r="H4797" s="6">
        <v>24479.4</v>
      </c>
      <c r="I4797" s="22">
        <v>0</v>
      </c>
      <c r="J4797" s="24">
        <f t="shared" si="222"/>
        <v>0</v>
      </c>
      <c r="K4797" s="25">
        <f t="shared" si="224"/>
        <v>1.0000000000000009</v>
      </c>
      <c r="L4797" s="27"/>
      <c r="M4797" s="28"/>
      <c r="N4797" s="28"/>
      <c r="O4797" s="20" t="s">
        <v>7530</v>
      </c>
      <c r="P4797" s="27" t="str">
        <f t="shared" si="223"/>
        <v>vermelho</v>
      </c>
    </row>
    <row r="4798" spans="1:16" ht="25.5">
      <c r="A4798" s="3" t="s">
        <v>4</v>
      </c>
      <c r="B4798" s="3" t="s">
        <v>2622</v>
      </c>
      <c r="C4798" s="4">
        <v>296</v>
      </c>
      <c r="D4798" s="3" t="s">
        <v>282</v>
      </c>
      <c r="E4798" s="3" t="s">
        <v>7</v>
      </c>
      <c r="F4798" s="5">
        <v>96</v>
      </c>
      <c r="G4798" s="5">
        <v>0</v>
      </c>
      <c r="H4798" s="6">
        <v>6349.2</v>
      </c>
      <c r="I4798" s="22">
        <v>0</v>
      </c>
      <c r="J4798" s="24">
        <f t="shared" si="222"/>
        <v>0</v>
      </c>
      <c r="K4798" s="25">
        <f t="shared" si="224"/>
        <v>1.0000000000000009</v>
      </c>
      <c r="L4798" s="27"/>
      <c r="M4798" s="28"/>
      <c r="N4798" s="28"/>
      <c r="O4798" s="20" t="s">
        <v>7530</v>
      </c>
      <c r="P4798" s="27" t="str">
        <f t="shared" si="223"/>
        <v>vermelho</v>
      </c>
    </row>
    <row r="4799" spans="1:16" ht="25.5">
      <c r="A4799" s="3" t="s">
        <v>4</v>
      </c>
      <c r="B4799" s="3" t="s">
        <v>2674</v>
      </c>
      <c r="C4799" s="4">
        <v>296</v>
      </c>
      <c r="D4799" s="3" t="s">
        <v>282</v>
      </c>
      <c r="E4799" s="3" t="s">
        <v>16</v>
      </c>
      <c r="F4799" s="5">
        <v>222</v>
      </c>
      <c r="G4799" s="5">
        <v>0</v>
      </c>
      <c r="H4799" s="6">
        <v>11349.72</v>
      </c>
      <c r="I4799" s="22">
        <v>0</v>
      </c>
      <c r="J4799" s="24">
        <f t="shared" si="222"/>
        <v>0</v>
      </c>
      <c r="K4799" s="25">
        <f t="shared" si="224"/>
        <v>1.0000000000000009</v>
      </c>
      <c r="L4799" s="27"/>
      <c r="M4799" s="28"/>
      <c r="N4799" s="28"/>
      <c r="O4799" s="20">
        <v>2481.7339999999999</v>
      </c>
      <c r="P4799" s="27" t="str">
        <f t="shared" si="223"/>
        <v>vermelho</v>
      </c>
    </row>
    <row r="4800" spans="1:16" ht="25.5">
      <c r="A4800" s="3" t="s">
        <v>4</v>
      </c>
      <c r="B4800" s="3" t="s">
        <v>2706</v>
      </c>
      <c r="C4800" s="4">
        <v>273</v>
      </c>
      <c r="D4800" s="3" t="s">
        <v>149</v>
      </c>
      <c r="E4800" s="3" t="s">
        <v>10</v>
      </c>
      <c r="F4800" s="5">
        <v>336</v>
      </c>
      <c r="G4800" s="5">
        <v>0</v>
      </c>
      <c r="H4800" s="6">
        <v>16914.830000000002</v>
      </c>
      <c r="I4800" s="22">
        <v>0</v>
      </c>
      <c r="J4800" s="24">
        <f t="shared" si="222"/>
        <v>0</v>
      </c>
      <c r="K4800" s="25">
        <f t="shared" si="224"/>
        <v>1.0000000000000009</v>
      </c>
      <c r="L4800" s="27"/>
      <c r="M4800" s="28"/>
      <c r="N4800" s="28"/>
      <c r="O4800" s="20" t="s">
        <v>7530</v>
      </c>
      <c r="P4800" s="27" t="str">
        <f t="shared" si="223"/>
        <v>vermelho</v>
      </c>
    </row>
    <row r="4801" spans="1:16" ht="25.5">
      <c r="A4801" s="3" t="s">
        <v>4</v>
      </c>
      <c r="B4801" s="3" t="s">
        <v>2722</v>
      </c>
      <c r="C4801" s="4">
        <v>273</v>
      </c>
      <c r="D4801" s="3" t="s">
        <v>149</v>
      </c>
      <c r="E4801" s="3" t="s">
        <v>10</v>
      </c>
      <c r="F4801" s="5">
        <v>0</v>
      </c>
      <c r="G4801" s="5">
        <v>0</v>
      </c>
      <c r="H4801" s="6">
        <v>0</v>
      </c>
      <c r="I4801" s="22">
        <v>0</v>
      </c>
      <c r="J4801" s="24">
        <f t="shared" si="222"/>
        <v>0</v>
      </c>
      <c r="K4801" s="25">
        <f t="shared" si="224"/>
        <v>1.0000000000000009</v>
      </c>
      <c r="L4801" s="27"/>
      <c r="M4801" s="28"/>
      <c r="N4801" s="28"/>
      <c r="O4801" s="20" t="s">
        <v>7530</v>
      </c>
      <c r="P4801" s="27" t="str">
        <f t="shared" si="223"/>
        <v>vermelho</v>
      </c>
    </row>
    <row r="4802" spans="1:16" ht="25.5">
      <c r="A4802" s="3" t="s">
        <v>4</v>
      </c>
      <c r="B4802" s="3" t="s">
        <v>2754</v>
      </c>
      <c r="C4802" s="4">
        <v>296</v>
      </c>
      <c r="D4802" s="3" t="s">
        <v>282</v>
      </c>
      <c r="E4802" s="3" t="s">
        <v>16</v>
      </c>
      <c r="F4802" s="5">
        <v>84</v>
      </c>
      <c r="G4802" s="5">
        <v>0</v>
      </c>
      <c r="H4802" s="6">
        <v>4883.28</v>
      </c>
      <c r="I4802" s="22">
        <v>0</v>
      </c>
      <c r="J4802" s="24">
        <f t="shared" si="222"/>
        <v>0</v>
      </c>
      <c r="K4802" s="25">
        <f t="shared" si="224"/>
        <v>1.0000000000000009</v>
      </c>
      <c r="L4802" s="27"/>
      <c r="M4802" s="28"/>
      <c r="N4802" s="28"/>
      <c r="O4802" s="20" t="s">
        <v>7530</v>
      </c>
      <c r="P4802" s="27" t="str">
        <f t="shared" si="223"/>
        <v>vermelho</v>
      </c>
    </row>
    <row r="4803" spans="1:16" ht="25.5">
      <c r="A4803" s="3" t="s">
        <v>4</v>
      </c>
      <c r="B4803" s="3" t="s">
        <v>2775</v>
      </c>
      <c r="C4803" s="4">
        <v>264</v>
      </c>
      <c r="D4803" s="3" t="s">
        <v>40</v>
      </c>
      <c r="E4803" s="3" t="s">
        <v>10</v>
      </c>
      <c r="F4803" s="5">
        <v>66</v>
      </c>
      <c r="G4803" s="5">
        <v>0</v>
      </c>
      <c r="H4803" s="6">
        <v>3439.38</v>
      </c>
      <c r="I4803" s="22">
        <v>0</v>
      </c>
      <c r="J4803" s="24">
        <f t="shared" ref="J4803:J4866" si="225">I4803/$I$6364</f>
        <v>0</v>
      </c>
      <c r="K4803" s="25">
        <f t="shared" si="224"/>
        <v>1.0000000000000009</v>
      </c>
      <c r="L4803" s="27"/>
      <c r="M4803" s="28"/>
      <c r="N4803" s="28"/>
      <c r="O4803" s="20" t="s">
        <v>7530</v>
      </c>
      <c r="P4803" s="27" t="str">
        <f t="shared" ref="P4803:P4866" si="226">IF(O4803&lt;=0,"vermelho",IFERROR(IF(O4803/I4803&lt;=0.5098,"amarelo",IF(O4803/I4803&lt;1,"laranja","verde")),"vermelho"))</f>
        <v>vermelho</v>
      </c>
    </row>
    <row r="4804" spans="1:16" ht="25.5">
      <c r="A4804" s="3" t="s">
        <v>4</v>
      </c>
      <c r="B4804" s="3" t="s">
        <v>2833</v>
      </c>
      <c r="C4804" s="4">
        <v>264</v>
      </c>
      <c r="D4804" s="3" t="s">
        <v>40</v>
      </c>
      <c r="E4804" s="3" t="s">
        <v>10</v>
      </c>
      <c r="F4804" s="5">
        <v>384</v>
      </c>
      <c r="G4804" s="5">
        <v>0</v>
      </c>
      <c r="H4804" s="6">
        <v>13472.16</v>
      </c>
      <c r="I4804" s="22">
        <v>0</v>
      </c>
      <c r="J4804" s="24">
        <f t="shared" si="225"/>
        <v>0</v>
      </c>
      <c r="K4804" s="25">
        <f t="shared" ref="K4804:K4867" si="227">J4804+K4803</f>
        <v>1.0000000000000009</v>
      </c>
      <c r="L4804" s="27"/>
      <c r="M4804" s="28"/>
      <c r="N4804" s="28"/>
      <c r="O4804" s="20" t="s">
        <v>7530</v>
      </c>
      <c r="P4804" s="27" t="str">
        <f t="shared" si="226"/>
        <v>vermelho</v>
      </c>
    </row>
    <row r="4805" spans="1:16" ht="25.5">
      <c r="A4805" s="3" t="s">
        <v>4</v>
      </c>
      <c r="B4805" s="3" t="s">
        <v>2867</v>
      </c>
      <c r="C4805" s="4">
        <v>296</v>
      </c>
      <c r="D4805" s="3" t="s">
        <v>282</v>
      </c>
      <c r="E4805" s="3" t="s">
        <v>49</v>
      </c>
      <c r="F4805" s="5">
        <v>252</v>
      </c>
      <c r="G4805" s="5">
        <v>0</v>
      </c>
      <c r="H4805" s="6">
        <v>16688.07</v>
      </c>
      <c r="I4805" s="22">
        <v>0</v>
      </c>
      <c r="J4805" s="24">
        <f t="shared" si="225"/>
        <v>0</v>
      </c>
      <c r="K4805" s="25">
        <f t="shared" si="227"/>
        <v>1.0000000000000009</v>
      </c>
      <c r="L4805" s="27"/>
      <c r="M4805" s="28"/>
      <c r="N4805" s="28"/>
      <c r="O4805" s="20" t="s">
        <v>7530</v>
      </c>
      <c r="P4805" s="27" t="str">
        <f t="shared" si="226"/>
        <v>vermelho</v>
      </c>
    </row>
    <row r="4806" spans="1:16" ht="25.5">
      <c r="A4806" s="3" t="s">
        <v>4</v>
      </c>
      <c r="B4806" s="3" t="s">
        <v>2929</v>
      </c>
      <c r="C4806" s="4">
        <v>273</v>
      </c>
      <c r="D4806" s="3" t="s">
        <v>149</v>
      </c>
      <c r="E4806" s="3" t="s">
        <v>10</v>
      </c>
      <c r="F4806" s="5">
        <v>0</v>
      </c>
      <c r="G4806" s="5">
        <v>0</v>
      </c>
      <c r="H4806" s="6">
        <v>0</v>
      </c>
      <c r="I4806" s="22">
        <v>0</v>
      </c>
      <c r="J4806" s="24">
        <f t="shared" si="225"/>
        <v>0</v>
      </c>
      <c r="K4806" s="25">
        <f t="shared" si="227"/>
        <v>1.0000000000000009</v>
      </c>
      <c r="L4806" s="27"/>
      <c r="M4806" s="28"/>
      <c r="N4806" s="28"/>
      <c r="O4806" s="20" t="s">
        <v>7530</v>
      </c>
      <c r="P4806" s="27" t="str">
        <f t="shared" si="226"/>
        <v>vermelho</v>
      </c>
    </row>
    <row r="4807" spans="1:16" ht="25.5">
      <c r="A4807" s="3" t="s">
        <v>4</v>
      </c>
      <c r="B4807" s="3" t="s">
        <v>2958</v>
      </c>
      <c r="C4807" s="4">
        <v>296</v>
      </c>
      <c r="D4807" s="3" t="s">
        <v>282</v>
      </c>
      <c r="E4807" s="3" t="s">
        <v>7</v>
      </c>
      <c r="F4807" s="5">
        <v>60</v>
      </c>
      <c r="G4807" s="5">
        <v>0</v>
      </c>
      <c r="H4807" s="6">
        <v>3313.68</v>
      </c>
      <c r="I4807" s="22">
        <v>0</v>
      </c>
      <c r="J4807" s="24">
        <f t="shared" si="225"/>
        <v>0</v>
      </c>
      <c r="K4807" s="25">
        <f t="shared" si="227"/>
        <v>1.0000000000000009</v>
      </c>
      <c r="L4807" s="27"/>
      <c r="M4807" s="28"/>
      <c r="N4807" s="28"/>
      <c r="O4807" s="20">
        <v>4745.3940000000002</v>
      </c>
      <c r="P4807" s="27" t="str">
        <f t="shared" si="226"/>
        <v>vermelho</v>
      </c>
    </row>
    <row r="4808" spans="1:16" ht="25.5">
      <c r="A4808" s="3" t="s">
        <v>4</v>
      </c>
      <c r="B4808" s="3" t="s">
        <v>3031</v>
      </c>
      <c r="C4808" s="4">
        <v>41</v>
      </c>
      <c r="D4808" s="3" t="s">
        <v>178</v>
      </c>
      <c r="E4808" s="3" t="s">
        <v>10</v>
      </c>
      <c r="F4808" s="5">
        <v>60</v>
      </c>
      <c r="G4808" s="5">
        <v>0</v>
      </c>
      <c r="H4808" s="6">
        <v>3387.54</v>
      </c>
      <c r="I4808" s="22">
        <v>0</v>
      </c>
      <c r="J4808" s="24">
        <f t="shared" si="225"/>
        <v>0</v>
      </c>
      <c r="K4808" s="25">
        <f t="shared" si="227"/>
        <v>1.0000000000000009</v>
      </c>
      <c r="L4808" s="27"/>
      <c r="M4808" s="28"/>
      <c r="N4808" s="28"/>
      <c r="O4808" s="20" t="s">
        <v>7530</v>
      </c>
      <c r="P4808" s="27" t="str">
        <f t="shared" si="226"/>
        <v>vermelho</v>
      </c>
    </row>
    <row r="4809" spans="1:16" ht="25.5">
      <c r="A4809" s="3" t="s">
        <v>4</v>
      </c>
      <c r="B4809" s="3" t="s">
        <v>3040</v>
      </c>
      <c r="C4809" s="4">
        <v>264</v>
      </c>
      <c r="D4809" s="3" t="s">
        <v>40</v>
      </c>
      <c r="E4809" s="3" t="s">
        <v>10</v>
      </c>
      <c r="F4809" s="5">
        <v>24</v>
      </c>
      <c r="G4809" s="5">
        <v>0</v>
      </c>
      <c r="H4809" s="6">
        <v>1328.16</v>
      </c>
      <c r="I4809" s="22">
        <v>0</v>
      </c>
      <c r="J4809" s="24">
        <f t="shared" si="225"/>
        <v>0</v>
      </c>
      <c r="K4809" s="25">
        <f t="shared" si="227"/>
        <v>1.0000000000000009</v>
      </c>
      <c r="L4809" s="27"/>
      <c r="M4809" s="28"/>
      <c r="N4809" s="28"/>
      <c r="O4809" s="20" t="s">
        <v>7530</v>
      </c>
      <c r="P4809" s="27" t="str">
        <f t="shared" si="226"/>
        <v>vermelho</v>
      </c>
    </row>
    <row r="4810" spans="1:16" ht="25.5">
      <c r="A4810" s="3" t="s">
        <v>4</v>
      </c>
      <c r="B4810" s="3" t="s">
        <v>3056</v>
      </c>
      <c r="C4810" s="4">
        <v>273</v>
      </c>
      <c r="D4810" s="3" t="s">
        <v>149</v>
      </c>
      <c r="E4810" s="3" t="s">
        <v>10</v>
      </c>
      <c r="F4810" s="5">
        <v>90</v>
      </c>
      <c r="G4810" s="5">
        <v>0</v>
      </c>
      <c r="H4810" s="6">
        <v>4419.93</v>
      </c>
      <c r="I4810" s="22">
        <v>0</v>
      </c>
      <c r="J4810" s="24">
        <f t="shared" si="225"/>
        <v>0</v>
      </c>
      <c r="K4810" s="25">
        <f t="shared" si="227"/>
        <v>1.0000000000000009</v>
      </c>
      <c r="L4810" s="27"/>
      <c r="M4810" s="28"/>
      <c r="N4810" s="28"/>
      <c r="O4810" s="20" t="s">
        <v>7530</v>
      </c>
      <c r="P4810" s="27" t="str">
        <f t="shared" si="226"/>
        <v>vermelho</v>
      </c>
    </row>
    <row r="4811" spans="1:16" ht="25.5">
      <c r="A4811" s="3" t="s">
        <v>4</v>
      </c>
      <c r="B4811" s="3" t="s">
        <v>3060</v>
      </c>
      <c r="C4811" s="4">
        <v>273</v>
      </c>
      <c r="D4811" s="3" t="s">
        <v>149</v>
      </c>
      <c r="E4811" s="3" t="s">
        <v>10</v>
      </c>
      <c r="F4811" s="5">
        <v>114</v>
      </c>
      <c r="G4811" s="5">
        <v>0</v>
      </c>
      <c r="H4811" s="6">
        <v>7288.8</v>
      </c>
      <c r="I4811" s="22">
        <v>0</v>
      </c>
      <c r="J4811" s="24">
        <f t="shared" si="225"/>
        <v>0</v>
      </c>
      <c r="K4811" s="25">
        <f t="shared" si="227"/>
        <v>1.0000000000000009</v>
      </c>
      <c r="L4811" s="27"/>
      <c r="M4811" s="28"/>
      <c r="N4811" s="28"/>
      <c r="O4811" s="20" t="s">
        <v>7530</v>
      </c>
      <c r="P4811" s="27" t="str">
        <f t="shared" si="226"/>
        <v>vermelho</v>
      </c>
    </row>
    <row r="4812" spans="1:16" ht="25.5">
      <c r="A4812" s="3" t="s">
        <v>4</v>
      </c>
      <c r="B4812" s="3" t="s">
        <v>3081</v>
      </c>
      <c r="C4812" s="4">
        <v>296</v>
      </c>
      <c r="D4812" s="3" t="s">
        <v>282</v>
      </c>
      <c r="E4812" s="3" t="s">
        <v>16</v>
      </c>
      <c r="F4812" s="5">
        <v>342</v>
      </c>
      <c r="G4812" s="5">
        <v>0</v>
      </c>
      <c r="H4812" s="6">
        <v>17630.04</v>
      </c>
      <c r="I4812" s="22">
        <v>0</v>
      </c>
      <c r="J4812" s="24">
        <f t="shared" si="225"/>
        <v>0</v>
      </c>
      <c r="K4812" s="25">
        <f t="shared" si="227"/>
        <v>1.0000000000000009</v>
      </c>
      <c r="L4812" s="27"/>
      <c r="M4812" s="28"/>
      <c r="N4812" s="28"/>
      <c r="O4812" s="20" t="s">
        <v>7530</v>
      </c>
      <c r="P4812" s="27" t="str">
        <f t="shared" si="226"/>
        <v>vermelho</v>
      </c>
    </row>
    <row r="4813" spans="1:16" ht="25.5">
      <c r="A4813" s="3" t="s">
        <v>4</v>
      </c>
      <c r="B4813" s="3" t="s">
        <v>3086</v>
      </c>
      <c r="C4813" s="4">
        <v>264</v>
      </c>
      <c r="D4813" s="3" t="s">
        <v>40</v>
      </c>
      <c r="E4813" s="3" t="s">
        <v>41</v>
      </c>
      <c r="F4813" s="5">
        <v>240</v>
      </c>
      <c r="G4813" s="5">
        <v>0</v>
      </c>
      <c r="H4813" s="6">
        <v>10720.8</v>
      </c>
      <c r="I4813" s="22">
        <v>0</v>
      </c>
      <c r="J4813" s="24">
        <f t="shared" si="225"/>
        <v>0</v>
      </c>
      <c r="K4813" s="25">
        <f t="shared" si="227"/>
        <v>1.0000000000000009</v>
      </c>
      <c r="L4813" s="27"/>
      <c r="M4813" s="28"/>
      <c r="N4813" s="28"/>
      <c r="O4813" s="20" t="s">
        <v>7530</v>
      </c>
      <c r="P4813" s="27" t="str">
        <f t="shared" si="226"/>
        <v>vermelho</v>
      </c>
    </row>
    <row r="4814" spans="1:16" ht="25.5">
      <c r="A4814" s="3" t="s">
        <v>4</v>
      </c>
      <c r="B4814" s="3" t="s">
        <v>3086</v>
      </c>
      <c r="C4814" s="4">
        <v>264</v>
      </c>
      <c r="D4814" s="3" t="s">
        <v>40</v>
      </c>
      <c r="E4814" s="3" t="s">
        <v>10</v>
      </c>
      <c r="F4814" s="5">
        <v>983</v>
      </c>
      <c r="G4814" s="5">
        <v>0</v>
      </c>
      <c r="H4814" s="6">
        <v>44204.83</v>
      </c>
      <c r="I4814" s="22">
        <v>0</v>
      </c>
      <c r="J4814" s="24">
        <f t="shared" si="225"/>
        <v>0</v>
      </c>
      <c r="K4814" s="25">
        <f t="shared" si="227"/>
        <v>1.0000000000000009</v>
      </c>
      <c r="L4814" s="27"/>
      <c r="M4814" s="28"/>
      <c r="N4814" s="28"/>
      <c r="O4814" s="20" t="s">
        <v>7530</v>
      </c>
      <c r="P4814" s="27" t="str">
        <f t="shared" si="226"/>
        <v>vermelho</v>
      </c>
    </row>
    <row r="4815" spans="1:16">
      <c r="A4815" s="3" t="s">
        <v>4</v>
      </c>
      <c r="B4815" s="3" t="s">
        <v>3107</v>
      </c>
      <c r="C4815" s="4">
        <v>264</v>
      </c>
      <c r="D4815" s="3" t="s">
        <v>40</v>
      </c>
      <c r="E4815" s="3" t="s">
        <v>10</v>
      </c>
      <c r="F4815" s="5">
        <v>66</v>
      </c>
      <c r="G4815" s="5">
        <v>0</v>
      </c>
      <c r="H4815" s="6">
        <v>3259.02</v>
      </c>
      <c r="I4815" s="22">
        <v>0</v>
      </c>
      <c r="J4815" s="24">
        <f t="shared" si="225"/>
        <v>0</v>
      </c>
      <c r="K4815" s="25">
        <f t="shared" si="227"/>
        <v>1.0000000000000009</v>
      </c>
      <c r="L4815" s="27"/>
      <c r="M4815" s="28"/>
      <c r="N4815" s="28"/>
      <c r="O4815" s="20" t="s">
        <v>7530</v>
      </c>
      <c r="P4815" s="27" t="str">
        <f t="shared" si="226"/>
        <v>vermelho</v>
      </c>
    </row>
    <row r="4816" spans="1:16" ht="25.5">
      <c r="A4816" s="3" t="s">
        <v>4</v>
      </c>
      <c r="B4816" s="3" t="s">
        <v>3137</v>
      </c>
      <c r="C4816" s="4">
        <v>273</v>
      </c>
      <c r="D4816" s="3" t="s">
        <v>149</v>
      </c>
      <c r="E4816" s="3" t="s">
        <v>10</v>
      </c>
      <c r="F4816" s="5">
        <v>96</v>
      </c>
      <c r="G4816" s="5">
        <v>0</v>
      </c>
      <c r="H4816" s="6">
        <v>3912.84</v>
      </c>
      <c r="I4816" s="22">
        <v>0</v>
      </c>
      <c r="J4816" s="24">
        <f t="shared" si="225"/>
        <v>0</v>
      </c>
      <c r="K4816" s="25">
        <f t="shared" si="227"/>
        <v>1.0000000000000009</v>
      </c>
      <c r="L4816" s="27"/>
      <c r="M4816" s="28"/>
      <c r="N4816" s="28"/>
      <c r="O4816" s="20">
        <v>4385.4399999999996</v>
      </c>
      <c r="P4816" s="27" t="str">
        <f t="shared" si="226"/>
        <v>vermelho</v>
      </c>
    </row>
    <row r="4817" spans="1:16" ht="25.5">
      <c r="A4817" s="3" t="s">
        <v>4</v>
      </c>
      <c r="B4817" s="3" t="s">
        <v>3159</v>
      </c>
      <c r="C4817" s="4">
        <v>264</v>
      </c>
      <c r="D4817" s="3" t="s">
        <v>40</v>
      </c>
      <c r="E4817" s="3" t="s">
        <v>10</v>
      </c>
      <c r="F4817" s="5">
        <v>84</v>
      </c>
      <c r="G4817" s="5">
        <v>0</v>
      </c>
      <c r="H4817" s="6">
        <v>3354.12</v>
      </c>
      <c r="I4817" s="22">
        <v>0</v>
      </c>
      <c r="J4817" s="24">
        <f t="shared" si="225"/>
        <v>0</v>
      </c>
      <c r="K4817" s="25">
        <f t="shared" si="227"/>
        <v>1.0000000000000009</v>
      </c>
      <c r="L4817" s="27"/>
      <c r="M4817" s="28"/>
      <c r="N4817" s="28"/>
      <c r="O4817" s="20" t="s">
        <v>7530</v>
      </c>
      <c r="P4817" s="27" t="str">
        <f t="shared" si="226"/>
        <v>vermelho</v>
      </c>
    </row>
    <row r="4818" spans="1:16" ht="25.5">
      <c r="A4818" s="3" t="s">
        <v>4</v>
      </c>
      <c r="B4818" s="3" t="s">
        <v>3167</v>
      </c>
      <c r="C4818" s="4">
        <v>296</v>
      </c>
      <c r="D4818" s="3" t="s">
        <v>282</v>
      </c>
      <c r="E4818" s="3" t="s">
        <v>16</v>
      </c>
      <c r="F4818" s="5">
        <v>150</v>
      </c>
      <c r="G4818" s="5">
        <v>0</v>
      </c>
      <c r="H4818" s="6">
        <v>7643.16</v>
      </c>
      <c r="I4818" s="22">
        <v>0</v>
      </c>
      <c r="J4818" s="24">
        <f t="shared" si="225"/>
        <v>0</v>
      </c>
      <c r="K4818" s="25">
        <f t="shared" si="227"/>
        <v>1.0000000000000009</v>
      </c>
      <c r="L4818" s="27"/>
      <c r="M4818" s="28"/>
      <c r="N4818" s="28"/>
      <c r="O4818" s="20" t="s">
        <v>7530</v>
      </c>
      <c r="P4818" s="27" t="str">
        <f t="shared" si="226"/>
        <v>vermelho</v>
      </c>
    </row>
    <row r="4819" spans="1:16" ht="25.5">
      <c r="A4819" s="3" t="s">
        <v>4</v>
      </c>
      <c r="B4819" s="3" t="s">
        <v>3182</v>
      </c>
      <c r="C4819" s="4">
        <v>296</v>
      </c>
      <c r="D4819" s="3" t="s">
        <v>282</v>
      </c>
      <c r="E4819" s="3" t="s">
        <v>7</v>
      </c>
      <c r="F4819" s="5">
        <v>198</v>
      </c>
      <c r="G4819" s="5">
        <v>0</v>
      </c>
      <c r="H4819" s="6">
        <v>13559.16</v>
      </c>
      <c r="I4819" s="22">
        <v>0</v>
      </c>
      <c r="J4819" s="24">
        <f t="shared" si="225"/>
        <v>0</v>
      </c>
      <c r="K4819" s="25">
        <f t="shared" si="227"/>
        <v>1.0000000000000009</v>
      </c>
      <c r="L4819" s="27"/>
      <c r="M4819" s="28"/>
      <c r="N4819" s="28"/>
      <c r="O4819" s="20" t="s">
        <v>7530</v>
      </c>
      <c r="P4819" s="27" t="str">
        <f t="shared" si="226"/>
        <v>vermelho</v>
      </c>
    </row>
    <row r="4820" spans="1:16" ht="25.5">
      <c r="A4820" s="3" t="s">
        <v>4</v>
      </c>
      <c r="B4820" s="3" t="s">
        <v>3198</v>
      </c>
      <c r="C4820" s="4">
        <v>264</v>
      </c>
      <c r="D4820" s="3" t="s">
        <v>40</v>
      </c>
      <c r="E4820" s="3" t="s">
        <v>10</v>
      </c>
      <c r="F4820" s="5">
        <v>162</v>
      </c>
      <c r="G4820" s="5">
        <v>0</v>
      </c>
      <c r="H4820" s="6">
        <v>8982.3719999999994</v>
      </c>
      <c r="I4820" s="22">
        <v>0</v>
      </c>
      <c r="J4820" s="24">
        <f t="shared" si="225"/>
        <v>0</v>
      </c>
      <c r="K4820" s="25">
        <f t="shared" si="227"/>
        <v>1.0000000000000009</v>
      </c>
      <c r="L4820" s="27"/>
      <c r="M4820" s="28"/>
      <c r="N4820" s="28"/>
      <c r="O4820" s="20" t="s">
        <v>7530</v>
      </c>
      <c r="P4820" s="27" t="str">
        <f t="shared" si="226"/>
        <v>vermelho</v>
      </c>
    </row>
    <row r="4821" spans="1:16" ht="25.5">
      <c r="A4821" s="3" t="s">
        <v>4</v>
      </c>
      <c r="B4821" s="3" t="s">
        <v>3244</v>
      </c>
      <c r="C4821" s="4">
        <v>296</v>
      </c>
      <c r="D4821" s="3" t="s">
        <v>282</v>
      </c>
      <c r="E4821" s="3" t="s">
        <v>16</v>
      </c>
      <c r="F4821" s="5">
        <v>48</v>
      </c>
      <c r="G4821" s="5">
        <v>0</v>
      </c>
      <c r="H4821" s="6">
        <v>2833.32</v>
      </c>
      <c r="I4821" s="22">
        <v>0</v>
      </c>
      <c r="J4821" s="24">
        <f t="shared" si="225"/>
        <v>0</v>
      </c>
      <c r="K4821" s="25">
        <f t="shared" si="227"/>
        <v>1.0000000000000009</v>
      </c>
      <c r="L4821" s="27"/>
      <c r="M4821" s="28"/>
      <c r="N4821" s="28">
        <v>4.906801170279395E-2</v>
      </c>
      <c r="O4821" s="20">
        <v>3981.6509999999998</v>
      </c>
      <c r="P4821" s="27" t="str">
        <f t="shared" si="226"/>
        <v>vermelho</v>
      </c>
    </row>
    <row r="4822" spans="1:16" ht="25.5">
      <c r="A4822" s="3" t="s">
        <v>4</v>
      </c>
      <c r="B4822" s="3" t="s">
        <v>3244</v>
      </c>
      <c r="C4822" s="4">
        <v>296</v>
      </c>
      <c r="D4822" s="3" t="s">
        <v>282</v>
      </c>
      <c r="E4822" s="3" t="s">
        <v>41</v>
      </c>
      <c r="F4822" s="5">
        <v>60</v>
      </c>
      <c r="G4822" s="5">
        <v>0</v>
      </c>
      <c r="H4822" s="6">
        <v>3138.84</v>
      </c>
      <c r="I4822" s="22">
        <v>0</v>
      </c>
      <c r="J4822" s="24">
        <f t="shared" si="225"/>
        <v>0</v>
      </c>
      <c r="K4822" s="25">
        <f t="shared" si="227"/>
        <v>1.0000000000000009</v>
      </c>
      <c r="L4822" s="27"/>
      <c r="M4822" s="28"/>
      <c r="N4822" s="28">
        <v>4.906801170279395E-2</v>
      </c>
      <c r="O4822" s="20">
        <v>3981.6509999999998</v>
      </c>
      <c r="P4822" s="27" t="str">
        <f t="shared" si="226"/>
        <v>vermelho</v>
      </c>
    </row>
    <row r="4823" spans="1:16" ht="25.5">
      <c r="A4823" s="3" t="s">
        <v>4</v>
      </c>
      <c r="B4823" s="3" t="s">
        <v>3309</v>
      </c>
      <c r="C4823" s="4">
        <v>296</v>
      </c>
      <c r="D4823" s="3" t="s">
        <v>282</v>
      </c>
      <c r="E4823" s="3" t="s">
        <v>7</v>
      </c>
      <c r="F4823" s="5">
        <v>144</v>
      </c>
      <c r="G4823" s="5">
        <v>0</v>
      </c>
      <c r="H4823" s="6">
        <v>7413.24</v>
      </c>
      <c r="I4823" s="22">
        <v>0</v>
      </c>
      <c r="J4823" s="24">
        <f t="shared" si="225"/>
        <v>0</v>
      </c>
      <c r="K4823" s="25">
        <f t="shared" si="227"/>
        <v>1.0000000000000009</v>
      </c>
      <c r="L4823" s="27"/>
      <c r="M4823" s="28"/>
      <c r="N4823" s="28"/>
      <c r="O4823" s="20">
        <v>3455.636</v>
      </c>
      <c r="P4823" s="27" t="str">
        <f t="shared" si="226"/>
        <v>vermelho</v>
      </c>
    </row>
    <row r="4824" spans="1:16" ht="25.5">
      <c r="A4824" s="3" t="s">
        <v>4</v>
      </c>
      <c r="B4824" s="3" t="s">
        <v>3319</v>
      </c>
      <c r="C4824" s="4">
        <v>270</v>
      </c>
      <c r="D4824" s="3" t="s">
        <v>266</v>
      </c>
      <c r="E4824" s="3" t="s">
        <v>16</v>
      </c>
      <c r="F4824" s="5">
        <v>72</v>
      </c>
      <c r="G4824" s="5">
        <v>0</v>
      </c>
      <c r="H4824" s="6">
        <v>3289.44</v>
      </c>
      <c r="I4824" s="22">
        <v>0</v>
      </c>
      <c r="J4824" s="24">
        <f t="shared" si="225"/>
        <v>0</v>
      </c>
      <c r="K4824" s="25">
        <f t="shared" si="227"/>
        <v>1.0000000000000009</v>
      </c>
      <c r="L4824" s="27"/>
      <c r="M4824" s="28"/>
      <c r="N4824" s="28"/>
      <c r="O4824" s="20" t="s">
        <v>7530</v>
      </c>
      <c r="P4824" s="27" t="str">
        <f t="shared" si="226"/>
        <v>vermelho</v>
      </c>
    </row>
    <row r="4825" spans="1:16" ht="25.5">
      <c r="A4825" s="3" t="s">
        <v>4</v>
      </c>
      <c r="B4825" s="3" t="s">
        <v>3402</v>
      </c>
      <c r="C4825" s="4">
        <v>296</v>
      </c>
      <c r="D4825" s="3" t="s">
        <v>282</v>
      </c>
      <c r="E4825" s="3" t="s">
        <v>49</v>
      </c>
      <c r="F4825" s="5">
        <v>45</v>
      </c>
      <c r="G4825" s="5">
        <v>0</v>
      </c>
      <c r="H4825" s="6">
        <v>2380.9949999999999</v>
      </c>
      <c r="I4825" s="22">
        <v>0</v>
      </c>
      <c r="J4825" s="24">
        <f t="shared" si="225"/>
        <v>0</v>
      </c>
      <c r="K4825" s="25">
        <f t="shared" si="227"/>
        <v>1.0000000000000009</v>
      </c>
      <c r="L4825" s="27"/>
      <c r="M4825" s="28"/>
      <c r="N4825" s="28"/>
      <c r="O4825" s="20" t="s">
        <v>7530</v>
      </c>
      <c r="P4825" s="27" t="str">
        <f t="shared" si="226"/>
        <v>vermelho</v>
      </c>
    </row>
    <row r="4826" spans="1:16" ht="25.5">
      <c r="A4826" s="3" t="s">
        <v>4</v>
      </c>
      <c r="B4826" s="3" t="s">
        <v>3403</v>
      </c>
      <c r="C4826" s="4">
        <v>273</v>
      </c>
      <c r="D4826" s="3" t="s">
        <v>149</v>
      </c>
      <c r="E4826" s="3" t="s">
        <v>10</v>
      </c>
      <c r="F4826" s="5">
        <v>135</v>
      </c>
      <c r="G4826" s="5">
        <v>0</v>
      </c>
      <c r="H4826" s="6">
        <v>6761.46</v>
      </c>
      <c r="I4826" s="22">
        <v>0</v>
      </c>
      <c r="J4826" s="24">
        <f t="shared" si="225"/>
        <v>0</v>
      </c>
      <c r="K4826" s="25">
        <f t="shared" si="227"/>
        <v>1.0000000000000009</v>
      </c>
      <c r="L4826" s="27"/>
      <c r="M4826" s="28"/>
      <c r="N4826" s="28"/>
      <c r="O4826" s="20" t="s">
        <v>7530</v>
      </c>
      <c r="P4826" s="27" t="str">
        <f t="shared" si="226"/>
        <v>vermelho</v>
      </c>
    </row>
    <row r="4827" spans="1:16" ht="25.5">
      <c r="A4827" s="3" t="s">
        <v>4</v>
      </c>
      <c r="B4827" s="3" t="s">
        <v>3427</v>
      </c>
      <c r="C4827" s="4">
        <v>296</v>
      </c>
      <c r="D4827" s="3" t="s">
        <v>282</v>
      </c>
      <c r="E4827" s="3" t="s">
        <v>16</v>
      </c>
      <c r="F4827" s="5">
        <v>84</v>
      </c>
      <c r="G4827" s="5">
        <v>0</v>
      </c>
      <c r="H4827" s="6">
        <v>3835.32</v>
      </c>
      <c r="I4827" s="22">
        <v>0</v>
      </c>
      <c r="J4827" s="24">
        <f t="shared" si="225"/>
        <v>0</v>
      </c>
      <c r="K4827" s="25">
        <f t="shared" si="227"/>
        <v>1.0000000000000009</v>
      </c>
      <c r="L4827" s="27"/>
      <c r="M4827" s="28"/>
      <c r="N4827" s="28"/>
      <c r="O4827" s="20" t="s">
        <v>7530</v>
      </c>
      <c r="P4827" s="27" t="str">
        <f t="shared" si="226"/>
        <v>vermelho</v>
      </c>
    </row>
    <row r="4828" spans="1:16" ht="25.5">
      <c r="A4828" s="3" t="s">
        <v>4</v>
      </c>
      <c r="B4828" s="3" t="s">
        <v>3433</v>
      </c>
      <c r="C4828" s="4">
        <v>296</v>
      </c>
      <c r="D4828" s="3" t="s">
        <v>282</v>
      </c>
      <c r="E4828" s="3" t="s">
        <v>10</v>
      </c>
      <c r="F4828" s="5">
        <v>207</v>
      </c>
      <c r="G4828" s="5">
        <v>0</v>
      </c>
      <c r="H4828" s="6">
        <v>11877.75</v>
      </c>
      <c r="I4828" s="22">
        <v>0</v>
      </c>
      <c r="J4828" s="24">
        <f t="shared" si="225"/>
        <v>0</v>
      </c>
      <c r="K4828" s="25">
        <f t="shared" si="227"/>
        <v>1.0000000000000009</v>
      </c>
      <c r="L4828" s="27"/>
      <c r="M4828" s="28"/>
      <c r="N4828" s="28"/>
      <c r="O4828" s="20" t="s">
        <v>7530</v>
      </c>
      <c r="P4828" s="27" t="str">
        <f t="shared" si="226"/>
        <v>vermelho</v>
      </c>
    </row>
    <row r="4829" spans="1:16" ht="25.5">
      <c r="A4829" s="3" t="s">
        <v>4</v>
      </c>
      <c r="B4829" s="3" t="s">
        <v>3448</v>
      </c>
      <c r="C4829" s="4">
        <v>296</v>
      </c>
      <c r="D4829" s="3" t="s">
        <v>282</v>
      </c>
      <c r="E4829" s="3" t="s">
        <v>16</v>
      </c>
      <c r="F4829" s="5">
        <v>108</v>
      </c>
      <c r="G4829" s="5">
        <v>0</v>
      </c>
      <c r="H4829" s="6">
        <v>6538.98</v>
      </c>
      <c r="I4829" s="22">
        <v>0</v>
      </c>
      <c r="J4829" s="24">
        <f t="shared" si="225"/>
        <v>0</v>
      </c>
      <c r="K4829" s="25">
        <f t="shared" si="227"/>
        <v>1.0000000000000009</v>
      </c>
      <c r="L4829" s="27"/>
      <c r="M4829" s="28"/>
      <c r="N4829" s="28"/>
      <c r="O4829" s="20" t="s">
        <v>7530</v>
      </c>
      <c r="P4829" s="27" t="str">
        <f t="shared" si="226"/>
        <v>vermelho</v>
      </c>
    </row>
    <row r="4830" spans="1:16" ht="25.5">
      <c r="A4830" s="3" t="s">
        <v>4</v>
      </c>
      <c r="B4830" s="3" t="s">
        <v>3471</v>
      </c>
      <c r="C4830" s="4">
        <v>273</v>
      </c>
      <c r="D4830" s="3" t="s">
        <v>149</v>
      </c>
      <c r="E4830" s="3" t="s">
        <v>10</v>
      </c>
      <c r="F4830" s="5">
        <v>204</v>
      </c>
      <c r="G4830" s="5">
        <v>0</v>
      </c>
      <c r="H4830" s="6">
        <v>8204.52</v>
      </c>
      <c r="I4830" s="22">
        <v>0</v>
      </c>
      <c r="J4830" s="24">
        <f t="shared" si="225"/>
        <v>0</v>
      </c>
      <c r="K4830" s="25">
        <f t="shared" si="227"/>
        <v>1.0000000000000009</v>
      </c>
      <c r="L4830" s="27"/>
      <c r="M4830" s="28"/>
      <c r="N4830" s="28"/>
      <c r="O4830" s="20">
        <v>2774.05</v>
      </c>
      <c r="P4830" s="27" t="str">
        <f t="shared" si="226"/>
        <v>vermelho</v>
      </c>
    </row>
    <row r="4831" spans="1:16" ht="25.5">
      <c r="A4831" s="3" t="s">
        <v>4</v>
      </c>
      <c r="B4831" s="3" t="s">
        <v>3505</v>
      </c>
      <c r="C4831" s="4">
        <v>273</v>
      </c>
      <c r="D4831" s="3" t="s">
        <v>149</v>
      </c>
      <c r="E4831" s="3" t="s">
        <v>10</v>
      </c>
      <c r="F4831" s="5">
        <v>60</v>
      </c>
      <c r="G4831" s="5">
        <v>0</v>
      </c>
      <c r="H4831" s="6">
        <v>3292.92</v>
      </c>
      <c r="I4831" s="22">
        <v>0</v>
      </c>
      <c r="J4831" s="24">
        <f t="shared" si="225"/>
        <v>0</v>
      </c>
      <c r="K4831" s="25">
        <f t="shared" si="227"/>
        <v>1.0000000000000009</v>
      </c>
      <c r="L4831" s="27"/>
      <c r="M4831" s="28"/>
      <c r="N4831" s="28"/>
      <c r="O4831" s="20" t="s">
        <v>7530</v>
      </c>
      <c r="P4831" s="27" t="str">
        <f t="shared" si="226"/>
        <v>vermelho</v>
      </c>
    </row>
    <row r="4832" spans="1:16" ht="25.5">
      <c r="A4832" s="3" t="s">
        <v>4</v>
      </c>
      <c r="B4832" s="3" t="s">
        <v>3530</v>
      </c>
      <c r="C4832" s="4">
        <v>264</v>
      </c>
      <c r="D4832" s="3" t="s">
        <v>40</v>
      </c>
      <c r="E4832" s="3" t="s">
        <v>10</v>
      </c>
      <c r="F4832" s="5">
        <v>126</v>
      </c>
      <c r="G4832" s="5">
        <v>0</v>
      </c>
      <c r="H4832" s="6">
        <v>5879.1</v>
      </c>
      <c r="I4832" s="22">
        <v>0</v>
      </c>
      <c r="J4832" s="24">
        <f t="shared" si="225"/>
        <v>0</v>
      </c>
      <c r="K4832" s="25">
        <f t="shared" si="227"/>
        <v>1.0000000000000009</v>
      </c>
      <c r="L4832" s="27"/>
      <c r="M4832" s="28"/>
      <c r="N4832" s="28"/>
      <c r="O4832" s="20" t="s">
        <v>7530</v>
      </c>
      <c r="P4832" s="27" t="str">
        <f t="shared" si="226"/>
        <v>vermelho</v>
      </c>
    </row>
    <row r="4833" spans="1:16" ht="25.5">
      <c r="A4833" s="3" t="s">
        <v>4</v>
      </c>
      <c r="B4833" s="3" t="s">
        <v>3539</v>
      </c>
      <c r="C4833" s="4">
        <v>264</v>
      </c>
      <c r="D4833" s="3" t="s">
        <v>40</v>
      </c>
      <c r="E4833" s="3" t="s">
        <v>10</v>
      </c>
      <c r="F4833" s="5">
        <v>48</v>
      </c>
      <c r="G4833" s="5">
        <v>0</v>
      </c>
      <c r="H4833" s="6">
        <v>3402.48</v>
      </c>
      <c r="I4833" s="22">
        <v>0</v>
      </c>
      <c r="J4833" s="24">
        <f t="shared" si="225"/>
        <v>0</v>
      </c>
      <c r="K4833" s="25">
        <f t="shared" si="227"/>
        <v>1.0000000000000009</v>
      </c>
      <c r="L4833" s="27"/>
      <c r="M4833" s="28"/>
      <c r="N4833" s="28"/>
      <c r="O4833" s="20" t="s">
        <v>7530</v>
      </c>
      <c r="P4833" s="27" t="str">
        <f t="shared" si="226"/>
        <v>vermelho</v>
      </c>
    </row>
    <row r="4834" spans="1:16" ht="25.5">
      <c r="A4834" s="3" t="s">
        <v>4</v>
      </c>
      <c r="B4834" s="3" t="s">
        <v>3645</v>
      </c>
      <c r="C4834" s="4">
        <v>296</v>
      </c>
      <c r="D4834" s="3" t="s">
        <v>282</v>
      </c>
      <c r="E4834" s="3" t="s">
        <v>16</v>
      </c>
      <c r="F4834" s="5">
        <v>84</v>
      </c>
      <c r="G4834" s="5">
        <v>0</v>
      </c>
      <c r="H4834" s="6">
        <v>4592.28</v>
      </c>
      <c r="I4834" s="22">
        <v>0</v>
      </c>
      <c r="J4834" s="24">
        <f t="shared" si="225"/>
        <v>0</v>
      </c>
      <c r="K4834" s="25">
        <f t="shared" si="227"/>
        <v>1.0000000000000009</v>
      </c>
      <c r="L4834" s="27"/>
      <c r="M4834" s="28"/>
      <c r="N4834" s="28"/>
      <c r="O4834" s="20" t="s">
        <v>7530</v>
      </c>
      <c r="P4834" s="27" t="str">
        <f t="shared" si="226"/>
        <v>vermelho</v>
      </c>
    </row>
    <row r="4835" spans="1:16" ht="25.5">
      <c r="A4835" s="3" t="s">
        <v>4</v>
      </c>
      <c r="B4835" s="3" t="s">
        <v>3665</v>
      </c>
      <c r="C4835" s="4">
        <v>264</v>
      </c>
      <c r="D4835" s="3" t="s">
        <v>40</v>
      </c>
      <c r="E4835" s="3" t="s">
        <v>10</v>
      </c>
      <c r="F4835" s="5">
        <v>72</v>
      </c>
      <c r="G4835" s="5">
        <v>0</v>
      </c>
      <c r="H4835" s="6">
        <v>3582.24</v>
      </c>
      <c r="I4835" s="22">
        <v>0</v>
      </c>
      <c r="J4835" s="24">
        <f t="shared" si="225"/>
        <v>0</v>
      </c>
      <c r="K4835" s="25">
        <f t="shared" si="227"/>
        <v>1.0000000000000009</v>
      </c>
      <c r="L4835" s="27"/>
      <c r="M4835" s="28"/>
      <c r="N4835" s="28"/>
      <c r="O4835" s="20" t="s">
        <v>7530</v>
      </c>
      <c r="P4835" s="27" t="str">
        <f t="shared" si="226"/>
        <v>vermelho</v>
      </c>
    </row>
    <row r="4836" spans="1:16" ht="25.5">
      <c r="A4836" s="3" t="s">
        <v>4</v>
      </c>
      <c r="B4836" s="3" t="s">
        <v>3666</v>
      </c>
      <c r="C4836" s="4">
        <v>266</v>
      </c>
      <c r="D4836" s="3" t="s">
        <v>80</v>
      </c>
      <c r="E4836" s="3" t="s">
        <v>10</v>
      </c>
      <c r="F4836" s="5">
        <v>144</v>
      </c>
      <c r="G4836" s="5">
        <v>0</v>
      </c>
      <c r="H4836" s="6">
        <v>7335.24</v>
      </c>
      <c r="I4836" s="22">
        <v>0</v>
      </c>
      <c r="J4836" s="24">
        <f t="shared" si="225"/>
        <v>0</v>
      </c>
      <c r="K4836" s="25">
        <f t="shared" si="227"/>
        <v>1.0000000000000009</v>
      </c>
      <c r="L4836" s="27"/>
      <c r="M4836" s="28"/>
      <c r="N4836" s="28"/>
      <c r="O4836" s="20" t="s">
        <v>7530</v>
      </c>
      <c r="P4836" s="27" t="str">
        <f t="shared" si="226"/>
        <v>vermelho</v>
      </c>
    </row>
    <row r="4837" spans="1:16" ht="38.25">
      <c r="A4837" s="3" t="s">
        <v>4</v>
      </c>
      <c r="B4837" s="3" t="s">
        <v>3667</v>
      </c>
      <c r="C4837" s="4">
        <v>143</v>
      </c>
      <c r="D4837" s="3" t="s">
        <v>44</v>
      </c>
      <c r="E4837" s="3" t="s">
        <v>41</v>
      </c>
      <c r="F4837" s="5">
        <v>84</v>
      </c>
      <c r="G4837" s="5">
        <v>0</v>
      </c>
      <c r="H4837" s="6">
        <v>4737.84</v>
      </c>
      <c r="I4837" s="22">
        <v>0</v>
      </c>
      <c r="J4837" s="24">
        <f t="shared" si="225"/>
        <v>0</v>
      </c>
      <c r="K4837" s="25">
        <f t="shared" si="227"/>
        <v>1.0000000000000009</v>
      </c>
      <c r="L4837" s="27"/>
      <c r="M4837" s="28"/>
      <c r="N4837" s="28"/>
      <c r="O4837" s="20">
        <v>6453.84</v>
      </c>
      <c r="P4837" s="27" t="str">
        <f t="shared" si="226"/>
        <v>vermelho</v>
      </c>
    </row>
    <row r="4838" spans="1:16" ht="25.5">
      <c r="A4838" s="3" t="s">
        <v>4</v>
      </c>
      <c r="B4838" s="3" t="s">
        <v>3668</v>
      </c>
      <c r="C4838" s="4">
        <v>218</v>
      </c>
      <c r="D4838" s="3" t="s">
        <v>104</v>
      </c>
      <c r="E4838" s="3" t="s">
        <v>16</v>
      </c>
      <c r="F4838" s="5">
        <v>0</v>
      </c>
      <c r="G4838" s="5">
        <v>0</v>
      </c>
      <c r="H4838" s="6">
        <v>0</v>
      </c>
      <c r="I4838" s="22">
        <v>0</v>
      </c>
      <c r="J4838" s="24">
        <f t="shared" si="225"/>
        <v>0</v>
      </c>
      <c r="K4838" s="25">
        <f t="shared" si="227"/>
        <v>1.0000000000000009</v>
      </c>
      <c r="L4838" s="27"/>
      <c r="M4838" s="28"/>
      <c r="N4838" s="28"/>
      <c r="O4838" s="20" t="s">
        <v>7530</v>
      </c>
      <c r="P4838" s="27" t="str">
        <f t="shared" si="226"/>
        <v>vermelho</v>
      </c>
    </row>
    <row r="4839" spans="1:16" ht="25.5">
      <c r="A4839" s="3" t="s">
        <v>4</v>
      </c>
      <c r="B4839" s="3" t="s">
        <v>3669</v>
      </c>
      <c r="C4839" s="4">
        <v>93</v>
      </c>
      <c r="D4839" s="3" t="s">
        <v>20</v>
      </c>
      <c r="E4839" s="3" t="s">
        <v>7</v>
      </c>
      <c r="F4839" s="5">
        <v>0</v>
      </c>
      <c r="G4839" s="5">
        <v>0</v>
      </c>
      <c r="H4839" s="6">
        <v>0</v>
      </c>
      <c r="I4839" s="22">
        <v>0</v>
      </c>
      <c r="J4839" s="24">
        <f t="shared" si="225"/>
        <v>0</v>
      </c>
      <c r="K4839" s="25">
        <f t="shared" si="227"/>
        <v>1.0000000000000009</v>
      </c>
      <c r="L4839" s="27"/>
      <c r="M4839" s="28"/>
      <c r="N4839" s="28"/>
      <c r="O4839" s="20" t="s">
        <v>7530</v>
      </c>
      <c r="P4839" s="27" t="str">
        <f t="shared" si="226"/>
        <v>vermelho</v>
      </c>
    </row>
    <row r="4840" spans="1:16" ht="25.5">
      <c r="A4840" s="3" t="s">
        <v>4</v>
      </c>
      <c r="B4840" s="3" t="s">
        <v>3670</v>
      </c>
      <c r="C4840" s="4">
        <v>187</v>
      </c>
      <c r="D4840" s="3" t="s">
        <v>96</v>
      </c>
      <c r="E4840" s="3" t="s">
        <v>7</v>
      </c>
      <c r="F4840" s="5">
        <v>0</v>
      </c>
      <c r="G4840" s="5">
        <v>0</v>
      </c>
      <c r="H4840" s="6">
        <v>0</v>
      </c>
      <c r="I4840" s="22">
        <v>0</v>
      </c>
      <c r="J4840" s="24">
        <f t="shared" si="225"/>
        <v>0</v>
      </c>
      <c r="K4840" s="25">
        <f t="shared" si="227"/>
        <v>1.0000000000000009</v>
      </c>
      <c r="L4840" s="27"/>
      <c r="M4840" s="28"/>
      <c r="N4840" s="28"/>
      <c r="O4840" s="20">
        <v>6508.14</v>
      </c>
      <c r="P4840" s="27" t="str">
        <f t="shared" si="226"/>
        <v>vermelho</v>
      </c>
    </row>
    <row r="4841" spans="1:16">
      <c r="A4841" s="3" t="s">
        <v>4</v>
      </c>
      <c r="B4841" s="3" t="s">
        <v>3671</v>
      </c>
      <c r="C4841" s="4">
        <v>240</v>
      </c>
      <c r="D4841" s="3" t="s">
        <v>69</v>
      </c>
      <c r="E4841" s="3" t="s">
        <v>16</v>
      </c>
      <c r="F4841" s="5">
        <v>300</v>
      </c>
      <c r="G4841" s="5">
        <v>0</v>
      </c>
      <c r="H4841" s="6">
        <v>13107.12</v>
      </c>
      <c r="I4841" s="22">
        <v>0</v>
      </c>
      <c r="J4841" s="24">
        <f t="shared" si="225"/>
        <v>0</v>
      </c>
      <c r="K4841" s="25">
        <f t="shared" si="227"/>
        <v>1.0000000000000009</v>
      </c>
      <c r="L4841" s="27"/>
      <c r="M4841" s="28"/>
      <c r="N4841" s="28"/>
      <c r="O4841" s="20" t="s">
        <v>7530</v>
      </c>
      <c r="P4841" s="27" t="str">
        <f t="shared" si="226"/>
        <v>vermelho</v>
      </c>
    </row>
    <row r="4842" spans="1:16" ht="25.5">
      <c r="A4842" s="3" t="s">
        <v>4</v>
      </c>
      <c r="B4842" s="3" t="s">
        <v>3672</v>
      </c>
      <c r="C4842" s="4">
        <v>321</v>
      </c>
      <c r="D4842" s="3" t="s">
        <v>136</v>
      </c>
      <c r="E4842" s="3" t="s">
        <v>41</v>
      </c>
      <c r="F4842" s="5">
        <v>66</v>
      </c>
      <c r="G4842" s="5">
        <v>0</v>
      </c>
      <c r="H4842" s="6">
        <v>3449.34</v>
      </c>
      <c r="I4842" s="22">
        <v>0</v>
      </c>
      <c r="J4842" s="24">
        <f t="shared" si="225"/>
        <v>0</v>
      </c>
      <c r="K4842" s="25">
        <f t="shared" si="227"/>
        <v>1.0000000000000009</v>
      </c>
      <c r="L4842" s="27"/>
      <c r="M4842" s="28"/>
      <c r="N4842" s="28"/>
      <c r="O4842" s="20" t="s">
        <v>7530</v>
      </c>
      <c r="P4842" s="27" t="str">
        <f t="shared" si="226"/>
        <v>vermelho</v>
      </c>
    </row>
    <row r="4843" spans="1:16" ht="25.5">
      <c r="A4843" s="3" t="s">
        <v>4</v>
      </c>
      <c r="B4843" s="3" t="s">
        <v>3673</v>
      </c>
      <c r="C4843" s="4">
        <v>264</v>
      </c>
      <c r="D4843" s="3" t="s">
        <v>40</v>
      </c>
      <c r="E4843" s="3" t="s">
        <v>10</v>
      </c>
      <c r="F4843" s="5">
        <v>168</v>
      </c>
      <c r="G4843" s="5">
        <v>0</v>
      </c>
      <c r="H4843" s="6">
        <v>6076.2</v>
      </c>
      <c r="I4843" s="22">
        <v>0</v>
      </c>
      <c r="J4843" s="24">
        <f t="shared" si="225"/>
        <v>0</v>
      </c>
      <c r="K4843" s="25">
        <f t="shared" si="227"/>
        <v>1.0000000000000009</v>
      </c>
      <c r="L4843" s="27"/>
      <c r="M4843" s="28"/>
      <c r="N4843" s="28"/>
      <c r="O4843" s="20" t="s">
        <v>7530</v>
      </c>
      <c r="P4843" s="27" t="str">
        <f t="shared" si="226"/>
        <v>vermelho</v>
      </c>
    </row>
    <row r="4844" spans="1:16" ht="25.5">
      <c r="A4844" s="3" t="s">
        <v>4</v>
      </c>
      <c r="B4844" s="3" t="s">
        <v>3674</v>
      </c>
      <c r="C4844" s="4">
        <v>217</v>
      </c>
      <c r="D4844" s="3" t="s">
        <v>91</v>
      </c>
      <c r="E4844" s="3" t="s">
        <v>16</v>
      </c>
      <c r="F4844" s="5">
        <v>207</v>
      </c>
      <c r="G4844" s="5">
        <v>0</v>
      </c>
      <c r="H4844" s="6">
        <v>12011.55</v>
      </c>
      <c r="I4844" s="22">
        <v>0</v>
      </c>
      <c r="J4844" s="24">
        <f t="shared" si="225"/>
        <v>0</v>
      </c>
      <c r="K4844" s="25">
        <f t="shared" si="227"/>
        <v>1.0000000000000009</v>
      </c>
      <c r="L4844" s="27"/>
      <c r="M4844" s="28"/>
      <c r="N4844" s="28"/>
      <c r="O4844" s="20" t="s">
        <v>7530</v>
      </c>
      <c r="P4844" s="27" t="str">
        <f t="shared" si="226"/>
        <v>vermelho</v>
      </c>
    </row>
    <row r="4845" spans="1:16" ht="38.25">
      <c r="A4845" s="3" t="s">
        <v>4</v>
      </c>
      <c r="B4845" s="3" t="s">
        <v>3675</v>
      </c>
      <c r="C4845" s="4">
        <v>371</v>
      </c>
      <c r="D4845" s="3" t="s">
        <v>82</v>
      </c>
      <c r="E4845" s="3" t="s">
        <v>49</v>
      </c>
      <c r="F4845" s="5">
        <v>243</v>
      </c>
      <c r="G4845" s="5">
        <v>0</v>
      </c>
      <c r="H4845" s="6">
        <v>14395.41</v>
      </c>
      <c r="I4845" s="22">
        <v>0</v>
      </c>
      <c r="J4845" s="24">
        <f t="shared" si="225"/>
        <v>0</v>
      </c>
      <c r="K4845" s="25">
        <f t="shared" si="227"/>
        <v>1.0000000000000009</v>
      </c>
      <c r="L4845" s="27"/>
      <c r="M4845" s="28"/>
      <c r="N4845" s="28"/>
      <c r="O4845" s="20" t="s">
        <v>7530</v>
      </c>
      <c r="P4845" s="27" t="str">
        <f t="shared" si="226"/>
        <v>vermelho</v>
      </c>
    </row>
    <row r="4846" spans="1:16" ht="25.5">
      <c r="A4846" s="3" t="s">
        <v>4</v>
      </c>
      <c r="B4846" s="3" t="s">
        <v>3676</v>
      </c>
      <c r="C4846" s="4">
        <v>266</v>
      </c>
      <c r="D4846" s="3" t="s">
        <v>80</v>
      </c>
      <c r="E4846" s="3" t="s">
        <v>10</v>
      </c>
      <c r="F4846" s="5">
        <v>60</v>
      </c>
      <c r="G4846" s="5">
        <v>0</v>
      </c>
      <c r="H4846" s="6">
        <v>2924.1</v>
      </c>
      <c r="I4846" s="22">
        <v>0</v>
      </c>
      <c r="J4846" s="24">
        <f t="shared" si="225"/>
        <v>0</v>
      </c>
      <c r="K4846" s="25">
        <f t="shared" si="227"/>
        <v>1.0000000000000009</v>
      </c>
      <c r="L4846" s="27"/>
      <c r="M4846" s="28"/>
      <c r="N4846" s="28"/>
      <c r="O4846" s="20">
        <v>8817.84</v>
      </c>
      <c r="P4846" s="27" t="str">
        <f t="shared" si="226"/>
        <v>vermelho</v>
      </c>
    </row>
    <row r="4847" spans="1:16" ht="25.5">
      <c r="A4847" s="3" t="s">
        <v>4</v>
      </c>
      <c r="B4847" s="3" t="s">
        <v>3677</v>
      </c>
      <c r="C4847" s="4">
        <v>240</v>
      </c>
      <c r="D4847" s="3" t="s">
        <v>69</v>
      </c>
      <c r="E4847" s="3" t="s">
        <v>16</v>
      </c>
      <c r="F4847" s="5">
        <v>48</v>
      </c>
      <c r="G4847" s="5">
        <v>0</v>
      </c>
      <c r="H4847" s="6">
        <v>3016.68</v>
      </c>
      <c r="I4847" s="22">
        <v>0</v>
      </c>
      <c r="J4847" s="24">
        <f t="shared" si="225"/>
        <v>0</v>
      </c>
      <c r="K4847" s="25">
        <f t="shared" si="227"/>
        <v>1.0000000000000009</v>
      </c>
      <c r="L4847" s="27"/>
      <c r="M4847" s="28"/>
      <c r="N4847" s="28"/>
      <c r="O4847" s="20" t="s">
        <v>7530</v>
      </c>
      <c r="P4847" s="27" t="str">
        <f t="shared" si="226"/>
        <v>vermelho</v>
      </c>
    </row>
    <row r="4848" spans="1:16" ht="25.5">
      <c r="A4848" s="3" t="s">
        <v>4</v>
      </c>
      <c r="B4848" s="3" t="s">
        <v>3678</v>
      </c>
      <c r="C4848" s="4">
        <v>264</v>
      </c>
      <c r="D4848" s="3" t="s">
        <v>40</v>
      </c>
      <c r="E4848" s="3" t="s">
        <v>10</v>
      </c>
      <c r="F4848" s="5">
        <v>96</v>
      </c>
      <c r="G4848" s="5">
        <v>0</v>
      </c>
      <c r="H4848" s="6">
        <v>5004.4799999999996</v>
      </c>
      <c r="I4848" s="22">
        <v>0</v>
      </c>
      <c r="J4848" s="24">
        <f t="shared" si="225"/>
        <v>0</v>
      </c>
      <c r="K4848" s="25">
        <f t="shared" si="227"/>
        <v>1.0000000000000009</v>
      </c>
      <c r="L4848" s="27"/>
      <c r="M4848" s="28"/>
      <c r="N4848" s="28"/>
      <c r="O4848" s="20" t="s">
        <v>7530</v>
      </c>
      <c r="P4848" s="27" t="str">
        <f t="shared" si="226"/>
        <v>vermelho</v>
      </c>
    </row>
    <row r="4849" spans="1:16" ht="25.5">
      <c r="A4849" s="3" t="s">
        <v>4</v>
      </c>
      <c r="B4849" s="3" t="s">
        <v>3678</v>
      </c>
      <c r="C4849" s="4">
        <v>264</v>
      </c>
      <c r="D4849" s="3" t="s">
        <v>40</v>
      </c>
      <c r="E4849" s="3" t="s">
        <v>41</v>
      </c>
      <c r="F4849" s="5">
        <v>0</v>
      </c>
      <c r="G4849" s="5">
        <v>0</v>
      </c>
      <c r="H4849" s="6">
        <v>0</v>
      </c>
      <c r="I4849" s="22">
        <v>0</v>
      </c>
      <c r="J4849" s="24">
        <f t="shared" si="225"/>
        <v>0</v>
      </c>
      <c r="K4849" s="25">
        <f t="shared" si="227"/>
        <v>1.0000000000000009</v>
      </c>
      <c r="L4849" s="27"/>
      <c r="M4849" s="28"/>
      <c r="N4849" s="28"/>
      <c r="O4849" s="20" t="s">
        <v>7530</v>
      </c>
      <c r="P4849" s="27" t="str">
        <f t="shared" si="226"/>
        <v>vermelho</v>
      </c>
    </row>
    <row r="4850" spans="1:16" ht="25.5">
      <c r="A4850" s="3" t="s">
        <v>4</v>
      </c>
      <c r="B4850" s="3" t="s">
        <v>3679</v>
      </c>
      <c r="C4850" s="4">
        <v>320</v>
      </c>
      <c r="D4850" s="3" t="s">
        <v>218</v>
      </c>
      <c r="E4850" s="3" t="s">
        <v>49</v>
      </c>
      <c r="F4850" s="5">
        <v>48</v>
      </c>
      <c r="G4850" s="5">
        <v>0</v>
      </c>
      <c r="H4850" s="6">
        <v>3003.72</v>
      </c>
      <c r="I4850" s="22">
        <v>0</v>
      </c>
      <c r="J4850" s="24">
        <f t="shared" si="225"/>
        <v>0</v>
      </c>
      <c r="K4850" s="25">
        <f t="shared" si="227"/>
        <v>1.0000000000000009</v>
      </c>
      <c r="L4850" s="27"/>
      <c r="M4850" s="28"/>
      <c r="N4850" s="28"/>
      <c r="O4850" s="20" t="s">
        <v>7530</v>
      </c>
      <c r="P4850" s="27" t="str">
        <f t="shared" si="226"/>
        <v>vermelho</v>
      </c>
    </row>
    <row r="4851" spans="1:16" ht="25.5">
      <c r="A4851" s="3" t="s">
        <v>4</v>
      </c>
      <c r="B4851" s="3" t="s">
        <v>3680</v>
      </c>
      <c r="C4851" s="4">
        <v>115</v>
      </c>
      <c r="D4851" s="3" t="s">
        <v>3681</v>
      </c>
      <c r="E4851" s="3" t="s">
        <v>13</v>
      </c>
      <c r="F4851" s="5">
        <v>0</v>
      </c>
      <c r="G4851" s="5">
        <v>0</v>
      </c>
      <c r="H4851" s="6">
        <v>0</v>
      </c>
      <c r="I4851" s="22">
        <v>0</v>
      </c>
      <c r="J4851" s="24">
        <f t="shared" si="225"/>
        <v>0</v>
      </c>
      <c r="K4851" s="25">
        <f t="shared" si="227"/>
        <v>1.0000000000000009</v>
      </c>
      <c r="L4851" s="27"/>
      <c r="M4851" s="28"/>
      <c r="N4851" s="28"/>
      <c r="O4851" s="20" t="s">
        <v>7530</v>
      </c>
      <c r="P4851" s="27" t="str">
        <f t="shared" si="226"/>
        <v>vermelho</v>
      </c>
    </row>
    <row r="4852" spans="1:16" ht="25.5">
      <c r="A4852" s="3" t="s">
        <v>4</v>
      </c>
      <c r="B4852" s="3" t="s">
        <v>3682</v>
      </c>
      <c r="C4852" s="4">
        <v>328</v>
      </c>
      <c r="D4852" s="3" t="s">
        <v>215</v>
      </c>
      <c r="E4852" s="3" t="s">
        <v>41</v>
      </c>
      <c r="F4852" s="5">
        <v>210</v>
      </c>
      <c r="G4852" s="5">
        <v>0</v>
      </c>
      <c r="H4852" s="6">
        <v>14260.98</v>
      </c>
      <c r="I4852" s="22">
        <v>0</v>
      </c>
      <c r="J4852" s="24">
        <f t="shared" si="225"/>
        <v>0</v>
      </c>
      <c r="K4852" s="25">
        <f t="shared" si="227"/>
        <v>1.0000000000000009</v>
      </c>
      <c r="L4852" s="27"/>
      <c r="M4852" s="28"/>
      <c r="N4852" s="28"/>
      <c r="O4852" s="20" t="s">
        <v>7530</v>
      </c>
      <c r="P4852" s="27" t="str">
        <f t="shared" si="226"/>
        <v>vermelho</v>
      </c>
    </row>
    <row r="4853" spans="1:16" ht="25.5">
      <c r="A4853" s="3" t="s">
        <v>4</v>
      </c>
      <c r="B4853" s="3" t="s">
        <v>3683</v>
      </c>
      <c r="C4853" s="4">
        <v>296</v>
      </c>
      <c r="D4853" s="3" t="s">
        <v>282</v>
      </c>
      <c r="E4853" s="3" t="s">
        <v>16</v>
      </c>
      <c r="F4853" s="5">
        <v>60</v>
      </c>
      <c r="G4853" s="5">
        <v>0</v>
      </c>
      <c r="H4853" s="6">
        <v>3591.84</v>
      </c>
      <c r="I4853" s="22">
        <v>0</v>
      </c>
      <c r="J4853" s="24">
        <f t="shared" si="225"/>
        <v>0</v>
      </c>
      <c r="K4853" s="25">
        <f t="shared" si="227"/>
        <v>1.0000000000000009</v>
      </c>
      <c r="L4853" s="27"/>
      <c r="M4853" s="28"/>
      <c r="N4853" s="28"/>
      <c r="O4853" s="20" t="s">
        <v>7530</v>
      </c>
      <c r="P4853" s="27" t="str">
        <f t="shared" si="226"/>
        <v>vermelho</v>
      </c>
    </row>
    <row r="4854" spans="1:16" ht="25.5">
      <c r="A4854" s="3" t="s">
        <v>4</v>
      </c>
      <c r="B4854" s="3" t="s">
        <v>3684</v>
      </c>
      <c r="C4854" s="4">
        <v>303</v>
      </c>
      <c r="D4854" s="3" t="s">
        <v>3685</v>
      </c>
      <c r="E4854" s="3" t="s">
        <v>7</v>
      </c>
      <c r="F4854" s="5">
        <v>0</v>
      </c>
      <c r="G4854" s="5">
        <v>0</v>
      </c>
      <c r="H4854" s="6">
        <v>0</v>
      </c>
      <c r="I4854" s="22">
        <v>0</v>
      </c>
      <c r="J4854" s="24">
        <f t="shared" si="225"/>
        <v>0</v>
      </c>
      <c r="K4854" s="25">
        <f t="shared" si="227"/>
        <v>1.0000000000000009</v>
      </c>
      <c r="L4854" s="27"/>
      <c r="M4854" s="28"/>
      <c r="N4854" s="28"/>
      <c r="O4854" s="20" t="s">
        <v>7530</v>
      </c>
      <c r="P4854" s="27" t="str">
        <f t="shared" si="226"/>
        <v>vermelho</v>
      </c>
    </row>
    <row r="4855" spans="1:16" ht="25.5">
      <c r="A4855" s="3" t="s">
        <v>4</v>
      </c>
      <c r="B4855" s="3" t="s">
        <v>136</v>
      </c>
      <c r="C4855" s="4">
        <v>323</v>
      </c>
      <c r="D4855" s="3" t="s">
        <v>3686</v>
      </c>
      <c r="E4855" s="3" t="s">
        <v>7</v>
      </c>
      <c r="F4855" s="5">
        <v>0</v>
      </c>
      <c r="G4855" s="5">
        <v>0</v>
      </c>
      <c r="H4855" s="6">
        <v>0</v>
      </c>
      <c r="I4855" s="22">
        <v>0</v>
      </c>
      <c r="J4855" s="24">
        <f t="shared" si="225"/>
        <v>0</v>
      </c>
      <c r="K4855" s="25">
        <f t="shared" si="227"/>
        <v>1.0000000000000009</v>
      </c>
      <c r="L4855" s="27"/>
      <c r="M4855" s="28"/>
      <c r="N4855" s="28"/>
      <c r="O4855" s="20" t="s">
        <v>7530</v>
      </c>
      <c r="P4855" s="27" t="str">
        <f t="shared" si="226"/>
        <v>vermelho</v>
      </c>
    </row>
    <row r="4856" spans="1:16" ht="25.5">
      <c r="A4856" s="3" t="s">
        <v>4</v>
      </c>
      <c r="B4856" s="3" t="s">
        <v>136</v>
      </c>
      <c r="C4856" s="4">
        <v>323</v>
      </c>
      <c r="D4856" s="3" t="s">
        <v>3686</v>
      </c>
      <c r="E4856" s="3" t="s">
        <v>41</v>
      </c>
      <c r="F4856" s="5">
        <v>0</v>
      </c>
      <c r="G4856" s="5">
        <v>0</v>
      </c>
      <c r="H4856" s="6">
        <v>0</v>
      </c>
      <c r="I4856" s="22">
        <v>0</v>
      </c>
      <c r="J4856" s="24">
        <f t="shared" si="225"/>
        <v>0</v>
      </c>
      <c r="K4856" s="25">
        <f t="shared" si="227"/>
        <v>1.0000000000000009</v>
      </c>
      <c r="L4856" s="27"/>
      <c r="M4856" s="28"/>
      <c r="N4856" s="28"/>
      <c r="O4856" s="20" t="s">
        <v>7530</v>
      </c>
      <c r="P4856" s="27" t="str">
        <f t="shared" si="226"/>
        <v>vermelho</v>
      </c>
    </row>
    <row r="4857" spans="1:16" ht="25.5">
      <c r="A4857" s="3" t="s">
        <v>4</v>
      </c>
      <c r="B4857" s="3" t="s">
        <v>3687</v>
      </c>
      <c r="C4857" s="4">
        <v>323</v>
      </c>
      <c r="D4857" s="3" t="s">
        <v>3686</v>
      </c>
      <c r="E4857" s="3" t="s">
        <v>41</v>
      </c>
      <c r="F4857" s="5">
        <v>0</v>
      </c>
      <c r="G4857" s="5">
        <v>0</v>
      </c>
      <c r="H4857" s="6">
        <v>0</v>
      </c>
      <c r="I4857" s="22">
        <v>0</v>
      </c>
      <c r="J4857" s="24">
        <f t="shared" si="225"/>
        <v>0</v>
      </c>
      <c r="K4857" s="25">
        <f t="shared" si="227"/>
        <v>1.0000000000000009</v>
      </c>
      <c r="L4857" s="27"/>
      <c r="M4857" s="28"/>
      <c r="N4857" s="28"/>
      <c r="O4857" s="20" t="s">
        <v>7530</v>
      </c>
      <c r="P4857" s="27" t="str">
        <f t="shared" si="226"/>
        <v>vermelho</v>
      </c>
    </row>
    <row r="4858" spans="1:16" ht="25.5">
      <c r="A4858" s="3" t="s">
        <v>4</v>
      </c>
      <c r="B4858" s="3" t="s">
        <v>215</v>
      </c>
      <c r="C4858" s="4">
        <v>323</v>
      </c>
      <c r="D4858" s="3" t="s">
        <v>3686</v>
      </c>
      <c r="E4858" s="3" t="s">
        <v>41</v>
      </c>
      <c r="F4858" s="5">
        <v>0</v>
      </c>
      <c r="G4858" s="5">
        <v>0</v>
      </c>
      <c r="H4858" s="6">
        <v>0</v>
      </c>
      <c r="I4858" s="22">
        <v>0</v>
      </c>
      <c r="J4858" s="24">
        <f t="shared" si="225"/>
        <v>0</v>
      </c>
      <c r="K4858" s="25">
        <f t="shared" si="227"/>
        <v>1.0000000000000009</v>
      </c>
      <c r="L4858" s="27"/>
      <c r="M4858" s="28"/>
      <c r="N4858" s="28"/>
      <c r="O4858" s="20" t="s">
        <v>7530</v>
      </c>
      <c r="P4858" s="27" t="str">
        <f t="shared" si="226"/>
        <v>vermelho</v>
      </c>
    </row>
    <row r="4859" spans="1:16" ht="25.5">
      <c r="A4859" s="3" t="s">
        <v>4</v>
      </c>
      <c r="B4859" s="3" t="s">
        <v>729</v>
      </c>
      <c r="C4859" s="4">
        <v>323</v>
      </c>
      <c r="D4859" s="3" t="s">
        <v>3686</v>
      </c>
      <c r="E4859" s="3" t="s">
        <v>41</v>
      </c>
      <c r="F4859" s="5">
        <v>0</v>
      </c>
      <c r="G4859" s="5">
        <v>0</v>
      </c>
      <c r="H4859" s="6">
        <v>0</v>
      </c>
      <c r="I4859" s="22">
        <v>0</v>
      </c>
      <c r="J4859" s="24">
        <f t="shared" si="225"/>
        <v>0</v>
      </c>
      <c r="K4859" s="25">
        <f t="shared" si="227"/>
        <v>1.0000000000000009</v>
      </c>
      <c r="L4859" s="27"/>
      <c r="M4859" s="28"/>
      <c r="N4859" s="28"/>
      <c r="O4859" s="20">
        <v>0</v>
      </c>
      <c r="P4859" s="27" t="str">
        <f t="shared" si="226"/>
        <v>vermelho</v>
      </c>
    </row>
    <row r="4860" spans="1:16" ht="25.5">
      <c r="A4860" s="3" t="s">
        <v>4</v>
      </c>
      <c r="B4860" s="3" t="s">
        <v>3688</v>
      </c>
      <c r="C4860" s="4">
        <v>15</v>
      </c>
      <c r="D4860" s="3" t="s">
        <v>18</v>
      </c>
      <c r="E4860" s="3" t="s">
        <v>16</v>
      </c>
      <c r="F4860" s="5">
        <v>84</v>
      </c>
      <c r="G4860" s="5">
        <v>0</v>
      </c>
      <c r="H4860" s="6">
        <v>4564.4399999999996</v>
      </c>
      <c r="I4860" s="22">
        <v>0</v>
      </c>
      <c r="J4860" s="24">
        <f t="shared" si="225"/>
        <v>0</v>
      </c>
      <c r="K4860" s="25">
        <f t="shared" si="227"/>
        <v>1.0000000000000009</v>
      </c>
      <c r="L4860" s="27"/>
      <c r="M4860" s="28"/>
      <c r="N4860" s="28"/>
      <c r="O4860" s="20" t="s">
        <v>7530</v>
      </c>
      <c r="P4860" s="27" t="str">
        <f t="shared" si="226"/>
        <v>vermelho</v>
      </c>
    </row>
    <row r="4861" spans="1:16" ht="38.25">
      <c r="A4861" s="3" t="s">
        <v>4</v>
      </c>
      <c r="B4861" s="3" t="s">
        <v>603</v>
      </c>
      <c r="C4861" s="4">
        <v>323</v>
      </c>
      <c r="D4861" s="3" t="s">
        <v>3686</v>
      </c>
      <c r="E4861" s="3" t="s">
        <v>41</v>
      </c>
      <c r="F4861" s="5">
        <v>0</v>
      </c>
      <c r="G4861" s="5">
        <v>0</v>
      </c>
      <c r="H4861" s="6">
        <v>0</v>
      </c>
      <c r="I4861" s="22">
        <v>0</v>
      </c>
      <c r="J4861" s="24">
        <f t="shared" si="225"/>
        <v>0</v>
      </c>
      <c r="K4861" s="25">
        <f t="shared" si="227"/>
        <v>1.0000000000000009</v>
      </c>
      <c r="L4861" s="27"/>
      <c r="M4861" s="28"/>
      <c r="N4861" s="28"/>
      <c r="O4861" s="20" t="s">
        <v>7530</v>
      </c>
      <c r="P4861" s="27" t="str">
        <f t="shared" si="226"/>
        <v>vermelho</v>
      </c>
    </row>
    <row r="4862" spans="1:16" ht="25.5">
      <c r="A4862" s="3" t="s">
        <v>4</v>
      </c>
      <c r="B4862" s="3" t="s">
        <v>1470</v>
      </c>
      <c r="C4862" s="4">
        <v>323</v>
      </c>
      <c r="D4862" s="3" t="s">
        <v>3686</v>
      </c>
      <c r="E4862" s="3" t="s">
        <v>41</v>
      </c>
      <c r="F4862" s="5">
        <v>0</v>
      </c>
      <c r="G4862" s="5">
        <v>0</v>
      </c>
      <c r="H4862" s="6">
        <v>0</v>
      </c>
      <c r="I4862" s="22">
        <v>0</v>
      </c>
      <c r="J4862" s="24">
        <f t="shared" si="225"/>
        <v>0</v>
      </c>
      <c r="K4862" s="25">
        <f t="shared" si="227"/>
        <v>1.0000000000000009</v>
      </c>
      <c r="L4862" s="27"/>
      <c r="M4862" s="28"/>
      <c r="N4862" s="28"/>
      <c r="O4862" s="20">
        <v>0</v>
      </c>
      <c r="P4862" s="27" t="str">
        <f t="shared" si="226"/>
        <v>vermelho</v>
      </c>
    </row>
    <row r="4863" spans="1:16" ht="38.25">
      <c r="A4863" s="3" t="s">
        <v>4</v>
      </c>
      <c r="B4863" s="3" t="s">
        <v>1394</v>
      </c>
      <c r="C4863" s="4">
        <v>323</v>
      </c>
      <c r="D4863" s="3" t="s">
        <v>3686</v>
      </c>
      <c r="E4863" s="3" t="s">
        <v>41</v>
      </c>
      <c r="F4863" s="5">
        <v>0</v>
      </c>
      <c r="G4863" s="5">
        <v>0</v>
      </c>
      <c r="H4863" s="6">
        <v>0</v>
      </c>
      <c r="I4863" s="22">
        <v>0</v>
      </c>
      <c r="J4863" s="24">
        <f t="shared" si="225"/>
        <v>0</v>
      </c>
      <c r="K4863" s="25">
        <f t="shared" si="227"/>
        <v>1.0000000000000009</v>
      </c>
      <c r="L4863" s="27"/>
      <c r="M4863" s="28"/>
      <c r="N4863" s="28"/>
      <c r="O4863" s="20" t="s">
        <v>7530</v>
      </c>
      <c r="P4863" s="27" t="str">
        <f t="shared" si="226"/>
        <v>vermelho</v>
      </c>
    </row>
    <row r="4864" spans="1:16" ht="38.25">
      <c r="A4864" s="3" t="s">
        <v>4</v>
      </c>
      <c r="B4864" s="3" t="s">
        <v>3689</v>
      </c>
      <c r="C4864" s="4">
        <v>323</v>
      </c>
      <c r="D4864" s="3" t="s">
        <v>3686</v>
      </c>
      <c r="E4864" s="3" t="s">
        <v>41</v>
      </c>
      <c r="F4864" s="5">
        <v>0</v>
      </c>
      <c r="G4864" s="5">
        <v>0</v>
      </c>
      <c r="H4864" s="6">
        <v>0</v>
      </c>
      <c r="I4864" s="22">
        <v>0</v>
      </c>
      <c r="J4864" s="24">
        <f t="shared" si="225"/>
        <v>0</v>
      </c>
      <c r="K4864" s="25">
        <f t="shared" si="227"/>
        <v>1.0000000000000009</v>
      </c>
      <c r="L4864" s="27"/>
      <c r="M4864" s="28"/>
      <c r="N4864" s="28"/>
      <c r="O4864" s="20" t="s">
        <v>7530</v>
      </c>
      <c r="P4864" s="27" t="str">
        <f t="shared" si="226"/>
        <v>vermelho</v>
      </c>
    </row>
    <row r="4865" spans="1:16" ht="38.25">
      <c r="A4865" s="3" t="s">
        <v>4</v>
      </c>
      <c r="B4865" s="3" t="s">
        <v>3690</v>
      </c>
      <c r="C4865" s="4">
        <v>323</v>
      </c>
      <c r="D4865" s="3" t="s">
        <v>3686</v>
      </c>
      <c r="E4865" s="3" t="s">
        <v>41</v>
      </c>
      <c r="F4865" s="5">
        <v>0</v>
      </c>
      <c r="G4865" s="5">
        <v>0</v>
      </c>
      <c r="H4865" s="6">
        <v>0</v>
      </c>
      <c r="I4865" s="22">
        <v>0</v>
      </c>
      <c r="J4865" s="24">
        <f t="shared" si="225"/>
        <v>0</v>
      </c>
      <c r="K4865" s="25">
        <f t="shared" si="227"/>
        <v>1.0000000000000009</v>
      </c>
      <c r="L4865" s="27"/>
      <c r="M4865" s="28"/>
      <c r="N4865" s="28"/>
      <c r="O4865" s="20">
        <v>0</v>
      </c>
      <c r="P4865" s="27" t="str">
        <f t="shared" si="226"/>
        <v>vermelho</v>
      </c>
    </row>
    <row r="4866" spans="1:16" ht="25.5">
      <c r="A4866" s="3" t="s">
        <v>4</v>
      </c>
      <c r="B4866" s="3" t="s">
        <v>3691</v>
      </c>
      <c r="C4866" s="4">
        <v>194</v>
      </c>
      <c r="D4866" s="3" t="s">
        <v>145</v>
      </c>
      <c r="E4866" s="3" t="s">
        <v>16</v>
      </c>
      <c r="F4866" s="5">
        <v>96</v>
      </c>
      <c r="G4866" s="5">
        <v>0</v>
      </c>
      <c r="H4866" s="6">
        <v>5519.04</v>
      </c>
      <c r="I4866" s="22">
        <v>0</v>
      </c>
      <c r="J4866" s="24">
        <f t="shared" si="225"/>
        <v>0</v>
      </c>
      <c r="K4866" s="25">
        <f t="shared" si="227"/>
        <v>1.0000000000000009</v>
      </c>
      <c r="L4866" s="27"/>
      <c r="M4866" s="28"/>
      <c r="N4866" s="28"/>
      <c r="O4866" s="20" t="s">
        <v>7530</v>
      </c>
      <c r="P4866" s="27" t="str">
        <f t="shared" si="226"/>
        <v>vermelho</v>
      </c>
    </row>
    <row r="4867" spans="1:16" ht="25.5">
      <c r="A4867" s="3" t="s">
        <v>4</v>
      </c>
      <c r="B4867" s="3" t="s">
        <v>3692</v>
      </c>
      <c r="C4867" s="4">
        <v>334</v>
      </c>
      <c r="D4867" s="3" t="s">
        <v>531</v>
      </c>
      <c r="E4867" s="3" t="s">
        <v>7</v>
      </c>
      <c r="F4867" s="5">
        <v>432</v>
      </c>
      <c r="G4867" s="5">
        <v>0</v>
      </c>
      <c r="H4867" s="6">
        <v>21190.799999999999</v>
      </c>
      <c r="I4867" s="22">
        <v>0</v>
      </c>
      <c r="J4867" s="24">
        <f t="shared" ref="J4867:J4930" si="228">I4867/$I$6364</f>
        <v>0</v>
      </c>
      <c r="K4867" s="25">
        <f t="shared" si="227"/>
        <v>1.0000000000000009</v>
      </c>
      <c r="L4867" s="27"/>
      <c r="M4867" s="28"/>
      <c r="N4867" s="28"/>
      <c r="O4867" s="20" t="s">
        <v>7530</v>
      </c>
      <c r="P4867" s="27" t="str">
        <f t="shared" ref="P4867:P4930" si="229">IF(O4867&lt;=0,"vermelho",IFERROR(IF(O4867/I4867&lt;=0.5098,"amarelo",IF(O4867/I4867&lt;1,"laranja","verde")),"vermelho"))</f>
        <v>vermelho</v>
      </c>
    </row>
    <row r="4868" spans="1:16" ht="51">
      <c r="A4868" s="3" t="s">
        <v>4</v>
      </c>
      <c r="B4868" s="3" t="s">
        <v>3693</v>
      </c>
      <c r="C4868" s="4">
        <v>282</v>
      </c>
      <c r="D4868" s="3" t="s">
        <v>12</v>
      </c>
      <c r="E4868" s="3" t="s">
        <v>13</v>
      </c>
      <c r="F4868" s="5">
        <v>48</v>
      </c>
      <c r="G4868" s="5">
        <v>0</v>
      </c>
      <c r="H4868" s="6">
        <v>2406.7800000000002</v>
      </c>
      <c r="I4868" s="22">
        <v>0</v>
      </c>
      <c r="J4868" s="24">
        <f t="shared" si="228"/>
        <v>0</v>
      </c>
      <c r="K4868" s="25">
        <f t="shared" ref="K4868:K4931" si="230">J4868+K4867</f>
        <v>1.0000000000000009</v>
      </c>
      <c r="L4868" s="27"/>
      <c r="M4868" s="28"/>
      <c r="N4868" s="28"/>
      <c r="O4868" s="20" t="s">
        <v>7530</v>
      </c>
      <c r="P4868" s="27" t="str">
        <f t="shared" si="229"/>
        <v>vermelho</v>
      </c>
    </row>
    <row r="4869" spans="1:16" ht="38.25">
      <c r="A4869" s="3" t="s">
        <v>4</v>
      </c>
      <c r="B4869" s="3" t="s">
        <v>3694</v>
      </c>
      <c r="C4869" s="4">
        <v>45</v>
      </c>
      <c r="D4869" s="3" t="s">
        <v>23</v>
      </c>
      <c r="E4869" s="3" t="s">
        <v>7</v>
      </c>
      <c r="F4869" s="5">
        <v>186</v>
      </c>
      <c r="G4869" s="5">
        <v>0</v>
      </c>
      <c r="H4869" s="6">
        <v>10456.14</v>
      </c>
      <c r="I4869" s="22">
        <v>0</v>
      </c>
      <c r="J4869" s="24">
        <f t="shared" si="228"/>
        <v>0</v>
      </c>
      <c r="K4869" s="25">
        <f t="shared" si="230"/>
        <v>1.0000000000000009</v>
      </c>
      <c r="L4869" s="27"/>
      <c r="M4869" s="28"/>
      <c r="N4869" s="28"/>
      <c r="O4869" s="20" t="s">
        <v>7530</v>
      </c>
      <c r="P4869" s="27" t="str">
        <f t="shared" si="229"/>
        <v>vermelho</v>
      </c>
    </row>
    <row r="4870" spans="1:16" ht="25.5">
      <c r="A4870" s="3" t="s">
        <v>4</v>
      </c>
      <c r="B4870" s="3" t="s">
        <v>3695</v>
      </c>
      <c r="C4870" s="4">
        <v>296</v>
      </c>
      <c r="D4870" s="3" t="s">
        <v>282</v>
      </c>
      <c r="E4870" s="3" t="s">
        <v>16</v>
      </c>
      <c r="F4870" s="5">
        <v>36</v>
      </c>
      <c r="G4870" s="5">
        <v>0</v>
      </c>
      <c r="H4870" s="6">
        <v>2434.6799999999998</v>
      </c>
      <c r="I4870" s="22">
        <v>0</v>
      </c>
      <c r="J4870" s="24">
        <f t="shared" si="228"/>
        <v>0</v>
      </c>
      <c r="K4870" s="25">
        <f t="shared" si="230"/>
        <v>1.0000000000000009</v>
      </c>
      <c r="L4870" s="27"/>
      <c r="M4870" s="28"/>
      <c r="N4870" s="28"/>
      <c r="O4870" s="20" t="s">
        <v>7530</v>
      </c>
      <c r="P4870" s="27" t="str">
        <f t="shared" si="229"/>
        <v>vermelho</v>
      </c>
    </row>
    <row r="4871" spans="1:16" ht="25.5">
      <c r="A4871" s="3" t="s">
        <v>4</v>
      </c>
      <c r="B4871" s="3" t="s">
        <v>3696</v>
      </c>
      <c r="C4871" s="4">
        <v>273</v>
      </c>
      <c r="D4871" s="3" t="s">
        <v>149</v>
      </c>
      <c r="E4871" s="3" t="s">
        <v>16</v>
      </c>
      <c r="F4871" s="5">
        <v>186</v>
      </c>
      <c r="G4871" s="5">
        <v>0</v>
      </c>
      <c r="H4871" s="6">
        <v>9896.58</v>
      </c>
      <c r="I4871" s="22">
        <v>0</v>
      </c>
      <c r="J4871" s="24">
        <f t="shared" si="228"/>
        <v>0</v>
      </c>
      <c r="K4871" s="25">
        <f t="shared" si="230"/>
        <v>1.0000000000000009</v>
      </c>
      <c r="L4871" s="27"/>
      <c r="M4871" s="28"/>
      <c r="N4871" s="28"/>
      <c r="O4871" s="20" t="s">
        <v>7530</v>
      </c>
      <c r="P4871" s="27" t="str">
        <f t="shared" si="229"/>
        <v>vermelho</v>
      </c>
    </row>
    <row r="4872" spans="1:16" ht="51">
      <c r="A4872" s="3" t="s">
        <v>4</v>
      </c>
      <c r="B4872" s="3" t="s">
        <v>3697</v>
      </c>
      <c r="C4872" s="4">
        <v>282</v>
      </c>
      <c r="D4872" s="3" t="s">
        <v>12</v>
      </c>
      <c r="E4872" s="3" t="s">
        <v>13</v>
      </c>
      <c r="F4872" s="5">
        <v>120</v>
      </c>
      <c r="G4872" s="5">
        <v>0</v>
      </c>
      <c r="H4872" s="6">
        <v>5804.4719999999998</v>
      </c>
      <c r="I4872" s="22">
        <v>0</v>
      </c>
      <c r="J4872" s="24">
        <f t="shared" si="228"/>
        <v>0</v>
      </c>
      <c r="K4872" s="25">
        <f t="shared" si="230"/>
        <v>1.0000000000000009</v>
      </c>
      <c r="L4872" s="27"/>
      <c r="M4872" s="28"/>
      <c r="N4872" s="28"/>
      <c r="O4872" s="20" t="s">
        <v>7530</v>
      </c>
      <c r="P4872" s="27" t="str">
        <f t="shared" si="229"/>
        <v>vermelho</v>
      </c>
    </row>
    <row r="4873" spans="1:16" ht="25.5">
      <c r="A4873" s="3" t="s">
        <v>4</v>
      </c>
      <c r="B4873" s="3" t="s">
        <v>3698</v>
      </c>
      <c r="C4873" s="4">
        <v>23</v>
      </c>
      <c r="D4873" s="3" t="s">
        <v>87</v>
      </c>
      <c r="E4873" s="3" t="s">
        <v>7</v>
      </c>
      <c r="F4873" s="5">
        <v>120</v>
      </c>
      <c r="G4873" s="5">
        <v>0</v>
      </c>
      <c r="H4873" s="6">
        <v>5771.52</v>
      </c>
      <c r="I4873" s="22">
        <v>0</v>
      </c>
      <c r="J4873" s="24">
        <f t="shared" si="228"/>
        <v>0</v>
      </c>
      <c r="K4873" s="25">
        <f t="shared" si="230"/>
        <v>1.0000000000000009</v>
      </c>
      <c r="L4873" s="27"/>
      <c r="M4873" s="28"/>
      <c r="N4873" s="28"/>
      <c r="O4873" s="20" t="s">
        <v>7530</v>
      </c>
      <c r="P4873" s="27" t="str">
        <f t="shared" si="229"/>
        <v>vermelho</v>
      </c>
    </row>
    <row r="4874" spans="1:16" ht="38.25">
      <c r="A4874" s="3" t="s">
        <v>4</v>
      </c>
      <c r="B4874" s="3" t="s">
        <v>3699</v>
      </c>
      <c r="C4874" s="4">
        <v>371</v>
      </c>
      <c r="D4874" s="3" t="s">
        <v>82</v>
      </c>
      <c r="E4874" s="3" t="s">
        <v>49</v>
      </c>
      <c r="F4874" s="5">
        <v>123</v>
      </c>
      <c r="G4874" s="5">
        <v>0</v>
      </c>
      <c r="H4874" s="6">
        <v>6262.77</v>
      </c>
      <c r="I4874" s="22">
        <v>0</v>
      </c>
      <c r="J4874" s="24">
        <f t="shared" si="228"/>
        <v>0</v>
      </c>
      <c r="K4874" s="25">
        <f t="shared" si="230"/>
        <v>1.0000000000000009</v>
      </c>
      <c r="L4874" s="27"/>
      <c r="M4874" s="28"/>
      <c r="N4874" s="28"/>
      <c r="O4874" s="20" t="s">
        <v>7530</v>
      </c>
      <c r="P4874" s="27" t="str">
        <f t="shared" si="229"/>
        <v>vermelho</v>
      </c>
    </row>
    <row r="4875" spans="1:16" ht="25.5">
      <c r="A4875" s="3" t="s">
        <v>4</v>
      </c>
      <c r="B4875" s="3" t="s">
        <v>3700</v>
      </c>
      <c r="C4875" s="4">
        <v>328</v>
      </c>
      <c r="D4875" s="3" t="s">
        <v>215</v>
      </c>
      <c r="E4875" s="3" t="s">
        <v>41</v>
      </c>
      <c r="F4875" s="5">
        <v>1092</v>
      </c>
      <c r="G4875" s="5">
        <v>0</v>
      </c>
      <c r="H4875" s="6">
        <v>56214.021999999997</v>
      </c>
      <c r="I4875" s="22">
        <v>0</v>
      </c>
      <c r="J4875" s="24">
        <f t="shared" si="228"/>
        <v>0</v>
      </c>
      <c r="K4875" s="25">
        <f t="shared" si="230"/>
        <v>1.0000000000000009</v>
      </c>
      <c r="L4875" s="27"/>
      <c r="M4875" s="28"/>
      <c r="N4875" s="28"/>
      <c r="O4875" s="20" t="s">
        <v>7530</v>
      </c>
      <c r="P4875" s="27" t="str">
        <f t="shared" si="229"/>
        <v>vermelho</v>
      </c>
    </row>
    <row r="4876" spans="1:16" ht="25.5">
      <c r="A4876" s="3" t="s">
        <v>4</v>
      </c>
      <c r="B4876" s="3" t="s">
        <v>3701</v>
      </c>
      <c r="C4876" s="4">
        <v>296</v>
      </c>
      <c r="D4876" s="3" t="s">
        <v>282</v>
      </c>
      <c r="E4876" s="3" t="s">
        <v>16</v>
      </c>
      <c r="F4876" s="5">
        <v>123</v>
      </c>
      <c r="G4876" s="5">
        <v>0</v>
      </c>
      <c r="H4876" s="6">
        <v>5611.47</v>
      </c>
      <c r="I4876" s="22">
        <v>0</v>
      </c>
      <c r="J4876" s="24">
        <f t="shared" si="228"/>
        <v>0</v>
      </c>
      <c r="K4876" s="25">
        <f t="shared" si="230"/>
        <v>1.0000000000000009</v>
      </c>
      <c r="L4876" s="27"/>
      <c r="M4876" s="28"/>
      <c r="N4876" s="28"/>
      <c r="O4876" s="20" t="s">
        <v>7530</v>
      </c>
      <c r="P4876" s="27" t="str">
        <f t="shared" si="229"/>
        <v>vermelho</v>
      </c>
    </row>
    <row r="4877" spans="1:16" ht="38.25">
      <c r="A4877" s="3" t="s">
        <v>4</v>
      </c>
      <c r="B4877" s="3" t="s">
        <v>3702</v>
      </c>
      <c r="C4877" s="4">
        <v>371</v>
      </c>
      <c r="D4877" s="3" t="s">
        <v>82</v>
      </c>
      <c r="E4877" s="3" t="s">
        <v>49</v>
      </c>
      <c r="F4877" s="5">
        <v>192</v>
      </c>
      <c r="G4877" s="5">
        <v>0</v>
      </c>
      <c r="H4877" s="6">
        <v>10104.66</v>
      </c>
      <c r="I4877" s="22">
        <v>0</v>
      </c>
      <c r="J4877" s="24">
        <f t="shared" si="228"/>
        <v>0</v>
      </c>
      <c r="K4877" s="25">
        <f t="shared" si="230"/>
        <v>1.0000000000000009</v>
      </c>
      <c r="L4877" s="27"/>
      <c r="M4877" s="28"/>
      <c r="N4877" s="28"/>
      <c r="O4877" s="20" t="s">
        <v>7530</v>
      </c>
      <c r="P4877" s="27" t="str">
        <f t="shared" si="229"/>
        <v>vermelho</v>
      </c>
    </row>
    <row r="4878" spans="1:16" ht="25.5">
      <c r="A4878" s="3" t="s">
        <v>4</v>
      </c>
      <c r="B4878" s="3" t="s">
        <v>3703</v>
      </c>
      <c r="C4878" s="4">
        <v>264</v>
      </c>
      <c r="D4878" s="3" t="s">
        <v>40</v>
      </c>
      <c r="E4878" s="3" t="s">
        <v>10</v>
      </c>
      <c r="F4878" s="5">
        <v>120</v>
      </c>
      <c r="G4878" s="5">
        <v>0</v>
      </c>
      <c r="H4878" s="6">
        <v>5141.22</v>
      </c>
      <c r="I4878" s="22">
        <v>0</v>
      </c>
      <c r="J4878" s="24">
        <f t="shared" si="228"/>
        <v>0</v>
      </c>
      <c r="K4878" s="25">
        <f t="shared" si="230"/>
        <v>1.0000000000000009</v>
      </c>
      <c r="L4878" s="27"/>
      <c r="M4878" s="28"/>
      <c r="N4878" s="28"/>
      <c r="O4878" s="20" t="s">
        <v>7530</v>
      </c>
      <c r="P4878" s="27" t="str">
        <f t="shared" si="229"/>
        <v>vermelho</v>
      </c>
    </row>
    <row r="4879" spans="1:16" ht="25.5">
      <c r="A4879" s="3" t="s">
        <v>4</v>
      </c>
      <c r="B4879" s="3" t="s">
        <v>3704</v>
      </c>
      <c r="C4879" s="4">
        <v>273</v>
      </c>
      <c r="D4879" s="3" t="s">
        <v>149</v>
      </c>
      <c r="E4879" s="3" t="s">
        <v>10</v>
      </c>
      <c r="F4879" s="5">
        <v>453</v>
      </c>
      <c r="G4879" s="5">
        <v>0</v>
      </c>
      <c r="H4879" s="6">
        <v>24840.21</v>
      </c>
      <c r="I4879" s="22">
        <v>0</v>
      </c>
      <c r="J4879" s="24">
        <f t="shared" si="228"/>
        <v>0</v>
      </c>
      <c r="K4879" s="25">
        <f t="shared" si="230"/>
        <v>1.0000000000000009</v>
      </c>
      <c r="L4879" s="27"/>
      <c r="M4879" s="28"/>
      <c r="N4879" s="28"/>
      <c r="O4879" s="20" t="s">
        <v>7530</v>
      </c>
      <c r="P4879" s="27" t="str">
        <f t="shared" si="229"/>
        <v>vermelho</v>
      </c>
    </row>
    <row r="4880" spans="1:16" ht="25.5">
      <c r="A4880" s="3" t="s">
        <v>4</v>
      </c>
      <c r="B4880" s="3" t="s">
        <v>3705</v>
      </c>
      <c r="C4880" s="4">
        <v>264</v>
      </c>
      <c r="D4880" s="3" t="s">
        <v>40</v>
      </c>
      <c r="E4880" s="3" t="s">
        <v>10</v>
      </c>
      <c r="F4880" s="5">
        <v>162</v>
      </c>
      <c r="G4880" s="5">
        <v>0</v>
      </c>
      <c r="H4880" s="6">
        <v>8127.75</v>
      </c>
      <c r="I4880" s="22">
        <v>0</v>
      </c>
      <c r="J4880" s="24">
        <f t="shared" si="228"/>
        <v>0</v>
      </c>
      <c r="K4880" s="25">
        <f t="shared" si="230"/>
        <v>1.0000000000000009</v>
      </c>
      <c r="L4880" s="27"/>
      <c r="M4880" s="28"/>
      <c r="N4880" s="28"/>
      <c r="O4880" s="20" t="s">
        <v>7530</v>
      </c>
      <c r="P4880" s="27" t="str">
        <f t="shared" si="229"/>
        <v>vermelho</v>
      </c>
    </row>
    <row r="4881" spans="1:16" ht="25.5">
      <c r="A4881" s="3" t="s">
        <v>4</v>
      </c>
      <c r="B4881" s="3" t="s">
        <v>3706</v>
      </c>
      <c r="C4881" s="4">
        <v>178</v>
      </c>
      <c r="D4881" s="3" t="s">
        <v>74</v>
      </c>
      <c r="E4881" s="3" t="s">
        <v>7</v>
      </c>
      <c r="F4881" s="5">
        <v>126</v>
      </c>
      <c r="G4881" s="5">
        <v>0</v>
      </c>
      <c r="H4881" s="6">
        <v>6727.74</v>
      </c>
      <c r="I4881" s="22">
        <v>0</v>
      </c>
      <c r="J4881" s="24">
        <f t="shared" si="228"/>
        <v>0</v>
      </c>
      <c r="K4881" s="25">
        <f t="shared" si="230"/>
        <v>1.0000000000000009</v>
      </c>
      <c r="L4881" s="27"/>
      <c r="M4881" s="28"/>
      <c r="N4881" s="28"/>
      <c r="O4881" s="20" t="s">
        <v>7530</v>
      </c>
      <c r="P4881" s="27" t="str">
        <f t="shared" si="229"/>
        <v>vermelho</v>
      </c>
    </row>
    <row r="4882" spans="1:16" ht="38.25">
      <c r="A4882" s="3" t="s">
        <v>4</v>
      </c>
      <c r="B4882" s="3" t="s">
        <v>3707</v>
      </c>
      <c r="C4882" s="4">
        <v>371</v>
      </c>
      <c r="D4882" s="3" t="s">
        <v>82</v>
      </c>
      <c r="E4882" s="3" t="s">
        <v>49</v>
      </c>
      <c r="F4882" s="5">
        <v>363</v>
      </c>
      <c r="G4882" s="5">
        <v>0</v>
      </c>
      <c r="H4882" s="6">
        <v>20219.189999999999</v>
      </c>
      <c r="I4882" s="22">
        <v>0</v>
      </c>
      <c r="J4882" s="24">
        <f t="shared" si="228"/>
        <v>0</v>
      </c>
      <c r="K4882" s="25">
        <f t="shared" si="230"/>
        <v>1.0000000000000009</v>
      </c>
      <c r="L4882" s="27"/>
      <c r="M4882" s="28"/>
      <c r="N4882" s="28"/>
      <c r="O4882" s="20" t="s">
        <v>7530</v>
      </c>
      <c r="P4882" s="27" t="str">
        <f t="shared" si="229"/>
        <v>vermelho</v>
      </c>
    </row>
    <row r="4883" spans="1:16" ht="25.5">
      <c r="A4883" s="3" t="s">
        <v>4</v>
      </c>
      <c r="B4883" s="3" t="s">
        <v>3708</v>
      </c>
      <c r="C4883" s="4">
        <v>296</v>
      </c>
      <c r="D4883" s="3" t="s">
        <v>282</v>
      </c>
      <c r="E4883" s="3" t="s">
        <v>7</v>
      </c>
      <c r="F4883" s="5">
        <v>84</v>
      </c>
      <c r="G4883" s="5">
        <v>0</v>
      </c>
      <c r="H4883" s="6">
        <v>5263.08</v>
      </c>
      <c r="I4883" s="22">
        <v>0</v>
      </c>
      <c r="J4883" s="24">
        <f t="shared" si="228"/>
        <v>0</v>
      </c>
      <c r="K4883" s="25">
        <f t="shared" si="230"/>
        <v>1.0000000000000009</v>
      </c>
      <c r="L4883" s="27"/>
      <c r="M4883" s="28"/>
      <c r="N4883" s="28"/>
      <c r="O4883" s="20" t="s">
        <v>7530</v>
      </c>
      <c r="P4883" s="27" t="str">
        <f t="shared" si="229"/>
        <v>vermelho</v>
      </c>
    </row>
    <row r="4884" spans="1:16" ht="25.5">
      <c r="A4884" s="3" t="s">
        <v>4</v>
      </c>
      <c r="B4884" s="3" t="s">
        <v>3709</v>
      </c>
      <c r="C4884" s="4">
        <v>264</v>
      </c>
      <c r="D4884" s="3" t="s">
        <v>40</v>
      </c>
      <c r="E4884" s="3" t="s">
        <v>10</v>
      </c>
      <c r="F4884" s="5">
        <v>72</v>
      </c>
      <c r="G4884" s="5">
        <v>0</v>
      </c>
      <c r="H4884" s="6">
        <v>3156.72</v>
      </c>
      <c r="I4884" s="22">
        <v>0</v>
      </c>
      <c r="J4884" s="24">
        <f t="shared" si="228"/>
        <v>0</v>
      </c>
      <c r="K4884" s="25">
        <f t="shared" si="230"/>
        <v>1.0000000000000009</v>
      </c>
      <c r="L4884" s="27"/>
      <c r="M4884" s="28"/>
      <c r="N4884" s="28"/>
      <c r="O4884" s="20" t="s">
        <v>7530</v>
      </c>
      <c r="P4884" s="27" t="str">
        <f t="shared" si="229"/>
        <v>vermelho</v>
      </c>
    </row>
    <row r="4885" spans="1:16" ht="25.5">
      <c r="A4885" s="3" t="s">
        <v>4</v>
      </c>
      <c r="B4885" s="3" t="s">
        <v>3710</v>
      </c>
      <c r="C4885" s="4">
        <v>327</v>
      </c>
      <c r="D4885" s="3" t="s">
        <v>100</v>
      </c>
      <c r="E4885" s="3" t="s">
        <v>7</v>
      </c>
      <c r="F4885" s="5">
        <v>78</v>
      </c>
      <c r="G4885" s="5">
        <v>0</v>
      </c>
      <c r="H4885" s="6">
        <v>3939.57</v>
      </c>
      <c r="I4885" s="22">
        <v>0</v>
      </c>
      <c r="J4885" s="24">
        <f t="shared" si="228"/>
        <v>0</v>
      </c>
      <c r="K4885" s="25">
        <f t="shared" si="230"/>
        <v>1.0000000000000009</v>
      </c>
      <c r="L4885" s="27"/>
      <c r="M4885" s="28"/>
      <c r="N4885" s="28"/>
      <c r="O4885" s="20" t="s">
        <v>7530</v>
      </c>
      <c r="P4885" s="27" t="str">
        <f t="shared" si="229"/>
        <v>vermelho</v>
      </c>
    </row>
    <row r="4886" spans="1:16" ht="25.5">
      <c r="A4886" s="3" t="s">
        <v>4</v>
      </c>
      <c r="B4886" s="3" t="s">
        <v>3711</v>
      </c>
      <c r="C4886" s="4">
        <v>187</v>
      </c>
      <c r="D4886" s="3" t="s">
        <v>96</v>
      </c>
      <c r="E4886" s="3" t="s">
        <v>7</v>
      </c>
      <c r="F4886" s="5">
        <v>108</v>
      </c>
      <c r="G4886" s="5">
        <v>0</v>
      </c>
      <c r="H4886" s="6">
        <v>6334.26</v>
      </c>
      <c r="I4886" s="22">
        <v>0</v>
      </c>
      <c r="J4886" s="24">
        <f t="shared" si="228"/>
        <v>0</v>
      </c>
      <c r="K4886" s="25">
        <f t="shared" si="230"/>
        <v>1.0000000000000009</v>
      </c>
      <c r="L4886" s="27"/>
      <c r="M4886" s="28"/>
      <c r="N4886" s="28"/>
      <c r="O4886" s="20" t="s">
        <v>7530</v>
      </c>
      <c r="P4886" s="27" t="str">
        <f t="shared" si="229"/>
        <v>vermelho</v>
      </c>
    </row>
    <row r="4887" spans="1:16" ht="25.5">
      <c r="A4887" s="3" t="s">
        <v>4</v>
      </c>
      <c r="B4887" s="3" t="s">
        <v>3712</v>
      </c>
      <c r="C4887" s="4">
        <v>334</v>
      </c>
      <c r="D4887" s="3" t="s">
        <v>531</v>
      </c>
      <c r="E4887" s="3" t="s">
        <v>7</v>
      </c>
      <c r="F4887" s="5">
        <v>96</v>
      </c>
      <c r="G4887" s="5">
        <v>0</v>
      </c>
      <c r="H4887" s="6">
        <v>6193.08</v>
      </c>
      <c r="I4887" s="22">
        <v>0</v>
      </c>
      <c r="J4887" s="24">
        <f t="shared" si="228"/>
        <v>0</v>
      </c>
      <c r="K4887" s="25">
        <f t="shared" si="230"/>
        <v>1.0000000000000009</v>
      </c>
      <c r="L4887" s="27"/>
      <c r="M4887" s="28"/>
      <c r="N4887" s="28"/>
      <c r="O4887" s="20" t="s">
        <v>7530</v>
      </c>
      <c r="P4887" s="27" t="str">
        <f t="shared" si="229"/>
        <v>vermelho</v>
      </c>
    </row>
    <row r="4888" spans="1:16" ht="25.5">
      <c r="A4888" s="3" t="s">
        <v>4</v>
      </c>
      <c r="B4888" s="3" t="s">
        <v>3713</v>
      </c>
      <c r="C4888" s="4">
        <v>273</v>
      </c>
      <c r="D4888" s="3" t="s">
        <v>149</v>
      </c>
      <c r="E4888" s="3" t="s">
        <v>41</v>
      </c>
      <c r="F4888" s="5">
        <v>60</v>
      </c>
      <c r="G4888" s="5">
        <v>0</v>
      </c>
      <c r="H4888" s="6">
        <v>2894.76</v>
      </c>
      <c r="I4888" s="22">
        <v>0</v>
      </c>
      <c r="J4888" s="24">
        <f t="shared" si="228"/>
        <v>0</v>
      </c>
      <c r="K4888" s="25">
        <f t="shared" si="230"/>
        <v>1.0000000000000009</v>
      </c>
      <c r="L4888" s="27"/>
      <c r="M4888" s="28"/>
      <c r="N4888" s="28"/>
      <c r="O4888" s="20" t="s">
        <v>7530</v>
      </c>
      <c r="P4888" s="27" t="str">
        <f t="shared" si="229"/>
        <v>vermelho</v>
      </c>
    </row>
    <row r="4889" spans="1:16" ht="25.5">
      <c r="A4889" s="3" t="s">
        <v>4</v>
      </c>
      <c r="B4889" s="3" t="s">
        <v>3713</v>
      </c>
      <c r="C4889" s="4">
        <v>273</v>
      </c>
      <c r="D4889" s="3" t="s">
        <v>149</v>
      </c>
      <c r="E4889" s="3" t="s">
        <v>10</v>
      </c>
      <c r="F4889" s="5">
        <v>96</v>
      </c>
      <c r="G4889" s="5">
        <v>0</v>
      </c>
      <c r="H4889" s="6">
        <v>6614.76</v>
      </c>
      <c r="I4889" s="22">
        <v>0</v>
      </c>
      <c r="J4889" s="24">
        <f t="shared" si="228"/>
        <v>0</v>
      </c>
      <c r="K4889" s="25">
        <f t="shared" si="230"/>
        <v>1.0000000000000009</v>
      </c>
      <c r="L4889" s="27"/>
      <c r="M4889" s="28"/>
      <c r="N4889" s="28"/>
      <c r="O4889" s="20" t="s">
        <v>7530</v>
      </c>
      <c r="P4889" s="27" t="str">
        <f t="shared" si="229"/>
        <v>vermelho</v>
      </c>
    </row>
    <row r="4890" spans="1:16" ht="25.5">
      <c r="A4890" s="3" t="s">
        <v>4</v>
      </c>
      <c r="B4890" s="3" t="s">
        <v>3714</v>
      </c>
      <c r="C4890" s="4">
        <v>296</v>
      </c>
      <c r="D4890" s="3" t="s">
        <v>282</v>
      </c>
      <c r="E4890" s="3" t="s">
        <v>49</v>
      </c>
      <c r="F4890" s="5">
        <v>84</v>
      </c>
      <c r="G4890" s="5">
        <v>0</v>
      </c>
      <c r="H4890" s="6">
        <v>4107.12</v>
      </c>
      <c r="I4890" s="22">
        <v>0</v>
      </c>
      <c r="J4890" s="24">
        <f t="shared" si="228"/>
        <v>0</v>
      </c>
      <c r="K4890" s="25">
        <f t="shared" si="230"/>
        <v>1.0000000000000009</v>
      </c>
      <c r="L4890" s="27"/>
      <c r="M4890" s="28"/>
      <c r="N4890" s="28"/>
      <c r="O4890" s="20" t="s">
        <v>7530</v>
      </c>
      <c r="P4890" s="27" t="str">
        <f t="shared" si="229"/>
        <v>vermelho</v>
      </c>
    </row>
    <row r="4891" spans="1:16" ht="25.5">
      <c r="A4891" s="3" t="s">
        <v>4</v>
      </c>
      <c r="B4891" s="3" t="s">
        <v>3715</v>
      </c>
      <c r="C4891" s="4">
        <v>266</v>
      </c>
      <c r="D4891" s="3" t="s">
        <v>80</v>
      </c>
      <c r="E4891" s="3" t="s">
        <v>10</v>
      </c>
      <c r="F4891" s="5">
        <v>60</v>
      </c>
      <c r="G4891" s="5">
        <v>0</v>
      </c>
      <c r="H4891" s="6">
        <v>3731.4</v>
      </c>
      <c r="I4891" s="22">
        <v>0</v>
      </c>
      <c r="J4891" s="24">
        <f t="shared" si="228"/>
        <v>0</v>
      </c>
      <c r="K4891" s="25">
        <f t="shared" si="230"/>
        <v>1.0000000000000009</v>
      </c>
      <c r="L4891" s="27"/>
      <c r="M4891" s="28"/>
      <c r="N4891" s="28"/>
      <c r="O4891" s="20" t="s">
        <v>7530</v>
      </c>
      <c r="P4891" s="27" t="str">
        <f t="shared" si="229"/>
        <v>vermelho</v>
      </c>
    </row>
    <row r="4892" spans="1:16" ht="25.5">
      <c r="A4892" s="3" t="s">
        <v>4</v>
      </c>
      <c r="B4892" s="3" t="s">
        <v>3716</v>
      </c>
      <c r="C4892" s="4">
        <v>334</v>
      </c>
      <c r="D4892" s="3" t="s">
        <v>531</v>
      </c>
      <c r="E4892" s="3" t="s">
        <v>7</v>
      </c>
      <c r="F4892" s="5">
        <v>288</v>
      </c>
      <c r="G4892" s="5">
        <v>0</v>
      </c>
      <c r="H4892" s="6">
        <v>13984.62</v>
      </c>
      <c r="I4892" s="22">
        <v>0</v>
      </c>
      <c r="J4892" s="24">
        <f t="shared" si="228"/>
        <v>0</v>
      </c>
      <c r="K4892" s="25">
        <f t="shared" si="230"/>
        <v>1.0000000000000009</v>
      </c>
      <c r="L4892" s="27"/>
      <c r="M4892" s="28"/>
      <c r="N4892" s="28"/>
      <c r="O4892" s="20" t="s">
        <v>7530</v>
      </c>
      <c r="P4892" s="27" t="str">
        <f t="shared" si="229"/>
        <v>vermelho</v>
      </c>
    </row>
    <row r="4893" spans="1:16" ht="38.25">
      <c r="A4893" s="3" t="s">
        <v>4</v>
      </c>
      <c r="B4893" s="3" t="s">
        <v>3717</v>
      </c>
      <c r="C4893" s="4">
        <v>328</v>
      </c>
      <c r="D4893" s="3" t="s">
        <v>215</v>
      </c>
      <c r="E4893" s="3" t="s">
        <v>41</v>
      </c>
      <c r="F4893" s="5">
        <v>156</v>
      </c>
      <c r="G4893" s="5">
        <v>0</v>
      </c>
      <c r="H4893" s="6">
        <v>9775.0499999999993</v>
      </c>
      <c r="I4893" s="22">
        <v>0</v>
      </c>
      <c r="J4893" s="24">
        <f t="shared" si="228"/>
        <v>0</v>
      </c>
      <c r="K4893" s="25">
        <f t="shared" si="230"/>
        <v>1.0000000000000009</v>
      </c>
      <c r="L4893" s="27"/>
      <c r="M4893" s="28"/>
      <c r="N4893" s="28"/>
      <c r="O4893" s="20" t="s">
        <v>7530</v>
      </c>
      <c r="P4893" s="27" t="str">
        <f t="shared" si="229"/>
        <v>vermelho</v>
      </c>
    </row>
    <row r="4894" spans="1:16" ht="25.5">
      <c r="A4894" s="3" t="s">
        <v>4</v>
      </c>
      <c r="B4894" s="3" t="s">
        <v>3718</v>
      </c>
      <c r="C4894" s="4">
        <v>187</v>
      </c>
      <c r="D4894" s="3" t="s">
        <v>96</v>
      </c>
      <c r="E4894" s="3" t="s">
        <v>7</v>
      </c>
      <c r="F4894" s="5">
        <v>1020</v>
      </c>
      <c r="G4894" s="5">
        <v>0</v>
      </c>
      <c r="H4894" s="6">
        <v>60583.05</v>
      </c>
      <c r="I4894" s="22">
        <v>0</v>
      </c>
      <c r="J4894" s="24">
        <f t="shared" si="228"/>
        <v>0</v>
      </c>
      <c r="K4894" s="25">
        <f t="shared" si="230"/>
        <v>1.0000000000000009</v>
      </c>
      <c r="L4894" s="27"/>
      <c r="M4894" s="28"/>
      <c r="N4894" s="28"/>
      <c r="O4894" s="20" t="s">
        <v>7530</v>
      </c>
      <c r="P4894" s="27" t="str">
        <f t="shared" si="229"/>
        <v>vermelho</v>
      </c>
    </row>
    <row r="4895" spans="1:16" ht="25.5">
      <c r="A4895" s="3" t="s">
        <v>4</v>
      </c>
      <c r="B4895" s="3" t="s">
        <v>3719</v>
      </c>
      <c r="C4895" s="4">
        <v>39</v>
      </c>
      <c r="D4895" s="3" t="s">
        <v>26</v>
      </c>
      <c r="E4895" s="3" t="s">
        <v>13</v>
      </c>
      <c r="F4895" s="5">
        <v>72</v>
      </c>
      <c r="G4895" s="5">
        <v>0</v>
      </c>
      <c r="H4895" s="6">
        <v>1859.52</v>
      </c>
      <c r="I4895" s="22">
        <v>0</v>
      </c>
      <c r="J4895" s="24">
        <f t="shared" si="228"/>
        <v>0</v>
      </c>
      <c r="K4895" s="25">
        <f t="shared" si="230"/>
        <v>1.0000000000000009</v>
      </c>
      <c r="L4895" s="27"/>
      <c r="M4895" s="28"/>
      <c r="N4895" s="28"/>
      <c r="O4895" s="20" t="s">
        <v>7530</v>
      </c>
      <c r="P4895" s="27" t="str">
        <f t="shared" si="229"/>
        <v>vermelho</v>
      </c>
    </row>
    <row r="4896" spans="1:16" ht="25.5">
      <c r="A4896" s="3" t="s">
        <v>4</v>
      </c>
      <c r="B4896" s="3" t="s">
        <v>3720</v>
      </c>
      <c r="C4896" s="4">
        <v>264</v>
      </c>
      <c r="D4896" s="3" t="s">
        <v>40</v>
      </c>
      <c r="E4896" s="3" t="s">
        <v>10</v>
      </c>
      <c r="F4896" s="5">
        <v>263</v>
      </c>
      <c r="G4896" s="5">
        <v>0</v>
      </c>
      <c r="H4896" s="6">
        <v>14013.93</v>
      </c>
      <c r="I4896" s="22">
        <v>0</v>
      </c>
      <c r="J4896" s="24">
        <f t="shared" si="228"/>
        <v>0</v>
      </c>
      <c r="K4896" s="25">
        <f t="shared" si="230"/>
        <v>1.0000000000000009</v>
      </c>
      <c r="L4896" s="27"/>
      <c r="M4896" s="28"/>
      <c r="N4896" s="28"/>
      <c r="O4896" s="20" t="s">
        <v>7530</v>
      </c>
      <c r="P4896" s="27" t="str">
        <f t="shared" si="229"/>
        <v>vermelho</v>
      </c>
    </row>
    <row r="4897" spans="1:16" ht="25.5">
      <c r="A4897" s="3" t="s">
        <v>4</v>
      </c>
      <c r="B4897" s="3" t="s">
        <v>3721</v>
      </c>
      <c r="C4897" s="4">
        <v>232</v>
      </c>
      <c r="D4897" s="3" t="s">
        <v>174</v>
      </c>
      <c r="E4897" s="3" t="s">
        <v>16</v>
      </c>
      <c r="F4897" s="5">
        <v>126</v>
      </c>
      <c r="G4897" s="5">
        <v>0</v>
      </c>
      <c r="H4897" s="6">
        <v>6346.74</v>
      </c>
      <c r="I4897" s="22">
        <v>0</v>
      </c>
      <c r="J4897" s="24">
        <f t="shared" si="228"/>
        <v>0</v>
      </c>
      <c r="K4897" s="25">
        <f t="shared" si="230"/>
        <v>1.0000000000000009</v>
      </c>
      <c r="L4897" s="27"/>
      <c r="M4897" s="28"/>
      <c r="N4897" s="28"/>
      <c r="O4897" s="20" t="s">
        <v>7530</v>
      </c>
      <c r="P4897" s="27" t="str">
        <f t="shared" si="229"/>
        <v>vermelho</v>
      </c>
    </row>
    <row r="4898" spans="1:16" ht="25.5">
      <c r="A4898" s="3" t="s">
        <v>4</v>
      </c>
      <c r="B4898" s="3" t="s">
        <v>3722</v>
      </c>
      <c r="C4898" s="4">
        <v>217</v>
      </c>
      <c r="D4898" s="3" t="s">
        <v>91</v>
      </c>
      <c r="E4898" s="3" t="s">
        <v>16</v>
      </c>
      <c r="F4898" s="5">
        <v>192</v>
      </c>
      <c r="G4898" s="5">
        <v>0</v>
      </c>
      <c r="H4898" s="6">
        <v>10787.31</v>
      </c>
      <c r="I4898" s="22">
        <v>0</v>
      </c>
      <c r="J4898" s="24">
        <f t="shared" si="228"/>
        <v>0</v>
      </c>
      <c r="K4898" s="25">
        <f t="shared" si="230"/>
        <v>1.0000000000000009</v>
      </c>
      <c r="L4898" s="27"/>
      <c r="M4898" s="28"/>
      <c r="N4898" s="28"/>
      <c r="O4898" s="20" t="s">
        <v>7530</v>
      </c>
      <c r="P4898" s="27" t="str">
        <f t="shared" si="229"/>
        <v>vermelho</v>
      </c>
    </row>
    <row r="4899" spans="1:16" ht="25.5">
      <c r="A4899" s="3" t="s">
        <v>4</v>
      </c>
      <c r="B4899" s="3" t="s">
        <v>3723</v>
      </c>
      <c r="C4899" s="4">
        <v>327</v>
      </c>
      <c r="D4899" s="3" t="s">
        <v>100</v>
      </c>
      <c r="E4899" s="3" t="s">
        <v>7</v>
      </c>
      <c r="F4899" s="5">
        <v>325</v>
      </c>
      <c r="G4899" s="5">
        <v>0</v>
      </c>
      <c r="H4899" s="6">
        <v>18516.488000000001</v>
      </c>
      <c r="I4899" s="22">
        <v>0</v>
      </c>
      <c r="J4899" s="24">
        <f t="shared" si="228"/>
        <v>0</v>
      </c>
      <c r="K4899" s="25">
        <f t="shared" si="230"/>
        <v>1.0000000000000009</v>
      </c>
      <c r="L4899" s="27"/>
      <c r="M4899" s="28"/>
      <c r="N4899" s="28"/>
      <c r="O4899" s="20" t="s">
        <v>7530</v>
      </c>
      <c r="P4899" s="27" t="str">
        <f t="shared" si="229"/>
        <v>vermelho</v>
      </c>
    </row>
    <row r="4900" spans="1:16" ht="25.5">
      <c r="A4900" s="3" t="s">
        <v>4</v>
      </c>
      <c r="B4900" s="3" t="s">
        <v>3724</v>
      </c>
      <c r="C4900" s="4">
        <v>302</v>
      </c>
      <c r="D4900" s="3" t="s">
        <v>293</v>
      </c>
      <c r="E4900" s="3" t="s">
        <v>49</v>
      </c>
      <c r="F4900" s="5">
        <v>132</v>
      </c>
      <c r="G4900" s="5">
        <v>0</v>
      </c>
      <c r="H4900" s="6">
        <v>7062.93</v>
      </c>
      <c r="I4900" s="22">
        <v>0</v>
      </c>
      <c r="J4900" s="24">
        <f t="shared" si="228"/>
        <v>0</v>
      </c>
      <c r="K4900" s="25">
        <f t="shared" si="230"/>
        <v>1.0000000000000009</v>
      </c>
      <c r="L4900" s="27"/>
      <c r="M4900" s="28"/>
      <c r="N4900" s="28"/>
      <c r="O4900" s="20" t="s">
        <v>7530</v>
      </c>
      <c r="P4900" s="27" t="str">
        <f t="shared" si="229"/>
        <v>vermelho</v>
      </c>
    </row>
    <row r="4901" spans="1:16" ht="25.5">
      <c r="A4901" s="3" t="s">
        <v>4</v>
      </c>
      <c r="B4901" s="3" t="s">
        <v>3725</v>
      </c>
      <c r="C4901" s="4">
        <v>187</v>
      </c>
      <c r="D4901" s="3" t="s">
        <v>96</v>
      </c>
      <c r="E4901" s="3" t="s">
        <v>7</v>
      </c>
      <c r="F4901" s="5">
        <v>192</v>
      </c>
      <c r="G4901" s="5">
        <v>0</v>
      </c>
      <c r="H4901" s="6">
        <v>10246.35</v>
      </c>
      <c r="I4901" s="22">
        <v>0</v>
      </c>
      <c r="J4901" s="24">
        <f t="shared" si="228"/>
        <v>0</v>
      </c>
      <c r="K4901" s="25">
        <f t="shared" si="230"/>
        <v>1.0000000000000009</v>
      </c>
      <c r="L4901" s="27"/>
      <c r="M4901" s="28"/>
      <c r="N4901" s="28"/>
      <c r="O4901" s="20" t="s">
        <v>7530</v>
      </c>
      <c r="P4901" s="27" t="str">
        <f t="shared" si="229"/>
        <v>vermelho</v>
      </c>
    </row>
    <row r="4902" spans="1:16" ht="25.5">
      <c r="A4902" s="3" t="s">
        <v>4</v>
      </c>
      <c r="B4902" s="3" t="s">
        <v>3726</v>
      </c>
      <c r="C4902" s="4">
        <v>296</v>
      </c>
      <c r="D4902" s="3" t="s">
        <v>282</v>
      </c>
      <c r="E4902" s="3" t="s">
        <v>10</v>
      </c>
      <c r="F4902" s="5">
        <v>318</v>
      </c>
      <c r="G4902" s="5">
        <v>0</v>
      </c>
      <c r="H4902" s="6">
        <v>16149.24</v>
      </c>
      <c r="I4902" s="22">
        <v>0</v>
      </c>
      <c r="J4902" s="24">
        <f t="shared" si="228"/>
        <v>0</v>
      </c>
      <c r="K4902" s="25">
        <f t="shared" si="230"/>
        <v>1.0000000000000009</v>
      </c>
      <c r="L4902" s="27"/>
      <c r="M4902" s="28"/>
      <c r="N4902" s="28"/>
      <c r="O4902" s="20" t="s">
        <v>7530</v>
      </c>
      <c r="P4902" s="27" t="str">
        <f t="shared" si="229"/>
        <v>vermelho</v>
      </c>
    </row>
    <row r="4903" spans="1:16" ht="25.5">
      <c r="A4903" s="3" t="s">
        <v>4</v>
      </c>
      <c r="B4903" s="3" t="s">
        <v>3727</v>
      </c>
      <c r="C4903" s="4">
        <v>261</v>
      </c>
      <c r="D4903" s="3" t="s">
        <v>9</v>
      </c>
      <c r="E4903" s="3" t="s">
        <v>10</v>
      </c>
      <c r="F4903" s="5">
        <v>162</v>
      </c>
      <c r="G4903" s="5">
        <v>0</v>
      </c>
      <c r="H4903" s="6">
        <v>8387.4599999999991</v>
      </c>
      <c r="I4903" s="22">
        <v>0</v>
      </c>
      <c r="J4903" s="24">
        <f t="shared" si="228"/>
        <v>0</v>
      </c>
      <c r="K4903" s="25">
        <f t="shared" si="230"/>
        <v>1.0000000000000009</v>
      </c>
      <c r="L4903" s="27"/>
      <c r="M4903" s="28"/>
      <c r="N4903" s="28"/>
      <c r="O4903" s="20" t="s">
        <v>7530</v>
      </c>
      <c r="P4903" s="27" t="str">
        <f t="shared" si="229"/>
        <v>vermelho</v>
      </c>
    </row>
    <row r="4904" spans="1:16" ht="25.5">
      <c r="A4904" s="3" t="s">
        <v>4</v>
      </c>
      <c r="B4904" s="3" t="s">
        <v>3728</v>
      </c>
      <c r="C4904" s="4">
        <v>296</v>
      </c>
      <c r="D4904" s="3" t="s">
        <v>282</v>
      </c>
      <c r="E4904" s="3" t="s">
        <v>10</v>
      </c>
      <c r="F4904" s="5">
        <v>84</v>
      </c>
      <c r="G4904" s="5">
        <v>0</v>
      </c>
      <c r="H4904" s="6">
        <v>4995.12</v>
      </c>
      <c r="I4904" s="22">
        <v>0</v>
      </c>
      <c r="J4904" s="24">
        <f t="shared" si="228"/>
        <v>0</v>
      </c>
      <c r="K4904" s="25">
        <f t="shared" si="230"/>
        <v>1.0000000000000009</v>
      </c>
      <c r="L4904" s="27"/>
      <c r="M4904" s="28"/>
      <c r="N4904" s="28"/>
      <c r="O4904" s="20" t="s">
        <v>7530</v>
      </c>
      <c r="P4904" s="27" t="str">
        <f t="shared" si="229"/>
        <v>vermelho</v>
      </c>
    </row>
    <row r="4905" spans="1:16" ht="25.5">
      <c r="A4905" s="3" t="s">
        <v>4</v>
      </c>
      <c r="B4905" s="3" t="s">
        <v>3729</v>
      </c>
      <c r="C4905" s="4">
        <v>264</v>
      </c>
      <c r="D4905" s="3" t="s">
        <v>40</v>
      </c>
      <c r="E4905" s="3" t="s">
        <v>10</v>
      </c>
      <c r="F4905" s="5">
        <v>594</v>
      </c>
      <c r="G4905" s="5">
        <v>0</v>
      </c>
      <c r="H4905" s="6">
        <v>30258.054</v>
      </c>
      <c r="I4905" s="22">
        <v>0</v>
      </c>
      <c r="J4905" s="24">
        <f t="shared" si="228"/>
        <v>0</v>
      </c>
      <c r="K4905" s="25">
        <f t="shared" si="230"/>
        <v>1.0000000000000009</v>
      </c>
      <c r="L4905" s="27"/>
      <c r="M4905" s="28"/>
      <c r="N4905" s="28"/>
      <c r="O4905" s="20" t="s">
        <v>7530</v>
      </c>
      <c r="P4905" s="27" t="str">
        <f t="shared" si="229"/>
        <v>vermelho</v>
      </c>
    </row>
    <row r="4906" spans="1:16">
      <c r="A4906" s="3" t="s">
        <v>4</v>
      </c>
      <c r="B4906" s="3" t="s">
        <v>3730</v>
      </c>
      <c r="C4906" s="4">
        <v>334</v>
      </c>
      <c r="D4906" s="3" t="s">
        <v>531</v>
      </c>
      <c r="E4906" s="3" t="s">
        <v>7</v>
      </c>
      <c r="F4906" s="5">
        <v>96</v>
      </c>
      <c r="G4906" s="5">
        <v>0</v>
      </c>
      <c r="H4906" s="6">
        <v>4589.04</v>
      </c>
      <c r="I4906" s="22">
        <v>0</v>
      </c>
      <c r="J4906" s="24">
        <f t="shared" si="228"/>
        <v>0</v>
      </c>
      <c r="K4906" s="25">
        <f t="shared" si="230"/>
        <v>1.0000000000000009</v>
      </c>
      <c r="L4906" s="27"/>
      <c r="M4906" s="28"/>
      <c r="N4906" s="28"/>
      <c r="O4906" s="20" t="s">
        <v>7530</v>
      </c>
      <c r="P4906" s="27" t="str">
        <f t="shared" si="229"/>
        <v>vermelho</v>
      </c>
    </row>
    <row r="4907" spans="1:16" ht="25.5">
      <c r="A4907" s="3" t="s">
        <v>4</v>
      </c>
      <c r="B4907" s="3" t="s">
        <v>3731</v>
      </c>
      <c r="C4907" s="4">
        <v>334</v>
      </c>
      <c r="D4907" s="3" t="s">
        <v>531</v>
      </c>
      <c r="E4907" s="3" t="s">
        <v>7</v>
      </c>
      <c r="F4907" s="5">
        <v>660</v>
      </c>
      <c r="G4907" s="5">
        <v>0</v>
      </c>
      <c r="H4907" s="6">
        <v>35623.11</v>
      </c>
      <c r="I4907" s="22">
        <v>0</v>
      </c>
      <c r="J4907" s="24">
        <f t="shared" si="228"/>
        <v>0</v>
      </c>
      <c r="K4907" s="25">
        <f t="shared" si="230"/>
        <v>1.0000000000000009</v>
      </c>
      <c r="L4907" s="27"/>
      <c r="M4907" s="28"/>
      <c r="N4907" s="28"/>
      <c r="O4907" s="20" t="s">
        <v>7530</v>
      </c>
      <c r="P4907" s="27" t="str">
        <f t="shared" si="229"/>
        <v>vermelho</v>
      </c>
    </row>
    <row r="4908" spans="1:16" ht="25.5">
      <c r="A4908" s="3" t="s">
        <v>4</v>
      </c>
      <c r="B4908" s="3" t="s">
        <v>3732</v>
      </c>
      <c r="C4908" s="4">
        <v>334</v>
      </c>
      <c r="D4908" s="3" t="s">
        <v>531</v>
      </c>
      <c r="E4908" s="3" t="s">
        <v>7</v>
      </c>
      <c r="F4908" s="5">
        <v>90</v>
      </c>
      <c r="G4908" s="5">
        <v>0</v>
      </c>
      <c r="H4908" s="6">
        <v>4425.84</v>
      </c>
      <c r="I4908" s="22">
        <v>0</v>
      </c>
      <c r="J4908" s="24">
        <f t="shared" si="228"/>
        <v>0</v>
      </c>
      <c r="K4908" s="25">
        <f t="shared" si="230"/>
        <v>1.0000000000000009</v>
      </c>
      <c r="L4908" s="27"/>
      <c r="M4908" s="28"/>
      <c r="N4908" s="28"/>
      <c r="O4908" s="20" t="s">
        <v>7530</v>
      </c>
      <c r="P4908" s="27" t="str">
        <f t="shared" si="229"/>
        <v>vermelho</v>
      </c>
    </row>
    <row r="4909" spans="1:16" ht="25.5">
      <c r="A4909" s="3" t="s">
        <v>4</v>
      </c>
      <c r="B4909" s="3" t="s">
        <v>3733</v>
      </c>
      <c r="C4909" s="4">
        <v>194</v>
      </c>
      <c r="D4909" s="3" t="s">
        <v>145</v>
      </c>
      <c r="E4909" s="3" t="s">
        <v>16</v>
      </c>
      <c r="F4909" s="5">
        <v>228</v>
      </c>
      <c r="G4909" s="5">
        <v>0</v>
      </c>
      <c r="H4909" s="6">
        <v>12447.96</v>
      </c>
      <c r="I4909" s="22">
        <v>0</v>
      </c>
      <c r="J4909" s="24">
        <f t="shared" si="228"/>
        <v>0</v>
      </c>
      <c r="K4909" s="25">
        <f t="shared" si="230"/>
        <v>1.0000000000000009</v>
      </c>
      <c r="L4909" s="27"/>
      <c r="M4909" s="28"/>
      <c r="N4909" s="28"/>
      <c r="O4909" s="20" t="s">
        <v>7530</v>
      </c>
      <c r="P4909" s="27" t="str">
        <f t="shared" si="229"/>
        <v>vermelho</v>
      </c>
    </row>
    <row r="4910" spans="1:16" ht="38.25">
      <c r="A4910" s="3" t="s">
        <v>4</v>
      </c>
      <c r="B4910" s="3" t="s">
        <v>3734</v>
      </c>
      <c r="C4910" s="4">
        <v>217</v>
      </c>
      <c r="D4910" s="3" t="s">
        <v>91</v>
      </c>
      <c r="E4910" s="3" t="s">
        <v>16</v>
      </c>
      <c r="F4910" s="5">
        <v>72</v>
      </c>
      <c r="G4910" s="5">
        <v>0</v>
      </c>
      <c r="H4910" s="6">
        <v>3864.06</v>
      </c>
      <c r="I4910" s="22">
        <v>0</v>
      </c>
      <c r="J4910" s="24">
        <f t="shared" si="228"/>
        <v>0</v>
      </c>
      <c r="K4910" s="25">
        <f t="shared" si="230"/>
        <v>1.0000000000000009</v>
      </c>
      <c r="L4910" s="27"/>
      <c r="M4910" s="28"/>
      <c r="N4910" s="28"/>
      <c r="O4910" s="20" t="s">
        <v>7530</v>
      </c>
      <c r="P4910" s="27" t="str">
        <f t="shared" si="229"/>
        <v>vermelho</v>
      </c>
    </row>
    <row r="4911" spans="1:16" ht="38.25">
      <c r="A4911" s="3" t="s">
        <v>4</v>
      </c>
      <c r="B4911" s="3" t="s">
        <v>3735</v>
      </c>
      <c r="C4911" s="4">
        <v>301</v>
      </c>
      <c r="D4911" s="3" t="s">
        <v>519</v>
      </c>
      <c r="E4911" s="3" t="s">
        <v>16</v>
      </c>
      <c r="F4911" s="5">
        <v>132</v>
      </c>
      <c r="G4911" s="5">
        <v>0</v>
      </c>
      <c r="H4911" s="6">
        <v>9415.92</v>
      </c>
      <c r="I4911" s="22">
        <v>0</v>
      </c>
      <c r="J4911" s="24">
        <f t="shared" si="228"/>
        <v>0</v>
      </c>
      <c r="K4911" s="25">
        <f t="shared" si="230"/>
        <v>1.0000000000000009</v>
      </c>
      <c r="L4911" s="27"/>
      <c r="M4911" s="28"/>
      <c r="N4911" s="28"/>
      <c r="O4911" s="20" t="s">
        <v>7530</v>
      </c>
      <c r="P4911" s="27" t="str">
        <f t="shared" si="229"/>
        <v>vermelho</v>
      </c>
    </row>
    <row r="4912" spans="1:16" ht="25.5">
      <c r="A4912" s="3" t="s">
        <v>4</v>
      </c>
      <c r="B4912" s="3" t="s">
        <v>3736</v>
      </c>
      <c r="C4912" s="4">
        <v>334</v>
      </c>
      <c r="D4912" s="3" t="s">
        <v>531</v>
      </c>
      <c r="E4912" s="3" t="s">
        <v>7</v>
      </c>
      <c r="F4912" s="5">
        <v>108</v>
      </c>
      <c r="G4912" s="5">
        <v>0</v>
      </c>
      <c r="H4912" s="6">
        <v>7007.76</v>
      </c>
      <c r="I4912" s="22">
        <v>0</v>
      </c>
      <c r="J4912" s="24">
        <f t="shared" si="228"/>
        <v>0</v>
      </c>
      <c r="K4912" s="25">
        <f t="shared" si="230"/>
        <v>1.0000000000000009</v>
      </c>
      <c r="L4912" s="27"/>
      <c r="M4912" s="28"/>
      <c r="N4912" s="28"/>
      <c r="O4912" s="20" t="s">
        <v>7530</v>
      </c>
      <c r="P4912" s="27" t="str">
        <f t="shared" si="229"/>
        <v>vermelho</v>
      </c>
    </row>
    <row r="4913" spans="1:16" ht="25.5">
      <c r="A4913" s="3" t="s">
        <v>4</v>
      </c>
      <c r="B4913" s="3" t="s">
        <v>3737</v>
      </c>
      <c r="C4913" s="4">
        <v>217</v>
      </c>
      <c r="D4913" s="3" t="s">
        <v>91</v>
      </c>
      <c r="E4913" s="3" t="s">
        <v>16</v>
      </c>
      <c r="F4913" s="5">
        <v>72</v>
      </c>
      <c r="G4913" s="5">
        <v>0</v>
      </c>
      <c r="H4913" s="6">
        <v>3458.79</v>
      </c>
      <c r="I4913" s="22">
        <v>0</v>
      </c>
      <c r="J4913" s="24">
        <f t="shared" si="228"/>
        <v>0</v>
      </c>
      <c r="K4913" s="25">
        <f t="shared" si="230"/>
        <v>1.0000000000000009</v>
      </c>
      <c r="L4913" s="27"/>
      <c r="M4913" s="28"/>
      <c r="N4913" s="28">
        <v>2.5975954917104679E-2</v>
      </c>
      <c r="O4913" s="20">
        <v>5378.7</v>
      </c>
      <c r="P4913" s="27" t="str">
        <f t="shared" si="229"/>
        <v>vermelho</v>
      </c>
    </row>
    <row r="4914" spans="1:16" ht="25.5">
      <c r="A4914" s="3" t="s">
        <v>4</v>
      </c>
      <c r="B4914" s="3" t="s">
        <v>3738</v>
      </c>
      <c r="C4914" s="4">
        <v>264</v>
      </c>
      <c r="D4914" s="3" t="s">
        <v>40</v>
      </c>
      <c r="E4914" s="3" t="s">
        <v>10</v>
      </c>
      <c r="F4914" s="5">
        <v>120</v>
      </c>
      <c r="G4914" s="5">
        <v>0</v>
      </c>
      <c r="H4914" s="6">
        <v>5309.04</v>
      </c>
      <c r="I4914" s="22">
        <v>0</v>
      </c>
      <c r="J4914" s="24">
        <f t="shared" si="228"/>
        <v>0</v>
      </c>
      <c r="K4914" s="25">
        <f t="shared" si="230"/>
        <v>1.0000000000000009</v>
      </c>
      <c r="L4914" s="27"/>
      <c r="M4914" s="28"/>
      <c r="N4914" s="28"/>
      <c r="O4914" s="20" t="s">
        <v>7530</v>
      </c>
      <c r="P4914" s="27" t="str">
        <f t="shared" si="229"/>
        <v>vermelho</v>
      </c>
    </row>
    <row r="4915" spans="1:16" ht="25.5">
      <c r="A4915" s="3" t="s">
        <v>4</v>
      </c>
      <c r="B4915" s="3" t="s">
        <v>3739</v>
      </c>
      <c r="C4915" s="4">
        <v>273</v>
      </c>
      <c r="D4915" s="3" t="s">
        <v>149</v>
      </c>
      <c r="E4915" s="3" t="s">
        <v>16</v>
      </c>
      <c r="F4915" s="5">
        <v>411</v>
      </c>
      <c r="G4915" s="5">
        <v>0</v>
      </c>
      <c r="H4915" s="6">
        <v>21197.07</v>
      </c>
      <c r="I4915" s="22">
        <v>0</v>
      </c>
      <c r="J4915" s="24">
        <f t="shared" si="228"/>
        <v>0</v>
      </c>
      <c r="K4915" s="25">
        <f t="shared" si="230"/>
        <v>1.0000000000000009</v>
      </c>
      <c r="L4915" s="27"/>
      <c r="M4915" s="28"/>
      <c r="N4915" s="28"/>
      <c r="O4915" s="20" t="s">
        <v>7530</v>
      </c>
      <c r="P4915" s="27" t="str">
        <f t="shared" si="229"/>
        <v>vermelho</v>
      </c>
    </row>
    <row r="4916" spans="1:16" ht="38.25">
      <c r="A4916" s="3" t="s">
        <v>4</v>
      </c>
      <c r="B4916" s="3" t="s">
        <v>3740</v>
      </c>
      <c r="C4916" s="4">
        <v>331</v>
      </c>
      <c r="D4916" s="3" t="s">
        <v>603</v>
      </c>
      <c r="E4916" s="3" t="s">
        <v>13</v>
      </c>
      <c r="F4916" s="5">
        <v>0</v>
      </c>
      <c r="G4916" s="5">
        <v>0</v>
      </c>
      <c r="H4916" s="6">
        <v>0</v>
      </c>
      <c r="I4916" s="22">
        <v>0</v>
      </c>
      <c r="J4916" s="24">
        <f t="shared" si="228"/>
        <v>0</v>
      </c>
      <c r="K4916" s="25">
        <f t="shared" si="230"/>
        <v>1.0000000000000009</v>
      </c>
      <c r="L4916" s="27"/>
      <c r="M4916" s="28"/>
      <c r="N4916" s="28"/>
      <c r="O4916" s="20" t="s">
        <v>7530</v>
      </c>
      <c r="P4916" s="27" t="str">
        <f t="shared" si="229"/>
        <v>vermelho</v>
      </c>
    </row>
    <row r="4917" spans="1:16" ht="25.5">
      <c r="A4917" s="3" t="s">
        <v>4</v>
      </c>
      <c r="B4917" s="3" t="s">
        <v>3741</v>
      </c>
      <c r="C4917" s="4">
        <v>197</v>
      </c>
      <c r="D4917" s="3" t="s">
        <v>66</v>
      </c>
      <c r="E4917" s="3" t="s">
        <v>41</v>
      </c>
      <c r="F4917" s="5">
        <v>396</v>
      </c>
      <c r="G4917" s="5">
        <v>0</v>
      </c>
      <c r="H4917" s="6">
        <v>23004.93</v>
      </c>
      <c r="I4917" s="22">
        <v>0</v>
      </c>
      <c r="J4917" s="24">
        <f t="shared" si="228"/>
        <v>0</v>
      </c>
      <c r="K4917" s="25">
        <f t="shared" si="230"/>
        <v>1.0000000000000009</v>
      </c>
      <c r="L4917" s="27"/>
      <c r="M4917" s="28"/>
      <c r="N4917" s="28"/>
      <c r="O4917" s="20" t="s">
        <v>7530</v>
      </c>
      <c r="P4917" s="27" t="str">
        <f t="shared" si="229"/>
        <v>vermelho</v>
      </c>
    </row>
    <row r="4918" spans="1:16" ht="25.5">
      <c r="A4918" s="3" t="s">
        <v>4</v>
      </c>
      <c r="B4918" s="3" t="s">
        <v>3742</v>
      </c>
      <c r="C4918" s="4">
        <v>296</v>
      </c>
      <c r="D4918" s="3" t="s">
        <v>282</v>
      </c>
      <c r="E4918" s="3" t="s">
        <v>16</v>
      </c>
      <c r="F4918" s="5">
        <v>81</v>
      </c>
      <c r="G4918" s="5">
        <v>0</v>
      </c>
      <c r="H4918" s="6">
        <v>4251.93</v>
      </c>
      <c r="I4918" s="22">
        <v>0</v>
      </c>
      <c r="J4918" s="24">
        <f t="shared" si="228"/>
        <v>0</v>
      </c>
      <c r="K4918" s="25">
        <f t="shared" si="230"/>
        <v>1.0000000000000009</v>
      </c>
      <c r="L4918" s="27"/>
      <c r="M4918" s="28"/>
      <c r="N4918" s="28"/>
      <c r="O4918" s="20" t="s">
        <v>7530</v>
      </c>
      <c r="P4918" s="27" t="str">
        <f t="shared" si="229"/>
        <v>vermelho</v>
      </c>
    </row>
    <row r="4919" spans="1:16" ht="25.5">
      <c r="A4919" s="3" t="s">
        <v>4</v>
      </c>
      <c r="B4919" s="3" t="s">
        <v>3743</v>
      </c>
      <c r="C4919" s="4">
        <v>296</v>
      </c>
      <c r="D4919" s="3" t="s">
        <v>282</v>
      </c>
      <c r="E4919" s="3" t="s">
        <v>10</v>
      </c>
      <c r="F4919" s="5">
        <v>60</v>
      </c>
      <c r="G4919" s="5">
        <v>0</v>
      </c>
      <c r="H4919" s="6">
        <v>3357.48</v>
      </c>
      <c r="I4919" s="22">
        <v>0</v>
      </c>
      <c r="J4919" s="24">
        <f t="shared" si="228"/>
        <v>0</v>
      </c>
      <c r="K4919" s="25">
        <f t="shared" si="230"/>
        <v>1.0000000000000009</v>
      </c>
      <c r="L4919" s="27"/>
      <c r="M4919" s="28"/>
      <c r="N4919" s="28"/>
      <c r="O4919" s="20" t="s">
        <v>7530</v>
      </c>
      <c r="P4919" s="27" t="str">
        <f t="shared" si="229"/>
        <v>vermelho</v>
      </c>
    </row>
    <row r="4920" spans="1:16" ht="51">
      <c r="A4920" s="3" t="s">
        <v>4</v>
      </c>
      <c r="B4920" s="3" t="s">
        <v>3744</v>
      </c>
      <c r="C4920" s="4">
        <v>282</v>
      </c>
      <c r="D4920" s="3" t="s">
        <v>12</v>
      </c>
      <c r="E4920" s="3" t="s">
        <v>13</v>
      </c>
      <c r="F4920" s="5">
        <v>96</v>
      </c>
      <c r="G4920" s="5">
        <v>0</v>
      </c>
      <c r="H4920" s="6">
        <v>1920</v>
      </c>
      <c r="I4920" s="22">
        <v>0</v>
      </c>
      <c r="J4920" s="24">
        <f t="shared" si="228"/>
        <v>0</v>
      </c>
      <c r="K4920" s="25">
        <f t="shared" si="230"/>
        <v>1.0000000000000009</v>
      </c>
      <c r="L4920" s="27"/>
      <c r="M4920" s="28"/>
      <c r="N4920" s="28"/>
      <c r="O4920" s="20" t="s">
        <v>7530</v>
      </c>
      <c r="P4920" s="27" t="str">
        <f t="shared" si="229"/>
        <v>vermelho</v>
      </c>
    </row>
    <row r="4921" spans="1:16" ht="25.5">
      <c r="A4921" s="3" t="s">
        <v>4</v>
      </c>
      <c r="B4921" s="3" t="s">
        <v>3745</v>
      </c>
      <c r="C4921" s="4">
        <v>178</v>
      </c>
      <c r="D4921" s="3" t="s">
        <v>74</v>
      </c>
      <c r="E4921" s="3" t="s">
        <v>7</v>
      </c>
      <c r="F4921" s="5">
        <v>192</v>
      </c>
      <c r="G4921" s="5">
        <v>0</v>
      </c>
      <c r="H4921" s="6">
        <v>9691.56</v>
      </c>
      <c r="I4921" s="22">
        <v>0</v>
      </c>
      <c r="J4921" s="24">
        <f t="shared" si="228"/>
        <v>0</v>
      </c>
      <c r="K4921" s="25">
        <f t="shared" si="230"/>
        <v>1.0000000000000009</v>
      </c>
      <c r="L4921" s="27"/>
      <c r="M4921" s="28"/>
      <c r="N4921" s="28"/>
      <c r="O4921" s="20" t="s">
        <v>7530</v>
      </c>
      <c r="P4921" s="27" t="str">
        <f t="shared" si="229"/>
        <v>vermelho</v>
      </c>
    </row>
    <row r="4922" spans="1:16" ht="25.5">
      <c r="A4922" s="3" t="s">
        <v>4</v>
      </c>
      <c r="B4922" s="3" t="s">
        <v>3746</v>
      </c>
      <c r="C4922" s="4">
        <v>334</v>
      </c>
      <c r="D4922" s="3" t="s">
        <v>531</v>
      </c>
      <c r="E4922" s="3" t="s">
        <v>7</v>
      </c>
      <c r="F4922" s="5">
        <v>84</v>
      </c>
      <c r="G4922" s="5">
        <v>0</v>
      </c>
      <c r="H4922" s="6">
        <v>4194.3599999999997</v>
      </c>
      <c r="I4922" s="22">
        <v>0</v>
      </c>
      <c r="J4922" s="24">
        <f t="shared" si="228"/>
        <v>0</v>
      </c>
      <c r="K4922" s="25">
        <f t="shared" si="230"/>
        <v>1.0000000000000009</v>
      </c>
      <c r="L4922" s="27"/>
      <c r="M4922" s="28"/>
      <c r="N4922" s="28"/>
      <c r="O4922" s="20" t="s">
        <v>7530</v>
      </c>
      <c r="P4922" s="27" t="str">
        <f t="shared" si="229"/>
        <v>vermelho</v>
      </c>
    </row>
    <row r="4923" spans="1:16" ht="25.5">
      <c r="A4923" s="3" t="s">
        <v>4</v>
      </c>
      <c r="B4923" s="3" t="s">
        <v>3747</v>
      </c>
      <c r="C4923" s="4">
        <v>240</v>
      </c>
      <c r="D4923" s="3" t="s">
        <v>69</v>
      </c>
      <c r="E4923" s="3" t="s">
        <v>16</v>
      </c>
      <c r="F4923" s="5">
        <v>0</v>
      </c>
      <c r="G4923" s="5">
        <v>0</v>
      </c>
      <c r="H4923" s="6">
        <v>0</v>
      </c>
      <c r="I4923" s="22">
        <v>0</v>
      </c>
      <c r="J4923" s="24">
        <f t="shared" si="228"/>
        <v>0</v>
      </c>
      <c r="K4923" s="25">
        <f t="shared" si="230"/>
        <v>1.0000000000000009</v>
      </c>
      <c r="L4923" s="27"/>
      <c r="M4923" s="28"/>
      <c r="N4923" s="28"/>
      <c r="O4923" s="20" t="s">
        <v>7530</v>
      </c>
      <c r="P4923" s="27" t="str">
        <f t="shared" si="229"/>
        <v>vermelho</v>
      </c>
    </row>
    <row r="4924" spans="1:16" ht="25.5">
      <c r="A4924" s="3" t="s">
        <v>4</v>
      </c>
      <c r="B4924" s="3" t="s">
        <v>3748</v>
      </c>
      <c r="C4924" s="4">
        <v>261</v>
      </c>
      <c r="D4924" s="3" t="s">
        <v>9</v>
      </c>
      <c r="E4924" s="3" t="s">
        <v>10</v>
      </c>
      <c r="F4924" s="5">
        <v>54</v>
      </c>
      <c r="G4924" s="5">
        <v>0</v>
      </c>
      <c r="H4924" s="6">
        <v>3020.19</v>
      </c>
      <c r="I4924" s="22">
        <v>0</v>
      </c>
      <c r="J4924" s="24">
        <f t="shared" si="228"/>
        <v>0</v>
      </c>
      <c r="K4924" s="25">
        <f t="shared" si="230"/>
        <v>1.0000000000000009</v>
      </c>
      <c r="L4924" s="27"/>
      <c r="M4924" s="28"/>
      <c r="N4924" s="28"/>
      <c r="O4924" s="20" t="s">
        <v>7530</v>
      </c>
      <c r="P4924" s="27" t="str">
        <f t="shared" si="229"/>
        <v>vermelho</v>
      </c>
    </row>
    <row r="4925" spans="1:16" ht="25.5">
      <c r="A4925" s="3" t="s">
        <v>4</v>
      </c>
      <c r="B4925" s="3" t="s">
        <v>3749</v>
      </c>
      <c r="C4925" s="4">
        <v>337</v>
      </c>
      <c r="D4925" s="3" t="s">
        <v>202</v>
      </c>
      <c r="E4925" s="3" t="s">
        <v>16</v>
      </c>
      <c r="F4925" s="5">
        <v>63</v>
      </c>
      <c r="G4925" s="5">
        <v>0</v>
      </c>
      <c r="H4925" s="6">
        <v>2903.1</v>
      </c>
      <c r="I4925" s="22">
        <v>0</v>
      </c>
      <c r="J4925" s="24">
        <f t="shared" si="228"/>
        <v>0</v>
      </c>
      <c r="K4925" s="25">
        <f t="shared" si="230"/>
        <v>1.0000000000000009</v>
      </c>
      <c r="L4925" s="27"/>
      <c r="M4925" s="28"/>
      <c r="N4925" s="28"/>
      <c r="O4925" s="20" t="s">
        <v>7530</v>
      </c>
      <c r="P4925" s="27" t="str">
        <f t="shared" si="229"/>
        <v>vermelho</v>
      </c>
    </row>
    <row r="4926" spans="1:16" ht="25.5">
      <c r="A4926" s="3" t="s">
        <v>4</v>
      </c>
      <c r="B4926" s="3" t="s">
        <v>3750</v>
      </c>
      <c r="C4926" s="4">
        <v>53</v>
      </c>
      <c r="D4926" s="3" t="s">
        <v>34</v>
      </c>
      <c r="E4926" s="3" t="s">
        <v>16</v>
      </c>
      <c r="F4926" s="5">
        <v>72</v>
      </c>
      <c r="G4926" s="5">
        <v>0</v>
      </c>
      <c r="H4926" s="6">
        <v>4781.3999999999996</v>
      </c>
      <c r="I4926" s="22">
        <v>0</v>
      </c>
      <c r="J4926" s="24">
        <f t="shared" si="228"/>
        <v>0</v>
      </c>
      <c r="K4926" s="25">
        <f t="shared" si="230"/>
        <v>1.0000000000000009</v>
      </c>
      <c r="L4926" s="27"/>
      <c r="M4926" s="28"/>
      <c r="N4926" s="28"/>
      <c r="O4926" s="20" t="s">
        <v>7530</v>
      </c>
      <c r="P4926" s="27" t="str">
        <f t="shared" si="229"/>
        <v>vermelho</v>
      </c>
    </row>
    <row r="4927" spans="1:16">
      <c r="A4927" s="3" t="s">
        <v>4</v>
      </c>
      <c r="B4927" s="3" t="s">
        <v>3751</v>
      </c>
      <c r="C4927" s="4">
        <v>232</v>
      </c>
      <c r="D4927" s="3" t="s">
        <v>174</v>
      </c>
      <c r="E4927" s="3" t="s">
        <v>16</v>
      </c>
      <c r="F4927" s="5">
        <v>279</v>
      </c>
      <c r="G4927" s="5">
        <v>0</v>
      </c>
      <c r="H4927" s="6">
        <v>14759.79</v>
      </c>
      <c r="I4927" s="22">
        <v>0</v>
      </c>
      <c r="J4927" s="24">
        <f t="shared" si="228"/>
        <v>0</v>
      </c>
      <c r="K4927" s="25">
        <f t="shared" si="230"/>
        <v>1.0000000000000009</v>
      </c>
      <c r="L4927" s="27"/>
      <c r="M4927" s="28"/>
      <c r="N4927" s="28"/>
      <c r="O4927" s="20" t="s">
        <v>7530</v>
      </c>
      <c r="P4927" s="27" t="str">
        <f t="shared" si="229"/>
        <v>vermelho</v>
      </c>
    </row>
    <row r="4928" spans="1:16" ht="25.5">
      <c r="A4928" s="3" t="s">
        <v>4</v>
      </c>
      <c r="B4928" s="3" t="s">
        <v>3752</v>
      </c>
      <c r="C4928" s="4">
        <v>53</v>
      </c>
      <c r="D4928" s="3" t="s">
        <v>34</v>
      </c>
      <c r="E4928" s="3" t="s">
        <v>16</v>
      </c>
      <c r="F4928" s="5">
        <v>96</v>
      </c>
      <c r="G4928" s="5">
        <v>0</v>
      </c>
      <c r="H4928" s="6">
        <v>3693.12</v>
      </c>
      <c r="I4928" s="22">
        <v>0</v>
      </c>
      <c r="J4928" s="24">
        <f t="shared" si="228"/>
        <v>0</v>
      </c>
      <c r="K4928" s="25">
        <f t="shared" si="230"/>
        <v>1.0000000000000009</v>
      </c>
      <c r="L4928" s="27"/>
      <c r="M4928" s="28"/>
      <c r="N4928" s="28"/>
      <c r="O4928" s="20" t="s">
        <v>7530</v>
      </c>
      <c r="P4928" s="27" t="str">
        <f t="shared" si="229"/>
        <v>vermelho</v>
      </c>
    </row>
    <row r="4929" spans="1:16" ht="25.5">
      <c r="A4929" s="3" t="s">
        <v>4</v>
      </c>
      <c r="B4929" s="3" t="s">
        <v>3753</v>
      </c>
      <c r="C4929" s="4">
        <v>178</v>
      </c>
      <c r="D4929" s="3" t="s">
        <v>74</v>
      </c>
      <c r="E4929" s="3" t="s">
        <v>7</v>
      </c>
      <c r="F4929" s="5">
        <v>60</v>
      </c>
      <c r="G4929" s="5">
        <v>0</v>
      </c>
      <c r="H4929" s="6">
        <v>3594.96</v>
      </c>
      <c r="I4929" s="22">
        <v>0</v>
      </c>
      <c r="J4929" s="24">
        <f t="shared" si="228"/>
        <v>0</v>
      </c>
      <c r="K4929" s="25">
        <f t="shared" si="230"/>
        <v>1.0000000000000009</v>
      </c>
      <c r="L4929" s="27"/>
      <c r="M4929" s="28"/>
      <c r="N4929" s="28"/>
      <c r="O4929" s="20" t="s">
        <v>7530</v>
      </c>
      <c r="P4929" s="27" t="str">
        <f t="shared" si="229"/>
        <v>vermelho</v>
      </c>
    </row>
    <row r="4930" spans="1:16" ht="25.5">
      <c r="A4930" s="3" t="s">
        <v>4</v>
      </c>
      <c r="B4930" s="3" t="s">
        <v>3754</v>
      </c>
      <c r="C4930" s="4">
        <v>267</v>
      </c>
      <c r="D4930" s="3" t="s">
        <v>125</v>
      </c>
      <c r="E4930" s="3" t="s">
        <v>16</v>
      </c>
      <c r="F4930" s="5">
        <v>96</v>
      </c>
      <c r="G4930" s="5">
        <v>0</v>
      </c>
      <c r="H4930" s="6">
        <v>5379.18</v>
      </c>
      <c r="I4930" s="22">
        <v>0</v>
      </c>
      <c r="J4930" s="24">
        <f t="shared" si="228"/>
        <v>0</v>
      </c>
      <c r="K4930" s="25">
        <f t="shared" si="230"/>
        <v>1.0000000000000009</v>
      </c>
      <c r="L4930" s="27"/>
      <c r="M4930" s="28"/>
      <c r="N4930" s="28"/>
      <c r="O4930" s="20" t="s">
        <v>7530</v>
      </c>
      <c r="P4930" s="27" t="str">
        <f t="shared" si="229"/>
        <v>vermelho</v>
      </c>
    </row>
    <row r="4931" spans="1:16" ht="25.5">
      <c r="A4931" s="3" t="s">
        <v>4</v>
      </c>
      <c r="B4931" s="3" t="s">
        <v>3755</v>
      </c>
      <c r="C4931" s="4">
        <v>316</v>
      </c>
      <c r="D4931" s="3" t="s">
        <v>247</v>
      </c>
      <c r="E4931" s="3" t="s">
        <v>10</v>
      </c>
      <c r="F4931" s="5">
        <v>162</v>
      </c>
      <c r="G4931" s="5">
        <v>0</v>
      </c>
      <c r="H4931" s="6">
        <v>9866.43</v>
      </c>
      <c r="I4931" s="22">
        <v>0</v>
      </c>
      <c r="J4931" s="24">
        <f t="shared" ref="J4931:J4994" si="231">I4931/$I$6364</f>
        <v>0</v>
      </c>
      <c r="K4931" s="25">
        <f t="shared" si="230"/>
        <v>1.0000000000000009</v>
      </c>
      <c r="L4931" s="27"/>
      <c r="M4931" s="28"/>
      <c r="N4931" s="28"/>
      <c r="O4931" s="20" t="s">
        <v>7530</v>
      </c>
      <c r="P4931" s="27" t="str">
        <f t="shared" ref="P4931:P4994" si="232">IF(O4931&lt;=0,"vermelho",IFERROR(IF(O4931/I4931&lt;=0.5098,"amarelo",IF(O4931/I4931&lt;1,"laranja","verde")),"vermelho"))</f>
        <v>vermelho</v>
      </c>
    </row>
    <row r="4932" spans="1:16" ht="25.5">
      <c r="A4932" s="3" t="s">
        <v>4</v>
      </c>
      <c r="B4932" s="3" t="s">
        <v>3756</v>
      </c>
      <c r="C4932" s="4">
        <v>266</v>
      </c>
      <c r="D4932" s="3" t="s">
        <v>80</v>
      </c>
      <c r="E4932" s="3" t="s">
        <v>10</v>
      </c>
      <c r="F4932" s="5">
        <v>168</v>
      </c>
      <c r="G4932" s="5">
        <v>0</v>
      </c>
      <c r="H4932" s="6">
        <v>10540.92</v>
      </c>
      <c r="I4932" s="22">
        <v>0</v>
      </c>
      <c r="J4932" s="24">
        <f t="shared" si="231"/>
        <v>0</v>
      </c>
      <c r="K4932" s="25">
        <f t="shared" ref="K4932:K4995" si="233">J4932+K4931</f>
        <v>1.0000000000000009</v>
      </c>
      <c r="L4932" s="27"/>
      <c r="M4932" s="28"/>
      <c r="N4932" s="28"/>
      <c r="O4932" s="20" t="s">
        <v>7530</v>
      </c>
      <c r="P4932" s="27" t="str">
        <f t="shared" si="232"/>
        <v>vermelho</v>
      </c>
    </row>
    <row r="4933" spans="1:16" ht="25.5">
      <c r="A4933" s="3" t="s">
        <v>4</v>
      </c>
      <c r="B4933" s="3" t="s">
        <v>3757</v>
      </c>
      <c r="C4933" s="4">
        <v>31</v>
      </c>
      <c r="D4933" s="3" t="s">
        <v>194</v>
      </c>
      <c r="E4933" s="3" t="s">
        <v>16</v>
      </c>
      <c r="F4933" s="5">
        <v>120</v>
      </c>
      <c r="G4933" s="5">
        <v>0</v>
      </c>
      <c r="H4933" s="6">
        <v>6339.12</v>
      </c>
      <c r="I4933" s="22">
        <v>0</v>
      </c>
      <c r="J4933" s="24">
        <f t="shared" si="231"/>
        <v>0</v>
      </c>
      <c r="K4933" s="25">
        <f t="shared" si="233"/>
        <v>1.0000000000000009</v>
      </c>
      <c r="L4933" s="27"/>
      <c r="M4933" s="28"/>
      <c r="N4933" s="28"/>
      <c r="O4933" s="20">
        <v>5489.25</v>
      </c>
      <c r="P4933" s="27" t="str">
        <f t="shared" si="232"/>
        <v>vermelho</v>
      </c>
    </row>
    <row r="4934" spans="1:16" ht="25.5">
      <c r="A4934" s="3" t="s">
        <v>4</v>
      </c>
      <c r="B4934" s="3" t="s">
        <v>3758</v>
      </c>
      <c r="C4934" s="4">
        <v>178</v>
      </c>
      <c r="D4934" s="3" t="s">
        <v>74</v>
      </c>
      <c r="E4934" s="3" t="s">
        <v>7</v>
      </c>
      <c r="F4934" s="5">
        <v>156</v>
      </c>
      <c r="G4934" s="5">
        <v>0</v>
      </c>
      <c r="H4934" s="6">
        <v>8773.32</v>
      </c>
      <c r="I4934" s="22">
        <v>0</v>
      </c>
      <c r="J4934" s="24">
        <f t="shared" si="231"/>
        <v>0</v>
      </c>
      <c r="K4934" s="25">
        <f t="shared" si="233"/>
        <v>1.0000000000000009</v>
      </c>
      <c r="L4934" s="27"/>
      <c r="M4934" s="28"/>
      <c r="N4934" s="28"/>
      <c r="O4934" s="20" t="s">
        <v>7530</v>
      </c>
      <c r="P4934" s="27" t="str">
        <f t="shared" si="232"/>
        <v>vermelho</v>
      </c>
    </row>
    <row r="4935" spans="1:16">
      <c r="A4935" s="3" t="s">
        <v>4</v>
      </c>
      <c r="B4935" s="3" t="s">
        <v>3759</v>
      </c>
      <c r="C4935" s="4">
        <v>15</v>
      </c>
      <c r="D4935" s="3" t="s">
        <v>18</v>
      </c>
      <c r="E4935" s="3" t="s">
        <v>16</v>
      </c>
      <c r="F4935" s="5">
        <v>273</v>
      </c>
      <c r="G4935" s="5">
        <v>0</v>
      </c>
      <c r="H4935" s="6">
        <v>15597.9</v>
      </c>
      <c r="I4935" s="22">
        <v>0</v>
      </c>
      <c r="J4935" s="24">
        <f t="shared" si="231"/>
        <v>0</v>
      </c>
      <c r="K4935" s="25">
        <f t="shared" si="233"/>
        <v>1.0000000000000009</v>
      </c>
      <c r="L4935" s="27"/>
      <c r="M4935" s="28"/>
      <c r="N4935" s="28"/>
      <c r="O4935" s="20" t="s">
        <v>7530</v>
      </c>
      <c r="P4935" s="27" t="str">
        <f t="shared" si="232"/>
        <v>vermelho</v>
      </c>
    </row>
    <row r="4936" spans="1:16" ht="25.5">
      <c r="A4936" s="3" t="s">
        <v>4</v>
      </c>
      <c r="B4936" s="3" t="s">
        <v>3760</v>
      </c>
      <c r="C4936" s="4">
        <v>178</v>
      </c>
      <c r="D4936" s="3" t="s">
        <v>74</v>
      </c>
      <c r="E4936" s="3" t="s">
        <v>7</v>
      </c>
      <c r="F4936" s="5">
        <v>216</v>
      </c>
      <c r="G4936" s="5">
        <v>0</v>
      </c>
      <c r="H4936" s="6">
        <v>12045.84</v>
      </c>
      <c r="I4936" s="22">
        <v>0</v>
      </c>
      <c r="J4936" s="24">
        <f t="shared" si="231"/>
        <v>0</v>
      </c>
      <c r="K4936" s="25">
        <f t="shared" si="233"/>
        <v>1.0000000000000009</v>
      </c>
      <c r="L4936" s="27"/>
      <c r="M4936" s="28"/>
      <c r="N4936" s="28"/>
      <c r="O4936" s="20" t="s">
        <v>7530</v>
      </c>
      <c r="P4936" s="27" t="str">
        <f t="shared" si="232"/>
        <v>vermelho</v>
      </c>
    </row>
    <row r="4937" spans="1:16">
      <c r="A4937" s="3" t="s">
        <v>4</v>
      </c>
      <c r="B4937" s="3" t="s">
        <v>3761</v>
      </c>
      <c r="C4937" s="4">
        <v>334</v>
      </c>
      <c r="D4937" s="3" t="s">
        <v>531</v>
      </c>
      <c r="E4937" s="3" t="s">
        <v>7</v>
      </c>
      <c r="F4937" s="5">
        <v>144</v>
      </c>
      <c r="G4937" s="5">
        <v>0</v>
      </c>
      <c r="H4937" s="6">
        <v>8744.4</v>
      </c>
      <c r="I4937" s="22">
        <v>0</v>
      </c>
      <c r="J4937" s="24">
        <f t="shared" si="231"/>
        <v>0</v>
      </c>
      <c r="K4937" s="25">
        <f t="shared" si="233"/>
        <v>1.0000000000000009</v>
      </c>
      <c r="L4937" s="27"/>
      <c r="M4937" s="28"/>
      <c r="N4937" s="28"/>
      <c r="O4937" s="20" t="s">
        <v>7530</v>
      </c>
      <c r="P4937" s="27" t="str">
        <f t="shared" si="232"/>
        <v>vermelho</v>
      </c>
    </row>
    <row r="4938" spans="1:16">
      <c r="A4938" s="3" t="s">
        <v>4</v>
      </c>
      <c r="B4938" s="3" t="s">
        <v>3762</v>
      </c>
      <c r="C4938" s="4">
        <v>232</v>
      </c>
      <c r="D4938" s="3" t="s">
        <v>174</v>
      </c>
      <c r="E4938" s="3" t="s">
        <v>16</v>
      </c>
      <c r="F4938" s="5">
        <v>48</v>
      </c>
      <c r="G4938" s="5">
        <v>0</v>
      </c>
      <c r="H4938" s="6">
        <v>3944.64</v>
      </c>
      <c r="I4938" s="22">
        <v>0</v>
      </c>
      <c r="J4938" s="24">
        <f t="shared" si="231"/>
        <v>0</v>
      </c>
      <c r="K4938" s="25">
        <f t="shared" si="233"/>
        <v>1.0000000000000009</v>
      </c>
      <c r="L4938" s="27"/>
      <c r="M4938" s="28"/>
      <c r="N4938" s="28"/>
      <c r="O4938" s="20" t="s">
        <v>7530</v>
      </c>
      <c r="P4938" s="27" t="str">
        <f t="shared" si="232"/>
        <v>vermelho</v>
      </c>
    </row>
    <row r="4939" spans="1:16" ht="25.5">
      <c r="A4939" s="3" t="s">
        <v>4</v>
      </c>
      <c r="B4939" s="3" t="s">
        <v>3763</v>
      </c>
      <c r="C4939" s="4">
        <v>335</v>
      </c>
      <c r="D4939" s="3" t="s">
        <v>36</v>
      </c>
      <c r="E4939" s="3" t="s">
        <v>7</v>
      </c>
      <c r="F4939" s="5">
        <v>414</v>
      </c>
      <c r="G4939" s="5">
        <v>0</v>
      </c>
      <c r="H4939" s="6">
        <v>22860.06</v>
      </c>
      <c r="I4939" s="22">
        <v>0</v>
      </c>
      <c r="J4939" s="24">
        <f t="shared" si="231"/>
        <v>0</v>
      </c>
      <c r="K4939" s="25">
        <f t="shared" si="233"/>
        <v>1.0000000000000009</v>
      </c>
      <c r="L4939" s="27"/>
      <c r="M4939" s="28"/>
      <c r="N4939" s="28"/>
      <c r="O4939" s="20" t="s">
        <v>7530</v>
      </c>
      <c r="P4939" s="27" t="str">
        <f t="shared" si="232"/>
        <v>vermelho</v>
      </c>
    </row>
    <row r="4940" spans="1:16">
      <c r="A4940" s="3" t="s">
        <v>4</v>
      </c>
      <c r="B4940" s="3" t="s">
        <v>3764</v>
      </c>
      <c r="C4940" s="4">
        <v>15</v>
      </c>
      <c r="D4940" s="3" t="s">
        <v>18</v>
      </c>
      <c r="E4940" s="3" t="s">
        <v>16</v>
      </c>
      <c r="F4940" s="5">
        <v>150</v>
      </c>
      <c r="G4940" s="5">
        <v>0</v>
      </c>
      <c r="H4940" s="6">
        <v>7808.76</v>
      </c>
      <c r="I4940" s="22">
        <v>0</v>
      </c>
      <c r="J4940" s="24">
        <f t="shared" si="231"/>
        <v>0</v>
      </c>
      <c r="K4940" s="25">
        <f t="shared" si="233"/>
        <v>1.0000000000000009</v>
      </c>
      <c r="L4940" s="27"/>
      <c r="M4940" s="28"/>
      <c r="N4940" s="28"/>
      <c r="O4940" s="20" t="s">
        <v>7530</v>
      </c>
      <c r="P4940" s="27" t="str">
        <f t="shared" si="232"/>
        <v>vermelho</v>
      </c>
    </row>
    <row r="4941" spans="1:16" ht="25.5">
      <c r="A4941" s="3" t="s">
        <v>4</v>
      </c>
      <c r="B4941" s="3" t="s">
        <v>3765</v>
      </c>
      <c r="C4941" s="4">
        <v>337</v>
      </c>
      <c r="D4941" s="3" t="s">
        <v>202</v>
      </c>
      <c r="E4941" s="3" t="s">
        <v>16</v>
      </c>
      <c r="F4941" s="5">
        <v>120</v>
      </c>
      <c r="G4941" s="5">
        <v>0</v>
      </c>
      <c r="H4941" s="6">
        <v>6514.8</v>
      </c>
      <c r="I4941" s="22">
        <v>0</v>
      </c>
      <c r="J4941" s="24">
        <f t="shared" si="231"/>
        <v>0</v>
      </c>
      <c r="K4941" s="25">
        <f t="shared" si="233"/>
        <v>1.0000000000000009</v>
      </c>
      <c r="L4941" s="27"/>
      <c r="M4941" s="28"/>
      <c r="N4941" s="28"/>
      <c r="O4941" s="20" t="s">
        <v>7530</v>
      </c>
      <c r="P4941" s="27" t="str">
        <f t="shared" si="232"/>
        <v>vermelho</v>
      </c>
    </row>
    <row r="4942" spans="1:16" ht="25.5">
      <c r="A4942" s="3" t="s">
        <v>4</v>
      </c>
      <c r="B4942" s="3" t="s">
        <v>3766</v>
      </c>
      <c r="C4942" s="4">
        <v>337</v>
      </c>
      <c r="D4942" s="3" t="s">
        <v>202</v>
      </c>
      <c r="E4942" s="3" t="s">
        <v>16</v>
      </c>
      <c r="F4942" s="5">
        <v>216</v>
      </c>
      <c r="G4942" s="5">
        <v>0</v>
      </c>
      <c r="H4942" s="6">
        <v>11246.4</v>
      </c>
      <c r="I4942" s="22">
        <v>0</v>
      </c>
      <c r="J4942" s="24">
        <f t="shared" si="231"/>
        <v>0</v>
      </c>
      <c r="K4942" s="25">
        <f t="shared" si="233"/>
        <v>1.0000000000000009</v>
      </c>
      <c r="L4942" s="27"/>
      <c r="M4942" s="28"/>
      <c r="N4942" s="28"/>
      <c r="O4942" s="20" t="s">
        <v>7530</v>
      </c>
      <c r="P4942" s="27" t="str">
        <f t="shared" si="232"/>
        <v>vermelho</v>
      </c>
    </row>
    <row r="4943" spans="1:16" ht="25.5">
      <c r="A4943" s="3" t="s">
        <v>4</v>
      </c>
      <c r="B4943" s="3" t="s">
        <v>3767</v>
      </c>
      <c r="C4943" s="4">
        <v>232</v>
      </c>
      <c r="D4943" s="3" t="s">
        <v>174</v>
      </c>
      <c r="E4943" s="3" t="s">
        <v>16</v>
      </c>
      <c r="F4943" s="5">
        <v>369</v>
      </c>
      <c r="G4943" s="5">
        <v>0</v>
      </c>
      <c r="H4943" s="6">
        <v>22044.3</v>
      </c>
      <c r="I4943" s="22">
        <v>0</v>
      </c>
      <c r="J4943" s="24">
        <f t="shared" si="231"/>
        <v>0</v>
      </c>
      <c r="K4943" s="25">
        <f t="shared" si="233"/>
        <v>1.0000000000000009</v>
      </c>
      <c r="L4943" s="27"/>
      <c r="M4943" s="28"/>
      <c r="N4943" s="28"/>
      <c r="O4943" s="20" t="s">
        <v>7530</v>
      </c>
      <c r="P4943" s="27" t="str">
        <f t="shared" si="232"/>
        <v>vermelho</v>
      </c>
    </row>
    <row r="4944" spans="1:16" ht="25.5">
      <c r="A4944" s="3" t="s">
        <v>4</v>
      </c>
      <c r="B4944" s="3" t="s">
        <v>3768</v>
      </c>
      <c r="C4944" s="4">
        <v>266</v>
      </c>
      <c r="D4944" s="3" t="s">
        <v>80</v>
      </c>
      <c r="E4944" s="3" t="s">
        <v>10</v>
      </c>
      <c r="F4944" s="5">
        <v>441</v>
      </c>
      <c r="G4944" s="5">
        <v>0</v>
      </c>
      <c r="H4944" s="6">
        <v>25122.15</v>
      </c>
      <c r="I4944" s="22">
        <v>0</v>
      </c>
      <c r="J4944" s="24">
        <f t="shared" si="231"/>
        <v>0</v>
      </c>
      <c r="K4944" s="25">
        <f t="shared" si="233"/>
        <v>1.0000000000000009</v>
      </c>
      <c r="L4944" s="27"/>
      <c r="M4944" s="28"/>
      <c r="N4944" s="28"/>
      <c r="O4944" s="20" t="s">
        <v>7530</v>
      </c>
      <c r="P4944" s="27" t="str">
        <f t="shared" si="232"/>
        <v>vermelho</v>
      </c>
    </row>
    <row r="4945" spans="1:16" ht="25.5">
      <c r="A4945" s="3" t="s">
        <v>4</v>
      </c>
      <c r="B4945" s="3" t="s">
        <v>3769</v>
      </c>
      <c r="C4945" s="4">
        <v>23</v>
      </c>
      <c r="D4945" s="3" t="s">
        <v>87</v>
      </c>
      <c r="E4945" s="3" t="s">
        <v>7</v>
      </c>
      <c r="F4945" s="5">
        <v>84</v>
      </c>
      <c r="G4945" s="5">
        <v>0</v>
      </c>
      <c r="H4945" s="6">
        <v>3914.16</v>
      </c>
      <c r="I4945" s="22">
        <v>0</v>
      </c>
      <c r="J4945" s="24">
        <f t="shared" si="231"/>
        <v>0</v>
      </c>
      <c r="K4945" s="25">
        <f t="shared" si="233"/>
        <v>1.0000000000000009</v>
      </c>
      <c r="L4945" s="27"/>
      <c r="M4945" s="28"/>
      <c r="N4945" s="28"/>
      <c r="O4945" s="20">
        <v>7458.81</v>
      </c>
      <c r="P4945" s="27" t="str">
        <f t="shared" si="232"/>
        <v>vermelho</v>
      </c>
    </row>
    <row r="4946" spans="1:16" ht="25.5">
      <c r="A4946" s="3" t="s">
        <v>4</v>
      </c>
      <c r="B4946" s="3" t="s">
        <v>3770</v>
      </c>
      <c r="C4946" s="4">
        <v>194</v>
      </c>
      <c r="D4946" s="3" t="s">
        <v>145</v>
      </c>
      <c r="E4946" s="3" t="s">
        <v>16</v>
      </c>
      <c r="F4946" s="5">
        <v>216</v>
      </c>
      <c r="G4946" s="5">
        <v>0</v>
      </c>
      <c r="H4946" s="6">
        <v>11282.16</v>
      </c>
      <c r="I4946" s="22">
        <v>0</v>
      </c>
      <c r="J4946" s="24">
        <f t="shared" si="231"/>
        <v>0</v>
      </c>
      <c r="K4946" s="25">
        <f t="shared" si="233"/>
        <v>1.0000000000000009</v>
      </c>
      <c r="L4946" s="27"/>
      <c r="M4946" s="28"/>
      <c r="N4946" s="28">
        <v>1.0318046567891398E-2</v>
      </c>
      <c r="O4946" s="20">
        <v>6898.14</v>
      </c>
      <c r="P4946" s="27" t="str">
        <f t="shared" si="232"/>
        <v>vermelho</v>
      </c>
    </row>
    <row r="4947" spans="1:16" ht="25.5">
      <c r="A4947" s="3" t="s">
        <v>4</v>
      </c>
      <c r="B4947" s="3" t="s">
        <v>3771</v>
      </c>
      <c r="C4947" s="4">
        <v>321</v>
      </c>
      <c r="D4947" s="3" t="s">
        <v>136</v>
      </c>
      <c r="E4947" s="3" t="s">
        <v>41</v>
      </c>
      <c r="F4947" s="5">
        <v>114</v>
      </c>
      <c r="G4947" s="5">
        <v>0</v>
      </c>
      <c r="H4947" s="6">
        <v>6076.5</v>
      </c>
      <c r="I4947" s="22">
        <v>0</v>
      </c>
      <c r="J4947" s="24">
        <f t="shared" si="231"/>
        <v>0</v>
      </c>
      <c r="K4947" s="25">
        <f t="shared" si="233"/>
        <v>1.0000000000000009</v>
      </c>
      <c r="L4947" s="27"/>
      <c r="M4947" s="28"/>
      <c r="N4947" s="28"/>
      <c r="O4947" s="20" t="s">
        <v>7530</v>
      </c>
      <c r="P4947" s="27" t="str">
        <f t="shared" si="232"/>
        <v>vermelho</v>
      </c>
    </row>
    <row r="4948" spans="1:16" ht="25.5">
      <c r="A4948" s="3" t="s">
        <v>4</v>
      </c>
      <c r="B4948" s="3" t="s">
        <v>3772</v>
      </c>
      <c r="C4948" s="4">
        <v>167</v>
      </c>
      <c r="D4948" s="3" t="s">
        <v>251</v>
      </c>
      <c r="E4948" s="3" t="s">
        <v>49</v>
      </c>
      <c r="F4948" s="5">
        <v>96</v>
      </c>
      <c r="G4948" s="5">
        <v>0</v>
      </c>
      <c r="H4948" s="6">
        <v>4686.24</v>
      </c>
      <c r="I4948" s="22">
        <v>0</v>
      </c>
      <c r="J4948" s="24">
        <f t="shared" si="231"/>
        <v>0</v>
      </c>
      <c r="K4948" s="25">
        <f t="shared" si="233"/>
        <v>1.0000000000000009</v>
      </c>
      <c r="L4948" s="27"/>
      <c r="M4948" s="28"/>
      <c r="N4948" s="28"/>
      <c r="O4948" s="20" t="s">
        <v>7530</v>
      </c>
      <c r="P4948" s="27" t="str">
        <f t="shared" si="232"/>
        <v>vermelho</v>
      </c>
    </row>
    <row r="4949" spans="1:16">
      <c r="A4949" s="3" t="s">
        <v>4</v>
      </c>
      <c r="B4949" s="3" t="s">
        <v>3773</v>
      </c>
      <c r="C4949" s="4">
        <v>264</v>
      </c>
      <c r="D4949" s="3" t="s">
        <v>40</v>
      </c>
      <c r="E4949" s="3" t="s">
        <v>41</v>
      </c>
      <c r="F4949" s="5">
        <v>96</v>
      </c>
      <c r="G4949" s="5">
        <v>0</v>
      </c>
      <c r="H4949" s="6">
        <v>5412</v>
      </c>
      <c r="I4949" s="22">
        <v>0</v>
      </c>
      <c r="J4949" s="24">
        <f t="shared" si="231"/>
        <v>0</v>
      </c>
      <c r="K4949" s="25">
        <f t="shared" si="233"/>
        <v>1.0000000000000009</v>
      </c>
      <c r="L4949" s="27"/>
      <c r="M4949" s="28"/>
      <c r="N4949" s="28"/>
      <c r="O4949" s="20" t="s">
        <v>7530</v>
      </c>
      <c r="P4949" s="27" t="str">
        <f t="shared" si="232"/>
        <v>vermelho</v>
      </c>
    </row>
    <row r="4950" spans="1:16" ht="38.25">
      <c r="A4950" s="3" t="s">
        <v>4</v>
      </c>
      <c r="B4950" s="3" t="s">
        <v>3774</v>
      </c>
      <c r="C4950" s="4">
        <v>45</v>
      </c>
      <c r="D4950" s="3" t="s">
        <v>23</v>
      </c>
      <c r="E4950" s="3" t="s">
        <v>7</v>
      </c>
      <c r="F4950" s="5">
        <v>210</v>
      </c>
      <c r="G4950" s="5">
        <v>0</v>
      </c>
      <c r="H4950" s="6">
        <v>11687.82</v>
      </c>
      <c r="I4950" s="22">
        <v>0</v>
      </c>
      <c r="J4950" s="24">
        <f t="shared" si="231"/>
        <v>0</v>
      </c>
      <c r="K4950" s="25">
        <f t="shared" si="233"/>
        <v>1.0000000000000009</v>
      </c>
      <c r="L4950" s="27"/>
      <c r="M4950" s="28"/>
      <c r="N4950" s="28"/>
      <c r="O4950" s="20" t="s">
        <v>7530</v>
      </c>
      <c r="P4950" s="27" t="str">
        <f t="shared" si="232"/>
        <v>vermelho</v>
      </c>
    </row>
    <row r="4951" spans="1:16" ht="25.5">
      <c r="A4951" s="3" t="s">
        <v>4</v>
      </c>
      <c r="B4951" s="3" t="s">
        <v>3775</v>
      </c>
      <c r="C4951" s="4">
        <v>19</v>
      </c>
      <c r="D4951" s="3" t="s">
        <v>72</v>
      </c>
      <c r="E4951" s="3" t="s">
        <v>41</v>
      </c>
      <c r="F4951" s="5">
        <v>156</v>
      </c>
      <c r="G4951" s="5">
        <v>0</v>
      </c>
      <c r="H4951" s="6">
        <v>9146.64</v>
      </c>
      <c r="I4951" s="22">
        <v>0</v>
      </c>
      <c r="J4951" s="24">
        <f t="shared" si="231"/>
        <v>0</v>
      </c>
      <c r="K4951" s="25">
        <f t="shared" si="233"/>
        <v>1.0000000000000009</v>
      </c>
      <c r="L4951" s="27"/>
      <c r="M4951" s="28"/>
      <c r="N4951" s="28"/>
      <c r="O4951" s="20">
        <v>12635.04</v>
      </c>
      <c r="P4951" s="27" t="str">
        <f t="shared" si="232"/>
        <v>vermelho</v>
      </c>
    </row>
    <row r="4952" spans="1:16" ht="25.5">
      <c r="A4952" s="3" t="s">
        <v>4</v>
      </c>
      <c r="B4952" s="3" t="s">
        <v>3776</v>
      </c>
      <c r="C4952" s="4">
        <v>264</v>
      </c>
      <c r="D4952" s="3" t="s">
        <v>40</v>
      </c>
      <c r="E4952" s="3" t="s">
        <v>10</v>
      </c>
      <c r="F4952" s="5">
        <v>147</v>
      </c>
      <c r="G4952" s="5">
        <v>0</v>
      </c>
      <c r="H4952" s="6">
        <v>7224.45</v>
      </c>
      <c r="I4952" s="22">
        <v>0</v>
      </c>
      <c r="J4952" s="24">
        <f t="shared" si="231"/>
        <v>0</v>
      </c>
      <c r="K4952" s="25">
        <f t="shared" si="233"/>
        <v>1.0000000000000009</v>
      </c>
      <c r="L4952" s="27"/>
      <c r="M4952" s="28"/>
      <c r="N4952" s="28"/>
      <c r="O4952" s="20" t="s">
        <v>7530</v>
      </c>
      <c r="P4952" s="27" t="str">
        <f t="shared" si="232"/>
        <v>vermelho</v>
      </c>
    </row>
    <row r="4953" spans="1:16" ht="25.5">
      <c r="A4953" s="3" t="s">
        <v>4</v>
      </c>
      <c r="B4953" s="3" t="s">
        <v>3777</v>
      </c>
      <c r="C4953" s="4">
        <v>273</v>
      </c>
      <c r="D4953" s="3" t="s">
        <v>149</v>
      </c>
      <c r="E4953" s="3" t="s">
        <v>16</v>
      </c>
      <c r="F4953" s="5">
        <v>105</v>
      </c>
      <c r="G4953" s="5">
        <v>0</v>
      </c>
      <c r="H4953" s="6">
        <v>5195.76</v>
      </c>
      <c r="I4953" s="22">
        <v>0</v>
      </c>
      <c r="J4953" s="24">
        <f t="shared" si="231"/>
        <v>0</v>
      </c>
      <c r="K4953" s="25">
        <f t="shared" si="233"/>
        <v>1.0000000000000009</v>
      </c>
      <c r="L4953" s="27"/>
      <c r="M4953" s="28"/>
      <c r="N4953" s="28"/>
      <c r="O4953" s="20" t="s">
        <v>7530</v>
      </c>
      <c r="P4953" s="27" t="str">
        <f t="shared" si="232"/>
        <v>vermelho</v>
      </c>
    </row>
    <row r="4954" spans="1:16" ht="25.5">
      <c r="A4954" s="3" t="s">
        <v>4</v>
      </c>
      <c r="B4954" s="3" t="s">
        <v>3778</v>
      </c>
      <c r="C4954" s="4">
        <v>296</v>
      </c>
      <c r="D4954" s="3" t="s">
        <v>282</v>
      </c>
      <c r="E4954" s="3" t="s">
        <v>16</v>
      </c>
      <c r="F4954" s="5">
        <v>288</v>
      </c>
      <c r="G4954" s="5">
        <v>0</v>
      </c>
      <c r="H4954" s="6">
        <v>14691.84</v>
      </c>
      <c r="I4954" s="22">
        <v>0</v>
      </c>
      <c r="J4954" s="24">
        <f t="shared" si="231"/>
        <v>0</v>
      </c>
      <c r="K4954" s="25">
        <f t="shared" si="233"/>
        <v>1.0000000000000009</v>
      </c>
      <c r="L4954" s="27"/>
      <c r="M4954" s="28"/>
      <c r="N4954" s="28"/>
      <c r="O4954" s="20" t="s">
        <v>7530</v>
      </c>
      <c r="P4954" s="27" t="str">
        <f t="shared" si="232"/>
        <v>vermelho</v>
      </c>
    </row>
    <row r="4955" spans="1:16" ht="38.25">
      <c r="A4955" s="3" t="s">
        <v>4</v>
      </c>
      <c r="B4955" s="3" t="s">
        <v>3779</v>
      </c>
      <c r="C4955" s="4">
        <v>45</v>
      </c>
      <c r="D4955" s="3" t="s">
        <v>23</v>
      </c>
      <c r="E4955" s="3" t="s">
        <v>7</v>
      </c>
      <c r="F4955" s="5">
        <v>75</v>
      </c>
      <c r="G4955" s="5">
        <v>0</v>
      </c>
      <c r="H4955" s="6">
        <v>4067.25</v>
      </c>
      <c r="I4955" s="22">
        <v>0</v>
      </c>
      <c r="J4955" s="24">
        <f t="shared" si="231"/>
        <v>0</v>
      </c>
      <c r="K4955" s="25">
        <f t="shared" si="233"/>
        <v>1.0000000000000009</v>
      </c>
      <c r="L4955" s="27"/>
      <c r="M4955" s="28"/>
      <c r="N4955" s="28"/>
      <c r="O4955" s="20" t="s">
        <v>7530</v>
      </c>
      <c r="P4955" s="27" t="str">
        <f t="shared" si="232"/>
        <v>vermelho</v>
      </c>
    </row>
    <row r="4956" spans="1:16" ht="38.25">
      <c r="A4956" s="3" t="s">
        <v>4</v>
      </c>
      <c r="B4956" s="3" t="s">
        <v>3780</v>
      </c>
      <c r="C4956" s="4">
        <v>273</v>
      </c>
      <c r="D4956" s="3" t="s">
        <v>149</v>
      </c>
      <c r="E4956" s="3" t="s">
        <v>16</v>
      </c>
      <c r="F4956" s="5">
        <v>60</v>
      </c>
      <c r="G4956" s="5">
        <v>0</v>
      </c>
      <c r="H4956" s="6">
        <v>3363.3</v>
      </c>
      <c r="I4956" s="22">
        <v>0</v>
      </c>
      <c r="J4956" s="24">
        <f t="shared" si="231"/>
        <v>0</v>
      </c>
      <c r="K4956" s="25">
        <f t="shared" si="233"/>
        <v>1.0000000000000009</v>
      </c>
      <c r="L4956" s="27"/>
      <c r="M4956" s="28"/>
      <c r="N4956" s="28"/>
      <c r="O4956" s="20" t="s">
        <v>7530</v>
      </c>
      <c r="P4956" s="27" t="str">
        <f t="shared" si="232"/>
        <v>vermelho</v>
      </c>
    </row>
    <row r="4957" spans="1:16" ht="25.5">
      <c r="A4957" s="3" t="s">
        <v>4</v>
      </c>
      <c r="B4957" s="3" t="s">
        <v>3781</v>
      </c>
      <c r="C4957" s="4">
        <v>197</v>
      </c>
      <c r="D4957" s="3" t="s">
        <v>66</v>
      </c>
      <c r="E4957" s="3" t="s">
        <v>41</v>
      </c>
      <c r="F4957" s="5">
        <v>225</v>
      </c>
      <c r="G4957" s="5">
        <v>0</v>
      </c>
      <c r="H4957" s="6">
        <v>16635.75</v>
      </c>
      <c r="I4957" s="22">
        <v>0</v>
      </c>
      <c r="J4957" s="24">
        <f t="shared" si="231"/>
        <v>0</v>
      </c>
      <c r="K4957" s="25">
        <f t="shared" si="233"/>
        <v>1.0000000000000009</v>
      </c>
      <c r="L4957" s="27"/>
      <c r="M4957" s="28"/>
      <c r="N4957" s="28"/>
      <c r="O4957" s="20" t="s">
        <v>7530</v>
      </c>
      <c r="P4957" s="27" t="str">
        <f t="shared" si="232"/>
        <v>vermelho</v>
      </c>
    </row>
    <row r="4958" spans="1:16" ht="25.5">
      <c r="A4958" s="3" t="s">
        <v>4</v>
      </c>
      <c r="B4958" s="3" t="s">
        <v>3782</v>
      </c>
      <c r="C4958" s="4">
        <v>337</v>
      </c>
      <c r="D4958" s="3" t="s">
        <v>202</v>
      </c>
      <c r="E4958" s="3" t="s">
        <v>16</v>
      </c>
      <c r="F4958" s="5">
        <v>69</v>
      </c>
      <c r="G4958" s="5">
        <v>0</v>
      </c>
      <c r="H4958" s="6">
        <v>2922.31</v>
      </c>
      <c r="I4958" s="22">
        <v>0</v>
      </c>
      <c r="J4958" s="24">
        <f t="shared" si="231"/>
        <v>0</v>
      </c>
      <c r="K4958" s="25">
        <f t="shared" si="233"/>
        <v>1.0000000000000009</v>
      </c>
      <c r="L4958" s="27"/>
      <c r="M4958" s="28"/>
      <c r="N4958" s="28"/>
      <c r="O4958" s="20" t="s">
        <v>7530</v>
      </c>
      <c r="P4958" s="27" t="str">
        <f t="shared" si="232"/>
        <v>vermelho</v>
      </c>
    </row>
    <row r="4959" spans="1:16" ht="25.5">
      <c r="A4959" s="3" t="s">
        <v>4</v>
      </c>
      <c r="B4959" s="3" t="s">
        <v>3783</v>
      </c>
      <c r="C4959" s="4">
        <v>337</v>
      </c>
      <c r="D4959" s="3" t="s">
        <v>202</v>
      </c>
      <c r="E4959" s="3" t="s">
        <v>16</v>
      </c>
      <c r="F4959" s="5">
        <v>168</v>
      </c>
      <c r="G4959" s="5">
        <v>0</v>
      </c>
      <c r="H4959" s="6">
        <v>7232.88</v>
      </c>
      <c r="I4959" s="22">
        <v>0</v>
      </c>
      <c r="J4959" s="24">
        <f t="shared" si="231"/>
        <v>0</v>
      </c>
      <c r="K4959" s="25">
        <f t="shared" si="233"/>
        <v>1.0000000000000009</v>
      </c>
      <c r="L4959" s="27"/>
      <c r="M4959" s="28"/>
      <c r="N4959" s="28"/>
      <c r="O4959" s="20" t="s">
        <v>7530</v>
      </c>
      <c r="P4959" s="27" t="str">
        <f t="shared" si="232"/>
        <v>vermelho</v>
      </c>
    </row>
    <row r="4960" spans="1:16" ht="38.25">
      <c r="A4960" s="3" t="s">
        <v>4</v>
      </c>
      <c r="B4960" s="3" t="s">
        <v>3784</v>
      </c>
      <c r="C4960" s="4">
        <v>301</v>
      </c>
      <c r="D4960" s="3" t="s">
        <v>519</v>
      </c>
      <c r="E4960" s="3" t="s">
        <v>16</v>
      </c>
      <c r="F4960" s="5">
        <v>108</v>
      </c>
      <c r="G4960" s="5">
        <v>0</v>
      </c>
      <c r="H4960" s="6">
        <v>6919.68</v>
      </c>
      <c r="I4960" s="22">
        <v>0</v>
      </c>
      <c r="J4960" s="24">
        <f t="shared" si="231"/>
        <v>0</v>
      </c>
      <c r="K4960" s="25">
        <f t="shared" si="233"/>
        <v>1.0000000000000009</v>
      </c>
      <c r="L4960" s="27"/>
      <c r="M4960" s="28"/>
      <c r="N4960" s="28"/>
      <c r="O4960" s="20" t="s">
        <v>7530</v>
      </c>
      <c r="P4960" s="27" t="str">
        <f t="shared" si="232"/>
        <v>vermelho</v>
      </c>
    </row>
    <row r="4961" spans="1:16">
      <c r="A4961" s="3" t="s">
        <v>4</v>
      </c>
      <c r="B4961" s="3" t="s">
        <v>3785</v>
      </c>
      <c r="C4961" s="4">
        <v>232</v>
      </c>
      <c r="D4961" s="3" t="s">
        <v>174</v>
      </c>
      <c r="E4961" s="3" t="s">
        <v>16</v>
      </c>
      <c r="F4961" s="5">
        <v>90</v>
      </c>
      <c r="G4961" s="5">
        <v>0</v>
      </c>
      <c r="H4961" s="6">
        <v>4631.9399999999996</v>
      </c>
      <c r="I4961" s="22">
        <v>0</v>
      </c>
      <c r="J4961" s="24">
        <f t="shared" si="231"/>
        <v>0</v>
      </c>
      <c r="K4961" s="25">
        <f t="shared" si="233"/>
        <v>1.0000000000000009</v>
      </c>
      <c r="L4961" s="27"/>
      <c r="M4961" s="28"/>
      <c r="N4961" s="28"/>
      <c r="O4961" s="20" t="s">
        <v>7530</v>
      </c>
      <c r="P4961" s="27" t="str">
        <f t="shared" si="232"/>
        <v>vermelho</v>
      </c>
    </row>
    <row r="4962" spans="1:16" ht="25.5">
      <c r="A4962" s="3" t="s">
        <v>4</v>
      </c>
      <c r="B4962" s="3" t="s">
        <v>3786</v>
      </c>
      <c r="C4962" s="4">
        <v>217</v>
      </c>
      <c r="D4962" s="3" t="s">
        <v>91</v>
      </c>
      <c r="E4962" s="3" t="s">
        <v>16</v>
      </c>
      <c r="F4962" s="5">
        <v>279</v>
      </c>
      <c r="G4962" s="5">
        <v>0</v>
      </c>
      <c r="H4962" s="6">
        <v>14979.6</v>
      </c>
      <c r="I4962" s="22">
        <v>0</v>
      </c>
      <c r="J4962" s="24">
        <f t="shared" si="231"/>
        <v>0</v>
      </c>
      <c r="K4962" s="25">
        <f t="shared" si="233"/>
        <v>1.0000000000000009</v>
      </c>
      <c r="L4962" s="27"/>
      <c r="M4962" s="28"/>
      <c r="N4962" s="28"/>
      <c r="O4962" s="20" t="s">
        <v>7530</v>
      </c>
      <c r="P4962" s="27" t="str">
        <f t="shared" si="232"/>
        <v>vermelho</v>
      </c>
    </row>
    <row r="4963" spans="1:16" ht="25.5">
      <c r="A4963" s="3" t="s">
        <v>4</v>
      </c>
      <c r="B4963" s="3" t="s">
        <v>3787</v>
      </c>
      <c r="C4963" s="4">
        <v>261</v>
      </c>
      <c r="D4963" s="3" t="s">
        <v>9</v>
      </c>
      <c r="E4963" s="3" t="s">
        <v>10</v>
      </c>
      <c r="F4963" s="5">
        <v>186</v>
      </c>
      <c r="G4963" s="5">
        <v>0</v>
      </c>
      <c r="H4963" s="6">
        <v>11779.11</v>
      </c>
      <c r="I4963" s="22">
        <v>0</v>
      </c>
      <c r="J4963" s="24">
        <f t="shared" si="231"/>
        <v>0</v>
      </c>
      <c r="K4963" s="25">
        <f t="shared" si="233"/>
        <v>1.0000000000000009</v>
      </c>
      <c r="L4963" s="27"/>
      <c r="M4963" s="28"/>
      <c r="N4963" s="28"/>
      <c r="O4963" s="20" t="s">
        <v>7530</v>
      </c>
      <c r="P4963" s="27" t="str">
        <f t="shared" si="232"/>
        <v>vermelho</v>
      </c>
    </row>
    <row r="4964" spans="1:16" ht="38.25">
      <c r="A4964" s="3" t="s">
        <v>4</v>
      </c>
      <c r="B4964" s="3" t="s">
        <v>3788</v>
      </c>
      <c r="C4964" s="4">
        <v>371</v>
      </c>
      <c r="D4964" s="3" t="s">
        <v>82</v>
      </c>
      <c r="E4964" s="3" t="s">
        <v>49</v>
      </c>
      <c r="F4964" s="5">
        <v>564</v>
      </c>
      <c r="G4964" s="5">
        <v>0</v>
      </c>
      <c r="H4964" s="6">
        <v>27547.356</v>
      </c>
      <c r="I4964" s="22">
        <v>0</v>
      </c>
      <c r="J4964" s="24">
        <f t="shared" si="231"/>
        <v>0</v>
      </c>
      <c r="K4964" s="25">
        <f t="shared" si="233"/>
        <v>1.0000000000000009</v>
      </c>
      <c r="L4964" s="27"/>
      <c r="M4964" s="28"/>
      <c r="N4964" s="28"/>
      <c r="O4964" s="20" t="s">
        <v>7530</v>
      </c>
      <c r="P4964" s="27" t="str">
        <f t="shared" si="232"/>
        <v>vermelho</v>
      </c>
    </row>
    <row r="4965" spans="1:16" ht="25.5">
      <c r="A4965" s="3" t="s">
        <v>4</v>
      </c>
      <c r="B4965" s="3" t="s">
        <v>3789</v>
      </c>
      <c r="C4965" s="4">
        <v>197</v>
      </c>
      <c r="D4965" s="3" t="s">
        <v>66</v>
      </c>
      <c r="E4965" s="3" t="s">
        <v>41</v>
      </c>
      <c r="F4965" s="5">
        <v>36</v>
      </c>
      <c r="G4965" s="5">
        <v>0</v>
      </c>
      <c r="H4965" s="6">
        <v>1889.64</v>
      </c>
      <c r="I4965" s="22">
        <v>0</v>
      </c>
      <c r="J4965" s="24">
        <f t="shared" si="231"/>
        <v>0</v>
      </c>
      <c r="K4965" s="25">
        <f t="shared" si="233"/>
        <v>1.0000000000000009</v>
      </c>
      <c r="L4965" s="27"/>
      <c r="M4965" s="28"/>
      <c r="N4965" s="28"/>
      <c r="O4965" s="20" t="s">
        <v>7530</v>
      </c>
      <c r="P4965" s="27" t="str">
        <f t="shared" si="232"/>
        <v>vermelho</v>
      </c>
    </row>
    <row r="4966" spans="1:16" ht="25.5">
      <c r="A4966" s="3" t="s">
        <v>4</v>
      </c>
      <c r="B4966" s="3" t="s">
        <v>3790</v>
      </c>
      <c r="C4966" s="4">
        <v>266</v>
      </c>
      <c r="D4966" s="3" t="s">
        <v>80</v>
      </c>
      <c r="E4966" s="3" t="s">
        <v>10</v>
      </c>
      <c r="F4966" s="5">
        <v>339</v>
      </c>
      <c r="G4966" s="5">
        <v>0</v>
      </c>
      <c r="H4966" s="6">
        <v>16141.05</v>
      </c>
      <c r="I4966" s="22">
        <v>0</v>
      </c>
      <c r="J4966" s="24">
        <f t="shared" si="231"/>
        <v>0</v>
      </c>
      <c r="K4966" s="25">
        <f t="shared" si="233"/>
        <v>1.0000000000000009</v>
      </c>
      <c r="L4966" s="27"/>
      <c r="M4966" s="28"/>
      <c r="N4966" s="28"/>
      <c r="O4966" s="20" t="s">
        <v>7530</v>
      </c>
      <c r="P4966" s="27" t="str">
        <f t="shared" si="232"/>
        <v>vermelho</v>
      </c>
    </row>
    <row r="4967" spans="1:16" ht="25.5">
      <c r="A4967" s="3" t="s">
        <v>4</v>
      </c>
      <c r="B4967" s="3" t="s">
        <v>3791</v>
      </c>
      <c r="C4967" s="4">
        <v>74</v>
      </c>
      <c r="D4967" s="3" t="s">
        <v>6</v>
      </c>
      <c r="E4967" s="3" t="s">
        <v>7</v>
      </c>
      <c r="F4967" s="5">
        <v>63</v>
      </c>
      <c r="G4967" s="5">
        <v>0</v>
      </c>
      <c r="H4967" s="6">
        <v>4175.37</v>
      </c>
      <c r="I4967" s="22">
        <v>0</v>
      </c>
      <c r="J4967" s="24">
        <f t="shared" si="231"/>
        <v>0</v>
      </c>
      <c r="K4967" s="25">
        <f t="shared" si="233"/>
        <v>1.0000000000000009</v>
      </c>
      <c r="L4967" s="27"/>
      <c r="M4967" s="28"/>
      <c r="N4967" s="28"/>
      <c r="O4967" s="20" t="s">
        <v>7530</v>
      </c>
      <c r="P4967" s="27" t="str">
        <f t="shared" si="232"/>
        <v>vermelho</v>
      </c>
    </row>
    <row r="4968" spans="1:16" ht="51">
      <c r="A4968" s="3" t="s">
        <v>4</v>
      </c>
      <c r="B4968" s="3" t="s">
        <v>3792</v>
      </c>
      <c r="C4968" s="4">
        <v>282</v>
      </c>
      <c r="D4968" s="3" t="s">
        <v>12</v>
      </c>
      <c r="E4968" s="3" t="s">
        <v>13</v>
      </c>
      <c r="F4968" s="5">
        <v>60</v>
      </c>
      <c r="G4968" s="5">
        <v>0</v>
      </c>
      <c r="H4968" s="6">
        <v>3327.48</v>
      </c>
      <c r="I4968" s="22">
        <v>0</v>
      </c>
      <c r="J4968" s="24">
        <f t="shared" si="231"/>
        <v>0</v>
      </c>
      <c r="K4968" s="25">
        <f t="shared" si="233"/>
        <v>1.0000000000000009</v>
      </c>
      <c r="L4968" s="27"/>
      <c r="M4968" s="28"/>
      <c r="N4968" s="28"/>
      <c r="O4968" s="20" t="s">
        <v>7530</v>
      </c>
      <c r="P4968" s="27" t="str">
        <f t="shared" si="232"/>
        <v>vermelho</v>
      </c>
    </row>
    <row r="4969" spans="1:16" ht="25.5">
      <c r="A4969" s="3" t="s">
        <v>4</v>
      </c>
      <c r="B4969" s="3" t="s">
        <v>3793</v>
      </c>
      <c r="C4969" s="4">
        <v>19</v>
      </c>
      <c r="D4969" s="3" t="s">
        <v>72</v>
      </c>
      <c r="E4969" s="3" t="s">
        <v>41</v>
      </c>
      <c r="F4969" s="5">
        <v>324</v>
      </c>
      <c r="G4969" s="5">
        <v>0</v>
      </c>
      <c r="H4969" s="6">
        <v>17914.284</v>
      </c>
      <c r="I4969" s="22">
        <v>0</v>
      </c>
      <c r="J4969" s="24">
        <f t="shared" si="231"/>
        <v>0</v>
      </c>
      <c r="K4969" s="25">
        <f t="shared" si="233"/>
        <v>1.0000000000000009</v>
      </c>
      <c r="L4969" s="27"/>
      <c r="M4969" s="28"/>
      <c r="N4969" s="28"/>
      <c r="O4969" s="20" t="s">
        <v>7530</v>
      </c>
      <c r="P4969" s="27" t="str">
        <f t="shared" si="232"/>
        <v>vermelho</v>
      </c>
    </row>
    <row r="4970" spans="1:16">
      <c r="A4970" s="3" t="s">
        <v>4</v>
      </c>
      <c r="B4970" s="3" t="s">
        <v>3794</v>
      </c>
      <c r="C4970" s="4">
        <v>315</v>
      </c>
      <c r="D4970" s="3" t="s">
        <v>63</v>
      </c>
      <c r="E4970" s="3" t="s">
        <v>7</v>
      </c>
      <c r="F4970" s="5">
        <v>48</v>
      </c>
      <c r="G4970" s="5">
        <v>0</v>
      </c>
      <c r="H4970" s="6">
        <v>3667.5</v>
      </c>
      <c r="I4970" s="22">
        <v>0</v>
      </c>
      <c r="J4970" s="24">
        <f t="shared" si="231"/>
        <v>0</v>
      </c>
      <c r="K4970" s="25">
        <f t="shared" si="233"/>
        <v>1.0000000000000009</v>
      </c>
      <c r="L4970" s="27"/>
      <c r="M4970" s="28"/>
      <c r="N4970" s="28"/>
      <c r="O4970" s="20" t="s">
        <v>7530</v>
      </c>
      <c r="P4970" s="27" t="str">
        <f t="shared" si="232"/>
        <v>vermelho</v>
      </c>
    </row>
    <row r="4971" spans="1:16" ht="25.5">
      <c r="A4971" s="3" t="s">
        <v>4</v>
      </c>
      <c r="B4971" s="3" t="s">
        <v>3795</v>
      </c>
      <c r="C4971" s="4">
        <v>335</v>
      </c>
      <c r="D4971" s="3" t="s">
        <v>36</v>
      </c>
      <c r="E4971" s="3" t="s">
        <v>7</v>
      </c>
      <c r="F4971" s="5">
        <v>60</v>
      </c>
      <c r="G4971" s="5">
        <v>0</v>
      </c>
      <c r="H4971" s="6">
        <v>3371.4</v>
      </c>
      <c r="I4971" s="22">
        <v>0</v>
      </c>
      <c r="J4971" s="24">
        <f t="shared" si="231"/>
        <v>0</v>
      </c>
      <c r="K4971" s="25">
        <f t="shared" si="233"/>
        <v>1.0000000000000009</v>
      </c>
      <c r="L4971" s="27"/>
      <c r="M4971" s="28"/>
      <c r="N4971" s="28"/>
      <c r="O4971" s="20" t="s">
        <v>7530</v>
      </c>
      <c r="P4971" s="27" t="str">
        <f t="shared" si="232"/>
        <v>vermelho</v>
      </c>
    </row>
    <row r="4972" spans="1:16" ht="25.5">
      <c r="A4972" s="3" t="s">
        <v>4</v>
      </c>
      <c r="B4972" s="3" t="s">
        <v>3796</v>
      </c>
      <c r="C4972" s="4">
        <v>264</v>
      </c>
      <c r="D4972" s="3" t="s">
        <v>40</v>
      </c>
      <c r="E4972" s="3" t="s">
        <v>10</v>
      </c>
      <c r="F4972" s="5">
        <v>60</v>
      </c>
      <c r="G4972" s="5">
        <v>0</v>
      </c>
      <c r="H4972" s="6">
        <v>2982.24</v>
      </c>
      <c r="I4972" s="22">
        <v>0</v>
      </c>
      <c r="J4972" s="24">
        <f t="shared" si="231"/>
        <v>0</v>
      </c>
      <c r="K4972" s="25">
        <f t="shared" si="233"/>
        <v>1.0000000000000009</v>
      </c>
      <c r="L4972" s="27"/>
      <c r="M4972" s="28"/>
      <c r="N4972" s="28">
        <v>3.9835823314786134E-2</v>
      </c>
      <c r="O4972" s="20">
        <v>3765.48</v>
      </c>
      <c r="P4972" s="27" t="str">
        <f t="shared" si="232"/>
        <v>vermelho</v>
      </c>
    </row>
    <row r="4973" spans="1:16" ht="25.5">
      <c r="A4973" s="3" t="s">
        <v>4</v>
      </c>
      <c r="B4973" s="3" t="s">
        <v>3796</v>
      </c>
      <c r="C4973" s="4">
        <v>264</v>
      </c>
      <c r="D4973" s="3" t="s">
        <v>40</v>
      </c>
      <c r="E4973" s="3" t="s">
        <v>41</v>
      </c>
      <c r="F4973" s="5">
        <v>60</v>
      </c>
      <c r="G4973" s="5">
        <v>0</v>
      </c>
      <c r="H4973" s="6">
        <v>2948.52</v>
      </c>
      <c r="I4973" s="22">
        <v>0</v>
      </c>
      <c r="J4973" s="24">
        <f t="shared" si="231"/>
        <v>0</v>
      </c>
      <c r="K4973" s="25">
        <f t="shared" si="233"/>
        <v>1.0000000000000009</v>
      </c>
      <c r="L4973" s="27"/>
      <c r="M4973" s="28"/>
      <c r="N4973" s="28">
        <v>3.9835823314786134E-2</v>
      </c>
      <c r="O4973" s="20">
        <v>3765.48</v>
      </c>
      <c r="P4973" s="27" t="str">
        <f t="shared" si="232"/>
        <v>vermelho</v>
      </c>
    </row>
    <row r="4974" spans="1:16" ht="25.5">
      <c r="A4974" s="3" t="s">
        <v>4</v>
      </c>
      <c r="B4974" s="3" t="s">
        <v>3797</v>
      </c>
      <c r="C4974" s="4">
        <v>23</v>
      </c>
      <c r="D4974" s="3" t="s">
        <v>87</v>
      </c>
      <c r="E4974" s="3" t="s">
        <v>7</v>
      </c>
      <c r="F4974" s="5">
        <v>90</v>
      </c>
      <c r="G4974" s="5">
        <v>0</v>
      </c>
      <c r="H4974" s="6">
        <v>5561.1</v>
      </c>
      <c r="I4974" s="22">
        <v>0</v>
      </c>
      <c r="J4974" s="24">
        <f t="shared" si="231"/>
        <v>0</v>
      </c>
      <c r="K4974" s="25">
        <f t="shared" si="233"/>
        <v>1.0000000000000009</v>
      </c>
      <c r="L4974" s="27"/>
      <c r="M4974" s="28"/>
      <c r="N4974" s="28"/>
      <c r="O4974" s="20" t="s">
        <v>7530</v>
      </c>
      <c r="P4974" s="27" t="str">
        <f t="shared" si="232"/>
        <v>vermelho</v>
      </c>
    </row>
    <row r="4975" spans="1:16" ht="25.5">
      <c r="A4975" s="3" t="s">
        <v>4</v>
      </c>
      <c r="B4975" s="3" t="s">
        <v>3798</v>
      </c>
      <c r="C4975" s="4">
        <v>23</v>
      </c>
      <c r="D4975" s="3" t="s">
        <v>87</v>
      </c>
      <c r="E4975" s="3" t="s">
        <v>7</v>
      </c>
      <c r="F4975" s="5">
        <v>72</v>
      </c>
      <c r="G4975" s="5">
        <v>0</v>
      </c>
      <c r="H4975" s="6">
        <v>3335.28</v>
      </c>
      <c r="I4975" s="22">
        <v>0</v>
      </c>
      <c r="J4975" s="24">
        <f t="shared" si="231"/>
        <v>0</v>
      </c>
      <c r="K4975" s="25">
        <f t="shared" si="233"/>
        <v>1.0000000000000009</v>
      </c>
      <c r="L4975" s="27"/>
      <c r="M4975" s="28"/>
      <c r="N4975" s="28"/>
      <c r="O4975" s="20" t="s">
        <v>7530</v>
      </c>
      <c r="P4975" s="27" t="str">
        <f t="shared" si="232"/>
        <v>vermelho</v>
      </c>
    </row>
    <row r="4976" spans="1:16" ht="38.25">
      <c r="A4976" s="3" t="s">
        <v>4</v>
      </c>
      <c r="B4976" s="3" t="s">
        <v>3799</v>
      </c>
      <c r="C4976" s="4">
        <v>11</v>
      </c>
      <c r="D4976" s="3" t="s">
        <v>61</v>
      </c>
      <c r="E4976" s="3" t="s">
        <v>10</v>
      </c>
      <c r="F4976" s="5">
        <v>84</v>
      </c>
      <c r="G4976" s="5">
        <v>0</v>
      </c>
      <c r="H4976" s="6">
        <v>5360.28</v>
      </c>
      <c r="I4976" s="22">
        <v>0</v>
      </c>
      <c r="J4976" s="24">
        <f t="shared" si="231"/>
        <v>0</v>
      </c>
      <c r="K4976" s="25">
        <f t="shared" si="233"/>
        <v>1.0000000000000009</v>
      </c>
      <c r="L4976" s="27"/>
      <c r="M4976" s="28"/>
      <c r="N4976" s="28"/>
      <c r="O4976" s="20">
        <v>10810.68</v>
      </c>
      <c r="P4976" s="27" t="str">
        <f t="shared" si="232"/>
        <v>vermelho</v>
      </c>
    </row>
    <row r="4977" spans="1:16" ht="25.5">
      <c r="A4977" s="3" t="s">
        <v>4</v>
      </c>
      <c r="B4977" s="3" t="s">
        <v>3800</v>
      </c>
      <c r="C4977" s="4">
        <v>31</v>
      </c>
      <c r="D4977" s="3" t="s">
        <v>194</v>
      </c>
      <c r="E4977" s="3" t="s">
        <v>16</v>
      </c>
      <c r="F4977" s="5">
        <v>69</v>
      </c>
      <c r="G4977" s="5">
        <v>0</v>
      </c>
      <c r="H4977" s="6">
        <v>3788.31</v>
      </c>
      <c r="I4977" s="22">
        <v>0</v>
      </c>
      <c r="J4977" s="24">
        <f t="shared" si="231"/>
        <v>0</v>
      </c>
      <c r="K4977" s="25">
        <f t="shared" si="233"/>
        <v>1.0000000000000009</v>
      </c>
      <c r="L4977" s="27"/>
      <c r="M4977" s="28"/>
      <c r="N4977" s="28"/>
      <c r="O4977" s="20" t="s">
        <v>7530</v>
      </c>
      <c r="P4977" s="27" t="str">
        <f t="shared" si="232"/>
        <v>vermelho</v>
      </c>
    </row>
    <row r="4978" spans="1:16" ht="25.5">
      <c r="A4978" s="3" t="s">
        <v>4</v>
      </c>
      <c r="B4978" s="3" t="s">
        <v>3801</v>
      </c>
      <c r="C4978" s="4">
        <v>327</v>
      </c>
      <c r="D4978" s="3" t="s">
        <v>100</v>
      </c>
      <c r="E4978" s="3" t="s">
        <v>7</v>
      </c>
      <c r="F4978" s="5">
        <v>48</v>
      </c>
      <c r="G4978" s="5">
        <v>0</v>
      </c>
      <c r="H4978" s="6">
        <v>2687.52</v>
      </c>
      <c r="I4978" s="22">
        <v>0</v>
      </c>
      <c r="J4978" s="24">
        <f t="shared" si="231"/>
        <v>0</v>
      </c>
      <c r="K4978" s="25">
        <f t="shared" si="233"/>
        <v>1.0000000000000009</v>
      </c>
      <c r="L4978" s="27"/>
      <c r="M4978" s="28"/>
      <c r="N4978" s="28"/>
      <c r="O4978" s="20">
        <v>6452.73</v>
      </c>
      <c r="P4978" s="27" t="str">
        <f t="shared" si="232"/>
        <v>vermelho</v>
      </c>
    </row>
    <row r="4979" spans="1:16">
      <c r="A4979" s="3" t="s">
        <v>4</v>
      </c>
      <c r="B4979" s="3" t="s">
        <v>3802</v>
      </c>
      <c r="C4979" s="4">
        <v>240</v>
      </c>
      <c r="D4979" s="3" t="s">
        <v>69</v>
      </c>
      <c r="E4979" s="3" t="s">
        <v>16</v>
      </c>
      <c r="F4979" s="5">
        <v>96</v>
      </c>
      <c r="G4979" s="5">
        <v>0</v>
      </c>
      <c r="H4979" s="6">
        <v>5213.28</v>
      </c>
      <c r="I4979" s="22">
        <v>0</v>
      </c>
      <c r="J4979" s="24">
        <f t="shared" si="231"/>
        <v>0</v>
      </c>
      <c r="K4979" s="25">
        <f t="shared" si="233"/>
        <v>1.0000000000000009</v>
      </c>
      <c r="L4979" s="27"/>
      <c r="M4979" s="28"/>
      <c r="N4979" s="28"/>
      <c r="O4979" s="20" t="s">
        <v>7530</v>
      </c>
      <c r="P4979" s="27" t="str">
        <f t="shared" si="232"/>
        <v>vermelho</v>
      </c>
    </row>
    <row r="4980" spans="1:16" ht="25.5">
      <c r="A4980" s="3" t="s">
        <v>4</v>
      </c>
      <c r="B4980" s="3" t="s">
        <v>3803</v>
      </c>
      <c r="C4980" s="4">
        <v>320</v>
      </c>
      <c r="D4980" s="3" t="s">
        <v>218</v>
      </c>
      <c r="E4980" s="3" t="s">
        <v>49</v>
      </c>
      <c r="F4980" s="5">
        <v>186</v>
      </c>
      <c r="G4980" s="5">
        <v>0</v>
      </c>
      <c r="H4980" s="6">
        <v>12134.73</v>
      </c>
      <c r="I4980" s="22">
        <v>0</v>
      </c>
      <c r="J4980" s="24">
        <f t="shared" si="231"/>
        <v>0</v>
      </c>
      <c r="K4980" s="25">
        <f t="shared" si="233"/>
        <v>1.0000000000000009</v>
      </c>
      <c r="L4980" s="27"/>
      <c r="M4980" s="28"/>
      <c r="N4980" s="28"/>
      <c r="O4980" s="20" t="s">
        <v>7530</v>
      </c>
      <c r="P4980" s="27" t="str">
        <f t="shared" si="232"/>
        <v>vermelho</v>
      </c>
    </row>
    <row r="4981" spans="1:16" ht="25.5">
      <c r="A4981" s="3" t="s">
        <v>4</v>
      </c>
      <c r="B4981" s="3" t="s">
        <v>3804</v>
      </c>
      <c r="C4981" s="4">
        <v>31</v>
      </c>
      <c r="D4981" s="3" t="s">
        <v>194</v>
      </c>
      <c r="E4981" s="3" t="s">
        <v>16</v>
      </c>
      <c r="F4981" s="5">
        <v>300</v>
      </c>
      <c r="G4981" s="5">
        <v>0</v>
      </c>
      <c r="H4981" s="6">
        <v>17811.240000000002</v>
      </c>
      <c r="I4981" s="22">
        <v>0</v>
      </c>
      <c r="J4981" s="24">
        <f t="shared" si="231"/>
        <v>0</v>
      </c>
      <c r="K4981" s="25">
        <f t="shared" si="233"/>
        <v>1.0000000000000009</v>
      </c>
      <c r="L4981" s="27"/>
      <c r="M4981" s="28"/>
      <c r="N4981" s="28"/>
      <c r="O4981" s="20" t="s">
        <v>7530</v>
      </c>
      <c r="P4981" s="27" t="str">
        <f t="shared" si="232"/>
        <v>vermelho</v>
      </c>
    </row>
    <row r="4982" spans="1:16" ht="25.5">
      <c r="A4982" s="3" t="s">
        <v>4</v>
      </c>
      <c r="B4982" s="3" t="s">
        <v>3805</v>
      </c>
      <c r="C4982" s="4">
        <v>194</v>
      </c>
      <c r="D4982" s="3" t="s">
        <v>145</v>
      </c>
      <c r="E4982" s="3" t="s">
        <v>16</v>
      </c>
      <c r="F4982" s="5">
        <v>273</v>
      </c>
      <c r="G4982" s="5">
        <v>0</v>
      </c>
      <c r="H4982" s="6">
        <v>15920.22</v>
      </c>
      <c r="I4982" s="22">
        <v>0</v>
      </c>
      <c r="J4982" s="24">
        <f t="shared" si="231"/>
        <v>0</v>
      </c>
      <c r="K4982" s="25">
        <f t="shared" si="233"/>
        <v>1.0000000000000009</v>
      </c>
      <c r="L4982" s="27"/>
      <c r="M4982" s="28"/>
      <c r="N4982" s="28"/>
      <c r="O4982" s="20" t="s">
        <v>7530</v>
      </c>
      <c r="P4982" s="27" t="str">
        <f t="shared" si="232"/>
        <v>vermelho</v>
      </c>
    </row>
    <row r="4983" spans="1:16" ht="38.25">
      <c r="A4983" s="3" t="s">
        <v>4</v>
      </c>
      <c r="B4983" s="3" t="s">
        <v>3806</v>
      </c>
      <c r="C4983" s="4">
        <v>301</v>
      </c>
      <c r="D4983" s="3" t="s">
        <v>519</v>
      </c>
      <c r="E4983" s="3" t="s">
        <v>16</v>
      </c>
      <c r="F4983" s="5">
        <v>348</v>
      </c>
      <c r="G4983" s="5">
        <v>0</v>
      </c>
      <c r="H4983" s="6">
        <v>18013.8</v>
      </c>
      <c r="I4983" s="22">
        <v>0</v>
      </c>
      <c r="J4983" s="24">
        <f t="shared" si="231"/>
        <v>0</v>
      </c>
      <c r="K4983" s="25">
        <f t="shared" si="233"/>
        <v>1.0000000000000009</v>
      </c>
      <c r="L4983" s="27"/>
      <c r="M4983" s="28"/>
      <c r="N4983" s="28"/>
      <c r="O4983" s="20" t="s">
        <v>7530</v>
      </c>
      <c r="P4983" s="27" t="str">
        <f t="shared" si="232"/>
        <v>vermelho</v>
      </c>
    </row>
    <row r="4984" spans="1:16" ht="25.5">
      <c r="A4984" s="3" t="s">
        <v>4</v>
      </c>
      <c r="B4984" s="3" t="s">
        <v>3807</v>
      </c>
      <c r="C4984" s="4">
        <v>197</v>
      </c>
      <c r="D4984" s="3" t="s">
        <v>66</v>
      </c>
      <c r="E4984" s="3" t="s">
        <v>41</v>
      </c>
      <c r="F4984" s="5">
        <v>72</v>
      </c>
      <c r="G4984" s="5">
        <v>0</v>
      </c>
      <c r="H4984" s="6">
        <v>3362.88</v>
      </c>
      <c r="I4984" s="22">
        <v>0</v>
      </c>
      <c r="J4984" s="24">
        <f t="shared" si="231"/>
        <v>0</v>
      </c>
      <c r="K4984" s="25">
        <f t="shared" si="233"/>
        <v>1.0000000000000009</v>
      </c>
      <c r="L4984" s="27"/>
      <c r="M4984" s="28"/>
      <c r="N4984" s="28"/>
      <c r="O4984" s="20" t="s">
        <v>7530</v>
      </c>
      <c r="P4984" s="27" t="str">
        <f t="shared" si="232"/>
        <v>vermelho</v>
      </c>
    </row>
    <row r="4985" spans="1:16" ht="25.5">
      <c r="A4985" s="3" t="s">
        <v>4</v>
      </c>
      <c r="B4985" s="3" t="s">
        <v>3808</v>
      </c>
      <c r="C4985" s="4">
        <v>337</v>
      </c>
      <c r="D4985" s="3" t="s">
        <v>202</v>
      </c>
      <c r="E4985" s="3" t="s">
        <v>16</v>
      </c>
      <c r="F4985" s="5">
        <v>54</v>
      </c>
      <c r="G4985" s="5">
        <v>0</v>
      </c>
      <c r="H4985" s="6">
        <v>3243.42</v>
      </c>
      <c r="I4985" s="22">
        <v>0</v>
      </c>
      <c r="J4985" s="24">
        <f t="shared" si="231"/>
        <v>0</v>
      </c>
      <c r="K4985" s="25">
        <f t="shared" si="233"/>
        <v>1.0000000000000009</v>
      </c>
      <c r="L4985" s="27"/>
      <c r="M4985" s="28"/>
      <c r="N4985" s="28"/>
      <c r="O4985" s="20" t="s">
        <v>7530</v>
      </c>
      <c r="P4985" s="27" t="str">
        <f t="shared" si="232"/>
        <v>vermelho</v>
      </c>
    </row>
    <row r="4986" spans="1:16" ht="38.25">
      <c r="A4986" s="3" t="s">
        <v>4</v>
      </c>
      <c r="B4986" s="3" t="s">
        <v>3809</v>
      </c>
      <c r="C4986" s="4">
        <v>292</v>
      </c>
      <c r="D4986" s="3" t="s">
        <v>57</v>
      </c>
      <c r="E4986" s="3" t="s">
        <v>49</v>
      </c>
      <c r="F4986" s="5">
        <v>154</v>
      </c>
      <c r="G4986" s="5">
        <v>0</v>
      </c>
      <c r="H4986" s="6">
        <v>8142.5</v>
      </c>
      <c r="I4986" s="22">
        <v>0</v>
      </c>
      <c r="J4986" s="24">
        <f t="shared" si="231"/>
        <v>0</v>
      </c>
      <c r="K4986" s="25">
        <f t="shared" si="233"/>
        <v>1.0000000000000009</v>
      </c>
      <c r="L4986" s="27"/>
      <c r="M4986" s="28"/>
      <c r="N4986" s="28"/>
      <c r="O4986" s="20" t="s">
        <v>7530</v>
      </c>
      <c r="P4986" s="27" t="str">
        <f t="shared" si="232"/>
        <v>vermelho</v>
      </c>
    </row>
    <row r="4987" spans="1:16" ht="38.25">
      <c r="A4987" s="3" t="s">
        <v>4</v>
      </c>
      <c r="B4987" s="3" t="s">
        <v>3810</v>
      </c>
      <c r="C4987" s="4">
        <v>38</v>
      </c>
      <c r="D4987" s="3" t="s">
        <v>184</v>
      </c>
      <c r="E4987" s="3" t="s">
        <v>49</v>
      </c>
      <c r="F4987" s="5">
        <v>42</v>
      </c>
      <c r="G4987" s="5">
        <v>0</v>
      </c>
      <c r="H4987" s="6">
        <v>2240.58</v>
      </c>
      <c r="I4987" s="22">
        <v>0</v>
      </c>
      <c r="J4987" s="24">
        <f t="shared" si="231"/>
        <v>0</v>
      </c>
      <c r="K4987" s="25">
        <f t="shared" si="233"/>
        <v>1.0000000000000009</v>
      </c>
      <c r="L4987" s="27"/>
      <c r="M4987" s="28"/>
      <c r="N4987" s="28"/>
      <c r="O4987" s="20" t="s">
        <v>7530</v>
      </c>
      <c r="P4987" s="27" t="str">
        <f t="shared" si="232"/>
        <v>vermelho</v>
      </c>
    </row>
    <row r="4988" spans="1:16" ht="25.5">
      <c r="A4988" s="3" t="s">
        <v>4</v>
      </c>
      <c r="B4988" s="3" t="s">
        <v>3811</v>
      </c>
      <c r="C4988" s="4">
        <v>296</v>
      </c>
      <c r="D4988" s="3" t="s">
        <v>282</v>
      </c>
      <c r="E4988" s="3" t="s">
        <v>7</v>
      </c>
      <c r="F4988" s="5">
        <v>108</v>
      </c>
      <c r="G4988" s="5">
        <v>0</v>
      </c>
      <c r="H4988" s="6">
        <v>5784.36</v>
      </c>
      <c r="I4988" s="22">
        <v>0</v>
      </c>
      <c r="J4988" s="24">
        <f t="shared" si="231"/>
        <v>0</v>
      </c>
      <c r="K4988" s="25">
        <f t="shared" si="233"/>
        <v>1.0000000000000009</v>
      </c>
      <c r="L4988" s="27"/>
      <c r="M4988" s="28"/>
      <c r="N4988" s="28"/>
      <c r="O4988" s="20" t="s">
        <v>7530</v>
      </c>
      <c r="P4988" s="27" t="str">
        <f t="shared" si="232"/>
        <v>vermelho</v>
      </c>
    </row>
    <row r="4989" spans="1:16" ht="38.25">
      <c r="A4989" s="3" t="s">
        <v>4</v>
      </c>
      <c r="B4989" s="3" t="s">
        <v>3812</v>
      </c>
      <c r="C4989" s="4">
        <v>302</v>
      </c>
      <c r="D4989" s="3" t="s">
        <v>293</v>
      </c>
      <c r="E4989" s="3" t="s">
        <v>49</v>
      </c>
      <c r="F4989" s="5">
        <v>216</v>
      </c>
      <c r="G4989" s="5">
        <v>0</v>
      </c>
      <c r="H4989" s="6">
        <v>11510.16</v>
      </c>
      <c r="I4989" s="22">
        <v>0</v>
      </c>
      <c r="J4989" s="24">
        <f t="shared" si="231"/>
        <v>0</v>
      </c>
      <c r="K4989" s="25">
        <f t="shared" si="233"/>
        <v>1.0000000000000009</v>
      </c>
      <c r="L4989" s="27"/>
      <c r="M4989" s="28"/>
      <c r="N4989" s="28"/>
      <c r="O4989" s="20" t="s">
        <v>7530</v>
      </c>
      <c r="P4989" s="27" t="str">
        <f t="shared" si="232"/>
        <v>vermelho</v>
      </c>
    </row>
    <row r="4990" spans="1:16" ht="25.5">
      <c r="A4990" s="3" t="s">
        <v>4</v>
      </c>
      <c r="B4990" s="3" t="s">
        <v>3813</v>
      </c>
      <c r="C4990" s="4">
        <v>317</v>
      </c>
      <c r="D4990" s="3" t="s">
        <v>78</v>
      </c>
      <c r="E4990" s="3" t="s">
        <v>10</v>
      </c>
      <c r="F4990" s="5">
        <v>276</v>
      </c>
      <c r="G4990" s="5">
        <v>0</v>
      </c>
      <c r="H4990" s="6">
        <v>17355.240000000002</v>
      </c>
      <c r="I4990" s="22">
        <v>0</v>
      </c>
      <c r="J4990" s="24">
        <f t="shared" si="231"/>
        <v>0</v>
      </c>
      <c r="K4990" s="25">
        <f t="shared" si="233"/>
        <v>1.0000000000000009</v>
      </c>
      <c r="L4990" s="27"/>
      <c r="M4990" s="28"/>
      <c r="N4990" s="28"/>
      <c r="O4990" s="20">
        <v>10553.4</v>
      </c>
      <c r="P4990" s="27" t="str">
        <f t="shared" si="232"/>
        <v>vermelho</v>
      </c>
    </row>
    <row r="4991" spans="1:16">
      <c r="A4991" s="3" t="s">
        <v>4</v>
      </c>
      <c r="B4991" s="3" t="s">
        <v>3814</v>
      </c>
      <c r="C4991" s="4">
        <v>240</v>
      </c>
      <c r="D4991" s="3" t="s">
        <v>69</v>
      </c>
      <c r="E4991" s="3" t="s">
        <v>16</v>
      </c>
      <c r="F4991" s="5">
        <v>108</v>
      </c>
      <c r="G4991" s="5">
        <v>0</v>
      </c>
      <c r="H4991" s="6">
        <v>5130.54</v>
      </c>
      <c r="I4991" s="22">
        <v>0</v>
      </c>
      <c r="J4991" s="24">
        <f t="shared" si="231"/>
        <v>0</v>
      </c>
      <c r="K4991" s="25">
        <f t="shared" si="233"/>
        <v>1.0000000000000009</v>
      </c>
      <c r="L4991" s="27"/>
      <c r="M4991" s="28"/>
      <c r="N4991" s="28"/>
      <c r="O4991" s="20" t="s">
        <v>7530</v>
      </c>
      <c r="P4991" s="27" t="str">
        <f t="shared" si="232"/>
        <v>vermelho</v>
      </c>
    </row>
    <row r="4992" spans="1:16" ht="25.5">
      <c r="A4992" s="3" t="s">
        <v>4</v>
      </c>
      <c r="B4992" s="3" t="s">
        <v>3815</v>
      </c>
      <c r="C4992" s="4">
        <v>302</v>
      </c>
      <c r="D4992" s="3" t="s">
        <v>293</v>
      </c>
      <c r="E4992" s="3" t="s">
        <v>49</v>
      </c>
      <c r="F4992" s="5">
        <v>102</v>
      </c>
      <c r="G4992" s="5">
        <v>0</v>
      </c>
      <c r="H4992" s="6">
        <v>4756.9799999999996</v>
      </c>
      <c r="I4992" s="22">
        <v>0</v>
      </c>
      <c r="J4992" s="24">
        <f t="shared" si="231"/>
        <v>0</v>
      </c>
      <c r="K4992" s="25">
        <f t="shared" si="233"/>
        <v>1.0000000000000009</v>
      </c>
      <c r="L4992" s="27"/>
      <c r="M4992" s="28"/>
      <c r="N4992" s="28"/>
      <c r="O4992" s="20" t="s">
        <v>7530</v>
      </c>
      <c r="P4992" s="27" t="str">
        <f t="shared" si="232"/>
        <v>vermelho</v>
      </c>
    </row>
    <row r="4993" spans="1:16" ht="25.5">
      <c r="A4993" s="3" t="s">
        <v>4</v>
      </c>
      <c r="B4993" s="3" t="s">
        <v>3816</v>
      </c>
      <c r="C4993" s="4">
        <v>273</v>
      </c>
      <c r="D4993" s="3" t="s">
        <v>149</v>
      </c>
      <c r="E4993" s="3" t="s">
        <v>16</v>
      </c>
      <c r="F4993" s="5">
        <v>72</v>
      </c>
      <c r="G4993" s="5">
        <v>0</v>
      </c>
      <c r="H4993" s="6">
        <v>3819.12</v>
      </c>
      <c r="I4993" s="22">
        <v>0</v>
      </c>
      <c r="J4993" s="24">
        <f t="shared" si="231"/>
        <v>0</v>
      </c>
      <c r="K4993" s="25">
        <f t="shared" si="233"/>
        <v>1.0000000000000009</v>
      </c>
      <c r="L4993" s="27"/>
      <c r="M4993" s="28"/>
      <c r="N4993" s="28"/>
      <c r="O4993" s="20" t="s">
        <v>7530</v>
      </c>
      <c r="P4993" s="27" t="str">
        <f t="shared" si="232"/>
        <v>vermelho</v>
      </c>
    </row>
    <row r="4994" spans="1:16" ht="25.5">
      <c r="A4994" s="3" t="s">
        <v>4</v>
      </c>
      <c r="B4994" s="3" t="s">
        <v>3817</v>
      </c>
      <c r="C4994" s="4">
        <v>320</v>
      </c>
      <c r="D4994" s="3" t="s">
        <v>218</v>
      </c>
      <c r="E4994" s="3" t="s">
        <v>49</v>
      </c>
      <c r="F4994" s="5">
        <v>117</v>
      </c>
      <c r="G4994" s="5">
        <v>0</v>
      </c>
      <c r="H4994" s="6">
        <v>6814.17</v>
      </c>
      <c r="I4994" s="22">
        <v>0</v>
      </c>
      <c r="J4994" s="24">
        <f t="shared" si="231"/>
        <v>0</v>
      </c>
      <c r="K4994" s="25">
        <f t="shared" si="233"/>
        <v>1.0000000000000009</v>
      </c>
      <c r="L4994" s="27"/>
      <c r="M4994" s="28"/>
      <c r="N4994" s="28"/>
      <c r="O4994" s="20" t="s">
        <v>7530</v>
      </c>
      <c r="P4994" s="27" t="str">
        <f t="shared" si="232"/>
        <v>vermelho</v>
      </c>
    </row>
    <row r="4995" spans="1:16" ht="25.5">
      <c r="A4995" s="3" t="s">
        <v>4</v>
      </c>
      <c r="B4995" s="3" t="s">
        <v>3818</v>
      </c>
      <c r="C4995" s="4">
        <v>270</v>
      </c>
      <c r="D4995" s="3" t="s">
        <v>266</v>
      </c>
      <c r="E4995" s="3" t="s">
        <v>49</v>
      </c>
      <c r="F4995" s="5">
        <v>60</v>
      </c>
      <c r="G4995" s="5">
        <v>0</v>
      </c>
      <c r="H4995" s="6">
        <v>3995.4</v>
      </c>
      <c r="I4995" s="22">
        <v>0</v>
      </c>
      <c r="J4995" s="24">
        <f t="shared" ref="J4995:J5058" si="234">I4995/$I$6364</f>
        <v>0</v>
      </c>
      <c r="K4995" s="25">
        <f t="shared" si="233"/>
        <v>1.0000000000000009</v>
      </c>
      <c r="L4995" s="27"/>
      <c r="M4995" s="28"/>
      <c r="N4995" s="28"/>
      <c r="O4995" s="20" t="s">
        <v>7530</v>
      </c>
      <c r="P4995" s="27" t="str">
        <f t="shared" ref="P4995:P5058" si="235">IF(O4995&lt;=0,"vermelho",IFERROR(IF(O4995/I4995&lt;=0.5098,"amarelo",IF(O4995/I4995&lt;1,"laranja","verde")),"vermelho"))</f>
        <v>vermelho</v>
      </c>
    </row>
    <row r="4996" spans="1:16" ht="25.5">
      <c r="A4996" s="3" t="s">
        <v>4</v>
      </c>
      <c r="B4996" s="3" t="s">
        <v>3819</v>
      </c>
      <c r="C4996" s="4">
        <v>273</v>
      </c>
      <c r="D4996" s="3" t="s">
        <v>149</v>
      </c>
      <c r="E4996" s="3" t="s">
        <v>16</v>
      </c>
      <c r="F4996" s="5">
        <v>72</v>
      </c>
      <c r="G4996" s="5">
        <v>0</v>
      </c>
      <c r="H4996" s="6">
        <v>3819.12</v>
      </c>
      <c r="I4996" s="22">
        <v>0</v>
      </c>
      <c r="J4996" s="24">
        <f t="shared" si="234"/>
        <v>0</v>
      </c>
      <c r="K4996" s="25">
        <f t="shared" ref="K4996:K5059" si="236">J4996+K4995</f>
        <v>1.0000000000000009</v>
      </c>
      <c r="L4996" s="27"/>
      <c r="M4996" s="28"/>
      <c r="N4996" s="28"/>
      <c r="O4996" s="20" t="s">
        <v>7530</v>
      </c>
      <c r="P4996" s="27" t="str">
        <f t="shared" si="235"/>
        <v>vermelho</v>
      </c>
    </row>
    <row r="4997" spans="1:16" ht="25.5">
      <c r="A4997" s="3" t="s">
        <v>4</v>
      </c>
      <c r="B4997" s="3" t="s">
        <v>3820</v>
      </c>
      <c r="C4997" s="4">
        <v>317</v>
      </c>
      <c r="D4997" s="3" t="s">
        <v>78</v>
      </c>
      <c r="E4997" s="3" t="s">
        <v>10</v>
      </c>
      <c r="F4997" s="5">
        <v>102</v>
      </c>
      <c r="G4997" s="5">
        <v>0</v>
      </c>
      <c r="H4997" s="6">
        <v>5792.64</v>
      </c>
      <c r="I4997" s="22">
        <v>0</v>
      </c>
      <c r="J4997" s="24">
        <f t="shared" si="234"/>
        <v>0</v>
      </c>
      <c r="K4997" s="25">
        <f t="shared" si="236"/>
        <v>1.0000000000000009</v>
      </c>
      <c r="L4997" s="27"/>
      <c r="M4997" s="28"/>
      <c r="N4997" s="28"/>
      <c r="O4997" s="20" t="s">
        <v>7530</v>
      </c>
      <c r="P4997" s="27" t="str">
        <f t="shared" si="235"/>
        <v>vermelho</v>
      </c>
    </row>
    <row r="4998" spans="1:16" ht="25.5">
      <c r="A4998" s="3" t="s">
        <v>4</v>
      </c>
      <c r="B4998" s="3" t="s">
        <v>3821</v>
      </c>
      <c r="C4998" s="4">
        <v>178</v>
      </c>
      <c r="D4998" s="3" t="s">
        <v>74</v>
      </c>
      <c r="E4998" s="3" t="s">
        <v>7</v>
      </c>
      <c r="F4998" s="5">
        <v>384</v>
      </c>
      <c r="G4998" s="5">
        <v>0</v>
      </c>
      <c r="H4998" s="6">
        <v>22424.16</v>
      </c>
      <c r="I4998" s="22">
        <v>0</v>
      </c>
      <c r="J4998" s="24">
        <f t="shared" si="234"/>
        <v>0</v>
      </c>
      <c r="K4998" s="25">
        <f t="shared" si="236"/>
        <v>1.0000000000000009</v>
      </c>
      <c r="L4998" s="27"/>
      <c r="M4998" s="28"/>
      <c r="N4998" s="28"/>
      <c r="O4998" s="20" t="s">
        <v>7530</v>
      </c>
      <c r="P4998" s="27" t="str">
        <f t="shared" si="235"/>
        <v>vermelho</v>
      </c>
    </row>
    <row r="4999" spans="1:16" ht="25.5">
      <c r="A4999" s="3" t="s">
        <v>4</v>
      </c>
      <c r="B4999" s="3" t="s">
        <v>3822</v>
      </c>
      <c r="C4999" s="4">
        <v>93</v>
      </c>
      <c r="D4999" s="3" t="s">
        <v>20</v>
      </c>
      <c r="E4999" s="3" t="s">
        <v>7</v>
      </c>
      <c r="F4999" s="5">
        <v>273</v>
      </c>
      <c r="G4999" s="5">
        <v>0</v>
      </c>
      <c r="H4999" s="6">
        <v>13653.475</v>
      </c>
      <c r="I4999" s="22">
        <v>0</v>
      </c>
      <c r="J4999" s="24">
        <f t="shared" si="234"/>
        <v>0</v>
      </c>
      <c r="K4999" s="25">
        <f t="shared" si="236"/>
        <v>1.0000000000000009</v>
      </c>
      <c r="L4999" s="27"/>
      <c r="M4999" s="28"/>
      <c r="N4999" s="28"/>
      <c r="O4999" s="20" t="s">
        <v>7530</v>
      </c>
      <c r="P4999" s="27" t="str">
        <f t="shared" si="235"/>
        <v>vermelho</v>
      </c>
    </row>
    <row r="5000" spans="1:16" ht="25.5">
      <c r="A5000" s="3" t="s">
        <v>4</v>
      </c>
      <c r="B5000" s="3" t="s">
        <v>3823</v>
      </c>
      <c r="C5000" s="4">
        <v>187</v>
      </c>
      <c r="D5000" s="3" t="s">
        <v>96</v>
      </c>
      <c r="E5000" s="3" t="s">
        <v>7</v>
      </c>
      <c r="F5000" s="5">
        <v>462</v>
      </c>
      <c r="G5000" s="5">
        <v>0</v>
      </c>
      <c r="H5000" s="6">
        <v>26862.407999999999</v>
      </c>
      <c r="I5000" s="22">
        <v>0</v>
      </c>
      <c r="J5000" s="24">
        <f t="shared" si="234"/>
        <v>0</v>
      </c>
      <c r="K5000" s="25">
        <f t="shared" si="236"/>
        <v>1.0000000000000009</v>
      </c>
      <c r="L5000" s="27"/>
      <c r="M5000" s="28"/>
      <c r="N5000" s="28"/>
      <c r="O5000" s="20" t="s">
        <v>7530</v>
      </c>
      <c r="P5000" s="27" t="str">
        <f t="shared" si="235"/>
        <v>vermelho</v>
      </c>
    </row>
    <row r="5001" spans="1:16" ht="25.5">
      <c r="A5001" s="3" t="s">
        <v>4</v>
      </c>
      <c r="B5001" s="3" t="s">
        <v>3824</v>
      </c>
      <c r="C5001" s="4">
        <v>296</v>
      </c>
      <c r="D5001" s="3" t="s">
        <v>282</v>
      </c>
      <c r="E5001" s="3" t="s">
        <v>16</v>
      </c>
      <c r="F5001" s="5">
        <v>72</v>
      </c>
      <c r="G5001" s="5">
        <v>0</v>
      </c>
      <c r="H5001" s="6">
        <v>3354.96</v>
      </c>
      <c r="I5001" s="22">
        <v>0</v>
      </c>
      <c r="J5001" s="24">
        <f t="shared" si="234"/>
        <v>0</v>
      </c>
      <c r="K5001" s="25">
        <f t="shared" si="236"/>
        <v>1.0000000000000009</v>
      </c>
      <c r="L5001" s="27"/>
      <c r="M5001" s="28"/>
      <c r="N5001" s="28"/>
      <c r="O5001" s="20" t="s">
        <v>7530</v>
      </c>
      <c r="P5001" s="27" t="str">
        <f t="shared" si="235"/>
        <v>vermelho</v>
      </c>
    </row>
    <row r="5002" spans="1:16" ht="38.25">
      <c r="A5002" s="3" t="s">
        <v>4</v>
      </c>
      <c r="B5002" s="3" t="s">
        <v>3825</v>
      </c>
      <c r="C5002" s="4">
        <v>301</v>
      </c>
      <c r="D5002" s="3" t="s">
        <v>519</v>
      </c>
      <c r="E5002" s="3" t="s">
        <v>16</v>
      </c>
      <c r="F5002" s="5">
        <v>108</v>
      </c>
      <c r="G5002" s="5">
        <v>0</v>
      </c>
      <c r="H5002" s="6">
        <v>6322.32</v>
      </c>
      <c r="I5002" s="22">
        <v>0</v>
      </c>
      <c r="J5002" s="24">
        <f t="shared" si="234"/>
        <v>0</v>
      </c>
      <c r="K5002" s="25">
        <f t="shared" si="236"/>
        <v>1.0000000000000009</v>
      </c>
      <c r="L5002" s="27"/>
      <c r="M5002" s="28"/>
      <c r="N5002" s="28"/>
      <c r="O5002" s="20" t="s">
        <v>7530</v>
      </c>
      <c r="P5002" s="27" t="str">
        <f t="shared" si="235"/>
        <v>vermelho</v>
      </c>
    </row>
    <row r="5003" spans="1:16" ht="38.25">
      <c r="A5003" s="3" t="s">
        <v>4</v>
      </c>
      <c r="B5003" s="3" t="s">
        <v>3826</v>
      </c>
      <c r="C5003" s="4">
        <v>11</v>
      </c>
      <c r="D5003" s="3" t="s">
        <v>61</v>
      </c>
      <c r="E5003" s="3" t="s">
        <v>10</v>
      </c>
      <c r="F5003" s="5">
        <v>120</v>
      </c>
      <c r="G5003" s="5">
        <v>0</v>
      </c>
      <c r="H5003" s="6">
        <v>6694.08</v>
      </c>
      <c r="I5003" s="22">
        <v>0</v>
      </c>
      <c r="J5003" s="24">
        <f t="shared" si="234"/>
        <v>0</v>
      </c>
      <c r="K5003" s="25">
        <f t="shared" si="236"/>
        <v>1.0000000000000009</v>
      </c>
      <c r="L5003" s="27"/>
      <c r="M5003" s="28"/>
      <c r="N5003" s="28"/>
      <c r="O5003" s="20" t="s">
        <v>7530</v>
      </c>
      <c r="P5003" s="27" t="str">
        <f t="shared" si="235"/>
        <v>vermelho</v>
      </c>
    </row>
    <row r="5004" spans="1:16" ht="38.25">
      <c r="A5004" s="3" t="s">
        <v>4</v>
      </c>
      <c r="B5004" s="3" t="s">
        <v>3827</v>
      </c>
      <c r="C5004" s="4">
        <v>292</v>
      </c>
      <c r="D5004" s="3" t="s">
        <v>57</v>
      </c>
      <c r="E5004" s="3" t="s">
        <v>49</v>
      </c>
      <c r="F5004" s="5">
        <v>72</v>
      </c>
      <c r="G5004" s="5">
        <v>0</v>
      </c>
      <c r="H5004" s="6">
        <v>4610.6400000000003</v>
      </c>
      <c r="I5004" s="22">
        <v>0</v>
      </c>
      <c r="J5004" s="24">
        <f t="shared" si="234"/>
        <v>0</v>
      </c>
      <c r="K5004" s="25">
        <f t="shared" si="236"/>
        <v>1.0000000000000009</v>
      </c>
      <c r="L5004" s="27"/>
      <c r="M5004" s="28"/>
      <c r="N5004" s="28"/>
      <c r="O5004" s="20" t="s">
        <v>7530</v>
      </c>
      <c r="P5004" s="27" t="str">
        <f t="shared" si="235"/>
        <v>vermelho</v>
      </c>
    </row>
    <row r="5005" spans="1:16" ht="25.5">
      <c r="A5005" s="3" t="s">
        <v>4</v>
      </c>
      <c r="B5005" s="3" t="s">
        <v>3828</v>
      </c>
      <c r="C5005" s="4">
        <v>296</v>
      </c>
      <c r="D5005" s="3" t="s">
        <v>282</v>
      </c>
      <c r="E5005" s="3" t="s">
        <v>49</v>
      </c>
      <c r="F5005" s="5">
        <v>201</v>
      </c>
      <c r="G5005" s="5">
        <v>0</v>
      </c>
      <c r="H5005" s="6">
        <v>10892.79</v>
      </c>
      <c r="I5005" s="22">
        <v>0</v>
      </c>
      <c r="J5005" s="24">
        <f t="shared" si="234"/>
        <v>0</v>
      </c>
      <c r="K5005" s="25">
        <f t="shared" si="236"/>
        <v>1.0000000000000009</v>
      </c>
      <c r="L5005" s="27"/>
      <c r="M5005" s="28"/>
      <c r="N5005" s="28"/>
      <c r="O5005" s="20" t="s">
        <v>7530</v>
      </c>
      <c r="P5005" s="27" t="str">
        <f t="shared" si="235"/>
        <v>vermelho</v>
      </c>
    </row>
    <row r="5006" spans="1:16">
      <c r="A5006" s="3" t="s">
        <v>4</v>
      </c>
      <c r="B5006" s="3" t="s">
        <v>3829</v>
      </c>
      <c r="C5006" s="4">
        <v>167</v>
      </c>
      <c r="D5006" s="3" t="s">
        <v>251</v>
      </c>
      <c r="E5006" s="3" t="s">
        <v>49</v>
      </c>
      <c r="F5006" s="5">
        <v>0</v>
      </c>
      <c r="G5006" s="5">
        <v>0</v>
      </c>
      <c r="H5006" s="6">
        <v>0</v>
      </c>
      <c r="I5006" s="22">
        <v>0</v>
      </c>
      <c r="J5006" s="24">
        <f t="shared" si="234"/>
        <v>0</v>
      </c>
      <c r="K5006" s="25">
        <f t="shared" si="236"/>
        <v>1.0000000000000009</v>
      </c>
      <c r="L5006" s="27"/>
      <c r="M5006" s="28"/>
      <c r="N5006" s="28"/>
      <c r="O5006" s="20" t="s">
        <v>7530</v>
      </c>
      <c r="P5006" s="27" t="str">
        <f t="shared" si="235"/>
        <v>vermelho</v>
      </c>
    </row>
    <row r="5007" spans="1:16" ht="25.5">
      <c r="A5007" s="3" t="s">
        <v>4</v>
      </c>
      <c r="B5007" s="3" t="s">
        <v>3830</v>
      </c>
      <c r="C5007" s="4">
        <v>23</v>
      </c>
      <c r="D5007" s="3" t="s">
        <v>87</v>
      </c>
      <c r="E5007" s="3" t="s">
        <v>7</v>
      </c>
      <c r="F5007" s="5">
        <v>96</v>
      </c>
      <c r="G5007" s="5">
        <v>0</v>
      </c>
      <c r="H5007" s="6">
        <v>4932.84</v>
      </c>
      <c r="I5007" s="22">
        <v>0</v>
      </c>
      <c r="J5007" s="24">
        <f t="shared" si="234"/>
        <v>0</v>
      </c>
      <c r="K5007" s="25">
        <f t="shared" si="236"/>
        <v>1.0000000000000009</v>
      </c>
      <c r="L5007" s="27"/>
      <c r="M5007" s="28"/>
      <c r="N5007" s="28"/>
      <c r="O5007" s="20" t="s">
        <v>7530</v>
      </c>
      <c r="P5007" s="27" t="str">
        <f t="shared" si="235"/>
        <v>vermelho</v>
      </c>
    </row>
    <row r="5008" spans="1:16" ht="25.5">
      <c r="A5008" s="3" t="s">
        <v>4</v>
      </c>
      <c r="B5008" s="3" t="s">
        <v>3831</v>
      </c>
      <c r="C5008" s="4">
        <v>264</v>
      </c>
      <c r="D5008" s="3" t="s">
        <v>40</v>
      </c>
      <c r="E5008" s="3" t="s">
        <v>10</v>
      </c>
      <c r="F5008" s="5">
        <v>96</v>
      </c>
      <c r="G5008" s="5">
        <v>0</v>
      </c>
      <c r="H5008" s="6">
        <v>6262.56</v>
      </c>
      <c r="I5008" s="22">
        <v>0</v>
      </c>
      <c r="J5008" s="24">
        <f t="shared" si="234"/>
        <v>0</v>
      </c>
      <c r="K5008" s="25">
        <f t="shared" si="236"/>
        <v>1.0000000000000009</v>
      </c>
      <c r="L5008" s="27"/>
      <c r="M5008" s="28"/>
      <c r="N5008" s="28"/>
      <c r="O5008" s="20" t="s">
        <v>7530</v>
      </c>
      <c r="P5008" s="27" t="str">
        <f t="shared" si="235"/>
        <v>vermelho</v>
      </c>
    </row>
    <row r="5009" spans="1:16" ht="25.5">
      <c r="A5009" s="3" t="s">
        <v>4</v>
      </c>
      <c r="B5009" s="3" t="s">
        <v>3832</v>
      </c>
      <c r="C5009" s="4">
        <v>41</v>
      </c>
      <c r="D5009" s="3" t="s">
        <v>178</v>
      </c>
      <c r="E5009" s="3" t="s">
        <v>41</v>
      </c>
      <c r="F5009" s="5">
        <v>48</v>
      </c>
      <c r="G5009" s="5">
        <v>0</v>
      </c>
      <c r="H5009" s="6">
        <v>2573.2800000000002</v>
      </c>
      <c r="I5009" s="22">
        <v>0</v>
      </c>
      <c r="J5009" s="24">
        <f t="shared" si="234"/>
        <v>0</v>
      </c>
      <c r="K5009" s="25">
        <f t="shared" si="236"/>
        <v>1.0000000000000009</v>
      </c>
      <c r="L5009" s="27"/>
      <c r="M5009" s="28"/>
      <c r="N5009" s="28"/>
      <c r="O5009" s="20" t="s">
        <v>7530</v>
      </c>
      <c r="P5009" s="27" t="str">
        <f t="shared" si="235"/>
        <v>vermelho</v>
      </c>
    </row>
    <row r="5010" spans="1:16" ht="38.25">
      <c r="A5010" s="3" t="s">
        <v>4</v>
      </c>
      <c r="B5010" s="3" t="s">
        <v>3833</v>
      </c>
      <c r="C5010" s="4">
        <v>371</v>
      </c>
      <c r="D5010" s="3" t="s">
        <v>82</v>
      </c>
      <c r="E5010" s="3" t="s">
        <v>49</v>
      </c>
      <c r="F5010" s="5">
        <v>60</v>
      </c>
      <c r="G5010" s="5">
        <v>0</v>
      </c>
      <c r="H5010" s="6">
        <v>2639.4</v>
      </c>
      <c r="I5010" s="22">
        <v>0</v>
      </c>
      <c r="J5010" s="24">
        <f t="shared" si="234"/>
        <v>0</v>
      </c>
      <c r="K5010" s="25">
        <f t="shared" si="236"/>
        <v>1.0000000000000009</v>
      </c>
      <c r="L5010" s="27"/>
      <c r="M5010" s="28"/>
      <c r="N5010" s="28">
        <v>-1.6917917155923449E-2</v>
      </c>
      <c r="O5010" s="20">
        <v>1904.37</v>
      </c>
      <c r="P5010" s="27" t="str">
        <f t="shared" si="235"/>
        <v>vermelho</v>
      </c>
    </row>
    <row r="5011" spans="1:16" ht="25.5">
      <c r="A5011" s="3" t="s">
        <v>4</v>
      </c>
      <c r="B5011" s="3" t="s">
        <v>3834</v>
      </c>
      <c r="C5011" s="4">
        <v>317</v>
      </c>
      <c r="D5011" s="3" t="s">
        <v>78</v>
      </c>
      <c r="E5011" s="3" t="s">
        <v>10</v>
      </c>
      <c r="F5011" s="5">
        <v>66</v>
      </c>
      <c r="G5011" s="5">
        <v>0</v>
      </c>
      <c r="H5011" s="6">
        <v>2991.27</v>
      </c>
      <c r="I5011" s="22">
        <v>0</v>
      </c>
      <c r="J5011" s="24">
        <f t="shared" si="234"/>
        <v>0</v>
      </c>
      <c r="K5011" s="25">
        <f t="shared" si="236"/>
        <v>1.0000000000000009</v>
      </c>
      <c r="L5011" s="27"/>
      <c r="M5011" s="28"/>
      <c r="N5011" s="28"/>
      <c r="O5011" s="20" t="s">
        <v>7530</v>
      </c>
      <c r="P5011" s="27" t="str">
        <f t="shared" si="235"/>
        <v>vermelho</v>
      </c>
    </row>
    <row r="5012" spans="1:16" ht="25.5">
      <c r="A5012" s="3" t="s">
        <v>4</v>
      </c>
      <c r="B5012" s="3" t="s">
        <v>3835</v>
      </c>
      <c r="C5012" s="4">
        <v>232</v>
      </c>
      <c r="D5012" s="3" t="s">
        <v>174</v>
      </c>
      <c r="E5012" s="3" t="s">
        <v>16</v>
      </c>
      <c r="F5012" s="5">
        <v>228</v>
      </c>
      <c r="G5012" s="5">
        <v>0</v>
      </c>
      <c r="H5012" s="6">
        <v>12103.08</v>
      </c>
      <c r="I5012" s="22">
        <v>0</v>
      </c>
      <c r="J5012" s="24">
        <f t="shared" si="234"/>
        <v>0</v>
      </c>
      <c r="K5012" s="25">
        <f t="shared" si="236"/>
        <v>1.0000000000000009</v>
      </c>
      <c r="L5012" s="27"/>
      <c r="M5012" s="28"/>
      <c r="N5012" s="28"/>
      <c r="O5012" s="20" t="s">
        <v>7530</v>
      </c>
      <c r="P5012" s="27" t="str">
        <f t="shared" si="235"/>
        <v>vermelho</v>
      </c>
    </row>
    <row r="5013" spans="1:16" ht="25.5">
      <c r="A5013" s="3" t="s">
        <v>4</v>
      </c>
      <c r="B5013" s="3" t="s">
        <v>3836</v>
      </c>
      <c r="C5013" s="4">
        <v>178</v>
      </c>
      <c r="D5013" s="3" t="s">
        <v>74</v>
      </c>
      <c r="E5013" s="3" t="s">
        <v>7</v>
      </c>
      <c r="F5013" s="5">
        <v>60</v>
      </c>
      <c r="G5013" s="5">
        <v>0</v>
      </c>
      <c r="H5013" s="6">
        <v>3235.2</v>
      </c>
      <c r="I5013" s="22">
        <v>0</v>
      </c>
      <c r="J5013" s="24">
        <f t="shared" si="234"/>
        <v>0</v>
      </c>
      <c r="K5013" s="25">
        <f t="shared" si="236"/>
        <v>1.0000000000000009</v>
      </c>
      <c r="L5013" s="27"/>
      <c r="M5013" s="28"/>
      <c r="N5013" s="28"/>
      <c r="O5013" s="20" t="s">
        <v>7530</v>
      </c>
      <c r="P5013" s="27" t="str">
        <f t="shared" si="235"/>
        <v>vermelho</v>
      </c>
    </row>
    <row r="5014" spans="1:16" ht="25.5">
      <c r="A5014" s="3" t="s">
        <v>4</v>
      </c>
      <c r="B5014" s="3" t="s">
        <v>3837</v>
      </c>
      <c r="C5014" s="4">
        <v>197</v>
      </c>
      <c r="D5014" s="3" t="s">
        <v>66</v>
      </c>
      <c r="E5014" s="3" t="s">
        <v>41</v>
      </c>
      <c r="F5014" s="5">
        <v>48</v>
      </c>
      <c r="G5014" s="5">
        <v>0</v>
      </c>
      <c r="H5014" s="6">
        <v>2110.6840000000002</v>
      </c>
      <c r="I5014" s="22">
        <v>0</v>
      </c>
      <c r="J5014" s="24">
        <f t="shared" si="234"/>
        <v>0</v>
      </c>
      <c r="K5014" s="25">
        <f t="shared" si="236"/>
        <v>1.0000000000000009</v>
      </c>
      <c r="L5014" s="27"/>
      <c r="M5014" s="28"/>
      <c r="N5014" s="28"/>
      <c r="O5014" s="20" t="s">
        <v>7530</v>
      </c>
      <c r="P5014" s="27" t="str">
        <f t="shared" si="235"/>
        <v>vermelho</v>
      </c>
    </row>
    <row r="5015" spans="1:16" ht="25.5">
      <c r="A5015" s="3" t="s">
        <v>4</v>
      </c>
      <c r="B5015" s="3" t="s">
        <v>3838</v>
      </c>
      <c r="C5015" s="4">
        <v>273</v>
      </c>
      <c r="D5015" s="3" t="s">
        <v>149</v>
      </c>
      <c r="E5015" s="3" t="s">
        <v>16</v>
      </c>
      <c r="F5015" s="5">
        <v>84</v>
      </c>
      <c r="G5015" s="5">
        <v>0</v>
      </c>
      <c r="H5015" s="6">
        <v>4859.28</v>
      </c>
      <c r="I5015" s="22">
        <v>0</v>
      </c>
      <c r="J5015" s="24">
        <f t="shared" si="234"/>
        <v>0</v>
      </c>
      <c r="K5015" s="25">
        <f t="shared" si="236"/>
        <v>1.0000000000000009</v>
      </c>
      <c r="L5015" s="27"/>
      <c r="M5015" s="28"/>
      <c r="N5015" s="28"/>
      <c r="O5015" s="20" t="s">
        <v>7530</v>
      </c>
      <c r="P5015" s="27" t="str">
        <f t="shared" si="235"/>
        <v>vermelho</v>
      </c>
    </row>
    <row r="5016" spans="1:16" ht="25.5">
      <c r="A5016" s="3" t="s">
        <v>4</v>
      </c>
      <c r="B5016" s="3" t="s">
        <v>3839</v>
      </c>
      <c r="C5016" s="4">
        <v>297</v>
      </c>
      <c r="D5016" s="3" t="s">
        <v>115</v>
      </c>
      <c r="E5016" s="3" t="s">
        <v>41</v>
      </c>
      <c r="F5016" s="5">
        <v>396</v>
      </c>
      <c r="G5016" s="5">
        <v>0</v>
      </c>
      <c r="H5016" s="6">
        <v>21202.32</v>
      </c>
      <c r="I5016" s="22">
        <v>0</v>
      </c>
      <c r="J5016" s="24">
        <f t="shared" si="234"/>
        <v>0</v>
      </c>
      <c r="K5016" s="25">
        <f t="shared" si="236"/>
        <v>1.0000000000000009</v>
      </c>
      <c r="L5016" s="27"/>
      <c r="M5016" s="28"/>
      <c r="N5016" s="28"/>
      <c r="O5016" s="20">
        <v>10643.94</v>
      </c>
      <c r="P5016" s="27" t="str">
        <f t="shared" si="235"/>
        <v>vermelho</v>
      </c>
    </row>
    <row r="5017" spans="1:16">
      <c r="A5017" s="3" t="s">
        <v>4</v>
      </c>
      <c r="B5017" s="3" t="s">
        <v>3840</v>
      </c>
      <c r="C5017" s="4">
        <v>15</v>
      </c>
      <c r="D5017" s="3" t="s">
        <v>18</v>
      </c>
      <c r="E5017" s="3" t="s">
        <v>16</v>
      </c>
      <c r="F5017" s="5">
        <v>72</v>
      </c>
      <c r="G5017" s="5">
        <v>0</v>
      </c>
      <c r="H5017" s="6">
        <v>2992.92</v>
      </c>
      <c r="I5017" s="22">
        <v>0</v>
      </c>
      <c r="J5017" s="24">
        <f t="shared" si="234"/>
        <v>0</v>
      </c>
      <c r="K5017" s="25">
        <f t="shared" si="236"/>
        <v>1.0000000000000009</v>
      </c>
      <c r="L5017" s="27"/>
      <c r="M5017" s="28"/>
      <c r="N5017" s="28"/>
      <c r="O5017" s="20" t="s">
        <v>7530</v>
      </c>
      <c r="P5017" s="27" t="str">
        <f t="shared" si="235"/>
        <v>vermelho</v>
      </c>
    </row>
    <row r="5018" spans="1:16" ht="25.5">
      <c r="A5018" s="3" t="s">
        <v>4</v>
      </c>
      <c r="B5018" s="3" t="s">
        <v>3841</v>
      </c>
      <c r="C5018" s="4">
        <v>267</v>
      </c>
      <c r="D5018" s="3" t="s">
        <v>125</v>
      </c>
      <c r="E5018" s="3" t="s">
        <v>16</v>
      </c>
      <c r="F5018" s="5">
        <v>72</v>
      </c>
      <c r="G5018" s="5">
        <v>0</v>
      </c>
      <c r="H5018" s="6">
        <v>3230.64</v>
      </c>
      <c r="I5018" s="22">
        <v>0</v>
      </c>
      <c r="J5018" s="24">
        <f t="shared" si="234"/>
        <v>0</v>
      </c>
      <c r="K5018" s="25">
        <f t="shared" si="236"/>
        <v>1.0000000000000009</v>
      </c>
      <c r="L5018" s="27"/>
      <c r="M5018" s="28"/>
      <c r="N5018" s="28"/>
      <c r="O5018" s="20" t="s">
        <v>7530</v>
      </c>
      <c r="P5018" s="27" t="str">
        <f t="shared" si="235"/>
        <v>vermelho</v>
      </c>
    </row>
    <row r="5019" spans="1:16">
      <c r="A5019" s="3" t="s">
        <v>4</v>
      </c>
      <c r="B5019" s="3" t="s">
        <v>3842</v>
      </c>
      <c r="C5019" s="4">
        <v>15</v>
      </c>
      <c r="D5019" s="3" t="s">
        <v>18</v>
      </c>
      <c r="E5019" s="3" t="s">
        <v>16</v>
      </c>
      <c r="F5019" s="5">
        <v>72</v>
      </c>
      <c r="G5019" s="5">
        <v>0</v>
      </c>
      <c r="H5019" s="6">
        <v>4185.3599999999997</v>
      </c>
      <c r="I5019" s="22">
        <v>0</v>
      </c>
      <c r="J5019" s="24">
        <f t="shared" si="234"/>
        <v>0</v>
      </c>
      <c r="K5019" s="25">
        <f t="shared" si="236"/>
        <v>1.0000000000000009</v>
      </c>
      <c r="L5019" s="27"/>
      <c r="M5019" s="28"/>
      <c r="N5019" s="28"/>
      <c r="O5019" s="20" t="s">
        <v>7530</v>
      </c>
      <c r="P5019" s="27" t="str">
        <f t="shared" si="235"/>
        <v>vermelho</v>
      </c>
    </row>
    <row r="5020" spans="1:16" ht="38.25">
      <c r="A5020" s="3" t="s">
        <v>4</v>
      </c>
      <c r="B5020" s="3" t="s">
        <v>3843</v>
      </c>
      <c r="C5020" s="4">
        <v>34</v>
      </c>
      <c r="D5020" s="3" t="s">
        <v>54</v>
      </c>
      <c r="E5020" s="3" t="s">
        <v>49</v>
      </c>
      <c r="F5020" s="5">
        <v>48</v>
      </c>
      <c r="G5020" s="5">
        <v>0</v>
      </c>
      <c r="H5020" s="6">
        <v>2107.6799999999998</v>
      </c>
      <c r="I5020" s="22">
        <v>0</v>
      </c>
      <c r="J5020" s="24">
        <f t="shared" si="234"/>
        <v>0</v>
      </c>
      <c r="K5020" s="25">
        <f t="shared" si="236"/>
        <v>1.0000000000000009</v>
      </c>
      <c r="L5020" s="27"/>
      <c r="M5020" s="28"/>
      <c r="N5020" s="28"/>
      <c r="O5020" s="20" t="s">
        <v>7530</v>
      </c>
      <c r="P5020" s="27" t="str">
        <f t="shared" si="235"/>
        <v>vermelho</v>
      </c>
    </row>
    <row r="5021" spans="1:16" ht="25.5">
      <c r="A5021" s="3" t="s">
        <v>4</v>
      </c>
      <c r="B5021" s="3" t="s">
        <v>3844</v>
      </c>
      <c r="C5021" s="4">
        <v>23</v>
      </c>
      <c r="D5021" s="3" t="s">
        <v>87</v>
      </c>
      <c r="E5021" s="3" t="s">
        <v>7</v>
      </c>
      <c r="F5021" s="5">
        <v>579</v>
      </c>
      <c r="G5021" s="5">
        <v>0</v>
      </c>
      <c r="H5021" s="6">
        <v>36246.81</v>
      </c>
      <c r="I5021" s="22">
        <v>0</v>
      </c>
      <c r="J5021" s="24">
        <f t="shared" si="234"/>
        <v>0</v>
      </c>
      <c r="K5021" s="25">
        <f t="shared" si="236"/>
        <v>1.0000000000000009</v>
      </c>
      <c r="L5021" s="27"/>
      <c r="M5021" s="28"/>
      <c r="N5021" s="28"/>
      <c r="O5021" s="20" t="s">
        <v>7530</v>
      </c>
      <c r="P5021" s="27" t="str">
        <f t="shared" si="235"/>
        <v>vermelho</v>
      </c>
    </row>
    <row r="5022" spans="1:16" ht="51">
      <c r="A5022" s="3" t="s">
        <v>4</v>
      </c>
      <c r="B5022" s="3" t="s">
        <v>3845</v>
      </c>
      <c r="C5022" s="4">
        <v>187</v>
      </c>
      <c r="D5022" s="3" t="s">
        <v>96</v>
      </c>
      <c r="E5022" s="3" t="s">
        <v>7</v>
      </c>
      <c r="F5022" s="5">
        <v>42</v>
      </c>
      <c r="G5022" s="5">
        <v>0</v>
      </c>
      <c r="H5022" s="6">
        <v>2712.174</v>
      </c>
      <c r="I5022" s="22">
        <v>0</v>
      </c>
      <c r="J5022" s="24">
        <f t="shared" si="234"/>
        <v>0</v>
      </c>
      <c r="K5022" s="25">
        <f t="shared" si="236"/>
        <v>1.0000000000000009</v>
      </c>
      <c r="L5022" s="27"/>
      <c r="M5022" s="28"/>
      <c r="N5022" s="28"/>
      <c r="O5022" s="20" t="s">
        <v>7530</v>
      </c>
      <c r="P5022" s="27" t="str">
        <f t="shared" si="235"/>
        <v>vermelho</v>
      </c>
    </row>
    <row r="5023" spans="1:16" ht="51">
      <c r="A5023" s="3" t="s">
        <v>4</v>
      </c>
      <c r="B5023" s="3" t="s">
        <v>3846</v>
      </c>
      <c r="C5023" s="4">
        <v>282</v>
      </c>
      <c r="D5023" s="3" t="s">
        <v>12</v>
      </c>
      <c r="E5023" s="3" t="s">
        <v>13</v>
      </c>
      <c r="F5023" s="5">
        <v>198</v>
      </c>
      <c r="G5023" s="5">
        <v>0</v>
      </c>
      <c r="H5023" s="6">
        <v>5353.44</v>
      </c>
      <c r="I5023" s="22">
        <v>0</v>
      </c>
      <c r="J5023" s="24">
        <f t="shared" si="234"/>
        <v>0</v>
      </c>
      <c r="K5023" s="25">
        <f t="shared" si="236"/>
        <v>1.0000000000000009</v>
      </c>
      <c r="L5023" s="27"/>
      <c r="M5023" s="28"/>
      <c r="N5023" s="28"/>
      <c r="O5023" s="20" t="s">
        <v>7530</v>
      </c>
      <c r="P5023" s="27" t="str">
        <f t="shared" si="235"/>
        <v>vermelho</v>
      </c>
    </row>
    <row r="5024" spans="1:16" ht="25.5">
      <c r="A5024" s="3" t="s">
        <v>4</v>
      </c>
      <c r="B5024" s="3" t="s">
        <v>3847</v>
      </c>
      <c r="C5024" s="4">
        <v>31</v>
      </c>
      <c r="D5024" s="3" t="s">
        <v>194</v>
      </c>
      <c r="E5024" s="3" t="s">
        <v>16</v>
      </c>
      <c r="F5024" s="5">
        <v>237</v>
      </c>
      <c r="G5024" s="5">
        <v>0</v>
      </c>
      <c r="H5024" s="6">
        <v>12380.19</v>
      </c>
      <c r="I5024" s="22">
        <v>0</v>
      </c>
      <c r="J5024" s="24">
        <f t="shared" si="234"/>
        <v>0</v>
      </c>
      <c r="K5024" s="25">
        <f t="shared" si="236"/>
        <v>1.0000000000000009</v>
      </c>
      <c r="L5024" s="27"/>
      <c r="M5024" s="28"/>
      <c r="N5024" s="28"/>
      <c r="O5024" s="20">
        <v>2769.6</v>
      </c>
      <c r="P5024" s="27" t="str">
        <f t="shared" si="235"/>
        <v>vermelho</v>
      </c>
    </row>
    <row r="5025" spans="1:16" ht="25.5">
      <c r="A5025" s="3" t="s">
        <v>4</v>
      </c>
      <c r="B5025" s="3" t="s">
        <v>3848</v>
      </c>
      <c r="C5025" s="4">
        <v>197</v>
      </c>
      <c r="D5025" s="3" t="s">
        <v>66</v>
      </c>
      <c r="E5025" s="3" t="s">
        <v>41</v>
      </c>
      <c r="F5025" s="5">
        <v>165</v>
      </c>
      <c r="G5025" s="5">
        <v>0</v>
      </c>
      <c r="H5025" s="6">
        <v>8002.473</v>
      </c>
      <c r="I5025" s="22">
        <v>0</v>
      </c>
      <c r="J5025" s="24">
        <f t="shared" si="234"/>
        <v>0</v>
      </c>
      <c r="K5025" s="25">
        <f t="shared" si="236"/>
        <v>1.0000000000000009</v>
      </c>
      <c r="L5025" s="27"/>
      <c r="M5025" s="28"/>
      <c r="N5025" s="28"/>
      <c r="O5025" s="20">
        <v>9979.92</v>
      </c>
      <c r="P5025" s="27" t="str">
        <f t="shared" si="235"/>
        <v>vermelho</v>
      </c>
    </row>
    <row r="5026" spans="1:16" ht="38.25">
      <c r="A5026" s="3" t="s">
        <v>4</v>
      </c>
      <c r="B5026" s="3" t="s">
        <v>3849</v>
      </c>
      <c r="C5026" s="4">
        <v>292</v>
      </c>
      <c r="D5026" s="3" t="s">
        <v>57</v>
      </c>
      <c r="E5026" s="3" t="s">
        <v>49</v>
      </c>
      <c r="F5026" s="5">
        <v>96</v>
      </c>
      <c r="G5026" s="5">
        <v>0</v>
      </c>
      <c r="H5026" s="6">
        <v>5354.88</v>
      </c>
      <c r="I5026" s="22">
        <v>0</v>
      </c>
      <c r="J5026" s="24">
        <f t="shared" si="234"/>
        <v>0</v>
      </c>
      <c r="K5026" s="25">
        <f t="shared" si="236"/>
        <v>1.0000000000000009</v>
      </c>
      <c r="L5026" s="27"/>
      <c r="M5026" s="28"/>
      <c r="N5026" s="28"/>
      <c r="O5026" s="20" t="s">
        <v>7530</v>
      </c>
      <c r="P5026" s="27" t="str">
        <f t="shared" si="235"/>
        <v>vermelho</v>
      </c>
    </row>
    <row r="5027" spans="1:16" ht="25.5">
      <c r="A5027" s="3" t="s">
        <v>4</v>
      </c>
      <c r="B5027" s="3" t="s">
        <v>3850</v>
      </c>
      <c r="C5027" s="4">
        <v>270</v>
      </c>
      <c r="D5027" s="3" t="s">
        <v>266</v>
      </c>
      <c r="E5027" s="3" t="s">
        <v>49</v>
      </c>
      <c r="F5027" s="5">
        <v>162</v>
      </c>
      <c r="G5027" s="5">
        <v>0</v>
      </c>
      <c r="H5027" s="6">
        <v>8730.42</v>
      </c>
      <c r="I5027" s="22">
        <v>0</v>
      </c>
      <c r="J5027" s="24">
        <f t="shared" si="234"/>
        <v>0</v>
      </c>
      <c r="K5027" s="25">
        <f t="shared" si="236"/>
        <v>1.0000000000000009</v>
      </c>
      <c r="L5027" s="27"/>
      <c r="M5027" s="28"/>
      <c r="N5027" s="28"/>
      <c r="O5027" s="20" t="s">
        <v>7530</v>
      </c>
      <c r="P5027" s="27" t="str">
        <f t="shared" si="235"/>
        <v>vermelho</v>
      </c>
    </row>
    <row r="5028" spans="1:16" ht="25.5">
      <c r="A5028" s="3" t="s">
        <v>4</v>
      </c>
      <c r="B5028" s="3" t="s">
        <v>3851</v>
      </c>
      <c r="C5028" s="4">
        <v>266</v>
      </c>
      <c r="D5028" s="3" t="s">
        <v>80</v>
      </c>
      <c r="E5028" s="3" t="s">
        <v>10</v>
      </c>
      <c r="F5028" s="5">
        <v>342</v>
      </c>
      <c r="G5028" s="5">
        <v>0</v>
      </c>
      <c r="H5028" s="6">
        <v>16860.240000000002</v>
      </c>
      <c r="I5028" s="22">
        <v>0</v>
      </c>
      <c r="J5028" s="24">
        <f t="shared" si="234"/>
        <v>0</v>
      </c>
      <c r="K5028" s="25">
        <f t="shared" si="236"/>
        <v>1.0000000000000009</v>
      </c>
      <c r="L5028" s="27"/>
      <c r="M5028" s="28"/>
      <c r="N5028" s="28"/>
      <c r="O5028" s="20" t="s">
        <v>7530</v>
      </c>
      <c r="P5028" s="27" t="str">
        <f t="shared" si="235"/>
        <v>vermelho</v>
      </c>
    </row>
    <row r="5029" spans="1:16" ht="25.5">
      <c r="A5029" s="3" t="s">
        <v>4</v>
      </c>
      <c r="B5029" s="3" t="s">
        <v>3852</v>
      </c>
      <c r="C5029" s="4">
        <v>266</v>
      </c>
      <c r="D5029" s="3" t="s">
        <v>80</v>
      </c>
      <c r="E5029" s="3" t="s">
        <v>10</v>
      </c>
      <c r="F5029" s="5">
        <v>84</v>
      </c>
      <c r="G5029" s="5">
        <v>0</v>
      </c>
      <c r="H5029" s="6">
        <v>5086.2</v>
      </c>
      <c r="I5029" s="22">
        <v>0</v>
      </c>
      <c r="J5029" s="24">
        <f t="shared" si="234"/>
        <v>0</v>
      </c>
      <c r="K5029" s="25">
        <f t="shared" si="236"/>
        <v>1.0000000000000009</v>
      </c>
      <c r="L5029" s="27"/>
      <c r="M5029" s="28"/>
      <c r="N5029" s="28"/>
      <c r="O5029" s="20" t="s">
        <v>7530</v>
      </c>
      <c r="P5029" s="27" t="str">
        <f t="shared" si="235"/>
        <v>vermelho</v>
      </c>
    </row>
    <row r="5030" spans="1:16" ht="38.25">
      <c r="A5030" s="3" t="s">
        <v>4</v>
      </c>
      <c r="B5030" s="3" t="s">
        <v>3853</v>
      </c>
      <c r="C5030" s="4">
        <v>301</v>
      </c>
      <c r="D5030" s="3" t="s">
        <v>519</v>
      </c>
      <c r="E5030" s="3" t="s">
        <v>16</v>
      </c>
      <c r="F5030" s="5">
        <v>96</v>
      </c>
      <c r="G5030" s="5">
        <v>0</v>
      </c>
      <c r="H5030" s="6">
        <v>4385.28</v>
      </c>
      <c r="I5030" s="22">
        <v>0</v>
      </c>
      <c r="J5030" s="24">
        <f t="shared" si="234"/>
        <v>0</v>
      </c>
      <c r="K5030" s="25">
        <f t="shared" si="236"/>
        <v>1.0000000000000009</v>
      </c>
      <c r="L5030" s="27"/>
      <c r="M5030" s="28"/>
      <c r="N5030" s="28"/>
      <c r="O5030" s="20" t="s">
        <v>7530</v>
      </c>
      <c r="P5030" s="27" t="str">
        <f t="shared" si="235"/>
        <v>vermelho</v>
      </c>
    </row>
    <row r="5031" spans="1:16" ht="25.5">
      <c r="A5031" s="3" t="s">
        <v>4</v>
      </c>
      <c r="B5031" s="3" t="s">
        <v>3854</v>
      </c>
      <c r="C5031" s="4">
        <v>93</v>
      </c>
      <c r="D5031" s="3" t="s">
        <v>20</v>
      </c>
      <c r="E5031" s="3" t="s">
        <v>7</v>
      </c>
      <c r="F5031" s="5">
        <v>60</v>
      </c>
      <c r="G5031" s="5">
        <v>0</v>
      </c>
      <c r="H5031" s="6">
        <v>3321.6</v>
      </c>
      <c r="I5031" s="22">
        <v>0</v>
      </c>
      <c r="J5031" s="24">
        <f t="shared" si="234"/>
        <v>0</v>
      </c>
      <c r="K5031" s="25">
        <f t="shared" si="236"/>
        <v>1.0000000000000009</v>
      </c>
      <c r="L5031" s="27"/>
      <c r="M5031" s="28"/>
      <c r="N5031" s="28"/>
      <c r="O5031" s="20" t="s">
        <v>7530</v>
      </c>
      <c r="P5031" s="27" t="str">
        <f t="shared" si="235"/>
        <v>vermelho</v>
      </c>
    </row>
    <row r="5032" spans="1:16" ht="25.5">
      <c r="A5032" s="3" t="s">
        <v>4</v>
      </c>
      <c r="B5032" s="3" t="s">
        <v>3855</v>
      </c>
      <c r="C5032" s="4">
        <v>328</v>
      </c>
      <c r="D5032" s="3" t="s">
        <v>215</v>
      </c>
      <c r="E5032" s="3" t="s">
        <v>41</v>
      </c>
      <c r="F5032" s="5">
        <v>138</v>
      </c>
      <c r="G5032" s="5">
        <v>0</v>
      </c>
      <c r="H5032" s="6">
        <v>6559.98</v>
      </c>
      <c r="I5032" s="22">
        <v>0</v>
      </c>
      <c r="J5032" s="24">
        <f t="shared" si="234"/>
        <v>0</v>
      </c>
      <c r="K5032" s="25">
        <f t="shared" si="236"/>
        <v>1.0000000000000009</v>
      </c>
      <c r="L5032" s="27"/>
      <c r="M5032" s="28"/>
      <c r="N5032" s="28"/>
      <c r="O5032" s="20" t="s">
        <v>7530</v>
      </c>
      <c r="P5032" s="27" t="str">
        <f t="shared" si="235"/>
        <v>vermelho</v>
      </c>
    </row>
    <row r="5033" spans="1:16" ht="25.5">
      <c r="A5033" s="3" t="s">
        <v>4</v>
      </c>
      <c r="B5033" s="3" t="s">
        <v>3856</v>
      </c>
      <c r="C5033" s="4">
        <v>267</v>
      </c>
      <c r="D5033" s="3" t="s">
        <v>125</v>
      </c>
      <c r="E5033" s="3" t="s">
        <v>16</v>
      </c>
      <c r="F5033" s="5">
        <v>48</v>
      </c>
      <c r="G5033" s="5">
        <v>0</v>
      </c>
      <c r="H5033" s="6">
        <v>2946.06</v>
      </c>
      <c r="I5033" s="22">
        <v>0</v>
      </c>
      <c r="J5033" s="24">
        <f t="shared" si="234"/>
        <v>0</v>
      </c>
      <c r="K5033" s="25">
        <f t="shared" si="236"/>
        <v>1.0000000000000009</v>
      </c>
      <c r="L5033" s="27"/>
      <c r="M5033" s="28"/>
      <c r="N5033" s="28"/>
      <c r="O5033" s="20" t="s">
        <v>7530</v>
      </c>
      <c r="P5033" s="27" t="str">
        <f t="shared" si="235"/>
        <v>vermelho</v>
      </c>
    </row>
    <row r="5034" spans="1:16" ht="25.5">
      <c r="A5034" s="3" t="s">
        <v>4</v>
      </c>
      <c r="B5034" s="3" t="s">
        <v>3857</v>
      </c>
      <c r="C5034" s="4">
        <v>261</v>
      </c>
      <c r="D5034" s="3" t="s">
        <v>9</v>
      </c>
      <c r="E5034" s="3" t="s">
        <v>10</v>
      </c>
      <c r="F5034" s="5">
        <v>60</v>
      </c>
      <c r="G5034" s="5">
        <v>0</v>
      </c>
      <c r="H5034" s="6">
        <v>3944.88</v>
      </c>
      <c r="I5034" s="22">
        <v>0</v>
      </c>
      <c r="J5034" s="24">
        <f t="shared" si="234"/>
        <v>0</v>
      </c>
      <c r="K5034" s="25">
        <f t="shared" si="236"/>
        <v>1.0000000000000009</v>
      </c>
      <c r="L5034" s="27"/>
      <c r="M5034" s="28"/>
      <c r="N5034" s="28"/>
      <c r="O5034" s="20" t="s">
        <v>7530</v>
      </c>
      <c r="P5034" s="27" t="str">
        <f t="shared" si="235"/>
        <v>vermelho</v>
      </c>
    </row>
    <row r="5035" spans="1:16" ht="25.5">
      <c r="A5035" s="3" t="s">
        <v>4</v>
      </c>
      <c r="B5035" s="3" t="s">
        <v>3858</v>
      </c>
      <c r="C5035" s="4">
        <v>218</v>
      </c>
      <c r="D5035" s="3" t="s">
        <v>104</v>
      </c>
      <c r="E5035" s="3" t="s">
        <v>16</v>
      </c>
      <c r="F5035" s="5">
        <v>144</v>
      </c>
      <c r="G5035" s="5">
        <v>0</v>
      </c>
      <c r="H5035" s="6">
        <v>7611.36</v>
      </c>
      <c r="I5035" s="22">
        <v>0</v>
      </c>
      <c r="J5035" s="24">
        <f t="shared" si="234"/>
        <v>0</v>
      </c>
      <c r="K5035" s="25">
        <f t="shared" si="236"/>
        <v>1.0000000000000009</v>
      </c>
      <c r="L5035" s="27"/>
      <c r="M5035" s="28"/>
      <c r="N5035" s="28"/>
      <c r="O5035" s="20" t="s">
        <v>7530</v>
      </c>
      <c r="P5035" s="27" t="str">
        <f t="shared" si="235"/>
        <v>vermelho</v>
      </c>
    </row>
    <row r="5036" spans="1:16" ht="38.25">
      <c r="A5036" s="3" t="s">
        <v>4</v>
      </c>
      <c r="B5036" s="3" t="s">
        <v>3859</v>
      </c>
      <c r="C5036" s="4">
        <v>371</v>
      </c>
      <c r="D5036" s="3" t="s">
        <v>82</v>
      </c>
      <c r="E5036" s="3" t="s">
        <v>49</v>
      </c>
      <c r="F5036" s="5">
        <v>126</v>
      </c>
      <c r="G5036" s="5">
        <v>0</v>
      </c>
      <c r="H5036" s="6">
        <v>7057.98</v>
      </c>
      <c r="I5036" s="22">
        <v>0</v>
      </c>
      <c r="J5036" s="24">
        <f t="shared" si="234"/>
        <v>0</v>
      </c>
      <c r="K5036" s="25">
        <f t="shared" si="236"/>
        <v>1.0000000000000009</v>
      </c>
      <c r="L5036" s="27"/>
      <c r="M5036" s="28"/>
      <c r="N5036" s="28"/>
      <c r="O5036" s="20" t="s">
        <v>7530</v>
      </c>
      <c r="P5036" s="27" t="str">
        <f t="shared" si="235"/>
        <v>vermelho</v>
      </c>
    </row>
    <row r="5037" spans="1:16" ht="25.5">
      <c r="A5037" s="3" t="s">
        <v>4</v>
      </c>
      <c r="B5037" s="3" t="s">
        <v>3860</v>
      </c>
      <c r="C5037" s="4">
        <v>231</v>
      </c>
      <c r="D5037" s="3" t="s">
        <v>52</v>
      </c>
      <c r="E5037" s="3" t="s">
        <v>7</v>
      </c>
      <c r="F5037" s="5">
        <v>156</v>
      </c>
      <c r="G5037" s="5">
        <v>0</v>
      </c>
      <c r="H5037" s="6">
        <v>10032.335999999999</v>
      </c>
      <c r="I5037" s="22">
        <v>0</v>
      </c>
      <c r="J5037" s="24">
        <f t="shared" si="234"/>
        <v>0</v>
      </c>
      <c r="K5037" s="25">
        <f t="shared" si="236"/>
        <v>1.0000000000000009</v>
      </c>
      <c r="L5037" s="27"/>
      <c r="M5037" s="28"/>
      <c r="N5037" s="28"/>
      <c r="O5037" s="20" t="s">
        <v>7530</v>
      </c>
      <c r="P5037" s="27" t="str">
        <f t="shared" si="235"/>
        <v>vermelho</v>
      </c>
    </row>
    <row r="5038" spans="1:16" ht="25.5">
      <c r="A5038" s="3" t="s">
        <v>4</v>
      </c>
      <c r="B5038" s="3" t="s">
        <v>3861</v>
      </c>
      <c r="C5038" s="4">
        <v>19</v>
      </c>
      <c r="D5038" s="3" t="s">
        <v>72</v>
      </c>
      <c r="E5038" s="3" t="s">
        <v>41</v>
      </c>
      <c r="F5038" s="5">
        <v>621</v>
      </c>
      <c r="G5038" s="5">
        <v>0</v>
      </c>
      <c r="H5038" s="6">
        <v>35735.25</v>
      </c>
      <c r="I5038" s="22">
        <v>0</v>
      </c>
      <c r="J5038" s="24">
        <f t="shared" si="234"/>
        <v>0</v>
      </c>
      <c r="K5038" s="25">
        <f t="shared" si="236"/>
        <v>1.0000000000000009</v>
      </c>
      <c r="L5038" s="27"/>
      <c r="M5038" s="28"/>
      <c r="N5038" s="28"/>
      <c r="O5038" s="20" t="s">
        <v>7530</v>
      </c>
      <c r="P5038" s="27" t="str">
        <f t="shared" si="235"/>
        <v>vermelho</v>
      </c>
    </row>
    <row r="5039" spans="1:16" ht="25.5">
      <c r="A5039" s="3" t="s">
        <v>4</v>
      </c>
      <c r="B5039" s="3" t="s">
        <v>3862</v>
      </c>
      <c r="C5039" s="4">
        <v>208</v>
      </c>
      <c r="D5039" s="3" t="s">
        <v>15</v>
      </c>
      <c r="E5039" s="3" t="s">
        <v>16</v>
      </c>
      <c r="F5039" s="5">
        <v>180</v>
      </c>
      <c r="G5039" s="5">
        <v>0</v>
      </c>
      <c r="H5039" s="6">
        <v>9106.2000000000007</v>
      </c>
      <c r="I5039" s="22">
        <v>0</v>
      </c>
      <c r="J5039" s="24">
        <f t="shared" si="234"/>
        <v>0</v>
      </c>
      <c r="K5039" s="25">
        <f t="shared" si="236"/>
        <v>1.0000000000000009</v>
      </c>
      <c r="L5039" s="27"/>
      <c r="M5039" s="28"/>
      <c r="N5039" s="28"/>
      <c r="O5039" s="20">
        <v>13734.48</v>
      </c>
      <c r="P5039" s="27" t="str">
        <f t="shared" si="235"/>
        <v>vermelho</v>
      </c>
    </row>
    <row r="5040" spans="1:16" ht="25.5">
      <c r="A5040" s="3" t="s">
        <v>4</v>
      </c>
      <c r="B5040" s="3" t="s">
        <v>3863</v>
      </c>
      <c r="C5040" s="4">
        <v>187</v>
      </c>
      <c r="D5040" s="3" t="s">
        <v>96</v>
      </c>
      <c r="E5040" s="3" t="s">
        <v>7</v>
      </c>
      <c r="F5040" s="5">
        <v>210</v>
      </c>
      <c r="G5040" s="5">
        <v>0</v>
      </c>
      <c r="H5040" s="6">
        <v>10741.41</v>
      </c>
      <c r="I5040" s="22">
        <v>0</v>
      </c>
      <c r="J5040" s="24">
        <f t="shared" si="234"/>
        <v>0</v>
      </c>
      <c r="K5040" s="25">
        <f t="shared" si="236"/>
        <v>1.0000000000000009</v>
      </c>
      <c r="L5040" s="27"/>
      <c r="M5040" s="28"/>
      <c r="N5040" s="28"/>
      <c r="O5040" s="20" t="s">
        <v>7530</v>
      </c>
      <c r="P5040" s="27" t="str">
        <f t="shared" si="235"/>
        <v>vermelho</v>
      </c>
    </row>
    <row r="5041" spans="1:16" ht="38.25">
      <c r="A5041" s="3" t="s">
        <v>4</v>
      </c>
      <c r="B5041" s="3" t="s">
        <v>3864</v>
      </c>
      <c r="C5041" s="4">
        <v>45</v>
      </c>
      <c r="D5041" s="3" t="s">
        <v>23</v>
      </c>
      <c r="E5041" s="3" t="s">
        <v>7</v>
      </c>
      <c r="F5041" s="5">
        <v>108</v>
      </c>
      <c r="G5041" s="5">
        <v>0</v>
      </c>
      <c r="H5041" s="6">
        <v>5122.71</v>
      </c>
      <c r="I5041" s="22">
        <v>0</v>
      </c>
      <c r="J5041" s="24">
        <f t="shared" si="234"/>
        <v>0</v>
      </c>
      <c r="K5041" s="25">
        <f t="shared" si="236"/>
        <v>1.0000000000000009</v>
      </c>
      <c r="L5041" s="27"/>
      <c r="M5041" s="28"/>
      <c r="N5041" s="28"/>
      <c r="O5041" s="20" t="s">
        <v>7530</v>
      </c>
      <c r="P5041" s="27" t="str">
        <f t="shared" si="235"/>
        <v>vermelho</v>
      </c>
    </row>
    <row r="5042" spans="1:16" ht="25.5">
      <c r="A5042" s="3" t="s">
        <v>4</v>
      </c>
      <c r="B5042" s="3" t="s">
        <v>3865</v>
      </c>
      <c r="C5042" s="4">
        <v>261</v>
      </c>
      <c r="D5042" s="3" t="s">
        <v>9</v>
      </c>
      <c r="E5042" s="3" t="s">
        <v>10</v>
      </c>
      <c r="F5042" s="5">
        <v>162</v>
      </c>
      <c r="G5042" s="5">
        <v>0</v>
      </c>
      <c r="H5042" s="6">
        <v>8972.76</v>
      </c>
      <c r="I5042" s="22">
        <v>0</v>
      </c>
      <c r="J5042" s="24">
        <f t="shared" si="234"/>
        <v>0</v>
      </c>
      <c r="K5042" s="25">
        <f t="shared" si="236"/>
        <v>1.0000000000000009</v>
      </c>
      <c r="L5042" s="27"/>
      <c r="M5042" s="28"/>
      <c r="N5042" s="28"/>
      <c r="O5042" s="20" t="s">
        <v>7530</v>
      </c>
      <c r="P5042" s="27" t="str">
        <f t="shared" si="235"/>
        <v>vermelho</v>
      </c>
    </row>
    <row r="5043" spans="1:16" ht="25.5">
      <c r="A5043" s="3" t="s">
        <v>4</v>
      </c>
      <c r="B5043" s="3" t="s">
        <v>3866</v>
      </c>
      <c r="C5043" s="4">
        <v>266</v>
      </c>
      <c r="D5043" s="3" t="s">
        <v>80</v>
      </c>
      <c r="E5043" s="3" t="s">
        <v>10</v>
      </c>
      <c r="F5043" s="5">
        <v>324</v>
      </c>
      <c r="G5043" s="5">
        <v>0</v>
      </c>
      <c r="H5043" s="6">
        <v>15909.36</v>
      </c>
      <c r="I5043" s="22">
        <v>0</v>
      </c>
      <c r="J5043" s="24">
        <f t="shared" si="234"/>
        <v>0</v>
      </c>
      <c r="K5043" s="25">
        <f t="shared" si="236"/>
        <v>1.0000000000000009</v>
      </c>
      <c r="L5043" s="27"/>
      <c r="M5043" s="28"/>
      <c r="N5043" s="28"/>
      <c r="O5043" s="20" t="s">
        <v>7530</v>
      </c>
      <c r="P5043" s="27" t="str">
        <f t="shared" si="235"/>
        <v>vermelho</v>
      </c>
    </row>
    <row r="5044" spans="1:16" ht="25.5">
      <c r="A5044" s="3" t="s">
        <v>4</v>
      </c>
      <c r="B5044" s="3" t="s">
        <v>3867</v>
      </c>
      <c r="C5044" s="4">
        <v>321</v>
      </c>
      <c r="D5044" s="3" t="s">
        <v>136</v>
      </c>
      <c r="E5044" s="3" t="s">
        <v>41</v>
      </c>
      <c r="F5044" s="5">
        <v>36</v>
      </c>
      <c r="G5044" s="5">
        <v>0</v>
      </c>
      <c r="H5044" s="6">
        <v>2430.36</v>
      </c>
      <c r="I5044" s="22">
        <v>0</v>
      </c>
      <c r="J5044" s="24">
        <f t="shared" si="234"/>
        <v>0</v>
      </c>
      <c r="K5044" s="25">
        <f t="shared" si="236"/>
        <v>1.0000000000000009</v>
      </c>
      <c r="L5044" s="27"/>
      <c r="M5044" s="28"/>
      <c r="N5044" s="28"/>
      <c r="O5044" s="20" t="s">
        <v>7530</v>
      </c>
      <c r="P5044" s="27" t="str">
        <f t="shared" si="235"/>
        <v>vermelho</v>
      </c>
    </row>
    <row r="5045" spans="1:16" ht="38.25">
      <c r="A5045" s="3" t="s">
        <v>4</v>
      </c>
      <c r="B5045" s="3" t="s">
        <v>3868</v>
      </c>
      <c r="C5045" s="4">
        <v>292</v>
      </c>
      <c r="D5045" s="3" t="s">
        <v>57</v>
      </c>
      <c r="E5045" s="3" t="s">
        <v>49</v>
      </c>
      <c r="F5045" s="5">
        <v>168</v>
      </c>
      <c r="G5045" s="5">
        <v>0</v>
      </c>
      <c r="H5045" s="6">
        <v>8601</v>
      </c>
      <c r="I5045" s="22">
        <v>0</v>
      </c>
      <c r="J5045" s="24">
        <f t="shared" si="234"/>
        <v>0</v>
      </c>
      <c r="K5045" s="25">
        <f t="shared" si="236"/>
        <v>1.0000000000000009</v>
      </c>
      <c r="L5045" s="27"/>
      <c r="M5045" s="28"/>
      <c r="N5045" s="28"/>
      <c r="O5045" s="20" t="s">
        <v>7530</v>
      </c>
      <c r="P5045" s="27" t="str">
        <f t="shared" si="235"/>
        <v>vermelho</v>
      </c>
    </row>
    <row r="5046" spans="1:16" ht="25.5">
      <c r="A5046" s="3" t="s">
        <v>4</v>
      </c>
      <c r="B5046" s="3" t="s">
        <v>3869</v>
      </c>
      <c r="C5046" s="4">
        <v>93</v>
      </c>
      <c r="D5046" s="3" t="s">
        <v>20</v>
      </c>
      <c r="E5046" s="3" t="s">
        <v>7</v>
      </c>
      <c r="F5046" s="5">
        <v>102</v>
      </c>
      <c r="G5046" s="5">
        <v>0</v>
      </c>
      <c r="H5046" s="6">
        <v>6529.02</v>
      </c>
      <c r="I5046" s="22">
        <v>0</v>
      </c>
      <c r="J5046" s="24">
        <f t="shared" si="234"/>
        <v>0</v>
      </c>
      <c r="K5046" s="25">
        <f t="shared" si="236"/>
        <v>1.0000000000000009</v>
      </c>
      <c r="L5046" s="27"/>
      <c r="M5046" s="28"/>
      <c r="N5046" s="28"/>
      <c r="O5046" s="20" t="s">
        <v>7530</v>
      </c>
      <c r="P5046" s="27" t="str">
        <f t="shared" si="235"/>
        <v>vermelho</v>
      </c>
    </row>
    <row r="5047" spans="1:16" ht="25.5">
      <c r="A5047" s="3" t="s">
        <v>4</v>
      </c>
      <c r="B5047" s="3" t="s">
        <v>3870</v>
      </c>
      <c r="C5047" s="4">
        <v>264</v>
      </c>
      <c r="D5047" s="3" t="s">
        <v>40</v>
      </c>
      <c r="E5047" s="3" t="s">
        <v>10</v>
      </c>
      <c r="F5047" s="5">
        <v>228</v>
      </c>
      <c r="G5047" s="5">
        <v>0</v>
      </c>
      <c r="H5047" s="6">
        <v>12186.12</v>
      </c>
      <c r="I5047" s="22">
        <v>0</v>
      </c>
      <c r="J5047" s="24">
        <f t="shared" si="234"/>
        <v>0</v>
      </c>
      <c r="K5047" s="25">
        <f t="shared" si="236"/>
        <v>1.0000000000000009</v>
      </c>
      <c r="L5047" s="27"/>
      <c r="M5047" s="28"/>
      <c r="N5047" s="28"/>
      <c r="O5047" s="20" t="s">
        <v>7530</v>
      </c>
      <c r="P5047" s="27" t="str">
        <f t="shared" si="235"/>
        <v>vermelho</v>
      </c>
    </row>
    <row r="5048" spans="1:16" ht="25.5">
      <c r="A5048" s="3" t="s">
        <v>4</v>
      </c>
      <c r="B5048" s="3" t="s">
        <v>3871</v>
      </c>
      <c r="C5048" s="4">
        <v>218</v>
      </c>
      <c r="D5048" s="3" t="s">
        <v>104</v>
      </c>
      <c r="E5048" s="3" t="s">
        <v>16</v>
      </c>
      <c r="F5048" s="5">
        <v>195</v>
      </c>
      <c r="G5048" s="5">
        <v>0</v>
      </c>
      <c r="H5048" s="6">
        <v>11196.51</v>
      </c>
      <c r="I5048" s="22">
        <v>0</v>
      </c>
      <c r="J5048" s="24">
        <f t="shared" si="234"/>
        <v>0</v>
      </c>
      <c r="K5048" s="25">
        <f t="shared" si="236"/>
        <v>1.0000000000000009</v>
      </c>
      <c r="L5048" s="27"/>
      <c r="M5048" s="28"/>
      <c r="N5048" s="28"/>
      <c r="O5048" s="20" t="s">
        <v>7530</v>
      </c>
      <c r="P5048" s="27" t="str">
        <f t="shared" si="235"/>
        <v>vermelho</v>
      </c>
    </row>
    <row r="5049" spans="1:16" ht="25.5">
      <c r="A5049" s="3" t="s">
        <v>4</v>
      </c>
      <c r="B5049" s="3" t="s">
        <v>3872</v>
      </c>
      <c r="C5049" s="4">
        <v>296</v>
      </c>
      <c r="D5049" s="3" t="s">
        <v>282</v>
      </c>
      <c r="E5049" s="3" t="s">
        <v>7</v>
      </c>
      <c r="F5049" s="5">
        <v>72</v>
      </c>
      <c r="G5049" s="5">
        <v>0</v>
      </c>
      <c r="H5049" s="6">
        <v>3461.76</v>
      </c>
      <c r="I5049" s="22">
        <v>0</v>
      </c>
      <c r="J5049" s="24">
        <f t="shared" si="234"/>
        <v>0</v>
      </c>
      <c r="K5049" s="25">
        <f t="shared" si="236"/>
        <v>1.0000000000000009</v>
      </c>
      <c r="L5049" s="27"/>
      <c r="M5049" s="28"/>
      <c r="N5049" s="28"/>
      <c r="O5049" s="20" t="s">
        <v>7530</v>
      </c>
      <c r="P5049" s="27" t="str">
        <f t="shared" si="235"/>
        <v>vermelho</v>
      </c>
    </row>
    <row r="5050" spans="1:16" ht="25.5">
      <c r="A5050" s="3" t="s">
        <v>4</v>
      </c>
      <c r="B5050" s="3" t="s">
        <v>3873</v>
      </c>
      <c r="C5050" s="4">
        <v>299</v>
      </c>
      <c r="D5050" s="3" t="s">
        <v>111</v>
      </c>
      <c r="E5050" s="3" t="s">
        <v>49</v>
      </c>
      <c r="F5050" s="5">
        <v>96</v>
      </c>
      <c r="G5050" s="5">
        <v>0</v>
      </c>
      <c r="H5050" s="6">
        <v>4346.8919999999998</v>
      </c>
      <c r="I5050" s="22">
        <v>0</v>
      </c>
      <c r="J5050" s="24">
        <f t="shared" si="234"/>
        <v>0</v>
      </c>
      <c r="K5050" s="25">
        <f t="shared" si="236"/>
        <v>1.0000000000000009</v>
      </c>
      <c r="L5050" s="27"/>
      <c r="M5050" s="28"/>
      <c r="N5050" s="28"/>
      <c r="O5050" s="20" t="s">
        <v>7530</v>
      </c>
      <c r="P5050" s="27" t="str">
        <f t="shared" si="235"/>
        <v>vermelho</v>
      </c>
    </row>
    <row r="5051" spans="1:16" ht="25.5">
      <c r="A5051" s="3" t="s">
        <v>4</v>
      </c>
      <c r="B5051" s="3" t="s">
        <v>3874</v>
      </c>
      <c r="C5051" s="4">
        <v>321</v>
      </c>
      <c r="D5051" s="3" t="s">
        <v>136</v>
      </c>
      <c r="E5051" s="3" t="s">
        <v>41</v>
      </c>
      <c r="F5051" s="5">
        <v>105</v>
      </c>
      <c r="G5051" s="5">
        <v>0</v>
      </c>
      <c r="H5051" s="6">
        <v>5593.95</v>
      </c>
      <c r="I5051" s="22">
        <v>0</v>
      </c>
      <c r="J5051" s="24">
        <f t="shared" si="234"/>
        <v>0</v>
      </c>
      <c r="K5051" s="25">
        <f t="shared" si="236"/>
        <v>1.0000000000000009</v>
      </c>
      <c r="L5051" s="27"/>
      <c r="M5051" s="28"/>
      <c r="N5051" s="28"/>
      <c r="O5051" s="20" t="s">
        <v>7530</v>
      </c>
      <c r="P5051" s="27" t="str">
        <f t="shared" si="235"/>
        <v>vermelho</v>
      </c>
    </row>
    <row r="5052" spans="1:16" ht="25.5">
      <c r="A5052" s="3" t="s">
        <v>4</v>
      </c>
      <c r="B5052" s="3" t="s">
        <v>3875</v>
      </c>
      <c r="C5052" s="4">
        <v>334</v>
      </c>
      <c r="D5052" s="3" t="s">
        <v>531</v>
      </c>
      <c r="E5052" s="3" t="s">
        <v>7</v>
      </c>
      <c r="F5052" s="5">
        <v>84</v>
      </c>
      <c r="G5052" s="5">
        <v>0</v>
      </c>
      <c r="H5052" s="6">
        <v>3593.4</v>
      </c>
      <c r="I5052" s="22">
        <v>0</v>
      </c>
      <c r="J5052" s="24">
        <f t="shared" si="234"/>
        <v>0</v>
      </c>
      <c r="K5052" s="25">
        <f t="shared" si="236"/>
        <v>1.0000000000000009</v>
      </c>
      <c r="L5052" s="27"/>
      <c r="M5052" s="28"/>
      <c r="N5052" s="28"/>
      <c r="O5052" s="20" t="s">
        <v>7530</v>
      </c>
      <c r="P5052" s="27" t="str">
        <f t="shared" si="235"/>
        <v>vermelho</v>
      </c>
    </row>
    <row r="5053" spans="1:16" ht="25.5">
      <c r="A5053" s="3" t="s">
        <v>4</v>
      </c>
      <c r="B5053" s="3" t="s">
        <v>3876</v>
      </c>
      <c r="C5053" s="4">
        <v>93</v>
      </c>
      <c r="D5053" s="3" t="s">
        <v>20</v>
      </c>
      <c r="E5053" s="3" t="s">
        <v>7</v>
      </c>
      <c r="F5053" s="5">
        <v>132</v>
      </c>
      <c r="G5053" s="5">
        <v>0</v>
      </c>
      <c r="H5053" s="6">
        <v>6769.68</v>
      </c>
      <c r="I5053" s="22">
        <v>0</v>
      </c>
      <c r="J5053" s="24">
        <f t="shared" si="234"/>
        <v>0</v>
      </c>
      <c r="K5053" s="25">
        <f t="shared" si="236"/>
        <v>1.0000000000000009</v>
      </c>
      <c r="L5053" s="27"/>
      <c r="M5053" s="28"/>
      <c r="N5053" s="28"/>
      <c r="O5053" s="20" t="s">
        <v>7530</v>
      </c>
      <c r="P5053" s="27" t="str">
        <f t="shared" si="235"/>
        <v>vermelho</v>
      </c>
    </row>
    <row r="5054" spans="1:16" ht="25.5">
      <c r="A5054" s="3" t="s">
        <v>4</v>
      </c>
      <c r="B5054" s="3" t="s">
        <v>3877</v>
      </c>
      <c r="C5054" s="4">
        <v>53</v>
      </c>
      <c r="D5054" s="3" t="s">
        <v>34</v>
      </c>
      <c r="E5054" s="3" t="s">
        <v>16</v>
      </c>
      <c r="F5054" s="5">
        <v>72</v>
      </c>
      <c r="G5054" s="5">
        <v>0</v>
      </c>
      <c r="H5054" s="6">
        <v>3752.4</v>
      </c>
      <c r="I5054" s="22">
        <v>0</v>
      </c>
      <c r="J5054" s="24">
        <f t="shared" si="234"/>
        <v>0</v>
      </c>
      <c r="K5054" s="25">
        <f t="shared" si="236"/>
        <v>1.0000000000000009</v>
      </c>
      <c r="L5054" s="27"/>
      <c r="M5054" s="28"/>
      <c r="N5054" s="28"/>
      <c r="O5054" s="20" t="s">
        <v>7530</v>
      </c>
      <c r="P5054" s="27" t="str">
        <f t="shared" si="235"/>
        <v>vermelho</v>
      </c>
    </row>
    <row r="5055" spans="1:16">
      <c r="A5055" s="3" t="s">
        <v>4</v>
      </c>
      <c r="B5055" s="3" t="s">
        <v>3878</v>
      </c>
      <c r="C5055" s="4">
        <v>232</v>
      </c>
      <c r="D5055" s="3" t="s">
        <v>174</v>
      </c>
      <c r="E5055" s="3" t="s">
        <v>16</v>
      </c>
      <c r="F5055" s="5">
        <v>108</v>
      </c>
      <c r="G5055" s="5">
        <v>0</v>
      </c>
      <c r="H5055" s="6">
        <v>4962.6000000000004</v>
      </c>
      <c r="I5055" s="22">
        <v>0</v>
      </c>
      <c r="J5055" s="24">
        <f t="shared" si="234"/>
        <v>0</v>
      </c>
      <c r="K5055" s="25">
        <f t="shared" si="236"/>
        <v>1.0000000000000009</v>
      </c>
      <c r="L5055" s="27"/>
      <c r="M5055" s="28"/>
      <c r="N5055" s="28"/>
      <c r="O5055" s="20" t="s">
        <v>7530</v>
      </c>
      <c r="P5055" s="27" t="str">
        <f t="shared" si="235"/>
        <v>vermelho</v>
      </c>
    </row>
    <row r="5056" spans="1:16" ht="25.5">
      <c r="A5056" s="3" t="s">
        <v>4</v>
      </c>
      <c r="B5056" s="3" t="s">
        <v>3879</v>
      </c>
      <c r="C5056" s="4">
        <v>273</v>
      </c>
      <c r="D5056" s="3" t="s">
        <v>149</v>
      </c>
      <c r="E5056" s="3" t="s">
        <v>16</v>
      </c>
      <c r="F5056" s="5">
        <v>324</v>
      </c>
      <c r="G5056" s="5">
        <v>0</v>
      </c>
      <c r="H5056" s="6">
        <v>19945.080000000002</v>
      </c>
      <c r="I5056" s="22">
        <v>0</v>
      </c>
      <c r="J5056" s="24">
        <f t="shared" si="234"/>
        <v>0</v>
      </c>
      <c r="K5056" s="25">
        <f t="shared" si="236"/>
        <v>1.0000000000000009</v>
      </c>
      <c r="L5056" s="27"/>
      <c r="M5056" s="28"/>
      <c r="N5056" s="28"/>
      <c r="O5056" s="20" t="s">
        <v>7530</v>
      </c>
      <c r="P5056" s="27" t="str">
        <f t="shared" si="235"/>
        <v>vermelho</v>
      </c>
    </row>
    <row r="5057" spans="1:16" ht="25.5">
      <c r="A5057" s="3" t="s">
        <v>4</v>
      </c>
      <c r="B5057" s="3" t="s">
        <v>3880</v>
      </c>
      <c r="C5057" s="4">
        <v>53</v>
      </c>
      <c r="D5057" s="3" t="s">
        <v>34</v>
      </c>
      <c r="E5057" s="3" t="s">
        <v>16</v>
      </c>
      <c r="F5057" s="5">
        <v>51</v>
      </c>
      <c r="G5057" s="5">
        <v>0</v>
      </c>
      <c r="H5057" s="6">
        <v>2887.8</v>
      </c>
      <c r="I5057" s="22">
        <v>0</v>
      </c>
      <c r="J5057" s="24">
        <f t="shared" si="234"/>
        <v>0</v>
      </c>
      <c r="K5057" s="25">
        <f t="shared" si="236"/>
        <v>1.0000000000000009</v>
      </c>
      <c r="L5057" s="27"/>
      <c r="M5057" s="28"/>
      <c r="N5057" s="28"/>
      <c r="O5057" s="20" t="s">
        <v>7530</v>
      </c>
      <c r="P5057" s="27" t="str">
        <f t="shared" si="235"/>
        <v>vermelho</v>
      </c>
    </row>
    <row r="5058" spans="1:16" ht="25.5">
      <c r="A5058" s="3" t="s">
        <v>4</v>
      </c>
      <c r="B5058" s="3" t="s">
        <v>3881</v>
      </c>
      <c r="C5058" s="4">
        <v>53</v>
      </c>
      <c r="D5058" s="3" t="s">
        <v>34</v>
      </c>
      <c r="E5058" s="3" t="s">
        <v>16</v>
      </c>
      <c r="F5058" s="5">
        <v>108</v>
      </c>
      <c r="G5058" s="5">
        <v>0</v>
      </c>
      <c r="H5058" s="6">
        <v>7024.8</v>
      </c>
      <c r="I5058" s="22">
        <v>0</v>
      </c>
      <c r="J5058" s="24">
        <f t="shared" si="234"/>
        <v>0</v>
      </c>
      <c r="K5058" s="25">
        <f t="shared" si="236"/>
        <v>1.0000000000000009</v>
      </c>
      <c r="L5058" s="27"/>
      <c r="M5058" s="28"/>
      <c r="N5058" s="28"/>
      <c r="O5058" s="20" t="s">
        <v>7530</v>
      </c>
      <c r="P5058" s="27" t="str">
        <f t="shared" si="235"/>
        <v>vermelho</v>
      </c>
    </row>
    <row r="5059" spans="1:16" ht="25.5">
      <c r="A5059" s="3" t="s">
        <v>4</v>
      </c>
      <c r="B5059" s="3" t="s">
        <v>3882</v>
      </c>
      <c r="C5059" s="4">
        <v>337</v>
      </c>
      <c r="D5059" s="3" t="s">
        <v>202</v>
      </c>
      <c r="E5059" s="3" t="s">
        <v>16</v>
      </c>
      <c r="F5059" s="5">
        <v>66</v>
      </c>
      <c r="G5059" s="5">
        <v>0</v>
      </c>
      <c r="H5059" s="6">
        <v>3899.82</v>
      </c>
      <c r="I5059" s="22">
        <v>0</v>
      </c>
      <c r="J5059" s="24">
        <f t="shared" ref="J5059:J5122" si="237">I5059/$I$6364</f>
        <v>0</v>
      </c>
      <c r="K5059" s="25">
        <f t="shared" si="236"/>
        <v>1.0000000000000009</v>
      </c>
      <c r="L5059" s="27"/>
      <c r="M5059" s="28"/>
      <c r="N5059" s="28"/>
      <c r="O5059" s="20" t="s">
        <v>7530</v>
      </c>
      <c r="P5059" s="27" t="str">
        <f t="shared" ref="P5059:P5122" si="238">IF(O5059&lt;=0,"vermelho",IFERROR(IF(O5059/I5059&lt;=0.5098,"amarelo",IF(O5059/I5059&lt;1,"laranja","verde")),"vermelho"))</f>
        <v>vermelho</v>
      </c>
    </row>
    <row r="5060" spans="1:16">
      <c r="A5060" s="3" t="s">
        <v>4</v>
      </c>
      <c r="B5060" s="3" t="s">
        <v>3883</v>
      </c>
      <c r="C5060" s="4">
        <v>232</v>
      </c>
      <c r="D5060" s="3" t="s">
        <v>174</v>
      </c>
      <c r="E5060" s="3" t="s">
        <v>16</v>
      </c>
      <c r="F5060" s="5">
        <v>270</v>
      </c>
      <c r="G5060" s="5">
        <v>0</v>
      </c>
      <c r="H5060" s="6">
        <v>15819.75</v>
      </c>
      <c r="I5060" s="22">
        <v>0</v>
      </c>
      <c r="J5060" s="24">
        <f t="shared" si="237"/>
        <v>0</v>
      </c>
      <c r="K5060" s="25">
        <f t="shared" ref="K5060:K5123" si="239">J5060+K5059</f>
        <v>1.0000000000000009</v>
      </c>
      <c r="L5060" s="27"/>
      <c r="M5060" s="28"/>
      <c r="N5060" s="28"/>
      <c r="O5060" s="20" t="s">
        <v>7530</v>
      </c>
      <c r="P5060" s="27" t="str">
        <f t="shared" si="238"/>
        <v>vermelho</v>
      </c>
    </row>
    <row r="5061" spans="1:16" ht="25.5">
      <c r="A5061" s="3" t="s">
        <v>4</v>
      </c>
      <c r="B5061" s="3" t="s">
        <v>3884</v>
      </c>
      <c r="C5061" s="4">
        <v>208</v>
      </c>
      <c r="D5061" s="3" t="s">
        <v>15</v>
      </c>
      <c r="E5061" s="3" t="s">
        <v>16</v>
      </c>
      <c r="F5061" s="5">
        <v>72</v>
      </c>
      <c r="G5061" s="5">
        <v>0</v>
      </c>
      <c r="H5061" s="6">
        <v>4427.28</v>
      </c>
      <c r="I5061" s="22">
        <v>0</v>
      </c>
      <c r="J5061" s="24">
        <f t="shared" si="237"/>
        <v>0</v>
      </c>
      <c r="K5061" s="25">
        <f t="shared" si="239"/>
        <v>1.0000000000000009</v>
      </c>
      <c r="L5061" s="27"/>
      <c r="M5061" s="28"/>
      <c r="N5061" s="28"/>
      <c r="O5061" s="20" t="s">
        <v>7530</v>
      </c>
      <c r="P5061" s="27" t="str">
        <f t="shared" si="238"/>
        <v>vermelho</v>
      </c>
    </row>
    <row r="5062" spans="1:16" ht="25.5">
      <c r="A5062" s="3" t="s">
        <v>4</v>
      </c>
      <c r="B5062" s="3" t="s">
        <v>3885</v>
      </c>
      <c r="C5062" s="4">
        <v>337</v>
      </c>
      <c r="D5062" s="3" t="s">
        <v>202</v>
      </c>
      <c r="E5062" s="3" t="s">
        <v>16</v>
      </c>
      <c r="F5062" s="5">
        <v>0</v>
      </c>
      <c r="G5062" s="5">
        <v>0</v>
      </c>
      <c r="H5062" s="6">
        <v>0</v>
      </c>
      <c r="I5062" s="22">
        <v>0</v>
      </c>
      <c r="J5062" s="24">
        <f t="shared" si="237"/>
        <v>0</v>
      </c>
      <c r="K5062" s="25">
        <f t="shared" si="239"/>
        <v>1.0000000000000009</v>
      </c>
      <c r="L5062" s="27"/>
      <c r="M5062" s="28"/>
      <c r="N5062" s="28"/>
      <c r="O5062" s="20" t="s">
        <v>7530</v>
      </c>
      <c r="P5062" s="27" t="str">
        <f t="shared" si="238"/>
        <v>vermelho</v>
      </c>
    </row>
    <row r="5063" spans="1:16" ht="25.5">
      <c r="A5063" s="3" t="s">
        <v>4</v>
      </c>
      <c r="B5063" s="3" t="s">
        <v>3886</v>
      </c>
      <c r="C5063" s="4">
        <v>264</v>
      </c>
      <c r="D5063" s="3" t="s">
        <v>40</v>
      </c>
      <c r="E5063" s="3" t="s">
        <v>10</v>
      </c>
      <c r="F5063" s="5">
        <v>60</v>
      </c>
      <c r="G5063" s="5">
        <v>0</v>
      </c>
      <c r="H5063" s="6">
        <v>3155.4</v>
      </c>
      <c r="I5063" s="22">
        <v>0</v>
      </c>
      <c r="J5063" s="24">
        <f t="shared" si="237"/>
        <v>0</v>
      </c>
      <c r="K5063" s="25">
        <f t="shared" si="239"/>
        <v>1.0000000000000009</v>
      </c>
      <c r="L5063" s="27"/>
      <c r="M5063" s="28"/>
      <c r="N5063" s="28"/>
      <c r="O5063" s="20" t="s">
        <v>7530</v>
      </c>
      <c r="P5063" s="27" t="str">
        <f t="shared" si="238"/>
        <v>vermelho</v>
      </c>
    </row>
    <row r="5064" spans="1:16" ht="25.5">
      <c r="A5064" s="3" t="s">
        <v>4</v>
      </c>
      <c r="B5064" s="3" t="s">
        <v>3887</v>
      </c>
      <c r="C5064" s="4">
        <v>266</v>
      </c>
      <c r="D5064" s="3" t="s">
        <v>80</v>
      </c>
      <c r="E5064" s="3" t="s">
        <v>10</v>
      </c>
      <c r="F5064" s="5">
        <v>96</v>
      </c>
      <c r="G5064" s="5">
        <v>0</v>
      </c>
      <c r="H5064" s="6">
        <v>4174.08</v>
      </c>
      <c r="I5064" s="22">
        <v>0</v>
      </c>
      <c r="J5064" s="24">
        <f t="shared" si="237"/>
        <v>0</v>
      </c>
      <c r="K5064" s="25">
        <f t="shared" si="239"/>
        <v>1.0000000000000009</v>
      </c>
      <c r="L5064" s="27"/>
      <c r="M5064" s="28"/>
      <c r="N5064" s="28"/>
      <c r="O5064" s="20" t="s">
        <v>7530</v>
      </c>
      <c r="P5064" s="27" t="str">
        <f t="shared" si="238"/>
        <v>vermelho</v>
      </c>
    </row>
    <row r="5065" spans="1:16" ht="25.5">
      <c r="A5065" s="3" t="s">
        <v>4</v>
      </c>
      <c r="B5065" s="3" t="s">
        <v>3888</v>
      </c>
      <c r="C5065" s="4">
        <v>61</v>
      </c>
      <c r="D5065" s="3" t="s">
        <v>48</v>
      </c>
      <c r="E5065" s="3" t="s">
        <v>49</v>
      </c>
      <c r="F5065" s="5">
        <v>156</v>
      </c>
      <c r="G5065" s="5">
        <v>0</v>
      </c>
      <c r="H5065" s="6">
        <v>9447.48</v>
      </c>
      <c r="I5065" s="22">
        <v>0</v>
      </c>
      <c r="J5065" s="24">
        <f t="shared" si="237"/>
        <v>0</v>
      </c>
      <c r="K5065" s="25">
        <f t="shared" si="239"/>
        <v>1.0000000000000009</v>
      </c>
      <c r="L5065" s="27"/>
      <c r="M5065" s="28"/>
      <c r="N5065" s="28"/>
      <c r="O5065" s="20" t="s">
        <v>7530</v>
      </c>
      <c r="P5065" s="27" t="str">
        <f t="shared" si="238"/>
        <v>vermelho</v>
      </c>
    </row>
    <row r="5066" spans="1:16" ht="38.25">
      <c r="A5066" s="3" t="s">
        <v>4</v>
      </c>
      <c r="B5066" s="3" t="s">
        <v>3889</v>
      </c>
      <c r="C5066" s="4">
        <v>34</v>
      </c>
      <c r="D5066" s="3" t="s">
        <v>54</v>
      </c>
      <c r="E5066" s="3" t="s">
        <v>49</v>
      </c>
      <c r="F5066" s="5">
        <v>72</v>
      </c>
      <c r="G5066" s="5">
        <v>0</v>
      </c>
      <c r="H5066" s="6">
        <v>5121.72</v>
      </c>
      <c r="I5066" s="22">
        <v>0</v>
      </c>
      <c r="J5066" s="24">
        <f t="shared" si="237"/>
        <v>0</v>
      </c>
      <c r="K5066" s="25">
        <f t="shared" si="239"/>
        <v>1.0000000000000009</v>
      </c>
      <c r="L5066" s="27"/>
      <c r="M5066" s="28"/>
      <c r="N5066" s="28"/>
      <c r="O5066" s="20" t="s">
        <v>7530</v>
      </c>
      <c r="P5066" s="27" t="str">
        <f t="shared" si="238"/>
        <v>vermelho</v>
      </c>
    </row>
    <row r="5067" spans="1:16" ht="25.5">
      <c r="A5067" s="3" t="s">
        <v>4</v>
      </c>
      <c r="B5067" s="3" t="s">
        <v>3890</v>
      </c>
      <c r="C5067" s="4">
        <v>93</v>
      </c>
      <c r="D5067" s="3" t="s">
        <v>20</v>
      </c>
      <c r="E5067" s="3" t="s">
        <v>7</v>
      </c>
      <c r="F5067" s="5">
        <v>192</v>
      </c>
      <c r="G5067" s="5">
        <v>0</v>
      </c>
      <c r="H5067" s="6">
        <v>10776.348</v>
      </c>
      <c r="I5067" s="22">
        <v>0</v>
      </c>
      <c r="J5067" s="24">
        <f t="shared" si="237"/>
        <v>0</v>
      </c>
      <c r="K5067" s="25">
        <f t="shared" si="239"/>
        <v>1.0000000000000009</v>
      </c>
      <c r="L5067" s="27"/>
      <c r="M5067" s="28"/>
      <c r="N5067" s="28"/>
      <c r="O5067" s="20" t="s">
        <v>7530</v>
      </c>
      <c r="P5067" s="27" t="str">
        <f t="shared" si="238"/>
        <v>vermelho</v>
      </c>
    </row>
    <row r="5068" spans="1:16" ht="25.5">
      <c r="A5068" s="3" t="s">
        <v>4</v>
      </c>
      <c r="B5068" s="3" t="s">
        <v>3891</v>
      </c>
      <c r="C5068" s="4">
        <v>93</v>
      </c>
      <c r="D5068" s="3" t="s">
        <v>20</v>
      </c>
      <c r="E5068" s="3" t="s">
        <v>7</v>
      </c>
      <c r="F5068" s="5">
        <v>181</v>
      </c>
      <c r="G5068" s="5">
        <v>0</v>
      </c>
      <c r="H5068" s="6">
        <v>8064.4949999999999</v>
      </c>
      <c r="I5068" s="22">
        <v>0</v>
      </c>
      <c r="J5068" s="24">
        <f t="shared" si="237"/>
        <v>0</v>
      </c>
      <c r="K5068" s="25">
        <f t="shared" si="239"/>
        <v>1.0000000000000009</v>
      </c>
      <c r="L5068" s="27"/>
      <c r="M5068" s="28"/>
      <c r="N5068" s="28"/>
      <c r="O5068" s="20" t="s">
        <v>7530</v>
      </c>
      <c r="P5068" s="27" t="str">
        <f t="shared" si="238"/>
        <v>vermelho</v>
      </c>
    </row>
    <row r="5069" spans="1:16" ht="25.5">
      <c r="A5069" s="3" t="s">
        <v>4</v>
      </c>
      <c r="B5069" s="3" t="s">
        <v>3892</v>
      </c>
      <c r="C5069" s="4">
        <v>267</v>
      </c>
      <c r="D5069" s="3" t="s">
        <v>125</v>
      </c>
      <c r="E5069" s="3" t="s">
        <v>10</v>
      </c>
      <c r="F5069" s="5">
        <v>84</v>
      </c>
      <c r="G5069" s="5">
        <v>0</v>
      </c>
      <c r="H5069" s="6">
        <v>4564.68</v>
      </c>
      <c r="I5069" s="22">
        <v>0</v>
      </c>
      <c r="J5069" s="24">
        <f t="shared" si="237"/>
        <v>0</v>
      </c>
      <c r="K5069" s="25">
        <f t="shared" si="239"/>
        <v>1.0000000000000009</v>
      </c>
      <c r="L5069" s="27"/>
      <c r="M5069" s="28"/>
      <c r="N5069" s="28"/>
      <c r="O5069" s="20" t="s">
        <v>7530</v>
      </c>
      <c r="P5069" s="27" t="str">
        <f t="shared" si="238"/>
        <v>vermelho</v>
      </c>
    </row>
    <row r="5070" spans="1:16" ht="25.5">
      <c r="A5070" s="3" t="s">
        <v>4</v>
      </c>
      <c r="B5070" s="3" t="s">
        <v>3892</v>
      </c>
      <c r="C5070" s="4">
        <v>267</v>
      </c>
      <c r="D5070" s="3" t="s">
        <v>125</v>
      </c>
      <c r="E5070" s="3" t="s">
        <v>16</v>
      </c>
      <c r="F5070" s="5">
        <v>249</v>
      </c>
      <c r="G5070" s="5">
        <v>0</v>
      </c>
      <c r="H5070" s="6">
        <v>13800.51</v>
      </c>
      <c r="I5070" s="22">
        <v>0</v>
      </c>
      <c r="J5070" s="24">
        <f t="shared" si="237"/>
        <v>0</v>
      </c>
      <c r="K5070" s="25">
        <f t="shared" si="239"/>
        <v>1.0000000000000009</v>
      </c>
      <c r="L5070" s="27"/>
      <c r="M5070" s="28"/>
      <c r="N5070" s="28"/>
      <c r="O5070" s="20" t="s">
        <v>7530</v>
      </c>
      <c r="P5070" s="27" t="str">
        <f t="shared" si="238"/>
        <v>vermelho</v>
      </c>
    </row>
    <row r="5071" spans="1:16" ht="38.25">
      <c r="A5071" s="3" t="s">
        <v>4</v>
      </c>
      <c r="B5071" s="3" t="s">
        <v>3893</v>
      </c>
      <c r="C5071" s="4">
        <v>34</v>
      </c>
      <c r="D5071" s="3" t="s">
        <v>54</v>
      </c>
      <c r="E5071" s="3" t="s">
        <v>49</v>
      </c>
      <c r="F5071" s="5">
        <v>213</v>
      </c>
      <c r="G5071" s="5">
        <v>0</v>
      </c>
      <c r="H5071" s="6">
        <v>12195.87</v>
      </c>
      <c r="I5071" s="22">
        <v>0</v>
      </c>
      <c r="J5071" s="24">
        <f t="shared" si="237"/>
        <v>0</v>
      </c>
      <c r="K5071" s="25">
        <f t="shared" si="239"/>
        <v>1.0000000000000009</v>
      </c>
      <c r="L5071" s="27"/>
      <c r="M5071" s="28"/>
      <c r="N5071" s="28"/>
      <c r="O5071" s="20" t="s">
        <v>7530</v>
      </c>
      <c r="P5071" s="27" t="str">
        <f t="shared" si="238"/>
        <v>vermelho</v>
      </c>
    </row>
    <row r="5072" spans="1:16" ht="25.5">
      <c r="A5072" s="3" t="s">
        <v>4</v>
      </c>
      <c r="B5072" s="3" t="s">
        <v>3894</v>
      </c>
      <c r="C5072" s="4">
        <v>194</v>
      </c>
      <c r="D5072" s="3" t="s">
        <v>145</v>
      </c>
      <c r="E5072" s="3" t="s">
        <v>16</v>
      </c>
      <c r="F5072" s="5">
        <v>120</v>
      </c>
      <c r="G5072" s="5">
        <v>0</v>
      </c>
      <c r="H5072" s="6">
        <v>6522.72</v>
      </c>
      <c r="I5072" s="22">
        <v>0</v>
      </c>
      <c r="J5072" s="24">
        <f t="shared" si="237"/>
        <v>0</v>
      </c>
      <c r="K5072" s="25">
        <f t="shared" si="239"/>
        <v>1.0000000000000009</v>
      </c>
      <c r="L5072" s="27"/>
      <c r="M5072" s="28"/>
      <c r="N5072" s="28"/>
      <c r="O5072" s="20" t="s">
        <v>7530</v>
      </c>
      <c r="P5072" s="27" t="str">
        <f t="shared" si="238"/>
        <v>vermelho</v>
      </c>
    </row>
    <row r="5073" spans="1:16" ht="38.25">
      <c r="A5073" s="3" t="s">
        <v>4</v>
      </c>
      <c r="B5073" s="3" t="s">
        <v>3895</v>
      </c>
      <c r="C5073" s="4">
        <v>34</v>
      </c>
      <c r="D5073" s="3" t="s">
        <v>54</v>
      </c>
      <c r="E5073" s="3" t="s">
        <v>49</v>
      </c>
      <c r="F5073" s="5">
        <v>108</v>
      </c>
      <c r="G5073" s="5">
        <v>0</v>
      </c>
      <c r="H5073" s="6">
        <v>3575.76</v>
      </c>
      <c r="I5073" s="22">
        <v>0</v>
      </c>
      <c r="J5073" s="24">
        <f t="shared" si="237"/>
        <v>0</v>
      </c>
      <c r="K5073" s="25">
        <f t="shared" si="239"/>
        <v>1.0000000000000009</v>
      </c>
      <c r="L5073" s="27"/>
      <c r="M5073" s="28"/>
      <c r="N5073" s="28"/>
      <c r="O5073" s="20" t="s">
        <v>7530</v>
      </c>
      <c r="P5073" s="27" t="str">
        <f t="shared" si="238"/>
        <v>vermelho</v>
      </c>
    </row>
    <row r="5074" spans="1:16" ht="25.5">
      <c r="A5074" s="3" t="s">
        <v>4</v>
      </c>
      <c r="B5074" s="3" t="s">
        <v>3896</v>
      </c>
      <c r="C5074" s="4">
        <v>317</v>
      </c>
      <c r="D5074" s="3" t="s">
        <v>78</v>
      </c>
      <c r="E5074" s="3" t="s">
        <v>10</v>
      </c>
      <c r="F5074" s="5">
        <v>99</v>
      </c>
      <c r="G5074" s="5">
        <v>0</v>
      </c>
      <c r="H5074" s="6">
        <v>6232.23</v>
      </c>
      <c r="I5074" s="22">
        <v>0</v>
      </c>
      <c r="J5074" s="24">
        <f t="shared" si="237"/>
        <v>0</v>
      </c>
      <c r="K5074" s="25">
        <f t="shared" si="239"/>
        <v>1.0000000000000009</v>
      </c>
      <c r="L5074" s="27"/>
      <c r="M5074" s="28"/>
      <c r="N5074" s="28"/>
      <c r="O5074" s="20" t="s">
        <v>7530</v>
      </c>
      <c r="P5074" s="27" t="str">
        <f t="shared" si="238"/>
        <v>vermelho</v>
      </c>
    </row>
    <row r="5075" spans="1:16" ht="51">
      <c r="A5075" s="3" t="s">
        <v>4</v>
      </c>
      <c r="B5075" s="3" t="s">
        <v>3897</v>
      </c>
      <c r="C5075" s="4">
        <v>282</v>
      </c>
      <c r="D5075" s="3" t="s">
        <v>12</v>
      </c>
      <c r="E5075" s="3" t="s">
        <v>13</v>
      </c>
      <c r="F5075" s="5">
        <v>48</v>
      </c>
      <c r="G5075" s="5">
        <v>0</v>
      </c>
      <c r="H5075" s="6">
        <v>2524.08</v>
      </c>
      <c r="I5075" s="22">
        <v>0</v>
      </c>
      <c r="J5075" s="24">
        <f t="shared" si="237"/>
        <v>0</v>
      </c>
      <c r="K5075" s="25">
        <f t="shared" si="239"/>
        <v>1.0000000000000009</v>
      </c>
      <c r="L5075" s="27"/>
      <c r="M5075" s="28"/>
      <c r="N5075" s="28"/>
      <c r="O5075" s="20" t="s">
        <v>7530</v>
      </c>
      <c r="P5075" s="27" t="str">
        <f t="shared" si="238"/>
        <v>vermelho</v>
      </c>
    </row>
    <row r="5076" spans="1:16" ht="38.25">
      <c r="A5076" s="3" t="s">
        <v>4</v>
      </c>
      <c r="B5076" s="3" t="s">
        <v>3898</v>
      </c>
      <c r="C5076" s="4">
        <v>34</v>
      </c>
      <c r="D5076" s="3" t="s">
        <v>54</v>
      </c>
      <c r="E5076" s="3" t="s">
        <v>49</v>
      </c>
      <c r="F5076" s="5">
        <v>126</v>
      </c>
      <c r="G5076" s="5">
        <v>0</v>
      </c>
      <c r="H5076" s="6">
        <v>7116.6</v>
      </c>
      <c r="I5076" s="22">
        <v>0</v>
      </c>
      <c r="J5076" s="24">
        <f t="shared" si="237"/>
        <v>0</v>
      </c>
      <c r="K5076" s="25">
        <f t="shared" si="239"/>
        <v>1.0000000000000009</v>
      </c>
      <c r="L5076" s="27"/>
      <c r="M5076" s="28"/>
      <c r="N5076" s="28"/>
      <c r="O5076" s="20" t="s">
        <v>7530</v>
      </c>
      <c r="P5076" s="27" t="str">
        <f t="shared" si="238"/>
        <v>vermelho</v>
      </c>
    </row>
    <row r="5077" spans="1:16" ht="25.5">
      <c r="A5077" s="3" t="s">
        <v>4</v>
      </c>
      <c r="B5077" s="3" t="s">
        <v>3899</v>
      </c>
      <c r="C5077" s="4">
        <v>261</v>
      </c>
      <c r="D5077" s="3" t="s">
        <v>9</v>
      </c>
      <c r="E5077" s="3" t="s">
        <v>10</v>
      </c>
      <c r="F5077" s="5">
        <v>669</v>
      </c>
      <c r="G5077" s="5">
        <v>0</v>
      </c>
      <c r="H5077" s="6">
        <v>40643.31</v>
      </c>
      <c r="I5077" s="22">
        <v>0</v>
      </c>
      <c r="J5077" s="24">
        <f t="shared" si="237"/>
        <v>0</v>
      </c>
      <c r="K5077" s="25">
        <f t="shared" si="239"/>
        <v>1.0000000000000009</v>
      </c>
      <c r="L5077" s="27"/>
      <c r="M5077" s="28"/>
      <c r="N5077" s="28"/>
      <c r="O5077" s="20">
        <v>11617.47</v>
      </c>
      <c r="P5077" s="27" t="str">
        <f t="shared" si="238"/>
        <v>vermelho</v>
      </c>
    </row>
    <row r="5078" spans="1:16" ht="25.5">
      <c r="A5078" s="3" t="s">
        <v>4</v>
      </c>
      <c r="B5078" s="3" t="s">
        <v>3900</v>
      </c>
      <c r="C5078" s="4">
        <v>299</v>
      </c>
      <c r="D5078" s="3" t="s">
        <v>111</v>
      </c>
      <c r="E5078" s="3" t="s">
        <v>49</v>
      </c>
      <c r="F5078" s="5">
        <v>336</v>
      </c>
      <c r="G5078" s="5">
        <v>0</v>
      </c>
      <c r="H5078" s="6">
        <v>11761.608</v>
      </c>
      <c r="I5078" s="22">
        <v>0</v>
      </c>
      <c r="J5078" s="24">
        <f t="shared" si="237"/>
        <v>0</v>
      </c>
      <c r="K5078" s="25">
        <f t="shared" si="239"/>
        <v>1.0000000000000009</v>
      </c>
      <c r="L5078" s="27"/>
      <c r="M5078" s="28"/>
      <c r="N5078" s="28"/>
      <c r="O5078" s="20" t="s">
        <v>7530</v>
      </c>
      <c r="P5078" s="27" t="str">
        <f t="shared" si="238"/>
        <v>vermelho</v>
      </c>
    </row>
    <row r="5079" spans="1:16" ht="38.25">
      <c r="A5079" s="3" t="s">
        <v>4</v>
      </c>
      <c r="B5079" s="3" t="s">
        <v>3901</v>
      </c>
      <c r="C5079" s="4">
        <v>371</v>
      </c>
      <c r="D5079" s="3" t="s">
        <v>82</v>
      </c>
      <c r="E5079" s="3" t="s">
        <v>49</v>
      </c>
      <c r="F5079" s="5">
        <v>48</v>
      </c>
      <c r="G5079" s="5">
        <v>0</v>
      </c>
      <c r="H5079" s="6">
        <v>3047.52</v>
      </c>
      <c r="I5079" s="22">
        <v>0</v>
      </c>
      <c r="J5079" s="24">
        <f t="shared" si="237"/>
        <v>0</v>
      </c>
      <c r="K5079" s="25">
        <f t="shared" si="239"/>
        <v>1.0000000000000009</v>
      </c>
      <c r="L5079" s="27"/>
      <c r="M5079" s="28"/>
      <c r="N5079" s="28"/>
      <c r="O5079" s="20" t="s">
        <v>7530</v>
      </c>
      <c r="P5079" s="27" t="str">
        <f t="shared" si="238"/>
        <v>vermelho</v>
      </c>
    </row>
    <row r="5080" spans="1:16" ht="51">
      <c r="A5080" s="3" t="s">
        <v>4</v>
      </c>
      <c r="B5080" s="3" t="s">
        <v>3902</v>
      </c>
      <c r="C5080" s="4">
        <v>282</v>
      </c>
      <c r="D5080" s="3" t="s">
        <v>12</v>
      </c>
      <c r="E5080" s="3" t="s">
        <v>13</v>
      </c>
      <c r="F5080" s="5">
        <v>63</v>
      </c>
      <c r="G5080" s="5">
        <v>0</v>
      </c>
      <c r="H5080" s="6">
        <v>3872.808</v>
      </c>
      <c r="I5080" s="22">
        <v>0</v>
      </c>
      <c r="J5080" s="24">
        <f t="shared" si="237"/>
        <v>0</v>
      </c>
      <c r="K5080" s="25">
        <f t="shared" si="239"/>
        <v>1.0000000000000009</v>
      </c>
      <c r="L5080" s="27"/>
      <c r="M5080" s="28"/>
      <c r="N5080" s="28"/>
      <c r="O5080" s="20" t="s">
        <v>7530</v>
      </c>
      <c r="P5080" s="27" t="str">
        <f t="shared" si="238"/>
        <v>vermelho</v>
      </c>
    </row>
    <row r="5081" spans="1:16" ht="38.25">
      <c r="A5081" s="3" t="s">
        <v>4</v>
      </c>
      <c r="B5081" s="3" t="s">
        <v>3903</v>
      </c>
      <c r="C5081" s="4">
        <v>292</v>
      </c>
      <c r="D5081" s="3" t="s">
        <v>57</v>
      </c>
      <c r="E5081" s="3" t="s">
        <v>49</v>
      </c>
      <c r="F5081" s="5">
        <v>36</v>
      </c>
      <c r="G5081" s="5">
        <v>0</v>
      </c>
      <c r="H5081" s="6">
        <v>2447.64</v>
      </c>
      <c r="I5081" s="22">
        <v>0</v>
      </c>
      <c r="J5081" s="24">
        <f t="shared" si="237"/>
        <v>0</v>
      </c>
      <c r="K5081" s="25">
        <f t="shared" si="239"/>
        <v>1.0000000000000009</v>
      </c>
      <c r="L5081" s="27"/>
      <c r="M5081" s="28"/>
      <c r="N5081" s="28"/>
      <c r="O5081" s="20" t="s">
        <v>7530</v>
      </c>
      <c r="P5081" s="27" t="str">
        <f t="shared" si="238"/>
        <v>vermelho</v>
      </c>
    </row>
    <row r="5082" spans="1:16" ht="25.5">
      <c r="A5082" s="3" t="s">
        <v>4</v>
      </c>
      <c r="B5082" s="3" t="s">
        <v>3904</v>
      </c>
      <c r="C5082" s="4">
        <v>317</v>
      </c>
      <c r="D5082" s="3" t="s">
        <v>78</v>
      </c>
      <c r="E5082" s="3" t="s">
        <v>10</v>
      </c>
      <c r="F5082" s="5">
        <v>372</v>
      </c>
      <c r="G5082" s="5">
        <v>0</v>
      </c>
      <c r="H5082" s="6">
        <v>21178.2</v>
      </c>
      <c r="I5082" s="22">
        <v>0</v>
      </c>
      <c r="J5082" s="24">
        <f t="shared" si="237"/>
        <v>0</v>
      </c>
      <c r="K5082" s="25">
        <f t="shared" si="239"/>
        <v>1.0000000000000009</v>
      </c>
      <c r="L5082" s="27"/>
      <c r="M5082" s="28"/>
      <c r="N5082" s="28"/>
      <c r="O5082" s="20">
        <v>18134.16</v>
      </c>
      <c r="P5082" s="27" t="str">
        <f t="shared" si="238"/>
        <v>vermelho</v>
      </c>
    </row>
    <row r="5083" spans="1:16" ht="25.5">
      <c r="A5083" s="3" t="s">
        <v>4</v>
      </c>
      <c r="B5083" s="3" t="s">
        <v>3905</v>
      </c>
      <c r="C5083" s="4">
        <v>327</v>
      </c>
      <c r="D5083" s="3" t="s">
        <v>100</v>
      </c>
      <c r="E5083" s="3" t="s">
        <v>7</v>
      </c>
      <c r="F5083" s="5">
        <v>54</v>
      </c>
      <c r="G5083" s="5">
        <v>0</v>
      </c>
      <c r="H5083" s="6">
        <v>2897.46</v>
      </c>
      <c r="I5083" s="22">
        <v>0</v>
      </c>
      <c r="J5083" s="24">
        <f t="shared" si="237"/>
        <v>0</v>
      </c>
      <c r="K5083" s="25">
        <f t="shared" si="239"/>
        <v>1.0000000000000009</v>
      </c>
      <c r="L5083" s="27"/>
      <c r="M5083" s="28"/>
      <c r="N5083" s="28"/>
      <c r="O5083" s="20">
        <v>4133.79</v>
      </c>
      <c r="P5083" s="27" t="str">
        <f t="shared" si="238"/>
        <v>vermelho</v>
      </c>
    </row>
    <row r="5084" spans="1:16" ht="25.5">
      <c r="A5084" s="3" t="s">
        <v>4</v>
      </c>
      <c r="B5084" s="3" t="s">
        <v>3906</v>
      </c>
      <c r="C5084" s="4">
        <v>19</v>
      </c>
      <c r="D5084" s="3" t="s">
        <v>72</v>
      </c>
      <c r="E5084" s="3" t="s">
        <v>41</v>
      </c>
      <c r="F5084" s="5">
        <v>0</v>
      </c>
      <c r="G5084" s="5">
        <v>0</v>
      </c>
      <c r="H5084" s="6">
        <v>0</v>
      </c>
      <c r="I5084" s="22">
        <v>0</v>
      </c>
      <c r="J5084" s="24">
        <f t="shared" si="237"/>
        <v>0</v>
      </c>
      <c r="K5084" s="25">
        <f t="shared" si="239"/>
        <v>1.0000000000000009</v>
      </c>
      <c r="L5084" s="27"/>
      <c r="M5084" s="28"/>
      <c r="N5084" s="28"/>
      <c r="O5084" s="20" t="s">
        <v>7530</v>
      </c>
      <c r="P5084" s="27" t="str">
        <f t="shared" si="238"/>
        <v>vermelho</v>
      </c>
    </row>
    <row r="5085" spans="1:16" ht="25.5">
      <c r="A5085" s="3" t="s">
        <v>4</v>
      </c>
      <c r="B5085" s="3" t="s">
        <v>3907</v>
      </c>
      <c r="C5085" s="4">
        <v>178</v>
      </c>
      <c r="D5085" s="3" t="s">
        <v>74</v>
      </c>
      <c r="E5085" s="3" t="s">
        <v>7</v>
      </c>
      <c r="F5085" s="5">
        <v>90</v>
      </c>
      <c r="G5085" s="5">
        <v>0</v>
      </c>
      <c r="H5085" s="6">
        <v>5525.1</v>
      </c>
      <c r="I5085" s="22">
        <v>0</v>
      </c>
      <c r="J5085" s="24">
        <f t="shared" si="237"/>
        <v>0</v>
      </c>
      <c r="K5085" s="25">
        <f t="shared" si="239"/>
        <v>1.0000000000000009</v>
      </c>
      <c r="L5085" s="27"/>
      <c r="M5085" s="28"/>
      <c r="N5085" s="28"/>
      <c r="O5085" s="20" t="s">
        <v>7530</v>
      </c>
      <c r="P5085" s="27" t="str">
        <f t="shared" si="238"/>
        <v>vermelho</v>
      </c>
    </row>
    <row r="5086" spans="1:16" ht="25.5">
      <c r="A5086" s="3" t="s">
        <v>4</v>
      </c>
      <c r="B5086" s="3" t="s">
        <v>3908</v>
      </c>
      <c r="C5086" s="4">
        <v>321</v>
      </c>
      <c r="D5086" s="3" t="s">
        <v>136</v>
      </c>
      <c r="E5086" s="3" t="s">
        <v>41</v>
      </c>
      <c r="F5086" s="5">
        <v>147</v>
      </c>
      <c r="G5086" s="5">
        <v>0</v>
      </c>
      <c r="H5086" s="6">
        <v>7359.33</v>
      </c>
      <c r="I5086" s="22">
        <v>0</v>
      </c>
      <c r="J5086" s="24">
        <f t="shared" si="237"/>
        <v>0</v>
      </c>
      <c r="K5086" s="25">
        <f t="shared" si="239"/>
        <v>1.0000000000000009</v>
      </c>
      <c r="L5086" s="27"/>
      <c r="M5086" s="28"/>
      <c r="N5086" s="28"/>
      <c r="O5086" s="20" t="s">
        <v>7530</v>
      </c>
      <c r="P5086" s="27" t="str">
        <f t="shared" si="238"/>
        <v>vermelho</v>
      </c>
    </row>
    <row r="5087" spans="1:16" ht="25.5">
      <c r="A5087" s="3" t="s">
        <v>4</v>
      </c>
      <c r="B5087" s="3" t="s">
        <v>3909</v>
      </c>
      <c r="C5087" s="4">
        <v>240</v>
      </c>
      <c r="D5087" s="3" t="s">
        <v>69</v>
      </c>
      <c r="E5087" s="3" t="s">
        <v>16</v>
      </c>
      <c r="F5087" s="5">
        <v>129</v>
      </c>
      <c r="G5087" s="5">
        <v>0</v>
      </c>
      <c r="H5087" s="6">
        <v>6993.87</v>
      </c>
      <c r="I5087" s="22">
        <v>0</v>
      </c>
      <c r="J5087" s="24">
        <f t="shared" si="237"/>
        <v>0</v>
      </c>
      <c r="K5087" s="25">
        <f t="shared" si="239"/>
        <v>1.0000000000000009</v>
      </c>
      <c r="L5087" s="27"/>
      <c r="M5087" s="28"/>
      <c r="N5087" s="28"/>
      <c r="O5087" s="20" t="s">
        <v>7530</v>
      </c>
      <c r="P5087" s="27" t="str">
        <f t="shared" si="238"/>
        <v>vermelho</v>
      </c>
    </row>
    <row r="5088" spans="1:16" ht="38.25">
      <c r="A5088" s="3" t="s">
        <v>4</v>
      </c>
      <c r="B5088" s="3" t="s">
        <v>3910</v>
      </c>
      <c r="C5088" s="4">
        <v>34</v>
      </c>
      <c r="D5088" s="3" t="s">
        <v>54</v>
      </c>
      <c r="E5088" s="3" t="s">
        <v>49</v>
      </c>
      <c r="F5088" s="5">
        <v>144</v>
      </c>
      <c r="G5088" s="5">
        <v>0</v>
      </c>
      <c r="H5088" s="6">
        <v>8142.6</v>
      </c>
      <c r="I5088" s="22">
        <v>0</v>
      </c>
      <c r="J5088" s="24">
        <f t="shared" si="237"/>
        <v>0</v>
      </c>
      <c r="K5088" s="25">
        <f t="shared" si="239"/>
        <v>1.0000000000000009</v>
      </c>
      <c r="L5088" s="27"/>
      <c r="M5088" s="28"/>
      <c r="N5088" s="28"/>
      <c r="O5088" s="20" t="s">
        <v>7530</v>
      </c>
      <c r="P5088" s="27" t="str">
        <f t="shared" si="238"/>
        <v>vermelho</v>
      </c>
    </row>
    <row r="5089" spans="1:16" ht="25.5">
      <c r="A5089" s="3" t="s">
        <v>4</v>
      </c>
      <c r="B5089" s="3" t="s">
        <v>3911</v>
      </c>
      <c r="C5089" s="4">
        <v>296</v>
      </c>
      <c r="D5089" s="3" t="s">
        <v>282</v>
      </c>
      <c r="E5089" s="3" t="s">
        <v>7</v>
      </c>
      <c r="F5089" s="5">
        <v>84</v>
      </c>
      <c r="G5089" s="5">
        <v>0</v>
      </c>
      <c r="H5089" s="6">
        <v>4909.8</v>
      </c>
      <c r="I5089" s="22">
        <v>0</v>
      </c>
      <c r="J5089" s="24">
        <f t="shared" si="237"/>
        <v>0</v>
      </c>
      <c r="K5089" s="25">
        <f t="shared" si="239"/>
        <v>1.0000000000000009</v>
      </c>
      <c r="L5089" s="27"/>
      <c r="M5089" s="28"/>
      <c r="N5089" s="28"/>
      <c r="O5089" s="20" t="s">
        <v>7530</v>
      </c>
      <c r="P5089" s="27" t="str">
        <f t="shared" si="238"/>
        <v>vermelho</v>
      </c>
    </row>
    <row r="5090" spans="1:16" ht="25.5">
      <c r="A5090" s="3" t="s">
        <v>4</v>
      </c>
      <c r="B5090" s="3" t="s">
        <v>3912</v>
      </c>
      <c r="C5090" s="4">
        <v>65</v>
      </c>
      <c r="D5090" s="3" t="s">
        <v>3913</v>
      </c>
      <c r="E5090" s="3" t="s">
        <v>10</v>
      </c>
      <c r="F5090" s="5">
        <v>72</v>
      </c>
      <c r="G5090" s="5">
        <v>0</v>
      </c>
      <c r="H5090" s="6">
        <v>3922.74</v>
      </c>
      <c r="I5090" s="22">
        <v>0</v>
      </c>
      <c r="J5090" s="24">
        <f t="shared" si="237"/>
        <v>0</v>
      </c>
      <c r="K5090" s="25">
        <f t="shared" si="239"/>
        <v>1.0000000000000009</v>
      </c>
      <c r="L5090" s="27"/>
      <c r="M5090" s="28"/>
      <c r="N5090" s="28"/>
      <c r="O5090" s="20" t="s">
        <v>7530</v>
      </c>
      <c r="P5090" s="27" t="str">
        <f t="shared" si="238"/>
        <v>vermelho</v>
      </c>
    </row>
    <row r="5091" spans="1:16" ht="25.5">
      <c r="A5091" s="3" t="s">
        <v>4</v>
      </c>
      <c r="B5091" s="3" t="s">
        <v>3914</v>
      </c>
      <c r="C5091" s="4">
        <v>61</v>
      </c>
      <c r="D5091" s="3" t="s">
        <v>48</v>
      </c>
      <c r="E5091" s="3" t="s">
        <v>49</v>
      </c>
      <c r="F5091" s="5">
        <v>84</v>
      </c>
      <c r="G5091" s="5">
        <v>0</v>
      </c>
      <c r="H5091" s="6">
        <v>5219.16</v>
      </c>
      <c r="I5091" s="22">
        <v>0</v>
      </c>
      <c r="J5091" s="24">
        <f t="shared" si="237"/>
        <v>0</v>
      </c>
      <c r="K5091" s="25">
        <f t="shared" si="239"/>
        <v>1.0000000000000009</v>
      </c>
      <c r="L5091" s="27"/>
      <c r="M5091" s="28"/>
      <c r="N5091" s="28"/>
      <c r="O5091" s="20" t="s">
        <v>7530</v>
      </c>
      <c r="P5091" s="27" t="str">
        <f t="shared" si="238"/>
        <v>vermelho</v>
      </c>
    </row>
    <row r="5092" spans="1:16" ht="25.5">
      <c r="A5092" s="3" t="s">
        <v>4</v>
      </c>
      <c r="B5092" s="3" t="s">
        <v>3915</v>
      </c>
      <c r="C5092" s="4">
        <v>302</v>
      </c>
      <c r="D5092" s="3" t="s">
        <v>293</v>
      </c>
      <c r="E5092" s="3" t="s">
        <v>49</v>
      </c>
      <c r="F5092" s="5">
        <v>75</v>
      </c>
      <c r="G5092" s="5">
        <v>0</v>
      </c>
      <c r="H5092" s="6">
        <v>2891.85</v>
      </c>
      <c r="I5092" s="22">
        <v>0</v>
      </c>
      <c r="J5092" s="24">
        <f t="shared" si="237"/>
        <v>0</v>
      </c>
      <c r="K5092" s="25">
        <f t="shared" si="239"/>
        <v>1.0000000000000009</v>
      </c>
      <c r="L5092" s="27"/>
      <c r="M5092" s="28"/>
      <c r="N5092" s="28"/>
      <c r="O5092" s="20" t="s">
        <v>7530</v>
      </c>
      <c r="P5092" s="27" t="str">
        <f t="shared" si="238"/>
        <v>vermelho</v>
      </c>
    </row>
    <row r="5093" spans="1:16" ht="51">
      <c r="A5093" s="3" t="s">
        <v>4</v>
      </c>
      <c r="B5093" s="3" t="s">
        <v>3916</v>
      </c>
      <c r="C5093" s="4">
        <v>282</v>
      </c>
      <c r="D5093" s="3" t="s">
        <v>12</v>
      </c>
      <c r="E5093" s="3" t="s">
        <v>13</v>
      </c>
      <c r="F5093" s="5">
        <v>0</v>
      </c>
      <c r="G5093" s="5">
        <v>0</v>
      </c>
      <c r="H5093" s="6">
        <v>0</v>
      </c>
      <c r="I5093" s="22">
        <v>0</v>
      </c>
      <c r="J5093" s="24">
        <f t="shared" si="237"/>
        <v>0</v>
      </c>
      <c r="K5093" s="25">
        <f t="shared" si="239"/>
        <v>1.0000000000000009</v>
      </c>
      <c r="L5093" s="27"/>
      <c r="M5093" s="28"/>
      <c r="N5093" s="28"/>
      <c r="O5093" s="20" t="s">
        <v>7530</v>
      </c>
      <c r="P5093" s="27" t="str">
        <f t="shared" si="238"/>
        <v>vermelho</v>
      </c>
    </row>
    <row r="5094" spans="1:16" ht="25.5">
      <c r="A5094" s="3" t="s">
        <v>4</v>
      </c>
      <c r="B5094" s="3" t="s">
        <v>3917</v>
      </c>
      <c r="C5094" s="4">
        <v>61</v>
      </c>
      <c r="D5094" s="3" t="s">
        <v>48</v>
      </c>
      <c r="E5094" s="3" t="s">
        <v>49</v>
      </c>
      <c r="F5094" s="5">
        <v>96</v>
      </c>
      <c r="G5094" s="5">
        <v>0</v>
      </c>
      <c r="H5094" s="6">
        <v>5493.48</v>
      </c>
      <c r="I5094" s="22">
        <v>0</v>
      </c>
      <c r="J5094" s="24">
        <f t="shared" si="237"/>
        <v>0</v>
      </c>
      <c r="K5094" s="25">
        <f t="shared" si="239"/>
        <v>1.0000000000000009</v>
      </c>
      <c r="L5094" s="27"/>
      <c r="M5094" s="28"/>
      <c r="N5094" s="28"/>
      <c r="O5094" s="20" t="s">
        <v>7530</v>
      </c>
      <c r="P5094" s="27" t="str">
        <f t="shared" si="238"/>
        <v>vermelho</v>
      </c>
    </row>
    <row r="5095" spans="1:16" ht="25.5">
      <c r="A5095" s="3" t="s">
        <v>4</v>
      </c>
      <c r="B5095" s="3" t="s">
        <v>3918</v>
      </c>
      <c r="C5095" s="4">
        <v>261</v>
      </c>
      <c r="D5095" s="3" t="s">
        <v>9</v>
      </c>
      <c r="E5095" s="3" t="s">
        <v>10</v>
      </c>
      <c r="F5095" s="5">
        <v>66</v>
      </c>
      <c r="G5095" s="5">
        <v>0</v>
      </c>
      <c r="H5095" s="6">
        <v>2993.34</v>
      </c>
      <c r="I5095" s="22">
        <v>0</v>
      </c>
      <c r="J5095" s="24">
        <f t="shared" si="237"/>
        <v>0</v>
      </c>
      <c r="K5095" s="25">
        <f t="shared" si="239"/>
        <v>1.0000000000000009</v>
      </c>
      <c r="L5095" s="27"/>
      <c r="M5095" s="28"/>
      <c r="N5095" s="28"/>
      <c r="O5095" s="20" t="s">
        <v>7530</v>
      </c>
      <c r="P5095" s="27" t="str">
        <f t="shared" si="238"/>
        <v>vermelho</v>
      </c>
    </row>
    <row r="5096" spans="1:16" ht="38.25">
      <c r="A5096" s="3" t="s">
        <v>4</v>
      </c>
      <c r="B5096" s="3" t="s">
        <v>3919</v>
      </c>
      <c r="C5096" s="4">
        <v>45</v>
      </c>
      <c r="D5096" s="3" t="s">
        <v>23</v>
      </c>
      <c r="E5096" s="3" t="s">
        <v>7</v>
      </c>
      <c r="F5096" s="5">
        <v>96</v>
      </c>
      <c r="G5096" s="5">
        <v>0</v>
      </c>
      <c r="H5096" s="6">
        <v>4173.12</v>
      </c>
      <c r="I5096" s="22">
        <v>0</v>
      </c>
      <c r="J5096" s="24">
        <f t="shared" si="237"/>
        <v>0</v>
      </c>
      <c r="K5096" s="25">
        <f t="shared" si="239"/>
        <v>1.0000000000000009</v>
      </c>
      <c r="L5096" s="27"/>
      <c r="M5096" s="28"/>
      <c r="N5096" s="28"/>
      <c r="O5096" s="20" t="s">
        <v>7530</v>
      </c>
      <c r="P5096" s="27" t="str">
        <f t="shared" si="238"/>
        <v>vermelho</v>
      </c>
    </row>
    <row r="5097" spans="1:16" ht="25.5">
      <c r="A5097" s="3" t="s">
        <v>4</v>
      </c>
      <c r="B5097" s="3" t="s">
        <v>3920</v>
      </c>
      <c r="C5097" s="4">
        <v>327</v>
      </c>
      <c r="D5097" s="3" t="s">
        <v>100</v>
      </c>
      <c r="E5097" s="3" t="s">
        <v>7</v>
      </c>
      <c r="F5097" s="5">
        <v>84</v>
      </c>
      <c r="G5097" s="5">
        <v>0</v>
      </c>
      <c r="H5097" s="6">
        <v>4331.16</v>
      </c>
      <c r="I5097" s="22">
        <v>0</v>
      </c>
      <c r="J5097" s="24">
        <f t="shared" si="237"/>
        <v>0</v>
      </c>
      <c r="K5097" s="25">
        <f t="shared" si="239"/>
        <v>1.0000000000000009</v>
      </c>
      <c r="L5097" s="27"/>
      <c r="M5097" s="28"/>
      <c r="N5097" s="28"/>
      <c r="O5097" s="20" t="s">
        <v>7530</v>
      </c>
      <c r="P5097" s="27" t="str">
        <f t="shared" si="238"/>
        <v>vermelho</v>
      </c>
    </row>
    <row r="5098" spans="1:16" ht="25.5">
      <c r="A5098" s="3" t="s">
        <v>4</v>
      </c>
      <c r="B5098" s="3" t="s">
        <v>3921</v>
      </c>
      <c r="C5098" s="4">
        <v>270</v>
      </c>
      <c r="D5098" s="3" t="s">
        <v>266</v>
      </c>
      <c r="E5098" s="3" t="s">
        <v>49</v>
      </c>
      <c r="F5098" s="5">
        <v>150</v>
      </c>
      <c r="G5098" s="5">
        <v>0</v>
      </c>
      <c r="H5098" s="6">
        <v>7571.4</v>
      </c>
      <c r="I5098" s="22">
        <v>0</v>
      </c>
      <c r="J5098" s="24">
        <f t="shared" si="237"/>
        <v>0</v>
      </c>
      <c r="K5098" s="25">
        <f t="shared" si="239"/>
        <v>1.0000000000000009</v>
      </c>
      <c r="L5098" s="27"/>
      <c r="M5098" s="28"/>
      <c r="N5098" s="28"/>
      <c r="O5098" s="20">
        <v>7844.13</v>
      </c>
      <c r="P5098" s="27" t="str">
        <f t="shared" si="238"/>
        <v>vermelho</v>
      </c>
    </row>
    <row r="5099" spans="1:16" ht="51">
      <c r="A5099" s="3" t="s">
        <v>4</v>
      </c>
      <c r="B5099" s="3" t="s">
        <v>3922</v>
      </c>
      <c r="C5099" s="4">
        <v>282</v>
      </c>
      <c r="D5099" s="3" t="s">
        <v>12</v>
      </c>
      <c r="E5099" s="3" t="s">
        <v>13</v>
      </c>
      <c r="F5099" s="5">
        <v>54</v>
      </c>
      <c r="G5099" s="5">
        <v>0</v>
      </c>
      <c r="H5099" s="6">
        <v>3514.5</v>
      </c>
      <c r="I5099" s="22">
        <v>0</v>
      </c>
      <c r="J5099" s="24">
        <f t="shared" si="237"/>
        <v>0</v>
      </c>
      <c r="K5099" s="25">
        <f t="shared" si="239"/>
        <v>1.0000000000000009</v>
      </c>
      <c r="L5099" s="27"/>
      <c r="M5099" s="28"/>
      <c r="N5099" s="28"/>
      <c r="O5099" s="20" t="s">
        <v>7530</v>
      </c>
      <c r="P5099" s="27" t="str">
        <f t="shared" si="238"/>
        <v>vermelho</v>
      </c>
    </row>
    <row r="5100" spans="1:16" ht="25.5">
      <c r="A5100" s="3" t="s">
        <v>4</v>
      </c>
      <c r="B5100" s="3" t="s">
        <v>3923</v>
      </c>
      <c r="C5100" s="4">
        <v>74</v>
      </c>
      <c r="D5100" s="3" t="s">
        <v>6</v>
      </c>
      <c r="E5100" s="3" t="s">
        <v>7</v>
      </c>
      <c r="F5100" s="5">
        <v>201</v>
      </c>
      <c r="G5100" s="5">
        <v>0</v>
      </c>
      <c r="H5100" s="6">
        <v>12531.69</v>
      </c>
      <c r="I5100" s="22">
        <v>0</v>
      </c>
      <c r="J5100" s="24">
        <f t="shared" si="237"/>
        <v>0</v>
      </c>
      <c r="K5100" s="25">
        <f t="shared" si="239"/>
        <v>1.0000000000000009</v>
      </c>
      <c r="L5100" s="27"/>
      <c r="M5100" s="28"/>
      <c r="N5100" s="28"/>
      <c r="O5100" s="20" t="s">
        <v>7530</v>
      </c>
      <c r="P5100" s="27" t="str">
        <f t="shared" si="238"/>
        <v>vermelho</v>
      </c>
    </row>
    <row r="5101" spans="1:16" ht="25.5">
      <c r="A5101" s="3" t="s">
        <v>4</v>
      </c>
      <c r="B5101" s="3" t="s">
        <v>3924</v>
      </c>
      <c r="C5101" s="4">
        <v>299</v>
      </c>
      <c r="D5101" s="3" t="s">
        <v>111</v>
      </c>
      <c r="E5101" s="3" t="s">
        <v>49</v>
      </c>
      <c r="F5101" s="5">
        <v>597</v>
      </c>
      <c r="G5101" s="5">
        <v>0</v>
      </c>
      <c r="H5101" s="6">
        <v>29955.065999999999</v>
      </c>
      <c r="I5101" s="22">
        <v>0</v>
      </c>
      <c r="J5101" s="24">
        <f t="shared" si="237"/>
        <v>0</v>
      </c>
      <c r="K5101" s="25">
        <f t="shared" si="239"/>
        <v>1.0000000000000009</v>
      </c>
      <c r="L5101" s="27"/>
      <c r="M5101" s="28"/>
      <c r="N5101" s="28"/>
      <c r="O5101" s="20" t="s">
        <v>7530</v>
      </c>
      <c r="P5101" s="27" t="str">
        <f t="shared" si="238"/>
        <v>vermelho</v>
      </c>
    </row>
    <row r="5102" spans="1:16" ht="25.5">
      <c r="A5102" s="3" t="s">
        <v>4</v>
      </c>
      <c r="B5102" s="3" t="s">
        <v>3925</v>
      </c>
      <c r="C5102" s="4">
        <v>217</v>
      </c>
      <c r="D5102" s="3" t="s">
        <v>91</v>
      </c>
      <c r="E5102" s="3" t="s">
        <v>16</v>
      </c>
      <c r="F5102" s="5">
        <v>156</v>
      </c>
      <c r="G5102" s="5">
        <v>0</v>
      </c>
      <c r="H5102" s="6">
        <v>9664.44</v>
      </c>
      <c r="I5102" s="22">
        <v>0</v>
      </c>
      <c r="J5102" s="24">
        <f t="shared" si="237"/>
        <v>0</v>
      </c>
      <c r="K5102" s="25">
        <f t="shared" si="239"/>
        <v>1.0000000000000009</v>
      </c>
      <c r="L5102" s="27"/>
      <c r="M5102" s="28"/>
      <c r="N5102" s="28"/>
      <c r="O5102" s="20" t="s">
        <v>7530</v>
      </c>
      <c r="P5102" s="27" t="str">
        <f t="shared" si="238"/>
        <v>vermelho</v>
      </c>
    </row>
    <row r="5103" spans="1:16" ht="25.5">
      <c r="A5103" s="3" t="s">
        <v>4</v>
      </c>
      <c r="B5103" s="3" t="s">
        <v>3926</v>
      </c>
      <c r="C5103" s="4">
        <v>327</v>
      </c>
      <c r="D5103" s="3" t="s">
        <v>100</v>
      </c>
      <c r="E5103" s="3" t="s">
        <v>7</v>
      </c>
      <c r="F5103" s="5">
        <v>114</v>
      </c>
      <c r="G5103" s="5">
        <v>0</v>
      </c>
      <c r="H5103" s="6">
        <v>5908.86</v>
      </c>
      <c r="I5103" s="22">
        <v>0</v>
      </c>
      <c r="J5103" s="24">
        <f t="shared" si="237"/>
        <v>0</v>
      </c>
      <c r="K5103" s="25">
        <f t="shared" si="239"/>
        <v>1.0000000000000009</v>
      </c>
      <c r="L5103" s="27"/>
      <c r="M5103" s="28"/>
      <c r="N5103" s="28"/>
      <c r="O5103" s="20" t="s">
        <v>7530</v>
      </c>
      <c r="P5103" s="27" t="str">
        <f t="shared" si="238"/>
        <v>vermelho</v>
      </c>
    </row>
    <row r="5104" spans="1:16" ht="25.5">
      <c r="A5104" s="3" t="s">
        <v>4</v>
      </c>
      <c r="B5104" s="3" t="s">
        <v>3927</v>
      </c>
      <c r="C5104" s="4">
        <v>39</v>
      </c>
      <c r="D5104" s="3" t="s">
        <v>26</v>
      </c>
      <c r="E5104" s="3" t="s">
        <v>13</v>
      </c>
      <c r="F5104" s="5">
        <v>54</v>
      </c>
      <c r="G5104" s="5">
        <v>0</v>
      </c>
      <c r="H5104" s="6">
        <v>3355.47</v>
      </c>
      <c r="I5104" s="22">
        <v>0</v>
      </c>
      <c r="J5104" s="24">
        <f t="shared" si="237"/>
        <v>0</v>
      </c>
      <c r="K5104" s="25">
        <f t="shared" si="239"/>
        <v>1.0000000000000009</v>
      </c>
      <c r="L5104" s="27"/>
      <c r="M5104" s="28"/>
      <c r="N5104" s="28"/>
      <c r="O5104" s="20" t="s">
        <v>7530</v>
      </c>
      <c r="P5104" s="27" t="str">
        <f t="shared" si="238"/>
        <v>vermelho</v>
      </c>
    </row>
    <row r="5105" spans="1:16" ht="25.5">
      <c r="A5105" s="3" t="s">
        <v>4</v>
      </c>
      <c r="B5105" s="3" t="s">
        <v>3928</v>
      </c>
      <c r="C5105" s="4">
        <v>194</v>
      </c>
      <c r="D5105" s="3" t="s">
        <v>145</v>
      </c>
      <c r="E5105" s="3" t="s">
        <v>16</v>
      </c>
      <c r="F5105" s="5">
        <v>108</v>
      </c>
      <c r="G5105" s="5">
        <v>0</v>
      </c>
      <c r="H5105" s="6">
        <v>5734.92</v>
      </c>
      <c r="I5105" s="22">
        <v>0</v>
      </c>
      <c r="J5105" s="24">
        <f t="shared" si="237"/>
        <v>0</v>
      </c>
      <c r="K5105" s="25">
        <f t="shared" si="239"/>
        <v>1.0000000000000009</v>
      </c>
      <c r="L5105" s="27"/>
      <c r="M5105" s="28"/>
      <c r="N5105" s="28"/>
      <c r="O5105" s="20">
        <v>6518.16</v>
      </c>
      <c r="P5105" s="27" t="str">
        <f t="shared" si="238"/>
        <v>vermelho</v>
      </c>
    </row>
    <row r="5106" spans="1:16" ht="25.5">
      <c r="A5106" s="3" t="s">
        <v>4</v>
      </c>
      <c r="B5106" s="3" t="s">
        <v>3929</v>
      </c>
      <c r="C5106" s="4">
        <v>208</v>
      </c>
      <c r="D5106" s="3" t="s">
        <v>15</v>
      </c>
      <c r="E5106" s="3" t="s">
        <v>16</v>
      </c>
      <c r="F5106" s="5">
        <v>288</v>
      </c>
      <c r="G5106" s="5">
        <v>0</v>
      </c>
      <c r="H5106" s="6">
        <v>15427.2</v>
      </c>
      <c r="I5106" s="22">
        <v>0</v>
      </c>
      <c r="J5106" s="24">
        <f t="shared" si="237"/>
        <v>0</v>
      </c>
      <c r="K5106" s="25">
        <f t="shared" si="239"/>
        <v>1.0000000000000009</v>
      </c>
      <c r="L5106" s="27"/>
      <c r="M5106" s="28"/>
      <c r="N5106" s="28"/>
      <c r="O5106" s="20" t="s">
        <v>7530</v>
      </c>
      <c r="P5106" s="27" t="str">
        <f t="shared" si="238"/>
        <v>vermelho</v>
      </c>
    </row>
    <row r="5107" spans="1:16" ht="25.5">
      <c r="A5107" s="3" t="s">
        <v>4</v>
      </c>
      <c r="B5107" s="3" t="s">
        <v>3930</v>
      </c>
      <c r="C5107" s="4">
        <v>31</v>
      </c>
      <c r="D5107" s="3" t="s">
        <v>194</v>
      </c>
      <c r="E5107" s="3" t="s">
        <v>16</v>
      </c>
      <c r="F5107" s="5">
        <v>192</v>
      </c>
      <c r="G5107" s="5">
        <v>0</v>
      </c>
      <c r="H5107" s="6">
        <v>9981.9599999999991</v>
      </c>
      <c r="I5107" s="22">
        <v>0</v>
      </c>
      <c r="J5107" s="24">
        <f t="shared" si="237"/>
        <v>0</v>
      </c>
      <c r="K5107" s="25">
        <f t="shared" si="239"/>
        <v>1.0000000000000009</v>
      </c>
      <c r="L5107" s="27"/>
      <c r="M5107" s="28"/>
      <c r="N5107" s="28"/>
      <c r="O5107" s="20" t="s">
        <v>7530</v>
      </c>
      <c r="P5107" s="27" t="str">
        <f t="shared" si="238"/>
        <v>vermelho</v>
      </c>
    </row>
    <row r="5108" spans="1:16" ht="25.5">
      <c r="A5108" s="3" t="s">
        <v>4</v>
      </c>
      <c r="B5108" s="3" t="s">
        <v>3931</v>
      </c>
      <c r="C5108" s="4">
        <v>299</v>
      </c>
      <c r="D5108" s="3" t="s">
        <v>111</v>
      </c>
      <c r="E5108" s="3" t="s">
        <v>49</v>
      </c>
      <c r="F5108" s="5">
        <v>204</v>
      </c>
      <c r="G5108" s="5">
        <v>0</v>
      </c>
      <c r="H5108" s="6">
        <v>10120.379999999999</v>
      </c>
      <c r="I5108" s="22">
        <v>0</v>
      </c>
      <c r="J5108" s="24">
        <f t="shared" si="237"/>
        <v>0</v>
      </c>
      <c r="K5108" s="25">
        <f t="shared" si="239"/>
        <v>1.0000000000000009</v>
      </c>
      <c r="L5108" s="27"/>
      <c r="M5108" s="28"/>
      <c r="N5108" s="28"/>
      <c r="O5108" s="20" t="s">
        <v>7530</v>
      </c>
      <c r="P5108" s="27" t="str">
        <f t="shared" si="238"/>
        <v>vermelho</v>
      </c>
    </row>
    <row r="5109" spans="1:16" ht="25.5">
      <c r="A5109" s="3" t="s">
        <v>4</v>
      </c>
      <c r="B5109" s="3" t="s">
        <v>3932</v>
      </c>
      <c r="C5109" s="4">
        <v>261</v>
      </c>
      <c r="D5109" s="3" t="s">
        <v>9</v>
      </c>
      <c r="E5109" s="3" t="s">
        <v>10</v>
      </c>
      <c r="F5109" s="5">
        <v>72</v>
      </c>
      <c r="G5109" s="5">
        <v>0</v>
      </c>
      <c r="H5109" s="6">
        <v>2685.12</v>
      </c>
      <c r="I5109" s="22">
        <v>0</v>
      </c>
      <c r="J5109" s="24">
        <f t="shared" si="237"/>
        <v>0</v>
      </c>
      <c r="K5109" s="25">
        <f t="shared" si="239"/>
        <v>1.0000000000000009</v>
      </c>
      <c r="L5109" s="27"/>
      <c r="M5109" s="28"/>
      <c r="N5109" s="28"/>
      <c r="O5109" s="20" t="s">
        <v>7530</v>
      </c>
      <c r="P5109" s="27" t="str">
        <f t="shared" si="238"/>
        <v>vermelho</v>
      </c>
    </row>
    <row r="5110" spans="1:16" ht="25.5">
      <c r="A5110" s="3" t="s">
        <v>4</v>
      </c>
      <c r="B5110" s="3" t="s">
        <v>3933</v>
      </c>
      <c r="C5110" s="4">
        <v>270</v>
      </c>
      <c r="D5110" s="3" t="s">
        <v>266</v>
      </c>
      <c r="E5110" s="3" t="s">
        <v>49</v>
      </c>
      <c r="F5110" s="5">
        <v>60</v>
      </c>
      <c r="G5110" s="5">
        <v>0</v>
      </c>
      <c r="H5110" s="6">
        <v>3253.56</v>
      </c>
      <c r="I5110" s="22">
        <v>0</v>
      </c>
      <c r="J5110" s="24">
        <f t="shared" si="237"/>
        <v>0</v>
      </c>
      <c r="K5110" s="25">
        <f t="shared" si="239"/>
        <v>1.0000000000000009</v>
      </c>
      <c r="L5110" s="27"/>
      <c r="M5110" s="28"/>
      <c r="N5110" s="28"/>
      <c r="O5110" s="20" t="s">
        <v>7530</v>
      </c>
      <c r="P5110" s="27" t="str">
        <f t="shared" si="238"/>
        <v>vermelho</v>
      </c>
    </row>
    <row r="5111" spans="1:16" ht="25.5">
      <c r="A5111" s="3" t="s">
        <v>4</v>
      </c>
      <c r="B5111" s="3" t="s">
        <v>3934</v>
      </c>
      <c r="C5111" s="4">
        <v>93</v>
      </c>
      <c r="D5111" s="3" t="s">
        <v>20</v>
      </c>
      <c r="E5111" s="3" t="s">
        <v>7</v>
      </c>
      <c r="F5111" s="5">
        <v>432</v>
      </c>
      <c r="G5111" s="5">
        <v>0</v>
      </c>
      <c r="H5111" s="6">
        <v>26304.48</v>
      </c>
      <c r="I5111" s="22">
        <v>0</v>
      </c>
      <c r="J5111" s="24">
        <f t="shared" si="237"/>
        <v>0</v>
      </c>
      <c r="K5111" s="25">
        <f t="shared" si="239"/>
        <v>1.0000000000000009</v>
      </c>
      <c r="L5111" s="27"/>
      <c r="M5111" s="28"/>
      <c r="N5111" s="28"/>
      <c r="O5111" s="20" t="s">
        <v>7530</v>
      </c>
      <c r="P5111" s="27" t="str">
        <f t="shared" si="238"/>
        <v>vermelho</v>
      </c>
    </row>
    <row r="5112" spans="1:16" ht="38.25">
      <c r="A5112" s="3" t="s">
        <v>4</v>
      </c>
      <c r="B5112" s="3" t="s">
        <v>3935</v>
      </c>
      <c r="C5112" s="4">
        <v>264</v>
      </c>
      <c r="D5112" s="3" t="s">
        <v>40</v>
      </c>
      <c r="E5112" s="3" t="s">
        <v>10</v>
      </c>
      <c r="F5112" s="5">
        <v>48</v>
      </c>
      <c r="G5112" s="5">
        <v>0</v>
      </c>
      <c r="H5112" s="6">
        <v>3402.48</v>
      </c>
      <c r="I5112" s="22">
        <v>0</v>
      </c>
      <c r="J5112" s="24">
        <f t="shared" si="237"/>
        <v>0</v>
      </c>
      <c r="K5112" s="25">
        <f t="shared" si="239"/>
        <v>1.0000000000000009</v>
      </c>
      <c r="L5112" s="27"/>
      <c r="M5112" s="28"/>
      <c r="N5112" s="28"/>
      <c r="O5112" s="20" t="s">
        <v>7530</v>
      </c>
      <c r="P5112" s="27" t="str">
        <f t="shared" si="238"/>
        <v>vermelho</v>
      </c>
    </row>
    <row r="5113" spans="1:16" ht="25.5">
      <c r="A5113" s="3" t="s">
        <v>4</v>
      </c>
      <c r="B5113" s="3" t="s">
        <v>3936</v>
      </c>
      <c r="C5113" s="4">
        <v>264</v>
      </c>
      <c r="D5113" s="3" t="s">
        <v>40</v>
      </c>
      <c r="E5113" s="3" t="s">
        <v>10</v>
      </c>
      <c r="F5113" s="5">
        <v>84</v>
      </c>
      <c r="G5113" s="5">
        <v>0</v>
      </c>
      <c r="H5113" s="6">
        <v>4652.97</v>
      </c>
      <c r="I5113" s="22">
        <v>0</v>
      </c>
      <c r="J5113" s="24">
        <f t="shared" si="237"/>
        <v>0</v>
      </c>
      <c r="K5113" s="25">
        <f t="shared" si="239"/>
        <v>1.0000000000000009</v>
      </c>
      <c r="L5113" s="27"/>
      <c r="M5113" s="28"/>
      <c r="N5113" s="28"/>
      <c r="O5113" s="20" t="s">
        <v>7530</v>
      </c>
      <c r="P5113" s="27" t="str">
        <f t="shared" si="238"/>
        <v>vermelho</v>
      </c>
    </row>
    <row r="5114" spans="1:16" ht="25.5">
      <c r="A5114" s="3" t="s">
        <v>4</v>
      </c>
      <c r="B5114" s="3" t="s">
        <v>3937</v>
      </c>
      <c r="C5114" s="4">
        <v>261</v>
      </c>
      <c r="D5114" s="3" t="s">
        <v>9</v>
      </c>
      <c r="E5114" s="3" t="s">
        <v>10</v>
      </c>
      <c r="F5114" s="5">
        <v>114</v>
      </c>
      <c r="G5114" s="5">
        <v>0</v>
      </c>
      <c r="H5114" s="6">
        <v>5650.86</v>
      </c>
      <c r="I5114" s="22">
        <v>0</v>
      </c>
      <c r="J5114" s="24">
        <f t="shared" si="237"/>
        <v>0</v>
      </c>
      <c r="K5114" s="25">
        <f t="shared" si="239"/>
        <v>1.0000000000000009</v>
      </c>
      <c r="L5114" s="27"/>
      <c r="M5114" s="28"/>
      <c r="N5114" s="28"/>
      <c r="O5114" s="20" t="s">
        <v>7530</v>
      </c>
      <c r="P5114" s="27" t="str">
        <f t="shared" si="238"/>
        <v>vermelho</v>
      </c>
    </row>
    <row r="5115" spans="1:16" ht="25.5">
      <c r="A5115" s="3" t="s">
        <v>4</v>
      </c>
      <c r="B5115" s="3" t="s">
        <v>3938</v>
      </c>
      <c r="C5115" s="4">
        <v>270</v>
      </c>
      <c r="D5115" s="3" t="s">
        <v>266</v>
      </c>
      <c r="E5115" s="3" t="s">
        <v>49</v>
      </c>
      <c r="F5115" s="5">
        <v>72</v>
      </c>
      <c r="G5115" s="5">
        <v>0</v>
      </c>
      <c r="H5115" s="6">
        <v>4562.04</v>
      </c>
      <c r="I5115" s="22">
        <v>0</v>
      </c>
      <c r="J5115" s="24">
        <f t="shared" si="237"/>
        <v>0</v>
      </c>
      <c r="K5115" s="25">
        <f t="shared" si="239"/>
        <v>1.0000000000000009</v>
      </c>
      <c r="L5115" s="27"/>
      <c r="M5115" s="28"/>
      <c r="N5115" s="28"/>
      <c r="O5115" s="20" t="s">
        <v>7530</v>
      </c>
      <c r="P5115" s="27" t="str">
        <f t="shared" si="238"/>
        <v>vermelho</v>
      </c>
    </row>
    <row r="5116" spans="1:16" ht="25.5">
      <c r="A5116" s="3" t="s">
        <v>4</v>
      </c>
      <c r="B5116" s="3" t="s">
        <v>3939</v>
      </c>
      <c r="C5116" s="4">
        <v>194</v>
      </c>
      <c r="D5116" s="3" t="s">
        <v>145</v>
      </c>
      <c r="E5116" s="3" t="s">
        <v>16</v>
      </c>
      <c r="F5116" s="5">
        <v>264</v>
      </c>
      <c r="G5116" s="5">
        <v>0</v>
      </c>
      <c r="H5116" s="6">
        <v>13904.88</v>
      </c>
      <c r="I5116" s="22">
        <v>0</v>
      </c>
      <c r="J5116" s="24">
        <f t="shared" si="237"/>
        <v>0</v>
      </c>
      <c r="K5116" s="25">
        <f t="shared" si="239"/>
        <v>1.0000000000000009</v>
      </c>
      <c r="L5116" s="27"/>
      <c r="M5116" s="28"/>
      <c r="N5116" s="28"/>
      <c r="O5116" s="20">
        <v>12165.03</v>
      </c>
      <c r="P5116" s="27" t="str">
        <f t="shared" si="238"/>
        <v>vermelho</v>
      </c>
    </row>
    <row r="5117" spans="1:16" ht="25.5">
      <c r="A5117" s="3" t="s">
        <v>4</v>
      </c>
      <c r="B5117" s="3" t="s">
        <v>3940</v>
      </c>
      <c r="C5117" s="4">
        <v>61</v>
      </c>
      <c r="D5117" s="3" t="s">
        <v>48</v>
      </c>
      <c r="E5117" s="3" t="s">
        <v>49</v>
      </c>
      <c r="F5117" s="5">
        <v>891</v>
      </c>
      <c r="G5117" s="5">
        <v>0</v>
      </c>
      <c r="H5117" s="6">
        <v>38911.131000000001</v>
      </c>
      <c r="I5117" s="22">
        <v>0</v>
      </c>
      <c r="J5117" s="24">
        <f t="shared" si="237"/>
        <v>0</v>
      </c>
      <c r="K5117" s="25">
        <f t="shared" si="239"/>
        <v>1.0000000000000009</v>
      </c>
      <c r="L5117" s="27"/>
      <c r="M5117" s="28"/>
      <c r="N5117" s="28"/>
      <c r="O5117" s="20">
        <v>11052.24</v>
      </c>
      <c r="P5117" s="27" t="str">
        <f t="shared" si="238"/>
        <v>vermelho</v>
      </c>
    </row>
    <row r="5118" spans="1:16" ht="38.25">
      <c r="A5118" s="3" t="s">
        <v>4</v>
      </c>
      <c r="B5118" s="3" t="s">
        <v>3941</v>
      </c>
      <c r="C5118" s="4">
        <v>11</v>
      </c>
      <c r="D5118" s="3" t="s">
        <v>61</v>
      </c>
      <c r="E5118" s="3" t="s">
        <v>10</v>
      </c>
      <c r="F5118" s="5">
        <v>156</v>
      </c>
      <c r="G5118" s="5">
        <v>0</v>
      </c>
      <c r="H5118" s="6">
        <v>7699.74</v>
      </c>
      <c r="I5118" s="22">
        <v>0</v>
      </c>
      <c r="J5118" s="24">
        <f t="shared" si="237"/>
        <v>0</v>
      </c>
      <c r="K5118" s="25">
        <f t="shared" si="239"/>
        <v>1.0000000000000009</v>
      </c>
      <c r="L5118" s="27"/>
      <c r="M5118" s="28"/>
      <c r="N5118" s="28"/>
      <c r="O5118" s="20" t="s">
        <v>7530</v>
      </c>
      <c r="P5118" s="27" t="str">
        <f t="shared" si="238"/>
        <v>vermelho</v>
      </c>
    </row>
    <row r="5119" spans="1:16" ht="38.25">
      <c r="A5119" s="3" t="s">
        <v>4</v>
      </c>
      <c r="B5119" s="3" t="s">
        <v>3942</v>
      </c>
      <c r="C5119" s="4">
        <v>273</v>
      </c>
      <c r="D5119" s="3" t="s">
        <v>149</v>
      </c>
      <c r="E5119" s="3" t="s">
        <v>16</v>
      </c>
      <c r="F5119" s="5">
        <v>192</v>
      </c>
      <c r="G5119" s="5">
        <v>0</v>
      </c>
      <c r="H5119" s="6">
        <v>7333.56</v>
      </c>
      <c r="I5119" s="22">
        <v>0</v>
      </c>
      <c r="J5119" s="24">
        <f t="shared" si="237"/>
        <v>0</v>
      </c>
      <c r="K5119" s="25">
        <f t="shared" si="239"/>
        <v>1.0000000000000009</v>
      </c>
      <c r="L5119" s="27"/>
      <c r="M5119" s="28"/>
      <c r="N5119" s="28"/>
      <c r="O5119" s="20" t="s">
        <v>7530</v>
      </c>
      <c r="P5119" s="27" t="str">
        <f t="shared" si="238"/>
        <v>vermelho</v>
      </c>
    </row>
    <row r="5120" spans="1:16" ht="25.5">
      <c r="A5120" s="3" t="s">
        <v>4</v>
      </c>
      <c r="B5120" s="3" t="s">
        <v>3943</v>
      </c>
      <c r="C5120" s="4">
        <v>232</v>
      </c>
      <c r="D5120" s="3" t="s">
        <v>174</v>
      </c>
      <c r="E5120" s="3" t="s">
        <v>16</v>
      </c>
      <c r="F5120" s="5">
        <v>255</v>
      </c>
      <c r="G5120" s="5">
        <v>0</v>
      </c>
      <c r="H5120" s="6">
        <v>14758.89</v>
      </c>
      <c r="I5120" s="22">
        <v>0</v>
      </c>
      <c r="J5120" s="24">
        <f t="shared" si="237"/>
        <v>0</v>
      </c>
      <c r="K5120" s="25">
        <f t="shared" si="239"/>
        <v>1.0000000000000009</v>
      </c>
      <c r="L5120" s="27"/>
      <c r="M5120" s="28"/>
      <c r="N5120" s="28"/>
      <c r="O5120" s="20" t="s">
        <v>7530</v>
      </c>
      <c r="P5120" s="27" t="str">
        <f t="shared" si="238"/>
        <v>vermelho</v>
      </c>
    </row>
    <row r="5121" spans="1:16" ht="25.5">
      <c r="A5121" s="3" t="s">
        <v>4</v>
      </c>
      <c r="B5121" s="3" t="s">
        <v>3944</v>
      </c>
      <c r="C5121" s="4">
        <v>317</v>
      </c>
      <c r="D5121" s="3" t="s">
        <v>78</v>
      </c>
      <c r="E5121" s="3" t="s">
        <v>10</v>
      </c>
      <c r="F5121" s="5">
        <v>288</v>
      </c>
      <c r="G5121" s="5">
        <v>0</v>
      </c>
      <c r="H5121" s="6">
        <v>14550.84</v>
      </c>
      <c r="I5121" s="22">
        <v>0</v>
      </c>
      <c r="J5121" s="24">
        <f t="shared" si="237"/>
        <v>0</v>
      </c>
      <c r="K5121" s="25">
        <f t="shared" si="239"/>
        <v>1.0000000000000009</v>
      </c>
      <c r="L5121" s="27"/>
      <c r="M5121" s="28"/>
      <c r="N5121" s="28"/>
      <c r="O5121" s="20">
        <v>5266.48</v>
      </c>
      <c r="P5121" s="27" t="str">
        <f t="shared" si="238"/>
        <v>vermelho</v>
      </c>
    </row>
    <row r="5122" spans="1:16" ht="25.5">
      <c r="A5122" s="3" t="s">
        <v>4</v>
      </c>
      <c r="B5122" s="3" t="s">
        <v>3945</v>
      </c>
      <c r="C5122" s="4">
        <v>273</v>
      </c>
      <c r="D5122" s="3" t="s">
        <v>149</v>
      </c>
      <c r="E5122" s="3" t="s">
        <v>10</v>
      </c>
      <c r="F5122" s="5">
        <v>180</v>
      </c>
      <c r="G5122" s="5">
        <v>0</v>
      </c>
      <c r="H5122" s="6">
        <v>10338.84</v>
      </c>
      <c r="I5122" s="22">
        <v>0</v>
      </c>
      <c r="J5122" s="24">
        <f t="shared" si="237"/>
        <v>0</v>
      </c>
      <c r="K5122" s="25">
        <f t="shared" si="239"/>
        <v>1.0000000000000009</v>
      </c>
      <c r="L5122" s="27"/>
      <c r="M5122" s="28"/>
      <c r="N5122" s="28"/>
      <c r="O5122" s="20" t="s">
        <v>7530</v>
      </c>
      <c r="P5122" s="27" t="str">
        <f t="shared" si="238"/>
        <v>vermelho</v>
      </c>
    </row>
    <row r="5123" spans="1:16" ht="25.5">
      <c r="A5123" s="3" t="s">
        <v>4</v>
      </c>
      <c r="B5123" s="3" t="s">
        <v>3945</v>
      </c>
      <c r="C5123" s="4">
        <v>273</v>
      </c>
      <c r="D5123" s="3" t="s">
        <v>149</v>
      </c>
      <c r="E5123" s="3" t="s">
        <v>41</v>
      </c>
      <c r="F5123" s="5">
        <v>72</v>
      </c>
      <c r="G5123" s="5">
        <v>0</v>
      </c>
      <c r="H5123" s="6">
        <v>3699.24</v>
      </c>
      <c r="I5123" s="22">
        <v>0</v>
      </c>
      <c r="J5123" s="24">
        <f t="shared" ref="J5123:J5186" si="240">I5123/$I$6364</f>
        <v>0</v>
      </c>
      <c r="K5123" s="25">
        <f t="shared" si="239"/>
        <v>1.0000000000000009</v>
      </c>
      <c r="L5123" s="27"/>
      <c r="M5123" s="28"/>
      <c r="N5123" s="28"/>
      <c r="O5123" s="20" t="s">
        <v>7530</v>
      </c>
      <c r="P5123" s="27" t="str">
        <f t="shared" ref="P5123:P5186" si="241">IF(O5123&lt;=0,"vermelho",IFERROR(IF(O5123/I5123&lt;=0.5098,"amarelo",IF(O5123/I5123&lt;1,"laranja","verde")),"vermelho"))</f>
        <v>vermelho</v>
      </c>
    </row>
    <row r="5124" spans="1:16" ht="25.5">
      <c r="A5124" s="3" t="s">
        <v>4</v>
      </c>
      <c r="B5124" s="3" t="s">
        <v>3946</v>
      </c>
      <c r="C5124" s="4">
        <v>194</v>
      </c>
      <c r="D5124" s="3" t="s">
        <v>145</v>
      </c>
      <c r="E5124" s="3" t="s">
        <v>16</v>
      </c>
      <c r="F5124" s="5">
        <v>108</v>
      </c>
      <c r="G5124" s="5">
        <v>0</v>
      </c>
      <c r="H5124" s="6">
        <v>6327</v>
      </c>
      <c r="I5124" s="22">
        <v>0</v>
      </c>
      <c r="J5124" s="24">
        <f t="shared" si="240"/>
        <v>0</v>
      </c>
      <c r="K5124" s="25">
        <f t="shared" ref="K5124:K5187" si="242">J5124+K5123</f>
        <v>1.0000000000000009</v>
      </c>
      <c r="L5124" s="27"/>
      <c r="M5124" s="28"/>
      <c r="N5124" s="28"/>
      <c r="O5124" s="20" t="s">
        <v>7530</v>
      </c>
      <c r="P5124" s="27" t="str">
        <f t="shared" si="241"/>
        <v>vermelho</v>
      </c>
    </row>
    <row r="5125" spans="1:16">
      <c r="A5125" s="3" t="s">
        <v>4</v>
      </c>
      <c r="B5125" s="3" t="s">
        <v>3947</v>
      </c>
      <c r="C5125" s="4">
        <v>231</v>
      </c>
      <c r="D5125" s="3" t="s">
        <v>52</v>
      </c>
      <c r="E5125" s="3" t="s">
        <v>7</v>
      </c>
      <c r="F5125" s="5">
        <v>72</v>
      </c>
      <c r="G5125" s="5">
        <v>0</v>
      </c>
      <c r="H5125" s="6">
        <v>4799.28</v>
      </c>
      <c r="I5125" s="22">
        <v>0</v>
      </c>
      <c r="J5125" s="24">
        <f t="shared" si="240"/>
        <v>0</v>
      </c>
      <c r="K5125" s="25">
        <f t="shared" si="242"/>
        <v>1.0000000000000009</v>
      </c>
      <c r="L5125" s="27"/>
      <c r="M5125" s="28"/>
      <c r="N5125" s="28"/>
      <c r="O5125" s="20" t="s">
        <v>7530</v>
      </c>
      <c r="P5125" s="27" t="str">
        <f t="shared" si="241"/>
        <v>vermelho</v>
      </c>
    </row>
    <row r="5126" spans="1:16">
      <c r="A5126" s="3" t="s">
        <v>4</v>
      </c>
      <c r="B5126" s="3" t="s">
        <v>3948</v>
      </c>
      <c r="C5126" s="4">
        <v>15</v>
      </c>
      <c r="D5126" s="3" t="s">
        <v>18</v>
      </c>
      <c r="E5126" s="3" t="s">
        <v>16</v>
      </c>
      <c r="F5126" s="5">
        <v>681</v>
      </c>
      <c r="G5126" s="5">
        <v>0</v>
      </c>
      <c r="H5126" s="6">
        <v>39154.559999999998</v>
      </c>
      <c r="I5126" s="22">
        <v>0</v>
      </c>
      <c r="J5126" s="24">
        <f t="shared" si="240"/>
        <v>0</v>
      </c>
      <c r="K5126" s="25">
        <f t="shared" si="242"/>
        <v>1.0000000000000009</v>
      </c>
      <c r="L5126" s="27"/>
      <c r="M5126" s="28"/>
      <c r="N5126" s="28"/>
      <c r="O5126" s="20" t="s">
        <v>7530</v>
      </c>
      <c r="P5126" s="27" t="str">
        <f t="shared" si="241"/>
        <v>vermelho</v>
      </c>
    </row>
    <row r="5127" spans="1:16" ht="25.5">
      <c r="A5127" s="3" t="s">
        <v>4</v>
      </c>
      <c r="B5127" s="3" t="s">
        <v>3949</v>
      </c>
      <c r="C5127" s="4">
        <v>320</v>
      </c>
      <c r="D5127" s="3" t="s">
        <v>218</v>
      </c>
      <c r="E5127" s="3" t="s">
        <v>49</v>
      </c>
      <c r="F5127" s="5">
        <v>60</v>
      </c>
      <c r="G5127" s="5">
        <v>0</v>
      </c>
      <c r="H5127" s="6">
        <v>3105.48</v>
      </c>
      <c r="I5127" s="22">
        <v>0</v>
      </c>
      <c r="J5127" s="24">
        <f t="shared" si="240"/>
        <v>0</v>
      </c>
      <c r="K5127" s="25">
        <f t="shared" si="242"/>
        <v>1.0000000000000009</v>
      </c>
      <c r="L5127" s="27"/>
      <c r="M5127" s="28"/>
      <c r="N5127" s="28"/>
      <c r="O5127" s="20" t="s">
        <v>7530</v>
      </c>
      <c r="P5127" s="27" t="str">
        <f t="shared" si="241"/>
        <v>vermelho</v>
      </c>
    </row>
    <row r="5128" spans="1:16" ht="25.5">
      <c r="A5128" s="3" t="s">
        <v>4</v>
      </c>
      <c r="B5128" s="3" t="s">
        <v>3950</v>
      </c>
      <c r="C5128" s="4">
        <v>194</v>
      </c>
      <c r="D5128" s="3" t="s">
        <v>145</v>
      </c>
      <c r="E5128" s="3" t="s">
        <v>16</v>
      </c>
      <c r="F5128" s="5">
        <v>192</v>
      </c>
      <c r="G5128" s="5">
        <v>0</v>
      </c>
      <c r="H5128" s="6">
        <v>9582</v>
      </c>
      <c r="I5128" s="22">
        <v>0</v>
      </c>
      <c r="J5128" s="24">
        <f t="shared" si="240"/>
        <v>0</v>
      </c>
      <c r="K5128" s="25">
        <f t="shared" si="242"/>
        <v>1.0000000000000009</v>
      </c>
      <c r="L5128" s="27"/>
      <c r="M5128" s="28"/>
      <c r="N5128" s="28"/>
      <c r="O5128" s="20" t="s">
        <v>7530</v>
      </c>
      <c r="P5128" s="27" t="str">
        <f t="shared" si="241"/>
        <v>vermelho</v>
      </c>
    </row>
    <row r="5129" spans="1:16" ht="25.5">
      <c r="A5129" s="3" t="s">
        <v>4</v>
      </c>
      <c r="B5129" s="3" t="s">
        <v>3951</v>
      </c>
      <c r="C5129" s="4">
        <v>261</v>
      </c>
      <c r="D5129" s="3" t="s">
        <v>9</v>
      </c>
      <c r="E5129" s="3" t="s">
        <v>10</v>
      </c>
      <c r="F5129" s="5">
        <v>228</v>
      </c>
      <c r="G5129" s="5">
        <v>0</v>
      </c>
      <c r="H5129" s="6">
        <v>11443.8</v>
      </c>
      <c r="I5129" s="22">
        <v>0</v>
      </c>
      <c r="J5129" s="24">
        <f t="shared" si="240"/>
        <v>0</v>
      </c>
      <c r="K5129" s="25">
        <f t="shared" si="242"/>
        <v>1.0000000000000009</v>
      </c>
      <c r="L5129" s="27"/>
      <c r="M5129" s="28"/>
      <c r="N5129" s="28"/>
      <c r="O5129" s="20" t="s">
        <v>7530</v>
      </c>
      <c r="P5129" s="27" t="str">
        <f t="shared" si="241"/>
        <v>vermelho</v>
      </c>
    </row>
    <row r="5130" spans="1:16" ht="25.5">
      <c r="A5130" s="3" t="s">
        <v>4</v>
      </c>
      <c r="B5130" s="3" t="s">
        <v>3952</v>
      </c>
      <c r="C5130" s="4">
        <v>320</v>
      </c>
      <c r="D5130" s="3" t="s">
        <v>218</v>
      </c>
      <c r="E5130" s="3" t="s">
        <v>49</v>
      </c>
      <c r="F5130" s="5">
        <v>324</v>
      </c>
      <c r="G5130" s="5">
        <v>0</v>
      </c>
      <c r="H5130" s="6">
        <v>18584.759999999998</v>
      </c>
      <c r="I5130" s="22">
        <v>0</v>
      </c>
      <c r="J5130" s="24">
        <f t="shared" si="240"/>
        <v>0</v>
      </c>
      <c r="K5130" s="25">
        <f t="shared" si="242"/>
        <v>1.0000000000000009</v>
      </c>
      <c r="L5130" s="27"/>
      <c r="M5130" s="28"/>
      <c r="N5130" s="28"/>
      <c r="O5130" s="20">
        <v>17801.238000000001</v>
      </c>
      <c r="P5130" s="27" t="str">
        <f t="shared" si="241"/>
        <v>vermelho</v>
      </c>
    </row>
    <row r="5131" spans="1:16" ht="25.5">
      <c r="A5131" s="3" t="s">
        <v>4</v>
      </c>
      <c r="B5131" s="3" t="s">
        <v>3953</v>
      </c>
      <c r="C5131" s="4">
        <v>299</v>
      </c>
      <c r="D5131" s="3" t="s">
        <v>111</v>
      </c>
      <c r="E5131" s="3" t="s">
        <v>49</v>
      </c>
      <c r="F5131" s="5">
        <v>168</v>
      </c>
      <c r="G5131" s="5">
        <v>0</v>
      </c>
      <c r="H5131" s="6">
        <v>8237.64</v>
      </c>
      <c r="I5131" s="22">
        <v>0</v>
      </c>
      <c r="J5131" s="24">
        <f t="shared" si="240"/>
        <v>0</v>
      </c>
      <c r="K5131" s="25">
        <f t="shared" si="242"/>
        <v>1.0000000000000009</v>
      </c>
      <c r="L5131" s="27"/>
      <c r="M5131" s="28"/>
      <c r="N5131" s="28"/>
      <c r="O5131" s="20" t="s">
        <v>7530</v>
      </c>
      <c r="P5131" s="27" t="str">
        <f t="shared" si="241"/>
        <v>vermelho</v>
      </c>
    </row>
    <row r="5132" spans="1:16" ht="25.5">
      <c r="A5132" s="3" t="s">
        <v>4</v>
      </c>
      <c r="B5132" s="3" t="s">
        <v>3954</v>
      </c>
      <c r="C5132" s="4">
        <v>31</v>
      </c>
      <c r="D5132" s="3" t="s">
        <v>194</v>
      </c>
      <c r="E5132" s="3" t="s">
        <v>16</v>
      </c>
      <c r="F5132" s="5">
        <v>540</v>
      </c>
      <c r="G5132" s="5">
        <v>0</v>
      </c>
      <c r="H5132" s="6">
        <v>30451.08</v>
      </c>
      <c r="I5132" s="22">
        <v>0</v>
      </c>
      <c r="J5132" s="24">
        <f t="shared" si="240"/>
        <v>0</v>
      </c>
      <c r="K5132" s="25">
        <f t="shared" si="242"/>
        <v>1.0000000000000009</v>
      </c>
      <c r="L5132" s="27"/>
      <c r="M5132" s="28"/>
      <c r="N5132" s="28"/>
      <c r="O5132" s="20" t="s">
        <v>7530</v>
      </c>
      <c r="P5132" s="27" t="str">
        <f t="shared" si="241"/>
        <v>vermelho</v>
      </c>
    </row>
    <row r="5133" spans="1:16" ht="38.25">
      <c r="A5133" s="3" t="s">
        <v>4</v>
      </c>
      <c r="B5133" s="3" t="s">
        <v>3955</v>
      </c>
      <c r="C5133" s="4">
        <v>11</v>
      </c>
      <c r="D5133" s="3" t="s">
        <v>61</v>
      </c>
      <c r="E5133" s="3" t="s">
        <v>10</v>
      </c>
      <c r="F5133" s="5">
        <v>96</v>
      </c>
      <c r="G5133" s="5">
        <v>0</v>
      </c>
      <c r="H5133" s="6">
        <v>5554.92</v>
      </c>
      <c r="I5133" s="22">
        <v>0</v>
      </c>
      <c r="J5133" s="24">
        <f t="shared" si="240"/>
        <v>0</v>
      </c>
      <c r="K5133" s="25">
        <f t="shared" si="242"/>
        <v>1.0000000000000009</v>
      </c>
      <c r="L5133" s="27"/>
      <c r="M5133" s="28"/>
      <c r="N5133" s="28"/>
      <c r="O5133" s="20" t="s">
        <v>7530</v>
      </c>
      <c r="P5133" s="27" t="str">
        <f t="shared" si="241"/>
        <v>vermelho</v>
      </c>
    </row>
    <row r="5134" spans="1:16" ht="25.5">
      <c r="A5134" s="3" t="s">
        <v>4</v>
      </c>
      <c r="B5134" s="3" t="s">
        <v>3956</v>
      </c>
      <c r="C5134" s="4">
        <v>31</v>
      </c>
      <c r="D5134" s="3" t="s">
        <v>194</v>
      </c>
      <c r="E5134" s="3" t="s">
        <v>16</v>
      </c>
      <c r="F5134" s="5">
        <v>132</v>
      </c>
      <c r="G5134" s="5">
        <v>0</v>
      </c>
      <c r="H5134" s="6">
        <v>5896.44</v>
      </c>
      <c r="I5134" s="22">
        <v>0</v>
      </c>
      <c r="J5134" s="24">
        <f t="shared" si="240"/>
        <v>0</v>
      </c>
      <c r="K5134" s="25">
        <f t="shared" si="242"/>
        <v>1.0000000000000009</v>
      </c>
      <c r="L5134" s="27"/>
      <c r="M5134" s="28"/>
      <c r="N5134" s="28"/>
      <c r="O5134" s="20" t="s">
        <v>7530</v>
      </c>
      <c r="P5134" s="27" t="str">
        <f t="shared" si="241"/>
        <v>vermelho</v>
      </c>
    </row>
    <row r="5135" spans="1:16" ht="25.5">
      <c r="A5135" s="3" t="s">
        <v>4</v>
      </c>
      <c r="B5135" s="3" t="s">
        <v>3957</v>
      </c>
      <c r="C5135" s="4">
        <v>93</v>
      </c>
      <c r="D5135" s="3" t="s">
        <v>20</v>
      </c>
      <c r="E5135" s="3" t="s">
        <v>7</v>
      </c>
      <c r="F5135" s="5">
        <v>51</v>
      </c>
      <c r="G5135" s="5">
        <v>0</v>
      </c>
      <c r="H5135" s="6">
        <v>2798.49</v>
      </c>
      <c r="I5135" s="22">
        <v>0</v>
      </c>
      <c r="J5135" s="24">
        <f t="shared" si="240"/>
        <v>0</v>
      </c>
      <c r="K5135" s="25">
        <f t="shared" si="242"/>
        <v>1.0000000000000009</v>
      </c>
      <c r="L5135" s="27"/>
      <c r="M5135" s="28"/>
      <c r="N5135" s="28"/>
      <c r="O5135" s="20">
        <v>4281.84</v>
      </c>
      <c r="P5135" s="27" t="str">
        <f t="shared" si="241"/>
        <v>vermelho</v>
      </c>
    </row>
    <row r="5136" spans="1:16" ht="25.5">
      <c r="A5136" s="3" t="s">
        <v>4</v>
      </c>
      <c r="B5136" s="3" t="s">
        <v>3958</v>
      </c>
      <c r="C5136" s="4">
        <v>31</v>
      </c>
      <c r="D5136" s="3" t="s">
        <v>194</v>
      </c>
      <c r="E5136" s="3" t="s">
        <v>16</v>
      </c>
      <c r="F5136" s="5">
        <v>72</v>
      </c>
      <c r="G5136" s="5">
        <v>0</v>
      </c>
      <c r="H5136" s="6">
        <v>3308.4</v>
      </c>
      <c r="I5136" s="22">
        <v>0</v>
      </c>
      <c r="J5136" s="24">
        <f t="shared" si="240"/>
        <v>0</v>
      </c>
      <c r="K5136" s="25">
        <f t="shared" si="242"/>
        <v>1.0000000000000009</v>
      </c>
      <c r="L5136" s="27"/>
      <c r="M5136" s="28"/>
      <c r="N5136" s="28"/>
      <c r="O5136" s="20" t="s">
        <v>7530</v>
      </c>
      <c r="P5136" s="27" t="str">
        <f t="shared" si="241"/>
        <v>vermelho</v>
      </c>
    </row>
    <row r="5137" spans="1:16" ht="25.5">
      <c r="A5137" s="3" t="s">
        <v>4</v>
      </c>
      <c r="B5137" s="3" t="s">
        <v>3959</v>
      </c>
      <c r="C5137" s="4">
        <v>231</v>
      </c>
      <c r="D5137" s="3" t="s">
        <v>52</v>
      </c>
      <c r="E5137" s="3" t="s">
        <v>7</v>
      </c>
      <c r="F5137" s="5">
        <v>300</v>
      </c>
      <c r="G5137" s="5">
        <v>0</v>
      </c>
      <c r="H5137" s="6">
        <v>16599.822</v>
      </c>
      <c r="I5137" s="22">
        <v>0</v>
      </c>
      <c r="J5137" s="24">
        <f t="shared" si="240"/>
        <v>0</v>
      </c>
      <c r="K5137" s="25">
        <f t="shared" si="242"/>
        <v>1.0000000000000009</v>
      </c>
      <c r="L5137" s="27"/>
      <c r="M5137" s="28"/>
      <c r="N5137" s="28"/>
      <c r="O5137" s="20" t="s">
        <v>7530</v>
      </c>
      <c r="P5137" s="27" t="str">
        <f t="shared" si="241"/>
        <v>vermelho</v>
      </c>
    </row>
    <row r="5138" spans="1:16" ht="25.5">
      <c r="A5138" s="3" t="s">
        <v>4</v>
      </c>
      <c r="B5138" s="3" t="s">
        <v>3960</v>
      </c>
      <c r="C5138" s="4">
        <v>299</v>
      </c>
      <c r="D5138" s="3" t="s">
        <v>111</v>
      </c>
      <c r="E5138" s="3" t="s">
        <v>49</v>
      </c>
      <c r="F5138" s="5">
        <v>504</v>
      </c>
      <c r="G5138" s="5">
        <v>0</v>
      </c>
      <c r="H5138" s="6">
        <v>21327.66</v>
      </c>
      <c r="I5138" s="22">
        <v>0</v>
      </c>
      <c r="J5138" s="24">
        <f t="shared" si="240"/>
        <v>0</v>
      </c>
      <c r="K5138" s="25">
        <f t="shared" si="242"/>
        <v>1.0000000000000009</v>
      </c>
      <c r="L5138" s="27"/>
      <c r="M5138" s="28"/>
      <c r="N5138" s="28"/>
      <c r="O5138" s="20" t="s">
        <v>7530</v>
      </c>
      <c r="P5138" s="27" t="str">
        <f t="shared" si="241"/>
        <v>vermelho</v>
      </c>
    </row>
    <row r="5139" spans="1:16" ht="25.5">
      <c r="A5139" s="3" t="s">
        <v>4</v>
      </c>
      <c r="B5139" s="3" t="s">
        <v>3961</v>
      </c>
      <c r="C5139" s="4">
        <v>65</v>
      </c>
      <c r="D5139" s="3" t="s">
        <v>3913</v>
      </c>
      <c r="E5139" s="3" t="s">
        <v>10</v>
      </c>
      <c r="F5139" s="5">
        <v>567</v>
      </c>
      <c r="G5139" s="5">
        <v>0</v>
      </c>
      <c r="H5139" s="6">
        <v>32942.519999999997</v>
      </c>
      <c r="I5139" s="22">
        <v>0</v>
      </c>
      <c r="J5139" s="24">
        <f t="shared" si="240"/>
        <v>0</v>
      </c>
      <c r="K5139" s="25">
        <f t="shared" si="242"/>
        <v>1.0000000000000009</v>
      </c>
      <c r="L5139" s="27"/>
      <c r="M5139" s="28"/>
      <c r="N5139" s="28"/>
      <c r="O5139" s="20" t="s">
        <v>7530</v>
      </c>
      <c r="P5139" s="27" t="str">
        <f t="shared" si="241"/>
        <v>vermelho</v>
      </c>
    </row>
    <row r="5140" spans="1:16" ht="38.25">
      <c r="A5140" s="3" t="s">
        <v>4</v>
      </c>
      <c r="B5140" s="3" t="s">
        <v>3962</v>
      </c>
      <c r="C5140" s="4">
        <v>11</v>
      </c>
      <c r="D5140" s="3" t="s">
        <v>61</v>
      </c>
      <c r="E5140" s="3" t="s">
        <v>10</v>
      </c>
      <c r="F5140" s="5">
        <v>96</v>
      </c>
      <c r="G5140" s="5">
        <v>0</v>
      </c>
      <c r="H5140" s="6">
        <v>4319.04</v>
      </c>
      <c r="I5140" s="22">
        <v>0</v>
      </c>
      <c r="J5140" s="24">
        <f t="shared" si="240"/>
        <v>0</v>
      </c>
      <c r="K5140" s="25">
        <f t="shared" si="242"/>
        <v>1.0000000000000009</v>
      </c>
      <c r="L5140" s="27"/>
      <c r="M5140" s="28"/>
      <c r="N5140" s="28"/>
      <c r="O5140" s="20" t="s">
        <v>7530</v>
      </c>
      <c r="P5140" s="27" t="str">
        <f t="shared" si="241"/>
        <v>vermelho</v>
      </c>
    </row>
    <row r="5141" spans="1:16" ht="38.25">
      <c r="A5141" s="3" t="s">
        <v>4</v>
      </c>
      <c r="B5141" s="3" t="s">
        <v>3963</v>
      </c>
      <c r="C5141" s="4">
        <v>11</v>
      </c>
      <c r="D5141" s="3" t="s">
        <v>61</v>
      </c>
      <c r="E5141" s="3" t="s">
        <v>10</v>
      </c>
      <c r="F5141" s="5">
        <v>207</v>
      </c>
      <c r="G5141" s="5">
        <v>0</v>
      </c>
      <c r="H5141" s="6">
        <v>10998.93</v>
      </c>
      <c r="I5141" s="22">
        <v>0</v>
      </c>
      <c r="J5141" s="24">
        <f t="shared" si="240"/>
        <v>0</v>
      </c>
      <c r="K5141" s="25">
        <f t="shared" si="242"/>
        <v>1.0000000000000009</v>
      </c>
      <c r="L5141" s="27"/>
      <c r="M5141" s="28"/>
      <c r="N5141" s="28"/>
      <c r="O5141" s="20" t="s">
        <v>7530</v>
      </c>
      <c r="P5141" s="27" t="str">
        <f t="shared" si="241"/>
        <v>vermelho</v>
      </c>
    </row>
    <row r="5142" spans="1:16" ht="25.5">
      <c r="A5142" s="3" t="s">
        <v>4</v>
      </c>
      <c r="B5142" s="3" t="s">
        <v>3964</v>
      </c>
      <c r="C5142" s="4">
        <v>315</v>
      </c>
      <c r="D5142" s="3" t="s">
        <v>63</v>
      </c>
      <c r="E5142" s="3" t="s">
        <v>7</v>
      </c>
      <c r="F5142" s="5">
        <v>237</v>
      </c>
      <c r="G5142" s="5">
        <v>0</v>
      </c>
      <c r="H5142" s="6">
        <v>11831.31</v>
      </c>
      <c r="I5142" s="22">
        <v>0</v>
      </c>
      <c r="J5142" s="24">
        <f t="shared" si="240"/>
        <v>0</v>
      </c>
      <c r="K5142" s="25">
        <f t="shared" si="242"/>
        <v>1.0000000000000009</v>
      </c>
      <c r="L5142" s="27"/>
      <c r="M5142" s="28"/>
      <c r="N5142" s="28"/>
      <c r="O5142" s="20" t="s">
        <v>7530</v>
      </c>
      <c r="P5142" s="27" t="str">
        <f t="shared" si="241"/>
        <v>vermelho</v>
      </c>
    </row>
    <row r="5143" spans="1:16" ht="38.25">
      <c r="A5143" s="3" t="s">
        <v>4</v>
      </c>
      <c r="B5143" s="3" t="s">
        <v>3965</v>
      </c>
      <c r="C5143" s="4">
        <v>19</v>
      </c>
      <c r="D5143" s="3" t="s">
        <v>72</v>
      </c>
      <c r="E5143" s="3" t="s">
        <v>41</v>
      </c>
      <c r="F5143" s="5">
        <v>447</v>
      </c>
      <c r="G5143" s="5">
        <v>0</v>
      </c>
      <c r="H5143" s="6">
        <v>26732.13</v>
      </c>
      <c r="I5143" s="22">
        <v>0</v>
      </c>
      <c r="J5143" s="24">
        <f t="shared" si="240"/>
        <v>0</v>
      </c>
      <c r="K5143" s="25">
        <f t="shared" si="242"/>
        <v>1.0000000000000009</v>
      </c>
      <c r="L5143" s="27"/>
      <c r="M5143" s="28"/>
      <c r="N5143" s="28"/>
      <c r="O5143" s="20" t="s">
        <v>7530</v>
      </c>
      <c r="P5143" s="27" t="str">
        <f t="shared" si="241"/>
        <v>vermelho</v>
      </c>
    </row>
    <row r="5144" spans="1:16" ht="25.5">
      <c r="A5144" s="3" t="s">
        <v>4</v>
      </c>
      <c r="B5144" s="3" t="s">
        <v>3966</v>
      </c>
      <c r="C5144" s="4">
        <v>194</v>
      </c>
      <c r="D5144" s="3" t="s">
        <v>145</v>
      </c>
      <c r="E5144" s="3" t="s">
        <v>16</v>
      </c>
      <c r="F5144" s="5">
        <v>222</v>
      </c>
      <c r="G5144" s="5">
        <v>0</v>
      </c>
      <c r="H5144" s="6">
        <v>14007.84</v>
      </c>
      <c r="I5144" s="22">
        <v>0</v>
      </c>
      <c r="J5144" s="24">
        <f t="shared" si="240"/>
        <v>0</v>
      </c>
      <c r="K5144" s="25">
        <f t="shared" si="242"/>
        <v>1.0000000000000009</v>
      </c>
      <c r="L5144" s="27"/>
      <c r="M5144" s="28"/>
      <c r="N5144" s="28"/>
      <c r="O5144" s="20" t="s">
        <v>7530</v>
      </c>
      <c r="P5144" s="27" t="str">
        <f t="shared" si="241"/>
        <v>vermelho</v>
      </c>
    </row>
    <row r="5145" spans="1:16" ht="38.25">
      <c r="A5145" s="3" t="s">
        <v>4</v>
      </c>
      <c r="B5145" s="3" t="s">
        <v>3967</v>
      </c>
      <c r="C5145" s="4">
        <v>45</v>
      </c>
      <c r="D5145" s="3" t="s">
        <v>23</v>
      </c>
      <c r="E5145" s="3" t="s">
        <v>7</v>
      </c>
      <c r="F5145" s="5">
        <v>375</v>
      </c>
      <c r="G5145" s="5">
        <v>0</v>
      </c>
      <c r="H5145" s="6">
        <v>18039.738000000001</v>
      </c>
      <c r="I5145" s="22">
        <v>0</v>
      </c>
      <c r="J5145" s="24">
        <f t="shared" si="240"/>
        <v>0</v>
      </c>
      <c r="K5145" s="25">
        <f t="shared" si="242"/>
        <v>1.0000000000000009</v>
      </c>
      <c r="L5145" s="27"/>
      <c r="M5145" s="28"/>
      <c r="N5145" s="28"/>
      <c r="O5145" s="20" t="s">
        <v>7530</v>
      </c>
      <c r="P5145" s="27" t="str">
        <f t="shared" si="241"/>
        <v>vermelho</v>
      </c>
    </row>
    <row r="5146" spans="1:16" ht="38.25">
      <c r="A5146" s="3" t="s">
        <v>4</v>
      </c>
      <c r="B5146" s="3" t="s">
        <v>3968</v>
      </c>
      <c r="C5146" s="4">
        <v>45</v>
      </c>
      <c r="D5146" s="3" t="s">
        <v>23</v>
      </c>
      <c r="E5146" s="3" t="s">
        <v>7</v>
      </c>
      <c r="F5146" s="5">
        <v>306</v>
      </c>
      <c r="G5146" s="5">
        <v>0</v>
      </c>
      <c r="H5146" s="6">
        <v>16705.98</v>
      </c>
      <c r="I5146" s="22">
        <v>0</v>
      </c>
      <c r="J5146" s="24">
        <f t="shared" si="240"/>
        <v>0</v>
      </c>
      <c r="K5146" s="25">
        <f t="shared" si="242"/>
        <v>1.0000000000000009</v>
      </c>
      <c r="L5146" s="27"/>
      <c r="M5146" s="28"/>
      <c r="N5146" s="28"/>
      <c r="O5146" s="20" t="s">
        <v>7530</v>
      </c>
      <c r="P5146" s="27" t="str">
        <f t="shared" si="241"/>
        <v>vermelho</v>
      </c>
    </row>
    <row r="5147" spans="1:16" ht="25.5">
      <c r="A5147" s="3" t="s">
        <v>4</v>
      </c>
      <c r="B5147" s="3" t="s">
        <v>3969</v>
      </c>
      <c r="C5147" s="4">
        <v>317</v>
      </c>
      <c r="D5147" s="3" t="s">
        <v>78</v>
      </c>
      <c r="E5147" s="3" t="s">
        <v>10</v>
      </c>
      <c r="F5147" s="5">
        <v>108</v>
      </c>
      <c r="G5147" s="5">
        <v>0</v>
      </c>
      <c r="H5147" s="6">
        <v>5830.92</v>
      </c>
      <c r="I5147" s="22">
        <v>0</v>
      </c>
      <c r="J5147" s="24">
        <f t="shared" si="240"/>
        <v>0</v>
      </c>
      <c r="K5147" s="25">
        <f t="shared" si="242"/>
        <v>1.0000000000000009</v>
      </c>
      <c r="L5147" s="27"/>
      <c r="M5147" s="28"/>
      <c r="N5147" s="28"/>
      <c r="O5147" s="20">
        <v>4308.96</v>
      </c>
      <c r="P5147" s="27" t="str">
        <f t="shared" si="241"/>
        <v>vermelho</v>
      </c>
    </row>
    <row r="5148" spans="1:16" ht="38.25">
      <c r="A5148" s="3" t="s">
        <v>4</v>
      </c>
      <c r="B5148" s="3" t="s">
        <v>3970</v>
      </c>
      <c r="C5148" s="4">
        <v>34</v>
      </c>
      <c r="D5148" s="3" t="s">
        <v>54</v>
      </c>
      <c r="E5148" s="3" t="s">
        <v>49</v>
      </c>
      <c r="F5148" s="5">
        <v>126</v>
      </c>
      <c r="G5148" s="5">
        <v>0</v>
      </c>
      <c r="H5148" s="6">
        <v>7726.44</v>
      </c>
      <c r="I5148" s="22">
        <v>0</v>
      </c>
      <c r="J5148" s="24">
        <f t="shared" si="240"/>
        <v>0</v>
      </c>
      <c r="K5148" s="25">
        <f t="shared" si="242"/>
        <v>1.0000000000000009</v>
      </c>
      <c r="L5148" s="27"/>
      <c r="M5148" s="28"/>
      <c r="N5148" s="28"/>
      <c r="O5148" s="20" t="s">
        <v>7530</v>
      </c>
      <c r="P5148" s="27" t="str">
        <f t="shared" si="241"/>
        <v>vermelho</v>
      </c>
    </row>
    <row r="5149" spans="1:16" ht="25.5">
      <c r="A5149" s="3" t="s">
        <v>4</v>
      </c>
      <c r="B5149" s="3" t="s">
        <v>3971</v>
      </c>
      <c r="C5149" s="4">
        <v>296</v>
      </c>
      <c r="D5149" s="3" t="s">
        <v>282</v>
      </c>
      <c r="E5149" s="3" t="s">
        <v>7</v>
      </c>
      <c r="F5149" s="5">
        <v>264</v>
      </c>
      <c r="G5149" s="5">
        <v>0</v>
      </c>
      <c r="H5149" s="6">
        <v>13677.12</v>
      </c>
      <c r="I5149" s="22">
        <v>0</v>
      </c>
      <c r="J5149" s="24">
        <f t="shared" si="240"/>
        <v>0</v>
      </c>
      <c r="K5149" s="25">
        <f t="shared" si="242"/>
        <v>1.0000000000000009</v>
      </c>
      <c r="L5149" s="27"/>
      <c r="M5149" s="28"/>
      <c r="N5149" s="28"/>
      <c r="O5149" s="20" t="s">
        <v>7530</v>
      </c>
      <c r="P5149" s="27" t="str">
        <f t="shared" si="241"/>
        <v>vermelho</v>
      </c>
    </row>
    <row r="5150" spans="1:16" ht="25.5">
      <c r="A5150" s="3" t="s">
        <v>4</v>
      </c>
      <c r="B5150" s="3" t="s">
        <v>3972</v>
      </c>
      <c r="C5150" s="4">
        <v>93</v>
      </c>
      <c r="D5150" s="3" t="s">
        <v>20</v>
      </c>
      <c r="E5150" s="3" t="s">
        <v>7</v>
      </c>
      <c r="F5150" s="5">
        <v>144</v>
      </c>
      <c r="G5150" s="5">
        <v>0</v>
      </c>
      <c r="H5150" s="6">
        <v>7775.28</v>
      </c>
      <c r="I5150" s="22">
        <v>0</v>
      </c>
      <c r="J5150" s="24">
        <f t="shared" si="240"/>
        <v>0</v>
      </c>
      <c r="K5150" s="25">
        <f t="shared" si="242"/>
        <v>1.0000000000000009</v>
      </c>
      <c r="L5150" s="27"/>
      <c r="M5150" s="28"/>
      <c r="N5150" s="28"/>
      <c r="O5150" s="20" t="s">
        <v>7530</v>
      </c>
      <c r="P5150" s="27" t="str">
        <f t="shared" si="241"/>
        <v>vermelho</v>
      </c>
    </row>
    <row r="5151" spans="1:16" ht="38.25">
      <c r="A5151" s="3" t="s">
        <v>4</v>
      </c>
      <c r="B5151" s="3" t="s">
        <v>3973</v>
      </c>
      <c r="C5151" s="4">
        <v>371</v>
      </c>
      <c r="D5151" s="3" t="s">
        <v>82</v>
      </c>
      <c r="E5151" s="3" t="s">
        <v>49</v>
      </c>
      <c r="F5151" s="5">
        <v>72</v>
      </c>
      <c r="G5151" s="5">
        <v>0</v>
      </c>
      <c r="H5151" s="6">
        <v>3234.36</v>
      </c>
      <c r="I5151" s="22">
        <v>0</v>
      </c>
      <c r="J5151" s="24">
        <f t="shared" si="240"/>
        <v>0</v>
      </c>
      <c r="K5151" s="25">
        <f t="shared" si="242"/>
        <v>1.0000000000000009</v>
      </c>
      <c r="L5151" s="27"/>
      <c r="M5151" s="28"/>
      <c r="N5151" s="28"/>
      <c r="O5151" s="20" t="s">
        <v>7530</v>
      </c>
      <c r="P5151" s="27" t="str">
        <f t="shared" si="241"/>
        <v>vermelho</v>
      </c>
    </row>
    <row r="5152" spans="1:16" ht="25.5">
      <c r="A5152" s="3" t="s">
        <v>4</v>
      </c>
      <c r="B5152" s="3" t="s">
        <v>3974</v>
      </c>
      <c r="C5152" s="4">
        <v>296</v>
      </c>
      <c r="D5152" s="3" t="s">
        <v>282</v>
      </c>
      <c r="E5152" s="3" t="s">
        <v>49</v>
      </c>
      <c r="F5152" s="5">
        <v>84</v>
      </c>
      <c r="G5152" s="5">
        <v>0</v>
      </c>
      <c r="H5152" s="6">
        <v>3746.8440000000001</v>
      </c>
      <c r="I5152" s="22">
        <v>0</v>
      </c>
      <c r="J5152" s="24">
        <f t="shared" si="240"/>
        <v>0</v>
      </c>
      <c r="K5152" s="25">
        <f t="shared" si="242"/>
        <v>1.0000000000000009</v>
      </c>
      <c r="L5152" s="27"/>
      <c r="M5152" s="28"/>
      <c r="N5152" s="28"/>
      <c r="O5152" s="20" t="s">
        <v>7530</v>
      </c>
      <c r="P5152" s="27" t="str">
        <f t="shared" si="241"/>
        <v>vermelho</v>
      </c>
    </row>
    <row r="5153" spans="1:16" ht="25.5">
      <c r="A5153" s="3" t="s">
        <v>4</v>
      </c>
      <c r="B5153" s="3" t="s">
        <v>3975</v>
      </c>
      <c r="C5153" s="4">
        <v>61</v>
      </c>
      <c r="D5153" s="3" t="s">
        <v>48</v>
      </c>
      <c r="E5153" s="3" t="s">
        <v>49</v>
      </c>
      <c r="F5153" s="5">
        <v>144</v>
      </c>
      <c r="G5153" s="5">
        <v>0</v>
      </c>
      <c r="H5153" s="6">
        <v>7537.68</v>
      </c>
      <c r="I5153" s="22">
        <v>0</v>
      </c>
      <c r="J5153" s="24">
        <f t="shared" si="240"/>
        <v>0</v>
      </c>
      <c r="K5153" s="25">
        <f t="shared" si="242"/>
        <v>1.0000000000000009</v>
      </c>
      <c r="L5153" s="27"/>
      <c r="M5153" s="28"/>
      <c r="N5153" s="28"/>
      <c r="O5153" s="20">
        <v>13259.82</v>
      </c>
      <c r="P5153" s="27" t="str">
        <f t="shared" si="241"/>
        <v>vermelho</v>
      </c>
    </row>
    <row r="5154" spans="1:16" ht="51">
      <c r="A5154" s="3" t="s">
        <v>4</v>
      </c>
      <c r="B5154" s="3" t="s">
        <v>3976</v>
      </c>
      <c r="C5154" s="4">
        <v>282</v>
      </c>
      <c r="D5154" s="3" t="s">
        <v>12</v>
      </c>
      <c r="E5154" s="3" t="s">
        <v>13</v>
      </c>
      <c r="F5154" s="5">
        <v>240</v>
      </c>
      <c r="G5154" s="5">
        <v>0</v>
      </c>
      <c r="H5154" s="6">
        <v>11588.64</v>
      </c>
      <c r="I5154" s="22">
        <v>0</v>
      </c>
      <c r="J5154" s="24">
        <f t="shared" si="240"/>
        <v>0</v>
      </c>
      <c r="K5154" s="25">
        <f t="shared" si="242"/>
        <v>1.0000000000000009</v>
      </c>
      <c r="L5154" s="27"/>
      <c r="M5154" s="28"/>
      <c r="N5154" s="28"/>
      <c r="O5154" s="20" t="s">
        <v>7530</v>
      </c>
      <c r="P5154" s="27" t="str">
        <f t="shared" si="241"/>
        <v>vermelho</v>
      </c>
    </row>
    <row r="5155" spans="1:16">
      <c r="A5155" s="3" t="s">
        <v>4</v>
      </c>
      <c r="B5155" s="3" t="s">
        <v>3977</v>
      </c>
      <c r="C5155" s="4">
        <v>217</v>
      </c>
      <c r="D5155" s="3" t="s">
        <v>91</v>
      </c>
      <c r="E5155" s="3" t="s">
        <v>16</v>
      </c>
      <c r="F5155" s="5">
        <v>486</v>
      </c>
      <c r="G5155" s="5">
        <v>0</v>
      </c>
      <c r="H5155" s="6">
        <v>28413.96</v>
      </c>
      <c r="I5155" s="22">
        <v>0</v>
      </c>
      <c r="J5155" s="24">
        <f t="shared" si="240"/>
        <v>0</v>
      </c>
      <c r="K5155" s="25">
        <f t="shared" si="242"/>
        <v>1.0000000000000009</v>
      </c>
      <c r="L5155" s="27"/>
      <c r="M5155" s="28"/>
      <c r="N5155" s="28">
        <v>-2.4086820847056004E-2</v>
      </c>
      <c r="O5155" s="20">
        <v>2744.08</v>
      </c>
      <c r="P5155" s="27" t="str">
        <f t="shared" si="241"/>
        <v>vermelho</v>
      </c>
    </row>
    <row r="5156" spans="1:16" ht="38.25">
      <c r="A5156" s="3" t="s">
        <v>4</v>
      </c>
      <c r="B5156" s="3" t="s">
        <v>3978</v>
      </c>
      <c r="C5156" s="4">
        <v>371</v>
      </c>
      <c r="D5156" s="3" t="s">
        <v>82</v>
      </c>
      <c r="E5156" s="3" t="s">
        <v>49</v>
      </c>
      <c r="F5156" s="5">
        <v>48</v>
      </c>
      <c r="G5156" s="5">
        <v>0</v>
      </c>
      <c r="H5156" s="6">
        <v>2086.56</v>
      </c>
      <c r="I5156" s="22">
        <v>0</v>
      </c>
      <c r="J5156" s="24">
        <f t="shared" si="240"/>
        <v>0</v>
      </c>
      <c r="K5156" s="25">
        <f t="shared" si="242"/>
        <v>1.0000000000000009</v>
      </c>
      <c r="L5156" s="27"/>
      <c r="M5156" s="28"/>
      <c r="N5156" s="28"/>
      <c r="O5156" s="20" t="s">
        <v>7530</v>
      </c>
      <c r="P5156" s="27" t="str">
        <f t="shared" si="241"/>
        <v>vermelho</v>
      </c>
    </row>
    <row r="5157" spans="1:16" ht="25.5">
      <c r="A5157" s="3" t="s">
        <v>4</v>
      </c>
      <c r="B5157" s="3" t="s">
        <v>3979</v>
      </c>
      <c r="C5157" s="4">
        <v>232</v>
      </c>
      <c r="D5157" s="3" t="s">
        <v>174</v>
      </c>
      <c r="E5157" s="3" t="s">
        <v>16</v>
      </c>
      <c r="F5157" s="5">
        <v>96</v>
      </c>
      <c r="G5157" s="5">
        <v>0</v>
      </c>
      <c r="H5157" s="6">
        <v>4973.6400000000003</v>
      </c>
      <c r="I5157" s="22">
        <v>0</v>
      </c>
      <c r="J5157" s="24">
        <f t="shared" si="240"/>
        <v>0</v>
      </c>
      <c r="K5157" s="25">
        <f t="shared" si="242"/>
        <v>1.0000000000000009</v>
      </c>
      <c r="L5157" s="27"/>
      <c r="M5157" s="28"/>
      <c r="N5157" s="28"/>
      <c r="O5157" s="20" t="s">
        <v>7530</v>
      </c>
      <c r="P5157" s="27" t="str">
        <f t="shared" si="241"/>
        <v>vermelho</v>
      </c>
    </row>
    <row r="5158" spans="1:16" ht="38.25">
      <c r="A5158" s="3" t="s">
        <v>4</v>
      </c>
      <c r="B5158" s="3" t="s">
        <v>3980</v>
      </c>
      <c r="C5158" s="4">
        <v>296</v>
      </c>
      <c r="D5158" s="3" t="s">
        <v>282</v>
      </c>
      <c r="E5158" s="3" t="s">
        <v>49</v>
      </c>
      <c r="F5158" s="5">
        <v>60</v>
      </c>
      <c r="G5158" s="5">
        <v>0</v>
      </c>
      <c r="H5158" s="6">
        <v>2608.1999999999998</v>
      </c>
      <c r="I5158" s="22">
        <v>0</v>
      </c>
      <c r="J5158" s="24">
        <f t="shared" si="240"/>
        <v>0</v>
      </c>
      <c r="K5158" s="25">
        <f t="shared" si="242"/>
        <v>1.0000000000000009</v>
      </c>
      <c r="L5158" s="27"/>
      <c r="M5158" s="28"/>
      <c r="N5158" s="28"/>
      <c r="O5158" s="20" t="s">
        <v>7530</v>
      </c>
      <c r="P5158" s="27" t="str">
        <f t="shared" si="241"/>
        <v>vermelho</v>
      </c>
    </row>
    <row r="5159" spans="1:16" ht="38.25">
      <c r="A5159" s="3" t="s">
        <v>4</v>
      </c>
      <c r="B5159" s="3" t="s">
        <v>3981</v>
      </c>
      <c r="C5159" s="4">
        <v>371</v>
      </c>
      <c r="D5159" s="3" t="s">
        <v>82</v>
      </c>
      <c r="E5159" s="3" t="s">
        <v>49</v>
      </c>
      <c r="F5159" s="5">
        <v>126</v>
      </c>
      <c r="G5159" s="5">
        <v>0</v>
      </c>
      <c r="H5159" s="6">
        <v>6135.09</v>
      </c>
      <c r="I5159" s="22">
        <v>0</v>
      </c>
      <c r="J5159" s="24">
        <f t="shared" si="240"/>
        <v>0</v>
      </c>
      <c r="K5159" s="25">
        <f t="shared" si="242"/>
        <v>1.0000000000000009</v>
      </c>
      <c r="L5159" s="27"/>
      <c r="M5159" s="28"/>
      <c r="N5159" s="28"/>
      <c r="O5159" s="20" t="s">
        <v>7530</v>
      </c>
      <c r="P5159" s="27" t="str">
        <f t="shared" si="241"/>
        <v>vermelho</v>
      </c>
    </row>
    <row r="5160" spans="1:16" ht="25.5">
      <c r="A5160" s="3" t="s">
        <v>4</v>
      </c>
      <c r="B5160" s="3" t="s">
        <v>3982</v>
      </c>
      <c r="C5160" s="4">
        <v>299</v>
      </c>
      <c r="D5160" s="3" t="s">
        <v>111</v>
      </c>
      <c r="E5160" s="3" t="s">
        <v>49</v>
      </c>
      <c r="F5160" s="5">
        <v>228</v>
      </c>
      <c r="G5160" s="5">
        <v>0</v>
      </c>
      <c r="H5160" s="6">
        <v>12535.254000000001</v>
      </c>
      <c r="I5160" s="22">
        <v>0</v>
      </c>
      <c r="J5160" s="24">
        <f t="shared" si="240"/>
        <v>0</v>
      </c>
      <c r="K5160" s="25">
        <f t="shared" si="242"/>
        <v>1.0000000000000009</v>
      </c>
      <c r="L5160" s="27"/>
      <c r="M5160" s="28"/>
      <c r="N5160" s="28"/>
      <c r="O5160" s="20" t="s">
        <v>7530</v>
      </c>
      <c r="P5160" s="27" t="str">
        <f t="shared" si="241"/>
        <v>vermelho</v>
      </c>
    </row>
    <row r="5161" spans="1:16" ht="25.5">
      <c r="A5161" s="3" t="s">
        <v>4</v>
      </c>
      <c r="B5161" s="3" t="s">
        <v>3983</v>
      </c>
      <c r="C5161" s="4">
        <v>320</v>
      </c>
      <c r="D5161" s="3" t="s">
        <v>218</v>
      </c>
      <c r="E5161" s="3" t="s">
        <v>49</v>
      </c>
      <c r="F5161" s="5">
        <v>132</v>
      </c>
      <c r="G5161" s="5">
        <v>0</v>
      </c>
      <c r="H5161" s="6">
        <v>8266.68</v>
      </c>
      <c r="I5161" s="22">
        <v>0</v>
      </c>
      <c r="J5161" s="24">
        <f t="shared" si="240"/>
        <v>0</v>
      </c>
      <c r="K5161" s="25">
        <f t="shared" si="242"/>
        <v>1.0000000000000009</v>
      </c>
      <c r="L5161" s="27"/>
      <c r="M5161" s="28"/>
      <c r="N5161" s="28"/>
      <c r="O5161" s="20" t="s">
        <v>7530</v>
      </c>
      <c r="P5161" s="27" t="str">
        <f t="shared" si="241"/>
        <v>vermelho</v>
      </c>
    </row>
    <row r="5162" spans="1:16" ht="38.25">
      <c r="A5162" s="3" t="s">
        <v>4</v>
      </c>
      <c r="B5162" s="3" t="s">
        <v>3984</v>
      </c>
      <c r="C5162" s="4">
        <v>11</v>
      </c>
      <c r="D5162" s="3" t="s">
        <v>61</v>
      </c>
      <c r="E5162" s="3" t="s">
        <v>10</v>
      </c>
      <c r="F5162" s="5">
        <v>204</v>
      </c>
      <c r="G5162" s="5">
        <v>0</v>
      </c>
      <c r="H5162" s="6">
        <v>12110.88</v>
      </c>
      <c r="I5162" s="22">
        <v>0</v>
      </c>
      <c r="J5162" s="24">
        <f t="shared" si="240"/>
        <v>0</v>
      </c>
      <c r="K5162" s="25">
        <f t="shared" si="242"/>
        <v>1.0000000000000009</v>
      </c>
      <c r="L5162" s="27"/>
      <c r="M5162" s="28"/>
      <c r="N5162" s="28"/>
      <c r="O5162" s="20" t="s">
        <v>7530</v>
      </c>
      <c r="P5162" s="27" t="str">
        <f t="shared" si="241"/>
        <v>vermelho</v>
      </c>
    </row>
    <row r="5163" spans="1:16" ht="51">
      <c r="A5163" s="3" t="s">
        <v>4</v>
      </c>
      <c r="B5163" s="3" t="s">
        <v>3985</v>
      </c>
      <c r="C5163" s="4">
        <v>282</v>
      </c>
      <c r="D5163" s="3" t="s">
        <v>12</v>
      </c>
      <c r="E5163" s="3" t="s">
        <v>13</v>
      </c>
      <c r="F5163" s="5">
        <v>165</v>
      </c>
      <c r="G5163" s="5">
        <v>0</v>
      </c>
      <c r="H5163" s="6">
        <v>7120.35</v>
      </c>
      <c r="I5163" s="22">
        <v>0</v>
      </c>
      <c r="J5163" s="24">
        <f t="shared" si="240"/>
        <v>0</v>
      </c>
      <c r="K5163" s="25">
        <f t="shared" si="242"/>
        <v>1.0000000000000009</v>
      </c>
      <c r="L5163" s="27"/>
      <c r="M5163" s="28"/>
      <c r="N5163" s="28"/>
      <c r="O5163" s="20" t="s">
        <v>7530</v>
      </c>
      <c r="P5163" s="27" t="str">
        <f t="shared" si="241"/>
        <v>vermelho</v>
      </c>
    </row>
    <row r="5164" spans="1:16" ht="25.5">
      <c r="A5164" s="3" t="s">
        <v>4</v>
      </c>
      <c r="B5164" s="3" t="s">
        <v>3986</v>
      </c>
      <c r="C5164" s="4">
        <v>15</v>
      </c>
      <c r="D5164" s="3" t="s">
        <v>18</v>
      </c>
      <c r="E5164" s="3" t="s">
        <v>16</v>
      </c>
      <c r="F5164" s="5">
        <v>114</v>
      </c>
      <c r="G5164" s="5">
        <v>0</v>
      </c>
      <c r="H5164" s="6">
        <v>5736.3</v>
      </c>
      <c r="I5164" s="22">
        <v>0</v>
      </c>
      <c r="J5164" s="24">
        <f t="shared" si="240"/>
        <v>0</v>
      </c>
      <c r="K5164" s="25">
        <f t="shared" si="242"/>
        <v>1.0000000000000009</v>
      </c>
      <c r="L5164" s="27"/>
      <c r="M5164" s="28"/>
      <c r="N5164" s="28"/>
      <c r="O5164" s="20" t="s">
        <v>7530</v>
      </c>
      <c r="P5164" s="27" t="str">
        <f t="shared" si="241"/>
        <v>vermelho</v>
      </c>
    </row>
    <row r="5165" spans="1:16" ht="25.5">
      <c r="A5165" s="3" t="s">
        <v>4</v>
      </c>
      <c r="B5165" s="3" t="s">
        <v>3987</v>
      </c>
      <c r="C5165" s="4">
        <v>320</v>
      </c>
      <c r="D5165" s="3" t="s">
        <v>218</v>
      </c>
      <c r="E5165" s="3" t="s">
        <v>49</v>
      </c>
      <c r="F5165" s="5">
        <v>336</v>
      </c>
      <c r="G5165" s="5">
        <v>0</v>
      </c>
      <c r="H5165" s="6">
        <v>16472.64</v>
      </c>
      <c r="I5165" s="22">
        <v>0</v>
      </c>
      <c r="J5165" s="24">
        <f t="shared" si="240"/>
        <v>0</v>
      </c>
      <c r="K5165" s="25">
        <f t="shared" si="242"/>
        <v>1.0000000000000009</v>
      </c>
      <c r="L5165" s="27"/>
      <c r="M5165" s="28"/>
      <c r="N5165" s="28"/>
      <c r="O5165" s="20" t="s">
        <v>7530</v>
      </c>
      <c r="P5165" s="27" t="str">
        <f t="shared" si="241"/>
        <v>vermelho</v>
      </c>
    </row>
    <row r="5166" spans="1:16" ht="25.5">
      <c r="A5166" s="3" t="s">
        <v>4</v>
      </c>
      <c r="B5166" s="3" t="s">
        <v>3988</v>
      </c>
      <c r="C5166" s="4">
        <v>297</v>
      </c>
      <c r="D5166" s="3" t="s">
        <v>115</v>
      </c>
      <c r="E5166" s="3" t="s">
        <v>41</v>
      </c>
      <c r="F5166" s="5">
        <v>60</v>
      </c>
      <c r="G5166" s="5">
        <v>0</v>
      </c>
      <c r="H5166" s="6">
        <v>2923.08</v>
      </c>
      <c r="I5166" s="22">
        <v>0</v>
      </c>
      <c r="J5166" s="24">
        <f t="shared" si="240"/>
        <v>0</v>
      </c>
      <c r="K5166" s="25">
        <f t="shared" si="242"/>
        <v>1.0000000000000009</v>
      </c>
      <c r="L5166" s="27"/>
      <c r="M5166" s="28"/>
      <c r="N5166" s="28"/>
      <c r="O5166" s="20" t="s">
        <v>7530</v>
      </c>
      <c r="P5166" s="27" t="str">
        <f t="shared" si="241"/>
        <v>vermelho</v>
      </c>
    </row>
    <row r="5167" spans="1:16" ht="38.25">
      <c r="A5167" s="3" t="s">
        <v>4</v>
      </c>
      <c r="B5167" s="3" t="s">
        <v>3989</v>
      </c>
      <c r="C5167" s="4">
        <v>301</v>
      </c>
      <c r="D5167" s="3" t="s">
        <v>519</v>
      </c>
      <c r="E5167" s="3" t="s">
        <v>16</v>
      </c>
      <c r="F5167" s="5">
        <v>282</v>
      </c>
      <c r="G5167" s="5">
        <v>0</v>
      </c>
      <c r="H5167" s="6">
        <v>15826.56</v>
      </c>
      <c r="I5167" s="22">
        <v>0</v>
      </c>
      <c r="J5167" s="24">
        <f t="shared" si="240"/>
        <v>0</v>
      </c>
      <c r="K5167" s="25">
        <f t="shared" si="242"/>
        <v>1.0000000000000009</v>
      </c>
      <c r="L5167" s="27"/>
      <c r="M5167" s="28"/>
      <c r="N5167" s="28"/>
      <c r="O5167" s="20" t="s">
        <v>7530</v>
      </c>
      <c r="P5167" s="27" t="str">
        <f t="shared" si="241"/>
        <v>vermelho</v>
      </c>
    </row>
    <row r="5168" spans="1:16" ht="25.5">
      <c r="A5168" s="3" t="s">
        <v>4</v>
      </c>
      <c r="B5168" s="3" t="s">
        <v>3990</v>
      </c>
      <c r="C5168" s="4">
        <v>261</v>
      </c>
      <c r="D5168" s="3" t="s">
        <v>9</v>
      </c>
      <c r="E5168" s="3" t="s">
        <v>10</v>
      </c>
      <c r="F5168" s="5">
        <v>84</v>
      </c>
      <c r="G5168" s="5">
        <v>0</v>
      </c>
      <c r="H5168" s="6">
        <v>4596.09</v>
      </c>
      <c r="I5168" s="22">
        <v>0</v>
      </c>
      <c r="J5168" s="24">
        <f t="shared" si="240"/>
        <v>0</v>
      </c>
      <c r="K5168" s="25">
        <f t="shared" si="242"/>
        <v>1.0000000000000009</v>
      </c>
      <c r="L5168" s="27"/>
      <c r="M5168" s="28"/>
      <c r="N5168" s="28"/>
      <c r="O5168" s="20" t="s">
        <v>7530</v>
      </c>
      <c r="P5168" s="27" t="str">
        <f t="shared" si="241"/>
        <v>vermelho</v>
      </c>
    </row>
    <row r="5169" spans="1:16" ht="25.5">
      <c r="A5169" s="3" t="s">
        <v>4</v>
      </c>
      <c r="B5169" s="3" t="s">
        <v>3991</v>
      </c>
      <c r="C5169" s="4">
        <v>208</v>
      </c>
      <c r="D5169" s="3" t="s">
        <v>15</v>
      </c>
      <c r="E5169" s="3" t="s">
        <v>16</v>
      </c>
      <c r="F5169" s="5">
        <v>84</v>
      </c>
      <c r="G5169" s="5">
        <v>0</v>
      </c>
      <c r="H5169" s="6">
        <v>4309.29</v>
      </c>
      <c r="I5169" s="22">
        <v>0</v>
      </c>
      <c r="J5169" s="24">
        <f t="shared" si="240"/>
        <v>0</v>
      </c>
      <c r="K5169" s="25">
        <f t="shared" si="242"/>
        <v>1.0000000000000009</v>
      </c>
      <c r="L5169" s="27"/>
      <c r="M5169" s="28"/>
      <c r="N5169" s="28"/>
      <c r="O5169" s="20" t="s">
        <v>7530</v>
      </c>
      <c r="P5169" s="27" t="str">
        <f t="shared" si="241"/>
        <v>vermelho</v>
      </c>
    </row>
    <row r="5170" spans="1:16" ht="25.5">
      <c r="A5170" s="3" t="s">
        <v>4</v>
      </c>
      <c r="B5170" s="3" t="s">
        <v>3992</v>
      </c>
      <c r="C5170" s="4">
        <v>270</v>
      </c>
      <c r="D5170" s="3" t="s">
        <v>266</v>
      </c>
      <c r="E5170" s="3" t="s">
        <v>49</v>
      </c>
      <c r="F5170" s="5">
        <v>303</v>
      </c>
      <c r="G5170" s="5">
        <v>0</v>
      </c>
      <c r="H5170" s="6">
        <v>16980.12</v>
      </c>
      <c r="I5170" s="22">
        <v>0</v>
      </c>
      <c r="J5170" s="24">
        <f t="shared" si="240"/>
        <v>0</v>
      </c>
      <c r="K5170" s="25">
        <f t="shared" si="242"/>
        <v>1.0000000000000009</v>
      </c>
      <c r="L5170" s="27"/>
      <c r="M5170" s="28"/>
      <c r="N5170" s="28"/>
      <c r="O5170" s="20" t="s">
        <v>7530</v>
      </c>
      <c r="P5170" s="27" t="str">
        <f t="shared" si="241"/>
        <v>vermelho</v>
      </c>
    </row>
    <row r="5171" spans="1:16" ht="25.5">
      <c r="A5171" s="3" t="s">
        <v>4</v>
      </c>
      <c r="B5171" s="3" t="s">
        <v>3993</v>
      </c>
      <c r="C5171" s="4">
        <v>266</v>
      </c>
      <c r="D5171" s="3" t="s">
        <v>80</v>
      </c>
      <c r="E5171" s="3" t="s">
        <v>10</v>
      </c>
      <c r="F5171" s="5">
        <v>96</v>
      </c>
      <c r="G5171" s="5">
        <v>0</v>
      </c>
      <c r="H5171" s="6">
        <v>5175.78</v>
      </c>
      <c r="I5171" s="22">
        <v>0</v>
      </c>
      <c r="J5171" s="24">
        <f t="shared" si="240"/>
        <v>0</v>
      </c>
      <c r="K5171" s="25">
        <f t="shared" si="242"/>
        <v>1.0000000000000009</v>
      </c>
      <c r="L5171" s="27"/>
      <c r="M5171" s="28"/>
      <c r="N5171" s="28"/>
      <c r="O5171" s="20" t="s">
        <v>7530</v>
      </c>
      <c r="P5171" s="27" t="str">
        <f t="shared" si="241"/>
        <v>vermelho</v>
      </c>
    </row>
    <row r="5172" spans="1:16" ht="25.5">
      <c r="A5172" s="3" t="s">
        <v>4</v>
      </c>
      <c r="B5172" s="3" t="s">
        <v>3994</v>
      </c>
      <c r="C5172" s="4">
        <v>327</v>
      </c>
      <c r="D5172" s="3" t="s">
        <v>100</v>
      </c>
      <c r="E5172" s="3" t="s">
        <v>7</v>
      </c>
      <c r="F5172" s="5">
        <v>60</v>
      </c>
      <c r="G5172" s="5">
        <v>0</v>
      </c>
      <c r="H5172" s="6">
        <v>3644.4</v>
      </c>
      <c r="I5172" s="22">
        <v>0</v>
      </c>
      <c r="J5172" s="24">
        <f t="shared" si="240"/>
        <v>0</v>
      </c>
      <c r="K5172" s="25">
        <f t="shared" si="242"/>
        <v>1.0000000000000009</v>
      </c>
      <c r="L5172" s="27"/>
      <c r="M5172" s="28"/>
      <c r="N5172" s="28"/>
      <c r="O5172" s="20" t="s">
        <v>7530</v>
      </c>
      <c r="P5172" s="27" t="str">
        <f t="shared" si="241"/>
        <v>vermelho</v>
      </c>
    </row>
    <row r="5173" spans="1:16">
      <c r="A5173" s="3" t="s">
        <v>4</v>
      </c>
      <c r="B5173" s="3" t="s">
        <v>3995</v>
      </c>
      <c r="C5173" s="4">
        <v>217</v>
      </c>
      <c r="D5173" s="3" t="s">
        <v>91</v>
      </c>
      <c r="E5173" s="3" t="s">
        <v>16</v>
      </c>
      <c r="F5173" s="5">
        <v>162</v>
      </c>
      <c r="G5173" s="5">
        <v>0</v>
      </c>
      <c r="H5173" s="6">
        <v>9063.6299999999992</v>
      </c>
      <c r="I5173" s="22">
        <v>0</v>
      </c>
      <c r="J5173" s="24">
        <f t="shared" si="240"/>
        <v>0</v>
      </c>
      <c r="K5173" s="25">
        <f t="shared" si="242"/>
        <v>1.0000000000000009</v>
      </c>
      <c r="L5173" s="27"/>
      <c r="M5173" s="28"/>
      <c r="N5173" s="28"/>
      <c r="O5173" s="20" t="s">
        <v>7530</v>
      </c>
      <c r="P5173" s="27" t="str">
        <f t="shared" si="241"/>
        <v>vermelho</v>
      </c>
    </row>
    <row r="5174" spans="1:16" ht="25.5">
      <c r="A5174" s="3" t="s">
        <v>4</v>
      </c>
      <c r="B5174" s="3" t="s">
        <v>3996</v>
      </c>
      <c r="C5174" s="4">
        <v>53</v>
      </c>
      <c r="D5174" s="3" t="s">
        <v>34</v>
      </c>
      <c r="E5174" s="3" t="s">
        <v>16</v>
      </c>
      <c r="F5174" s="5">
        <v>60</v>
      </c>
      <c r="G5174" s="5">
        <v>0</v>
      </c>
      <c r="H5174" s="6">
        <v>3921.6</v>
      </c>
      <c r="I5174" s="22">
        <v>0</v>
      </c>
      <c r="J5174" s="24">
        <f t="shared" si="240"/>
        <v>0</v>
      </c>
      <c r="K5174" s="25">
        <f t="shared" si="242"/>
        <v>1.0000000000000009</v>
      </c>
      <c r="L5174" s="27"/>
      <c r="M5174" s="28"/>
      <c r="N5174" s="28"/>
      <c r="O5174" s="20" t="s">
        <v>7530</v>
      </c>
      <c r="P5174" s="27" t="str">
        <f t="shared" si="241"/>
        <v>vermelho</v>
      </c>
    </row>
    <row r="5175" spans="1:16" ht="25.5">
      <c r="A5175" s="3" t="s">
        <v>4</v>
      </c>
      <c r="B5175" s="3" t="s">
        <v>3997</v>
      </c>
      <c r="C5175" s="4">
        <v>187</v>
      </c>
      <c r="D5175" s="3" t="s">
        <v>96</v>
      </c>
      <c r="E5175" s="3" t="s">
        <v>7</v>
      </c>
      <c r="F5175" s="5">
        <v>105</v>
      </c>
      <c r="G5175" s="5">
        <v>0</v>
      </c>
      <c r="H5175" s="6">
        <v>5773.95</v>
      </c>
      <c r="I5175" s="22">
        <v>0</v>
      </c>
      <c r="J5175" s="24">
        <f t="shared" si="240"/>
        <v>0</v>
      </c>
      <c r="K5175" s="25">
        <f t="shared" si="242"/>
        <v>1.0000000000000009</v>
      </c>
      <c r="L5175" s="27"/>
      <c r="M5175" s="28"/>
      <c r="N5175" s="28"/>
      <c r="O5175" s="20" t="s">
        <v>7530</v>
      </c>
      <c r="P5175" s="27" t="str">
        <f t="shared" si="241"/>
        <v>vermelho</v>
      </c>
    </row>
    <row r="5176" spans="1:16">
      <c r="A5176" s="3" t="s">
        <v>4</v>
      </c>
      <c r="B5176" s="3" t="s">
        <v>3998</v>
      </c>
      <c r="C5176" s="4">
        <v>232</v>
      </c>
      <c r="D5176" s="3" t="s">
        <v>174</v>
      </c>
      <c r="E5176" s="3" t="s">
        <v>16</v>
      </c>
      <c r="F5176" s="5">
        <v>156</v>
      </c>
      <c r="G5176" s="5">
        <v>0</v>
      </c>
      <c r="H5176" s="6">
        <v>7032.96</v>
      </c>
      <c r="I5176" s="22">
        <v>0</v>
      </c>
      <c r="J5176" s="24">
        <f t="shared" si="240"/>
        <v>0</v>
      </c>
      <c r="K5176" s="25">
        <f t="shared" si="242"/>
        <v>1.0000000000000009</v>
      </c>
      <c r="L5176" s="27"/>
      <c r="M5176" s="28"/>
      <c r="N5176" s="28"/>
      <c r="O5176" s="20" t="s">
        <v>7530</v>
      </c>
      <c r="P5176" s="27" t="str">
        <f t="shared" si="241"/>
        <v>vermelho</v>
      </c>
    </row>
    <row r="5177" spans="1:16" ht="25.5">
      <c r="A5177" s="3" t="s">
        <v>4</v>
      </c>
      <c r="B5177" s="3" t="s">
        <v>3999</v>
      </c>
      <c r="C5177" s="4">
        <v>337</v>
      </c>
      <c r="D5177" s="3" t="s">
        <v>202</v>
      </c>
      <c r="E5177" s="3" t="s">
        <v>16</v>
      </c>
      <c r="F5177" s="5">
        <v>96</v>
      </c>
      <c r="G5177" s="5">
        <v>0</v>
      </c>
      <c r="H5177" s="6">
        <v>4201.4399999999996</v>
      </c>
      <c r="I5177" s="22">
        <v>0</v>
      </c>
      <c r="J5177" s="24">
        <f t="shared" si="240"/>
        <v>0</v>
      </c>
      <c r="K5177" s="25">
        <f t="shared" si="242"/>
        <v>1.0000000000000009</v>
      </c>
      <c r="L5177" s="27"/>
      <c r="M5177" s="28"/>
      <c r="N5177" s="28"/>
      <c r="O5177" s="20" t="s">
        <v>7530</v>
      </c>
      <c r="P5177" s="27" t="str">
        <f t="shared" si="241"/>
        <v>vermelho</v>
      </c>
    </row>
    <row r="5178" spans="1:16" ht="25.5">
      <c r="A5178" s="3" t="s">
        <v>4</v>
      </c>
      <c r="B5178" s="3" t="s">
        <v>4000</v>
      </c>
      <c r="C5178" s="4">
        <v>208</v>
      </c>
      <c r="D5178" s="3" t="s">
        <v>15</v>
      </c>
      <c r="E5178" s="3" t="s">
        <v>16</v>
      </c>
      <c r="F5178" s="5">
        <v>354</v>
      </c>
      <c r="G5178" s="5">
        <v>0</v>
      </c>
      <c r="H5178" s="6">
        <v>20743.560000000001</v>
      </c>
      <c r="I5178" s="22">
        <v>0</v>
      </c>
      <c r="J5178" s="24">
        <f t="shared" si="240"/>
        <v>0</v>
      </c>
      <c r="K5178" s="25">
        <f t="shared" si="242"/>
        <v>1.0000000000000009</v>
      </c>
      <c r="L5178" s="27"/>
      <c r="M5178" s="28"/>
      <c r="N5178" s="28"/>
      <c r="O5178" s="20" t="s">
        <v>7530</v>
      </c>
      <c r="P5178" s="27" t="str">
        <f t="shared" si="241"/>
        <v>vermelho</v>
      </c>
    </row>
    <row r="5179" spans="1:16" ht="25.5">
      <c r="A5179" s="3" t="s">
        <v>4</v>
      </c>
      <c r="B5179" s="3" t="s">
        <v>4001</v>
      </c>
      <c r="C5179" s="4">
        <v>167</v>
      </c>
      <c r="D5179" s="3" t="s">
        <v>251</v>
      </c>
      <c r="E5179" s="3" t="s">
        <v>49</v>
      </c>
      <c r="F5179" s="5">
        <v>168</v>
      </c>
      <c r="G5179" s="5">
        <v>0</v>
      </c>
      <c r="H5179" s="6">
        <v>9142.44</v>
      </c>
      <c r="I5179" s="22">
        <v>0</v>
      </c>
      <c r="J5179" s="24">
        <f t="shared" si="240"/>
        <v>0</v>
      </c>
      <c r="K5179" s="25">
        <f t="shared" si="242"/>
        <v>1.0000000000000009</v>
      </c>
      <c r="L5179" s="27"/>
      <c r="M5179" s="28"/>
      <c r="N5179" s="28"/>
      <c r="O5179" s="20" t="s">
        <v>7530</v>
      </c>
      <c r="P5179" s="27" t="str">
        <f t="shared" si="241"/>
        <v>vermelho</v>
      </c>
    </row>
    <row r="5180" spans="1:16" ht="25.5">
      <c r="A5180" s="3" t="s">
        <v>4</v>
      </c>
      <c r="B5180" s="3" t="s">
        <v>4002</v>
      </c>
      <c r="C5180" s="4">
        <v>273</v>
      </c>
      <c r="D5180" s="3" t="s">
        <v>149</v>
      </c>
      <c r="E5180" s="3" t="s">
        <v>10</v>
      </c>
      <c r="F5180" s="5">
        <v>60</v>
      </c>
      <c r="G5180" s="5">
        <v>0</v>
      </c>
      <c r="H5180" s="6">
        <v>3274.44</v>
      </c>
      <c r="I5180" s="22">
        <v>0</v>
      </c>
      <c r="J5180" s="24">
        <f t="shared" si="240"/>
        <v>0</v>
      </c>
      <c r="K5180" s="25">
        <f t="shared" si="242"/>
        <v>1.0000000000000009</v>
      </c>
      <c r="L5180" s="27"/>
      <c r="M5180" s="28"/>
      <c r="N5180" s="28"/>
      <c r="O5180" s="20" t="s">
        <v>7530</v>
      </c>
      <c r="P5180" s="27" t="str">
        <f t="shared" si="241"/>
        <v>vermelho</v>
      </c>
    </row>
    <row r="5181" spans="1:16" ht="25.5">
      <c r="A5181" s="3" t="s">
        <v>4</v>
      </c>
      <c r="B5181" s="3" t="s">
        <v>4003</v>
      </c>
      <c r="C5181" s="4">
        <v>266</v>
      </c>
      <c r="D5181" s="3" t="s">
        <v>80</v>
      </c>
      <c r="E5181" s="3" t="s">
        <v>10</v>
      </c>
      <c r="F5181" s="5">
        <v>84</v>
      </c>
      <c r="G5181" s="5">
        <v>0</v>
      </c>
      <c r="H5181" s="6">
        <v>5042.04</v>
      </c>
      <c r="I5181" s="22">
        <v>0</v>
      </c>
      <c r="J5181" s="24">
        <f t="shared" si="240"/>
        <v>0</v>
      </c>
      <c r="K5181" s="25">
        <f t="shared" si="242"/>
        <v>1.0000000000000009</v>
      </c>
      <c r="L5181" s="27"/>
      <c r="M5181" s="28"/>
      <c r="N5181" s="28"/>
      <c r="O5181" s="20" t="s">
        <v>7530</v>
      </c>
      <c r="P5181" s="27" t="str">
        <f t="shared" si="241"/>
        <v>vermelho</v>
      </c>
    </row>
    <row r="5182" spans="1:16" ht="38.25">
      <c r="A5182" s="3" t="s">
        <v>4</v>
      </c>
      <c r="B5182" s="3" t="s">
        <v>4004</v>
      </c>
      <c r="C5182" s="4">
        <v>38</v>
      </c>
      <c r="D5182" s="3" t="s">
        <v>184</v>
      </c>
      <c r="E5182" s="3" t="s">
        <v>49</v>
      </c>
      <c r="F5182" s="5">
        <v>132</v>
      </c>
      <c r="G5182" s="5">
        <v>0</v>
      </c>
      <c r="H5182" s="6">
        <v>5842.68</v>
      </c>
      <c r="I5182" s="22">
        <v>0</v>
      </c>
      <c r="J5182" s="24">
        <f t="shared" si="240"/>
        <v>0</v>
      </c>
      <c r="K5182" s="25">
        <f t="shared" si="242"/>
        <v>1.0000000000000009</v>
      </c>
      <c r="L5182" s="27"/>
      <c r="M5182" s="28"/>
      <c r="N5182" s="28"/>
      <c r="O5182" s="20" t="s">
        <v>7530</v>
      </c>
      <c r="P5182" s="27" t="str">
        <f t="shared" si="241"/>
        <v>vermelho</v>
      </c>
    </row>
    <row r="5183" spans="1:16" ht="25.5">
      <c r="A5183" s="3" t="s">
        <v>4</v>
      </c>
      <c r="B5183" s="3" t="s">
        <v>4005</v>
      </c>
      <c r="C5183" s="4">
        <v>334</v>
      </c>
      <c r="D5183" s="3" t="s">
        <v>531</v>
      </c>
      <c r="E5183" s="3" t="s">
        <v>7</v>
      </c>
      <c r="F5183" s="5">
        <v>60</v>
      </c>
      <c r="G5183" s="5">
        <v>0</v>
      </c>
      <c r="H5183" s="6">
        <v>3660.36</v>
      </c>
      <c r="I5183" s="22">
        <v>0</v>
      </c>
      <c r="J5183" s="24">
        <f t="shared" si="240"/>
        <v>0</v>
      </c>
      <c r="K5183" s="25">
        <f t="shared" si="242"/>
        <v>1.0000000000000009</v>
      </c>
      <c r="L5183" s="27"/>
      <c r="M5183" s="28"/>
      <c r="N5183" s="28"/>
      <c r="O5183" s="20" t="s">
        <v>7530</v>
      </c>
      <c r="P5183" s="27" t="str">
        <f t="shared" si="241"/>
        <v>vermelho</v>
      </c>
    </row>
    <row r="5184" spans="1:16" ht="25.5">
      <c r="A5184" s="3" t="s">
        <v>4</v>
      </c>
      <c r="B5184" s="3" t="s">
        <v>4006</v>
      </c>
      <c r="C5184" s="4">
        <v>178</v>
      </c>
      <c r="D5184" s="3" t="s">
        <v>74</v>
      </c>
      <c r="E5184" s="3" t="s">
        <v>7</v>
      </c>
      <c r="F5184" s="5">
        <v>348</v>
      </c>
      <c r="G5184" s="5">
        <v>0</v>
      </c>
      <c r="H5184" s="6">
        <v>24605.52</v>
      </c>
      <c r="I5184" s="22">
        <v>0</v>
      </c>
      <c r="J5184" s="24">
        <f t="shared" si="240"/>
        <v>0</v>
      </c>
      <c r="K5184" s="25">
        <f t="shared" si="242"/>
        <v>1.0000000000000009</v>
      </c>
      <c r="L5184" s="27"/>
      <c r="M5184" s="28"/>
      <c r="N5184" s="28">
        <v>4.056898629361308E-2</v>
      </c>
      <c r="O5184" s="20">
        <v>13512.24</v>
      </c>
      <c r="P5184" s="27" t="str">
        <f t="shared" si="241"/>
        <v>vermelho</v>
      </c>
    </row>
    <row r="5185" spans="1:16" ht="38.25">
      <c r="A5185" s="3" t="s">
        <v>4</v>
      </c>
      <c r="B5185" s="3" t="s">
        <v>4007</v>
      </c>
      <c r="C5185" s="4">
        <v>335</v>
      </c>
      <c r="D5185" s="3" t="s">
        <v>36</v>
      </c>
      <c r="E5185" s="3" t="s">
        <v>7</v>
      </c>
      <c r="F5185" s="5">
        <v>342</v>
      </c>
      <c r="G5185" s="5">
        <v>0</v>
      </c>
      <c r="H5185" s="6">
        <v>19827.3</v>
      </c>
      <c r="I5185" s="22">
        <v>0</v>
      </c>
      <c r="J5185" s="24">
        <f t="shared" si="240"/>
        <v>0</v>
      </c>
      <c r="K5185" s="25">
        <f t="shared" si="242"/>
        <v>1.0000000000000009</v>
      </c>
      <c r="L5185" s="27"/>
      <c r="M5185" s="28"/>
      <c r="N5185" s="28"/>
      <c r="O5185" s="20" t="s">
        <v>7530</v>
      </c>
      <c r="P5185" s="27" t="str">
        <f t="shared" si="241"/>
        <v>vermelho</v>
      </c>
    </row>
    <row r="5186" spans="1:16" ht="25.5">
      <c r="A5186" s="3" t="s">
        <v>4</v>
      </c>
      <c r="B5186" s="3" t="s">
        <v>4008</v>
      </c>
      <c r="C5186" s="4">
        <v>264</v>
      </c>
      <c r="D5186" s="3" t="s">
        <v>40</v>
      </c>
      <c r="E5186" s="3" t="s">
        <v>10</v>
      </c>
      <c r="F5186" s="5">
        <v>72</v>
      </c>
      <c r="G5186" s="5">
        <v>0</v>
      </c>
      <c r="H5186" s="6">
        <v>4211.28</v>
      </c>
      <c r="I5186" s="22">
        <v>0</v>
      </c>
      <c r="J5186" s="24">
        <f t="shared" si="240"/>
        <v>0</v>
      </c>
      <c r="K5186" s="25">
        <f t="shared" si="242"/>
        <v>1.0000000000000009</v>
      </c>
      <c r="L5186" s="27"/>
      <c r="M5186" s="28"/>
      <c r="N5186" s="28"/>
      <c r="O5186" s="20" t="s">
        <v>7530</v>
      </c>
      <c r="P5186" s="27" t="str">
        <f t="shared" si="241"/>
        <v>vermelho</v>
      </c>
    </row>
    <row r="5187" spans="1:16">
      <c r="A5187" s="3" t="s">
        <v>4</v>
      </c>
      <c r="B5187" s="3" t="s">
        <v>4009</v>
      </c>
      <c r="C5187" s="4">
        <v>217</v>
      </c>
      <c r="D5187" s="3" t="s">
        <v>91</v>
      </c>
      <c r="E5187" s="3" t="s">
        <v>16</v>
      </c>
      <c r="F5187" s="5">
        <v>348</v>
      </c>
      <c r="G5187" s="5">
        <v>0</v>
      </c>
      <c r="H5187" s="6">
        <v>20582.04</v>
      </c>
      <c r="I5187" s="22">
        <v>0</v>
      </c>
      <c r="J5187" s="24">
        <f t="shared" ref="J5187:J5250" si="243">I5187/$I$6364</f>
        <v>0</v>
      </c>
      <c r="K5187" s="25">
        <f t="shared" si="242"/>
        <v>1.0000000000000009</v>
      </c>
      <c r="L5187" s="27"/>
      <c r="M5187" s="28"/>
      <c r="N5187" s="28"/>
      <c r="O5187" s="20" t="s">
        <v>7530</v>
      </c>
      <c r="P5187" s="27" t="str">
        <f t="shared" ref="P5187:P5250" si="244">IF(O5187&lt;=0,"vermelho",IFERROR(IF(O5187/I5187&lt;=0.5098,"amarelo",IF(O5187/I5187&lt;1,"laranja","verde")),"vermelho"))</f>
        <v>vermelho</v>
      </c>
    </row>
    <row r="5188" spans="1:16" ht="38.25">
      <c r="A5188" s="3" t="s">
        <v>4</v>
      </c>
      <c r="B5188" s="3" t="s">
        <v>4010</v>
      </c>
      <c r="C5188" s="4">
        <v>31</v>
      </c>
      <c r="D5188" s="3" t="s">
        <v>194</v>
      </c>
      <c r="E5188" s="3" t="s">
        <v>16</v>
      </c>
      <c r="F5188" s="5">
        <v>879</v>
      </c>
      <c r="G5188" s="5">
        <v>0</v>
      </c>
      <c r="H5188" s="6">
        <v>46695.27</v>
      </c>
      <c r="I5188" s="22">
        <v>0</v>
      </c>
      <c r="J5188" s="24">
        <f t="shared" si="243"/>
        <v>0</v>
      </c>
      <c r="K5188" s="25">
        <f t="shared" ref="K5188:K5251" si="245">J5188+K5187</f>
        <v>1.0000000000000009</v>
      </c>
      <c r="L5188" s="27"/>
      <c r="M5188" s="28"/>
      <c r="N5188" s="28"/>
      <c r="O5188" s="20" t="s">
        <v>7530</v>
      </c>
      <c r="P5188" s="27" t="str">
        <f t="shared" si="244"/>
        <v>vermelho</v>
      </c>
    </row>
    <row r="5189" spans="1:16" ht="25.5">
      <c r="A5189" s="3" t="s">
        <v>4</v>
      </c>
      <c r="B5189" s="3" t="s">
        <v>4011</v>
      </c>
      <c r="C5189" s="4">
        <v>321</v>
      </c>
      <c r="D5189" s="3" t="s">
        <v>136</v>
      </c>
      <c r="E5189" s="3" t="s">
        <v>41</v>
      </c>
      <c r="F5189" s="5">
        <v>387</v>
      </c>
      <c r="G5189" s="5">
        <v>0</v>
      </c>
      <c r="H5189" s="6">
        <v>21312.51</v>
      </c>
      <c r="I5189" s="22">
        <v>0</v>
      </c>
      <c r="J5189" s="24">
        <f t="shared" si="243"/>
        <v>0</v>
      </c>
      <c r="K5189" s="25">
        <f t="shared" si="245"/>
        <v>1.0000000000000009</v>
      </c>
      <c r="L5189" s="27"/>
      <c r="M5189" s="28"/>
      <c r="N5189" s="28"/>
      <c r="O5189" s="20">
        <v>7875.9</v>
      </c>
      <c r="P5189" s="27" t="str">
        <f t="shared" si="244"/>
        <v>vermelho</v>
      </c>
    </row>
    <row r="5190" spans="1:16" ht="38.25">
      <c r="A5190" s="3" t="s">
        <v>4</v>
      </c>
      <c r="B5190" s="3" t="s">
        <v>4012</v>
      </c>
      <c r="C5190" s="4">
        <v>231</v>
      </c>
      <c r="D5190" s="3" t="s">
        <v>52</v>
      </c>
      <c r="E5190" s="3" t="s">
        <v>7</v>
      </c>
      <c r="F5190" s="5">
        <v>150</v>
      </c>
      <c r="G5190" s="5">
        <v>0</v>
      </c>
      <c r="H5190" s="6">
        <v>6214.5</v>
      </c>
      <c r="I5190" s="22">
        <v>0</v>
      </c>
      <c r="J5190" s="24">
        <f t="shared" si="243"/>
        <v>0</v>
      </c>
      <c r="K5190" s="25">
        <f t="shared" si="245"/>
        <v>1.0000000000000009</v>
      </c>
      <c r="L5190" s="27"/>
      <c r="M5190" s="28"/>
      <c r="N5190" s="28"/>
      <c r="O5190" s="20" t="s">
        <v>7530</v>
      </c>
      <c r="P5190" s="27" t="str">
        <f t="shared" si="244"/>
        <v>vermelho</v>
      </c>
    </row>
    <row r="5191" spans="1:16" ht="25.5">
      <c r="A5191" s="3" t="s">
        <v>4</v>
      </c>
      <c r="B5191" s="3" t="s">
        <v>4013</v>
      </c>
      <c r="C5191" s="4">
        <v>19</v>
      </c>
      <c r="D5191" s="3" t="s">
        <v>72</v>
      </c>
      <c r="E5191" s="3" t="s">
        <v>41</v>
      </c>
      <c r="F5191" s="5">
        <v>36</v>
      </c>
      <c r="G5191" s="5">
        <v>0</v>
      </c>
      <c r="H5191" s="6">
        <v>2331.36</v>
      </c>
      <c r="I5191" s="22">
        <v>0</v>
      </c>
      <c r="J5191" s="24">
        <f t="shared" si="243"/>
        <v>0</v>
      </c>
      <c r="K5191" s="25">
        <f t="shared" si="245"/>
        <v>1.0000000000000009</v>
      </c>
      <c r="L5191" s="27"/>
      <c r="M5191" s="28"/>
      <c r="N5191" s="28"/>
      <c r="O5191" s="20" t="s">
        <v>7530</v>
      </c>
      <c r="P5191" s="27" t="str">
        <f t="shared" si="244"/>
        <v>vermelho</v>
      </c>
    </row>
    <row r="5192" spans="1:16">
      <c r="A5192" s="3" t="s">
        <v>4</v>
      </c>
      <c r="B5192" s="3" t="s">
        <v>4014</v>
      </c>
      <c r="C5192" s="4">
        <v>315</v>
      </c>
      <c r="D5192" s="3" t="s">
        <v>63</v>
      </c>
      <c r="E5192" s="3" t="s">
        <v>7</v>
      </c>
      <c r="F5192" s="5">
        <v>132</v>
      </c>
      <c r="G5192" s="5">
        <v>0</v>
      </c>
      <c r="H5192" s="6">
        <v>8145.6</v>
      </c>
      <c r="I5192" s="22">
        <v>0</v>
      </c>
      <c r="J5192" s="24">
        <f t="shared" si="243"/>
        <v>0</v>
      </c>
      <c r="K5192" s="25">
        <f t="shared" si="245"/>
        <v>1.0000000000000009</v>
      </c>
      <c r="L5192" s="27"/>
      <c r="M5192" s="28"/>
      <c r="N5192" s="28"/>
      <c r="O5192" s="20" t="s">
        <v>7530</v>
      </c>
      <c r="P5192" s="27" t="str">
        <f t="shared" si="244"/>
        <v>vermelho</v>
      </c>
    </row>
    <row r="5193" spans="1:16" ht="25.5">
      <c r="A5193" s="3" t="s">
        <v>4</v>
      </c>
      <c r="B5193" s="3" t="s">
        <v>4015</v>
      </c>
      <c r="C5193" s="4">
        <v>320</v>
      </c>
      <c r="D5193" s="3" t="s">
        <v>218</v>
      </c>
      <c r="E5193" s="3" t="s">
        <v>49</v>
      </c>
      <c r="F5193" s="5">
        <v>36</v>
      </c>
      <c r="G5193" s="5">
        <v>0</v>
      </c>
      <c r="H5193" s="6">
        <v>3069.72</v>
      </c>
      <c r="I5193" s="22">
        <v>0</v>
      </c>
      <c r="J5193" s="24">
        <f t="shared" si="243"/>
        <v>0</v>
      </c>
      <c r="K5193" s="25">
        <f t="shared" si="245"/>
        <v>1.0000000000000009</v>
      </c>
      <c r="L5193" s="27"/>
      <c r="M5193" s="28"/>
      <c r="N5193" s="28"/>
      <c r="O5193" s="20" t="s">
        <v>7530</v>
      </c>
      <c r="P5193" s="27" t="str">
        <f t="shared" si="244"/>
        <v>vermelho</v>
      </c>
    </row>
    <row r="5194" spans="1:16" ht="38.25">
      <c r="A5194" s="3" t="s">
        <v>4</v>
      </c>
      <c r="B5194" s="3" t="s">
        <v>4016</v>
      </c>
      <c r="C5194" s="4">
        <v>292</v>
      </c>
      <c r="D5194" s="3" t="s">
        <v>57</v>
      </c>
      <c r="E5194" s="3" t="s">
        <v>49</v>
      </c>
      <c r="F5194" s="5">
        <v>114</v>
      </c>
      <c r="G5194" s="5">
        <v>0</v>
      </c>
      <c r="H5194" s="6">
        <v>5838.21</v>
      </c>
      <c r="I5194" s="22">
        <v>0</v>
      </c>
      <c r="J5194" s="24">
        <f t="shared" si="243"/>
        <v>0</v>
      </c>
      <c r="K5194" s="25">
        <f t="shared" si="245"/>
        <v>1.0000000000000009</v>
      </c>
      <c r="L5194" s="27"/>
      <c r="M5194" s="28"/>
      <c r="N5194" s="28"/>
      <c r="O5194" s="20" t="s">
        <v>7530</v>
      </c>
      <c r="P5194" s="27" t="str">
        <f t="shared" si="244"/>
        <v>vermelho</v>
      </c>
    </row>
    <row r="5195" spans="1:16" ht="25.5">
      <c r="A5195" s="3" t="s">
        <v>4</v>
      </c>
      <c r="B5195" s="3" t="s">
        <v>4017</v>
      </c>
      <c r="C5195" s="4">
        <v>208</v>
      </c>
      <c r="D5195" s="3" t="s">
        <v>15</v>
      </c>
      <c r="E5195" s="3" t="s">
        <v>16</v>
      </c>
      <c r="F5195" s="5">
        <v>156</v>
      </c>
      <c r="G5195" s="5">
        <v>0</v>
      </c>
      <c r="H5195" s="6">
        <v>8450.8799999999992</v>
      </c>
      <c r="I5195" s="22">
        <v>0</v>
      </c>
      <c r="J5195" s="24">
        <f t="shared" si="243"/>
        <v>0</v>
      </c>
      <c r="K5195" s="25">
        <f t="shared" si="245"/>
        <v>1.0000000000000009</v>
      </c>
      <c r="L5195" s="27"/>
      <c r="M5195" s="28"/>
      <c r="N5195" s="28"/>
      <c r="O5195" s="20" t="s">
        <v>7530</v>
      </c>
      <c r="P5195" s="27" t="str">
        <f t="shared" si="244"/>
        <v>vermelho</v>
      </c>
    </row>
    <row r="5196" spans="1:16" ht="25.5">
      <c r="A5196" s="3" t="s">
        <v>4</v>
      </c>
      <c r="B5196" s="3" t="s">
        <v>4018</v>
      </c>
      <c r="C5196" s="4">
        <v>296</v>
      </c>
      <c r="D5196" s="3" t="s">
        <v>282</v>
      </c>
      <c r="E5196" s="3" t="s">
        <v>49</v>
      </c>
      <c r="F5196" s="5">
        <v>108</v>
      </c>
      <c r="G5196" s="5">
        <v>0</v>
      </c>
      <c r="H5196" s="6">
        <v>8662.92</v>
      </c>
      <c r="I5196" s="22">
        <v>0</v>
      </c>
      <c r="J5196" s="24">
        <f t="shared" si="243"/>
        <v>0</v>
      </c>
      <c r="K5196" s="25">
        <f t="shared" si="245"/>
        <v>1.0000000000000009</v>
      </c>
      <c r="L5196" s="27"/>
      <c r="M5196" s="28"/>
      <c r="N5196" s="28"/>
      <c r="O5196" s="20" t="s">
        <v>7530</v>
      </c>
      <c r="P5196" s="27" t="str">
        <f t="shared" si="244"/>
        <v>vermelho</v>
      </c>
    </row>
    <row r="5197" spans="1:16" ht="25.5">
      <c r="A5197" s="3" t="s">
        <v>4</v>
      </c>
      <c r="B5197" s="3" t="s">
        <v>4019</v>
      </c>
      <c r="C5197" s="4">
        <v>334</v>
      </c>
      <c r="D5197" s="3" t="s">
        <v>531</v>
      </c>
      <c r="E5197" s="3" t="s">
        <v>7</v>
      </c>
      <c r="F5197" s="5">
        <v>24</v>
      </c>
      <c r="G5197" s="5">
        <v>0</v>
      </c>
      <c r="H5197" s="6">
        <v>1879.2</v>
      </c>
      <c r="I5197" s="22">
        <v>0</v>
      </c>
      <c r="J5197" s="24">
        <f t="shared" si="243"/>
        <v>0</v>
      </c>
      <c r="K5197" s="25">
        <f t="shared" si="245"/>
        <v>1.0000000000000009</v>
      </c>
      <c r="L5197" s="27"/>
      <c r="M5197" s="28"/>
      <c r="N5197" s="28"/>
      <c r="O5197" s="20" t="s">
        <v>7530</v>
      </c>
      <c r="P5197" s="27" t="str">
        <f t="shared" si="244"/>
        <v>vermelho</v>
      </c>
    </row>
    <row r="5198" spans="1:16" ht="25.5">
      <c r="A5198" s="3" t="s">
        <v>4</v>
      </c>
      <c r="B5198" s="3" t="s">
        <v>4020</v>
      </c>
      <c r="C5198" s="4">
        <v>208</v>
      </c>
      <c r="D5198" s="3" t="s">
        <v>15</v>
      </c>
      <c r="E5198" s="3" t="s">
        <v>16</v>
      </c>
      <c r="F5198" s="5">
        <v>420</v>
      </c>
      <c r="G5198" s="5">
        <v>0</v>
      </c>
      <c r="H5198" s="6">
        <v>25155.360000000001</v>
      </c>
      <c r="I5198" s="22">
        <v>0</v>
      </c>
      <c r="J5198" s="24">
        <f t="shared" si="243"/>
        <v>0</v>
      </c>
      <c r="K5198" s="25">
        <f t="shared" si="245"/>
        <v>1.0000000000000009</v>
      </c>
      <c r="L5198" s="27"/>
      <c r="M5198" s="28"/>
      <c r="N5198" s="28"/>
      <c r="O5198" s="20">
        <v>17385.48</v>
      </c>
      <c r="P5198" s="27" t="str">
        <f t="shared" si="244"/>
        <v>vermelho</v>
      </c>
    </row>
    <row r="5199" spans="1:16" ht="25.5">
      <c r="A5199" s="3" t="s">
        <v>4</v>
      </c>
      <c r="B5199" s="3" t="s">
        <v>4021</v>
      </c>
      <c r="C5199" s="4">
        <v>317</v>
      </c>
      <c r="D5199" s="3" t="s">
        <v>78</v>
      </c>
      <c r="E5199" s="3" t="s">
        <v>10</v>
      </c>
      <c r="F5199" s="5">
        <v>150</v>
      </c>
      <c r="G5199" s="5">
        <v>0</v>
      </c>
      <c r="H5199" s="6">
        <v>8814.18</v>
      </c>
      <c r="I5199" s="22">
        <v>0</v>
      </c>
      <c r="J5199" s="24">
        <f t="shared" si="243"/>
        <v>0</v>
      </c>
      <c r="K5199" s="25">
        <f t="shared" si="245"/>
        <v>1.0000000000000009</v>
      </c>
      <c r="L5199" s="27"/>
      <c r="M5199" s="28"/>
      <c r="N5199" s="28"/>
      <c r="O5199" s="20" t="s">
        <v>7530</v>
      </c>
      <c r="P5199" s="27" t="str">
        <f t="shared" si="244"/>
        <v>vermelho</v>
      </c>
    </row>
    <row r="5200" spans="1:16" ht="25.5">
      <c r="A5200" s="3" t="s">
        <v>4</v>
      </c>
      <c r="B5200" s="3" t="s">
        <v>4022</v>
      </c>
      <c r="C5200" s="4">
        <v>296</v>
      </c>
      <c r="D5200" s="3" t="s">
        <v>282</v>
      </c>
      <c r="E5200" s="3" t="s">
        <v>7</v>
      </c>
      <c r="F5200" s="5">
        <v>48</v>
      </c>
      <c r="G5200" s="5">
        <v>0</v>
      </c>
      <c r="H5200" s="6">
        <v>2836.44</v>
      </c>
      <c r="I5200" s="22">
        <v>0</v>
      </c>
      <c r="J5200" s="24">
        <f t="shared" si="243"/>
        <v>0</v>
      </c>
      <c r="K5200" s="25">
        <f t="shared" si="245"/>
        <v>1.0000000000000009</v>
      </c>
      <c r="L5200" s="27"/>
      <c r="M5200" s="28"/>
      <c r="N5200" s="28"/>
      <c r="O5200" s="20" t="s">
        <v>7530</v>
      </c>
      <c r="P5200" s="27" t="str">
        <f t="shared" si="244"/>
        <v>vermelho</v>
      </c>
    </row>
    <row r="5201" spans="1:16" ht="25.5">
      <c r="A5201" s="3" t="s">
        <v>4</v>
      </c>
      <c r="B5201" s="3" t="s">
        <v>4023</v>
      </c>
      <c r="C5201" s="4">
        <v>299</v>
      </c>
      <c r="D5201" s="3" t="s">
        <v>111</v>
      </c>
      <c r="E5201" s="3" t="s">
        <v>49</v>
      </c>
      <c r="F5201" s="5">
        <v>48</v>
      </c>
      <c r="G5201" s="5">
        <v>0</v>
      </c>
      <c r="H5201" s="6">
        <v>1786.68</v>
      </c>
      <c r="I5201" s="22">
        <v>0</v>
      </c>
      <c r="J5201" s="24">
        <f t="shared" si="243"/>
        <v>0</v>
      </c>
      <c r="K5201" s="25">
        <f t="shared" si="245"/>
        <v>1.0000000000000009</v>
      </c>
      <c r="L5201" s="27"/>
      <c r="M5201" s="28"/>
      <c r="N5201" s="28"/>
      <c r="O5201" s="20" t="s">
        <v>7530</v>
      </c>
      <c r="P5201" s="27" t="str">
        <f t="shared" si="244"/>
        <v>vermelho</v>
      </c>
    </row>
    <row r="5202" spans="1:16" ht="25.5">
      <c r="A5202" s="3" t="s">
        <v>4</v>
      </c>
      <c r="B5202" s="3" t="s">
        <v>4024</v>
      </c>
      <c r="C5202" s="4">
        <v>261</v>
      </c>
      <c r="D5202" s="3" t="s">
        <v>9</v>
      </c>
      <c r="E5202" s="3" t="s">
        <v>10</v>
      </c>
      <c r="F5202" s="5">
        <v>54</v>
      </c>
      <c r="G5202" s="5">
        <v>0</v>
      </c>
      <c r="H5202" s="6">
        <v>3545.46</v>
      </c>
      <c r="I5202" s="22">
        <v>0</v>
      </c>
      <c r="J5202" s="24">
        <f t="shared" si="243"/>
        <v>0</v>
      </c>
      <c r="K5202" s="25">
        <f t="shared" si="245"/>
        <v>1.0000000000000009</v>
      </c>
      <c r="L5202" s="27"/>
      <c r="M5202" s="28"/>
      <c r="N5202" s="28"/>
      <c r="O5202" s="20" t="s">
        <v>7530</v>
      </c>
      <c r="P5202" s="27" t="str">
        <f t="shared" si="244"/>
        <v>vermelho</v>
      </c>
    </row>
    <row r="5203" spans="1:16" ht="38.25">
      <c r="A5203" s="3" t="s">
        <v>4</v>
      </c>
      <c r="B5203" s="3" t="s">
        <v>4025</v>
      </c>
      <c r="C5203" s="4">
        <v>11</v>
      </c>
      <c r="D5203" s="3" t="s">
        <v>61</v>
      </c>
      <c r="E5203" s="3" t="s">
        <v>10</v>
      </c>
      <c r="F5203" s="5">
        <v>294</v>
      </c>
      <c r="G5203" s="5">
        <v>0</v>
      </c>
      <c r="H5203" s="6">
        <v>13710.82</v>
      </c>
      <c r="I5203" s="22">
        <v>0</v>
      </c>
      <c r="J5203" s="24">
        <f t="shared" si="243"/>
        <v>0</v>
      </c>
      <c r="K5203" s="25">
        <f t="shared" si="245"/>
        <v>1.0000000000000009</v>
      </c>
      <c r="L5203" s="27"/>
      <c r="M5203" s="28"/>
      <c r="N5203" s="28"/>
      <c r="O5203" s="20" t="s">
        <v>7530</v>
      </c>
      <c r="P5203" s="27" t="str">
        <f t="shared" si="244"/>
        <v>vermelho</v>
      </c>
    </row>
    <row r="5204" spans="1:16" ht="25.5">
      <c r="A5204" s="3" t="s">
        <v>4</v>
      </c>
      <c r="B5204" s="3" t="s">
        <v>4026</v>
      </c>
      <c r="C5204" s="4">
        <v>335</v>
      </c>
      <c r="D5204" s="3" t="s">
        <v>36</v>
      </c>
      <c r="E5204" s="3" t="s">
        <v>7</v>
      </c>
      <c r="F5204" s="5">
        <v>144</v>
      </c>
      <c r="G5204" s="5">
        <v>0</v>
      </c>
      <c r="H5204" s="6">
        <v>6120.36</v>
      </c>
      <c r="I5204" s="22">
        <v>0</v>
      </c>
      <c r="J5204" s="24">
        <f t="shared" si="243"/>
        <v>0</v>
      </c>
      <c r="K5204" s="25">
        <f t="shared" si="245"/>
        <v>1.0000000000000009</v>
      </c>
      <c r="L5204" s="27"/>
      <c r="M5204" s="28"/>
      <c r="N5204" s="28"/>
      <c r="O5204" s="20" t="s">
        <v>7530</v>
      </c>
      <c r="P5204" s="27" t="str">
        <f t="shared" si="244"/>
        <v>vermelho</v>
      </c>
    </row>
    <row r="5205" spans="1:16" ht="25.5">
      <c r="A5205" s="3" t="s">
        <v>4</v>
      </c>
      <c r="B5205" s="3" t="s">
        <v>4027</v>
      </c>
      <c r="C5205" s="4">
        <v>315</v>
      </c>
      <c r="D5205" s="3" t="s">
        <v>63</v>
      </c>
      <c r="E5205" s="3" t="s">
        <v>7</v>
      </c>
      <c r="F5205" s="5">
        <v>99</v>
      </c>
      <c r="G5205" s="5">
        <v>0</v>
      </c>
      <c r="H5205" s="6">
        <v>6053.01</v>
      </c>
      <c r="I5205" s="22">
        <v>0</v>
      </c>
      <c r="J5205" s="24">
        <f t="shared" si="243"/>
        <v>0</v>
      </c>
      <c r="K5205" s="25">
        <f t="shared" si="245"/>
        <v>1.0000000000000009</v>
      </c>
      <c r="L5205" s="27"/>
      <c r="M5205" s="28"/>
      <c r="N5205" s="28"/>
      <c r="O5205" s="20" t="s">
        <v>7530</v>
      </c>
      <c r="P5205" s="27" t="str">
        <f t="shared" si="244"/>
        <v>vermelho</v>
      </c>
    </row>
    <row r="5206" spans="1:16">
      <c r="A5206" s="3" t="s">
        <v>4</v>
      </c>
      <c r="B5206" s="3" t="s">
        <v>4028</v>
      </c>
      <c r="C5206" s="4">
        <v>15</v>
      </c>
      <c r="D5206" s="3" t="s">
        <v>18</v>
      </c>
      <c r="E5206" s="3" t="s">
        <v>16</v>
      </c>
      <c r="F5206" s="5">
        <v>306</v>
      </c>
      <c r="G5206" s="5">
        <v>0</v>
      </c>
      <c r="H5206" s="6">
        <v>17206.02</v>
      </c>
      <c r="I5206" s="22">
        <v>0</v>
      </c>
      <c r="J5206" s="24">
        <f t="shared" si="243"/>
        <v>0</v>
      </c>
      <c r="K5206" s="25">
        <f t="shared" si="245"/>
        <v>1.0000000000000009</v>
      </c>
      <c r="L5206" s="27"/>
      <c r="M5206" s="28"/>
      <c r="N5206" s="28"/>
      <c r="O5206" s="20" t="s">
        <v>7530</v>
      </c>
      <c r="P5206" s="27" t="str">
        <f t="shared" si="244"/>
        <v>vermelho</v>
      </c>
    </row>
    <row r="5207" spans="1:16" ht="25.5">
      <c r="A5207" s="3" t="s">
        <v>4</v>
      </c>
      <c r="B5207" s="3" t="s">
        <v>4029</v>
      </c>
      <c r="C5207" s="4">
        <v>299</v>
      </c>
      <c r="D5207" s="3" t="s">
        <v>111</v>
      </c>
      <c r="E5207" s="3" t="s">
        <v>49</v>
      </c>
      <c r="F5207" s="5">
        <v>120</v>
      </c>
      <c r="G5207" s="5">
        <v>0</v>
      </c>
      <c r="H5207" s="6">
        <v>8039.76</v>
      </c>
      <c r="I5207" s="22">
        <v>0</v>
      </c>
      <c r="J5207" s="24">
        <f t="shared" si="243"/>
        <v>0</v>
      </c>
      <c r="K5207" s="25">
        <f t="shared" si="245"/>
        <v>1.0000000000000009</v>
      </c>
      <c r="L5207" s="27"/>
      <c r="M5207" s="28"/>
      <c r="N5207" s="28"/>
      <c r="O5207" s="20" t="s">
        <v>7530</v>
      </c>
      <c r="P5207" s="27" t="str">
        <f t="shared" si="244"/>
        <v>vermelho</v>
      </c>
    </row>
    <row r="5208" spans="1:16" ht="25.5">
      <c r="A5208" s="3" t="s">
        <v>4</v>
      </c>
      <c r="B5208" s="3" t="s">
        <v>4030</v>
      </c>
      <c r="C5208" s="4">
        <v>15</v>
      </c>
      <c r="D5208" s="3" t="s">
        <v>18</v>
      </c>
      <c r="E5208" s="3" t="s">
        <v>16</v>
      </c>
      <c r="F5208" s="5">
        <v>48</v>
      </c>
      <c r="G5208" s="5">
        <v>0</v>
      </c>
      <c r="H5208" s="6">
        <v>3311.52</v>
      </c>
      <c r="I5208" s="22">
        <v>0</v>
      </c>
      <c r="J5208" s="24">
        <f t="shared" si="243"/>
        <v>0</v>
      </c>
      <c r="K5208" s="25">
        <f t="shared" si="245"/>
        <v>1.0000000000000009</v>
      </c>
      <c r="L5208" s="27"/>
      <c r="M5208" s="28"/>
      <c r="N5208" s="28">
        <v>-0.11450509555962347</v>
      </c>
      <c r="O5208" s="20">
        <v>40699.379999999997</v>
      </c>
      <c r="P5208" s="27" t="str">
        <f t="shared" si="244"/>
        <v>vermelho</v>
      </c>
    </row>
    <row r="5209" spans="1:16" ht="38.25">
      <c r="A5209" s="3" t="s">
        <v>4</v>
      </c>
      <c r="B5209" s="3" t="s">
        <v>4031</v>
      </c>
      <c r="C5209" s="4">
        <v>11</v>
      </c>
      <c r="D5209" s="3" t="s">
        <v>61</v>
      </c>
      <c r="E5209" s="3" t="s">
        <v>10</v>
      </c>
      <c r="F5209" s="5">
        <v>72</v>
      </c>
      <c r="G5209" s="5">
        <v>0</v>
      </c>
      <c r="H5209" s="6">
        <v>4148.04</v>
      </c>
      <c r="I5209" s="22">
        <v>0</v>
      </c>
      <c r="J5209" s="24">
        <f t="shared" si="243"/>
        <v>0</v>
      </c>
      <c r="K5209" s="25">
        <f t="shared" si="245"/>
        <v>1.0000000000000009</v>
      </c>
      <c r="L5209" s="27"/>
      <c r="M5209" s="28"/>
      <c r="N5209" s="28"/>
      <c r="O5209" s="20" t="s">
        <v>7530</v>
      </c>
      <c r="P5209" s="27" t="str">
        <f t="shared" si="244"/>
        <v>vermelho</v>
      </c>
    </row>
    <row r="5210" spans="1:16" ht="25.5">
      <c r="A5210" s="3" t="s">
        <v>4</v>
      </c>
      <c r="B5210" s="3" t="s">
        <v>4032</v>
      </c>
      <c r="C5210" s="4">
        <v>317</v>
      </c>
      <c r="D5210" s="3" t="s">
        <v>78</v>
      </c>
      <c r="E5210" s="3" t="s">
        <v>10</v>
      </c>
      <c r="F5210" s="5">
        <v>108</v>
      </c>
      <c r="G5210" s="5">
        <v>0</v>
      </c>
      <c r="H5210" s="6">
        <v>6671.28</v>
      </c>
      <c r="I5210" s="22">
        <v>0</v>
      </c>
      <c r="J5210" s="24">
        <f t="shared" si="243"/>
        <v>0</v>
      </c>
      <c r="K5210" s="25">
        <f t="shared" si="245"/>
        <v>1.0000000000000009</v>
      </c>
      <c r="L5210" s="27"/>
      <c r="M5210" s="28"/>
      <c r="N5210" s="28"/>
      <c r="O5210" s="20" t="s">
        <v>7530</v>
      </c>
      <c r="P5210" s="27" t="str">
        <f t="shared" si="244"/>
        <v>vermelho</v>
      </c>
    </row>
    <row r="5211" spans="1:16" ht="25.5">
      <c r="A5211" s="3" t="s">
        <v>4</v>
      </c>
      <c r="B5211" s="3" t="s">
        <v>4033</v>
      </c>
      <c r="C5211" s="4">
        <v>266</v>
      </c>
      <c r="D5211" s="3" t="s">
        <v>80</v>
      </c>
      <c r="E5211" s="3" t="s">
        <v>10</v>
      </c>
      <c r="F5211" s="5">
        <v>384</v>
      </c>
      <c r="G5211" s="5">
        <v>0</v>
      </c>
      <c r="H5211" s="6">
        <v>23975.52</v>
      </c>
      <c r="I5211" s="22">
        <v>0</v>
      </c>
      <c r="J5211" s="24">
        <f t="shared" si="243"/>
        <v>0</v>
      </c>
      <c r="K5211" s="25">
        <f t="shared" si="245"/>
        <v>1.0000000000000009</v>
      </c>
      <c r="L5211" s="27"/>
      <c r="M5211" s="28"/>
      <c r="N5211" s="28"/>
      <c r="O5211" s="20" t="s">
        <v>7530</v>
      </c>
      <c r="P5211" s="27" t="str">
        <f t="shared" si="244"/>
        <v>vermelho</v>
      </c>
    </row>
    <row r="5212" spans="1:16" ht="51">
      <c r="A5212" s="3" t="s">
        <v>4</v>
      </c>
      <c r="B5212" s="3" t="s">
        <v>4034</v>
      </c>
      <c r="C5212" s="4">
        <v>282</v>
      </c>
      <c r="D5212" s="3" t="s">
        <v>12</v>
      </c>
      <c r="E5212" s="3" t="s">
        <v>13</v>
      </c>
      <c r="F5212" s="5">
        <v>288</v>
      </c>
      <c r="G5212" s="5">
        <v>0</v>
      </c>
      <c r="H5212" s="6">
        <v>16325.664000000001</v>
      </c>
      <c r="I5212" s="22">
        <v>0</v>
      </c>
      <c r="J5212" s="24">
        <f t="shared" si="243"/>
        <v>0</v>
      </c>
      <c r="K5212" s="25">
        <f t="shared" si="245"/>
        <v>1.0000000000000009</v>
      </c>
      <c r="L5212" s="27"/>
      <c r="M5212" s="28"/>
      <c r="N5212" s="28"/>
      <c r="O5212" s="20" t="s">
        <v>7530</v>
      </c>
      <c r="P5212" s="27" t="str">
        <f t="shared" si="244"/>
        <v>vermelho</v>
      </c>
    </row>
    <row r="5213" spans="1:16">
      <c r="A5213" s="3" t="s">
        <v>4</v>
      </c>
      <c r="B5213" s="3" t="s">
        <v>4035</v>
      </c>
      <c r="C5213" s="4">
        <v>15</v>
      </c>
      <c r="D5213" s="3" t="s">
        <v>18</v>
      </c>
      <c r="E5213" s="3" t="s">
        <v>16</v>
      </c>
      <c r="F5213" s="5">
        <v>264</v>
      </c>
      <c r="G5213" s="5">
        <v>0</v>
      </c>
      <c r="H5213" s="6">
        <v>12642.15</v>
      </c>
      <c r="I5213" s="22">
        <v>0</v>
      </c>
      <c r="J5213" s="24">
        <f t="shared" si="243"/>
        <v>0</v>
      </c>
      <c r="K5213" s="25">
        <f t="shared" si="245"/>
        <v>1.0000000000000009</v>
      </c>
      <c r="L5213" s="27"/>
      <c r="M5213" s="28"/>
      <c r="N5213" s="28"/>
      <c r="O5213" s="20" t="s">
        <v>7530</v>
      </c>
      <c r="P5213" s="27" t="str">
        <f t="shared" si="244"/>
        <v>vermelho</v>
      </c>
    </row>
    <row r="5214" spans="1:16" ht="25.5">
      <c r="A5214" s="3" t="s">
        <v>4</v>
      </c>
      <c r="B5214" s="3" t="s">
        <v>4036</v>
      </c>
      <c r="C5214" s="4">
        <v>335</v>
      </c>
      <c r="D5214" s="3" t="s">
        <v>36</v>
      </c>
      <c r="E5214" s="3" t="s">
        <v>7</v>
      </c>
      <c r="F5214" s="5">
        <v>204</v>
      </c>
      <c r="G5214" s="5">
        <v>0</v>
      </c>
      <c r="H5214" s="6">
        <v>13688.4</v>
      </c>
      <c r="I5214" s="22">
        <v>0</v>
      </c>
      <c r="J5214" s="24">
        <f t="shared" si="243"/>
        <v>0</v>
      </c>
      <c r="K5214" s="25">
        <f t="shared" si="245"/>
        <v>1.0000000000000009</v>
      </c>
      <c r="L5214" s="27"/>
      <c r="M5214" s="28"/>
      <c r="N5214" s="28"/>
      <c r="O5214" s="20" t="s">
        <v>7530</v>
      </c>
      <c r="P5214" s="27" t="str">
        <f t="shared" si="244"/>
        <v>vermelho</v>
      </c>
    </row>
    <row r="5215" spans="1:16" ht="25.5">
      <c r="A5215" s="3" t="s">
        <v>4</v>
      </c>
      <c r="B5215" s="3" t="s">
        <v>4037</v>
      </c>
      <c r="C5215" s="4">
        <v>264</v>
      </c>
      <c r="D5215" s="3" t="s">
        <v>40</v>
      </c>
      <c r="E5215" s="3" t="s">
        <v>41</v>
      </c>
      <c r="F5215" s="5">
        <v>54</v>
      </c>
      <c r="G5215" s="5">
        <v>0</v>
      </c>
      <c r="H5215" s="6">
        <v>3698.46</v>
      </c>
      <c r="I5215" s="22">
        <v>0</v>
      </c>
      <c r="J5215" s="24">
        <f t="shared" si="243"/>
        <v>0</v>
      </c>
      <c r="K5215" s="25">
        <f t="shared" si="245"/>
        <v>1.0000000000000009</v>
      </c>
      <c r="L5215" s="27"/>
      <c r="M5215" s="28"/>
      <c r="N5215" s="28"/>
      <c r="O5215" s="20" t="s">
        <v>7530</v>
      </c>
      <c r="P5215" s="27" t="str">
        <f t="shared" si="244"/>
        <v>vermelho</v>
      </c>
    </row>
    <row r="5216" spans="1:16" ht="25.5">
      <c r="A5216" s="3" t="s">
        <v>4</v>
      </c>
      <c r="B5216" s="3" t="s">
        <v>4038</v>
      </c>
      <c r="C5216" s="4">
        <v>19</v>
      </c>
      <c r="D5216" s="3" t="s">
        <v>72</v>
      </c>
      <c r="E5216" s="3" t="s">
        <v>41</v>
      </c>
      <c r="F5216" s="5">
        <v>120</v>
      </c>
      <c r="G5216" s="5">
        <v>0</v>
      </c>
      <c r="H5216" s="6">
        <v>7167.96</v>
      </c>
      <c r="I5216" s="22">
        <v>0</v>
      </c>
      <c r="J5216" s="24">
        <f t="shared" si="243"/>
        <v>0</v>
      </c>
      <c r="K5216" s="25">
        <f t="shared" si="245"/>
        <v>1.0000000000000009</v>
      </c>
      <c r="L5216" s="27"/>
      <c r="M5216" s="28"/>
      <c r="N5216" s="28"/>
      <c r="O5216" s="20" t="s">
        <v>7530</v>
      </c>
      <c r="P5216" s="27" t="str">
        <f t="shared" si="244"/>
        <v>vermelho</v>
      </c>
    </row>
    <row r="5217" spans="1:16" ht="25.5">
      <c r="A5217" s="3" t="s">
        <v>4</v>
      </c>
      <c r="B5217" s="3" t="s">
        <v>4039</v>
      </c>
      <c r="C5217" s="4">
        <v>261</v>
      </c>
      <c r="D5217" s="3" t="s">
        <v>9</v>
      </c>
      <c r="E5217" s="3" t="s">
        <v>10</v>
      </c>
      <c r="F5217" s="5">
        <v>945</v>
      </c>
      <c r="G5217" s="5">
        <v>0</v>
      </c>
      <c r="H5217" s="6">
        <v>54748.44</v>
      </c>
      <c r="I5217" s="22">
        <v>0</v>
      </c>
      <c r="J5217" s="24">
        <f t="shared" si="243"/>
        <v>0</v>
      </c>
      <c r="K5217" s="25">
        <f t="shared" si="245"/>
        <v>1.0000000000000009</v>
      </c>
      <c r="L5217" s="27"/>
      <c r="M5217" s="28"/>
      <c r="N5217" s="28"/>
      <c r="O5217" s="20" t="s">
        <v>7530</v>
      </c>
      <c r="P5217" s="27" t="str">
        <f t="shared" si="244"/>
        <v>vermelho</v>
      </c>
    </row>
    <row r="5218" spans="1:16" ht="25.5">
      <c r="A5218" s="3" t="s">
        <v>4</v>
      </c>
      <c r="B5218" s="3" t="s">
        <v>4040</v>
      </c>
      <c r="C5218" s="4">
        <v>320</v>
      </c>
      <c r="D5218" s="3" t="s">
        <v>218</v>
      </c>
      <c r="E5218" s="3" t="s">
        <v>49</v>
      </c>
      <c r="F5218" s="5">
        <v>336</v>
      </c>
      <c r="G5218" s="5">
        <v>0</v>
      </c>
      <c r="H5218" s="6">
        <v>20269.68</v>
      </c>
      <c r="I5218" s="22">
        <v>0</v>
      </c>
      <c r="J5218" s="24">
        <f t="shared" si="243"/>
        <v>0</v>
      </c>
      <c r="K5218" s="25">
        <f t="shared" si="245"/>
        <v>1.0000000000000009</v>
      </c>
      <c r="L5218" s="27"/>
      <c r="M5218" s="28"/>
      <c r="N5218" s="28"/>
      <c r="O5218" s="20" t="s">
        <v>7530</v>
      </c>
      <c r="P5218" s="27" t="str">
        <f t="shared" si="244"/>
        <v>vermelho</v>
      </c>
    </row>
    <row r="5219" spans="1:16" ht="25.5">
      <c r="A5219" s="3" t="s">
        <v>4</v>
      </c>
      <c r="B5219" s="3" t="s">
        <v>4041</v>
      </c>
      <c r="C5219" s="4">
        <v>296</v>
      </c>
      <c r="D5219" s="3" t="s">
        <v>282</v>
      </c>
      <c r="E5219" s="3" t="s">
        <v>10</v>
      </c>
      <c r="F5219" s="5">
        <v>0</v>
      </c>
      <c r="G5219" s="5">
        <v>0</v>
      </c>
      <c r="H5219" s="6">
        <v>0</v>
      </c>
      <c r="I5219" s="22">
        <v>0</v>
      </c>
      <c r="J5219" s="24">
        <f t="shared" si="243"/>
        <v>0</v>
      </c>
      <c r="K5219" s="25">
        <f t="shared" si="245"/>
        <v>1.0000000000000009</v>
      </c>
      <c r="L5219" s="27"/>
      <c r="M5219" s="28"/>
      <c r="N5219" s="28"/>
      <c r="O5219" s="20" t="s">
        <v>7530</v>
      </c>
      <c r="P5219" s="27" t="str">
        <f t="shared" si="244"/>
        <v>vermelho</v>
      </c>
    </row>
    <row r="5220" spans="1:16" ht="25.5">
      <c r="A5220" s="3" t="s">
        <v>4</v>
      </c>
      <c r="B5220" s="3" t="s">
        <v>4042</v>
      </c>
      <c r="C5220" s="4">
        <v>31</v>
      </c>
      <c r="D5220" s="3" t="s">
        <v>194</v>
      </c>
      <c r="E5220" s="3" t="s">
        <v>16</v>
      </c>
      <c r="F5220" s="5">
        <v>120</v>
      </c>
      <c r="G5220" s="5">
        <v>0</v>
      </c>
      <c r="H5220" s="6">
        <v>6369.48</v>
      </c>
      <c r="I5220" s="22">
        <v>0</v>
      </c>
      <c r="J5220" s="24">
        <f t="shared" si="243"/>
        <v>0</v>
      </c>
      <c r="K5220" s="25">
        <f t="shared" si="245"/>
        <v>1.0000000000000009</v>
      </c>
      <c r="L5220" s="27"/>
      <c r="M5220" s="28"/>
      <c r="N5220" s="28"/>
      <c r="O5220" s="20" t="s">
        <v>7530</v>
      </c>
      <c r="P5220" s="27" t="str">
        <f t="shared" si="244"/>
        <v>vermelho</v>
      </c>
    </row>
    <row r="5221" spans="1:16" ht="38.25">
      <c r="A5221" s="3" t="s">
        <v>4</v>
      </c>
      <c r="B5221" s="3" t="s">
        <v>4043</v>
      </c>
      <c r="C5221" s="4">
        <v>301</v>
      </c>
      <c r="D5221" s="3" t="s">
        <v>519</v>
      </c>
      <c r="E5221" s="3" t="s">
        <v>16</v>
      </c>
      <c r="F5221" s="5">
        <v>108</v>
      </c>
      <c r="G5221" s="5">
        <v>0</v>
      </c>
      <c r="H5221" s="6">
        <v>6891.84</v>
      </c>
      <c r="I5221" s="22">
        <v>0</v>
      </c>
      <c r="J5221" s="24">
        <f t="shared" si="243"/>
        <v>0</v>
      </c>
      <c r="K5221" s="25">
        <f t="shared" si="245"/>
        <v>1.0000000000000009</v>
      </c>
      <c r="L5221" s="27"/>
      <c r="M5221" s="28"/>
      <c r="N5221" s="28"/>
      <c r="O5221" s="20" t="s">
        <v>7530</v>
      </c>
      <c r="P5221" s="27" t="str">
        <f t="shared" si="244"/>
        <v>vermelho</v>
      </c>
    </row>
    <row r="5222" spans="1:16" ht="25.5">
      <c r="A5222" s="3" t="s">
        <v>4</v>
      </c>
      <c r="B5222" s="3" t="s">
        <v>4044</v>
      </c>
      <c r="C5222" s="4">
        <v>31</v>
      </c>
      <c r="D5222" s="3" t="s">
        <v>194</v>
      </c>
      <c r="E5222" s="3" t="s">
        <v>16</v>
      </c>
      <c r="F5222" s="5">
        <v>282</v>
      </c>
      <c r="G5222" s="5">
        <v>0</v>
      </c>
      <c r="H5222" s="6">
        <v>15887.76</v>
      </c>
      <c r="I5222" s="22">
        <v>0</v>
      </c>
      <c r="J5222" s="24">
        <f t="shared" si="243"/>
        <v>0</v>
      </c>
      <c r="K5222" s="25">
        <f t="shared" si="245"/>
        <v>1.0000000000000009</v>
      </c>
      <c r="L5222" s="27"/>
      <c r="M5222" s="28"/>
      <c r="N5222" s="28"/>
      <c r="O5222" s="20" t="s">
        <v>7530</v>
      </c>
      <c r="P5222" s="27" t="str">
        <f t="shared" si="244"/>
        <v>vermelho</v>
      </c>
    </row>
    <row r="5223" spans="1:16">
      <c r="A5223" s="3" t="s">
        <v>4</v>
      </c>
      <c r="B5223" s="3" t="s">
        <v>4045</v>
      </c>
      <c r="C5223" s="4">
        <v>232</v>
      </c>
      <c r="D5223" s="3" t="s">
        <v>174</v>
      </c>
      <c r="E5223" s="3" t="s">
        <v>16</v>
      </c>
      <c r="F5223" s="5">
        <v>72</v>
      </c>
      <c r="G5223" s="5">
        <v>0</v>
      </c>
      <c r="H5223" s="6">
        <v>3803.28</v>
      </c>
      <c r="I5223" s="22">
        <v>0</v>
      </c>
      <c r="J5223" s="24">
        <f t="shared" si="243"/>
        <v>0</v>
      </c>
      <c r="K5223" s="25">
        <f t="shared" si="245"/>
        <v>1.0000000000000009</v>
      </c>
      <c r="L5223" s="27"/>
      <c r="M5223" s="28"/>
      <c r="N5223" s="28"/>
      <c r="O5223" s="20" t="s">
        <v>7530</v>
      </c>
      <c r="P5223" s="27" t="str">
        <f t="shared" si="244"/>
        <v>vermelho</v>
      </c>
    </row>
    <row r="5224" spans="1:16" ht="25.5">
      <c r="A5224" s="3" t="s">
        <v>4</v>
      </c>
      <c r="B5224" s="3" t="s">
        <v>4046</v>
      </c>
      <c r="C5224" s="4">
        <v>208</v>
      </c>
      <c r="D5224" s="3" t="s">
        <v>15</v>
      </c>
      <c r="E5224" s="3" t="s">
        <v>16</v>
      </c>
      <c r="F5224" s="5">
        <v>54</v>
      </c>
      <c r="G5224" s="5">
        <v>0</v>
      </c>
      <c r="H5224" s="6">
        <v>3185.46</v>
      </c>
      <c r="I5224" s="22">
        <v>0</v>
      </c>
      <c r="J5224" s="24">
        <f t="shared" si="243"/>
        <v>0</v>
      </c>
      <c r="K5224" s="25">
        <f t="shared" si="245"/>
        <v>1.0000000000000009</v>
      </c>
      <c r="L5224" s="27"/>
      <c r="M5224" s="28"/>
      <c r="N5224" s="28"/>
      <c r="O5224" s="20" t="s">
        <v>7530</v>
      </c>
      <c r="P5224" s="27" t="str">
        <f t="shared" si="244"/>
        <v>vermelho</v>
      </c>
    </row>
    <row r="5225" spans="1:16" ht="51">
      <c r="A5225" s="3" t="s">
        <v>4</v>
      </c>
      <c r="B5225" s="3" t="s">
        <v>4047</v>
      </c>
      <c r="C5225" s="4">
        <v>282</v>
      </c>
      <c r="D5225" s="3" t="s">
        <v>12</v>
      </c>
      <c r="E5225" s="3" t="s">
        <v>13</v>
      </c>
      <c r="F5225" s="5">
        <v>105</v>
      </c>
      <c r="G5225" s="5">
        <v>0</v>
      </c>
      <c r="H5225" s="6">
        <v>6531.78</v>
      </c>
      <c r="I5225" s="22">
        <v>0</v>
      </c>
      <c r="J5225" s="24">
        <f t="shared" si="243"/>
        <v>0</v>
      </c>
      <c r="K5225" s="25">
        <f t="shared" si="245"/>
        <v>1.0000000000000009</v>
      </c>
      <c r="L5225" s="27"/>
      <c r="M5225" s="28"/>
      <c r="N5225" s="28"/>
      <c r="O5225" s="20" t="s">
        <v>7530</v>
      </c>
      <c r="P5225" s="27" t="str">
        <f t="shared" si="244"/>
        <v>vermelho</v>
      </c>
    </row>
    <row r="5226" spans="1:16" ht="25.5">
      <c r="A5226" s="3" t="s">
        <v>4</v>
      </c>
      <c r="B5226" s="3" t="s">
        <v>4048</v>
      </c>
      <c r="C5226" s="4">
        <v>208</v>
      </c>
      <c r="D5226" s="3" t="s">
        <v>15</v>
      </c>
      <c r="E5226" s="3" t="s">
        <v>16</v>
      </c>
      <c r="F5226" s="5">
        <v>336</v>
      </c>
      <c r="G5226" s="5">
        <v>0</v>
      </c>
      <c r="H5226" s="6">
        <v>18112.8</v>
      </c>
      <c r="I5226" s="22">
        <v>0</v>
      </c>
      <c r="J5226" s="24">
        <f t="shared" si="243"/>
        <v>0</v>
      </c>
      <c r="K5226" s="25">
        <f t="shared" si="245"/>
        <v>1.0000000000000009</v>
      </c>
      <c r="L5226" s="27"/>
      <c r="M5226" s="28"/>
      <c r="N5226" s="28"/>
      <c r="O5226" s="20" t="s">
        <v>7530</v>
      </c>
      <c r="P5226" s="27" t="str">
        <f t="shared" si="244"/>
        <v>vermelho</v>
      </c>
    </row>
    <row r="5227" spans="1:16" ht="25.5">
      <c r="A5227" s="3" t="s">
        <v>4</v>
      </c>
      <c r="B5227" s="3" t="s">
        <v>4049</v>
      </c>
      <c r="C5227" s="4">
        <v>74</v>
      </c>
      <c r="D5227" s="3" t="s">
        <v>6</v>
      </c>
      <c r="E5227" s="3" t="s">
        <v>7</v>
      </c>
      <c r="F5227" s="5">
        <v>282</v>
      </c>
      <c r="G5227" s="5">
        <v>0</v>
      </c>
      <c r="H5227" s="6">
        <v>18452.099999999999</v>
      </c>
      <c r="I5227" s="22">
        <v>0</v>
      </c>
      <c r="J5227" s="24">
        <f t="shared" si="243"/>
        <v>0</v>
      </c>
      <c r="K5227" s="25">
        <f t="shared" si="245"/>
        <v>1.0000000000000009</v>
      </c>
      <c r="L5227" s="27"/>
      <c r="M5227" s="28"/>
      <c r="N5227" s="28"/>
      <c r="O5227" s="20" t="s">
        <v>7530</v>
      </c>
      <c r="P5227" s="27" t="str">
        <f t="shared" si="244"/>
        <v>vermelho</v>
      </c>
    </row>
    <row r="5228" spans="1:16" ht="25.5">
      <c r="A5228" s="3" t="s">
        <v>4</v>
      </c>
      <c r="B5228" s="3" t="s">
        <v>4050</v>
      </c>
      <c r="C5228" s="4">
        <v>187</v>
      </c>
      <c r="D5228" s="3" t="s">
        <v>96</v>
      </c>
      <c r="E5228" s="3" t="s">
        <v>7</v>
      </c>
      <c r="F5228" s="5">
        <v>261</v>
      </c>
      <c r="G5228" s="5">
        <v>0</v>
      </c>
      <c r="H5228" s="6">
        <v>15401.4</v>
      </c>
      <c r="I5228" s="22">
        <v>0</v>
      </c>
      <c r="J5228" s="24">
        <f t="shared" si="243"/>
        <v>0</v>
      </c>
      <c r="K5228" s="25">
        <f t="shared" si="245"/>
        <v>1.0000000000000009</v>
      </c>
      <c r="L5228" s="27"/>
      <c r="M5228" s="28"/>
      <c r="N5228" s="28"/>
      <c r="O5228" s="20" t="s">
        <v>7530</v>
      </c>
      <c r="P5228" s="27" t="str">
        <f t="shared" si="244"/>
        <v>vermelho</v>
      </c>
    </row>
    <row r="5229" spans="1:16" ht="25.5">
      <c r="A5229" s="3" t="s">
        <v>4</v>
      </c>
      <c r="B5229" s="3" t="s">
        <v>4051</v>
      </c>
      <c r="C5229" s="4">
        <v>194</v>
      </c>
      <c r="D5229" s="3" t="s">
        <v>145</v>
      </c>
      <c r="E5229" s="3" t="s">
        <v>16</v>
      </c>
      <c r="F5229" s="5">
        <v>246</v>
      </c>
      <c r="G5229" s="5">
        <v>0</v>
      </c>
      <c r="H5229" s="6">
        <v>13302.42</v>
      </c>
      <c r="I5229" s="22">
        <v>0</v>
      </c>
      <c r="J5229" s="24">
        <f t="shared" si="243"/>
        <v>0</v>
      </c>
      <c r="K5229" s="25">
        <f t="shared" si="245"/>
        <v>1.0000000000000009</v>
      </c>
      <c r="L5229" s="27"/>
      <c r="M5229" s="28"/>
      <c r="N5229" s="28"/>
      <c r="O5229" s="20" t="s">
        <v>7530</v>
      </c>
      <c r="P5229" s="27" t="str">
        <f t="shared" si="244"/>
        <v>vermelho</v>
      </c>
    </row>
    <row r="5230" spans="1:16" ht="38.25">
      <c r="A5230" s="3" t="s">
        <v>4</v>
      </c>
      <c r="B5230" s="3" t="s">
        <v>4052</v>
      </c>
      <c r="C5230" s="4">
        <v>371</v>
      </c>
      <c r="D5230" s="3" t="s">
        <v>82</v>
      </c>
      <c r="E5230" s="3" t="s">
        <v>49</v>
      </c>
      <c r="F5230" s="5">
        <v>69</v>
      </c>
      <c r="G5230" s="5">
        <v>0</v>
      </c>
      <c r="H5230" s="6">
        <v>3276.15</v>
      </c>
      <c r="I5230" s="22">
        <v>0</v>
      </c>
      <c r="J5230" s="24">
        <f t="shared" si="243"/>
        <v>0</v>
      </c>
      <c r="K5230" s="25">
        <f t="shared" si="245"/>
        <v>1.0000000000000009</v>
      </c>
      <c r="L5230" s="27"/>
      <c r="M5230" s="28"/>
      <c r="N5230" s="28"/>
      <c r="O5230" s="20" t="s">
        <v>7530</v>
      </c>
      <c r="P5230" s="27" t="str">
        <f t="shared" si="244"/>
        <v>vermelho</v>
      </c>
    </row>
    <row r="5231" spans="1:16" ht="25.5">
      <c r="A5231" s="3" t="s">
        <v>4</v>
      </c>
      <c r="B5231" s="3" t="s">
        <v>4053</v>
      </c>
      <c r="C5231" s="4">
        <v>194</v>
      </c>
      <c r="D5231" s="3" t="s">
        <v>145</v>
      </c>
      <c r="E5231" s="3" t="s">
        <v>16</v>
      </c>
      <c r="F5231" s="5">
        <v>255</v>
      </c>
      <c r="G5231" s="5">
        <v>0</v>
      </c>
      <c r="H5231" s="6">
        <v>12634.95</v>
      </c>
      <c r="I5231" s="22">
        <v>0</v>
      </c>
      <c r="J5231" s="24">
        <f t="shared" si="243"/>
        <v>0</v>
      </c>
      <c r="K5231" s="25">
        <f t="shared" si="245"/>
        <v>1.0000000000000009</v>
      </c>
      <c r="L5231" s="27"/>
      <c r="M5231" s="28"/>
      <c r="N5231" s="28"/>
      <c r="O5231" s="20" t="s">
        <v>7530</v>
      </c>
      <c r="P5231" s="27" t="str">
        <f t="shared" si="244"/>
        <v>vermelho</v>
      </c>
    </row>
    <row r="5232" spans="1:16" ht="25.5">
      <c r="A5232" s="3" t="s">
        <v>4</v>
      </c>
      <c r="B5232" s="3" t="s">
        <v>4054</v>
      </c>
      <c r="C5232" s="4">
        <v>267</v>
      </c>
      <c r="D5232" s="3" t="s">
        <v>125</v>
      </c>
      <c r="E5232" s="3" t="s">
        <v>16</v>
      </c>
      <c r="F5232" s="5">
        <v>120</v>
      </c>
      <c r="G5232" s="5">
        <v>0</v>
      </c>
      <c r="H5232" s="6">
        <v>7771.68</v>
      </c>
      <c r="I5232" s="22">
        <v>0</v>
      </c>
      <c r="J5232" s="24">
        <f t="shared" si="243"/>
        <v>0</v>
      </c>
      <c r="K5232" s="25">
        <f t="shared" si="245"/>
        <v>1.0000000000000009</v>
      </c>
      <c r="L5232" s="27"/>
      <c r="M5232" s="28"/>
      <c r="N5232" s="28"/>
      <c r="O5232" s="20" t="s">
        <v>7530</v>
      </c>
      <c r="P5232" s="27" t="str">
        <f t="shared" si="244"/>
        <v>vermelho</v>
      </c>
    </row>
    <row r="5233" spans="1:16" ht="25.5">
      <c r="A5233" s="3" t="s">
        <v>4</v>
      </c>
      <c r="B5233" s="3" t="s">
        <v>4055</v>
      </c>
      <c r="C5233" s="4">
        <v>240</v>
      </c>
      <c r="D5233" s="3" t="s">
        <v>69</v>
      </c>
      <c r="E5233" s="3" t="s">
        <v>16</v>
      </c>
      <c r="F5233" s="5">
        <v>414</v>
      </c>
      <c r="G5233" s="5">
        <v>0</v>
      </c>
      <c r="H5233" s="6">
        <v>23712.69</v>
      </c>
      <c r="I5233" s="22">
        <v>0</v>
      </c>
      <c r="J5233" s="24">
        <f t="shared" si="243"/>
        <v>0</v>
      </c>
      <c r="K5233" s="25">
        <f t="shared" si="245"/>
        <v>1.0000000000000009</v>
      </c>
      <c r="L5233" s="27"/>
      <c r="M5233" s="28"/>
      <c r="N5233" s="28"/>
      <c r="O5233" s="20" t="s">
        <v>7530</v>
      </c>
      <c r="P5233" s="27" t="str">
        <f t="shared" si="244"/>
        <v>vermelho</v>
      </c>
    </row>
    <row r="5234" spans="1:16" ht="25.5">
      <c r="A5234" s="3" t="s">
        <v>4</v>
      </c>
      <c r="B5234" s="3" t="s">
        <v>4056</v>
      </c>
      <c r="C5234" s="4">
        <v>321</v>
      </c>
      <c r="D5234" s="3" t="s">
        <v>136</v>
      </c>
      <c r="E5234" s="3" t="s">
        <v>41</v>
      </c>
      <c r="F5234" s="5">
        <v>69</v>
      </c>
      <c r="G5234" s="5">
        <v>0</v>
      </c>
      <c r="H5234" s="6">
        <v>3564.66</v>
      </c>
      <c r="I5234" s="22">
        <v>0</v>
      </c>
      <c r="J5234" s="24">
        <f t="shared" si="243"/>
        <v>0</v>
      </c>
      <c r="K5234" s="25">
        <f t="shared" si="245"/>
        <v>1.0000000000000009</v>
      </c>
      <c r="L5234" s="27"/>
      <c r="M5234" s="28"/>
      <c r="N5234" s="28"/>
      <c r="O5234" s="20" t="s">
        <v>7530</v>
      </c>
      <c r="P5234" s="27" t="str">
        <f t="shared" si="244"/>
        <v>vermelho</v>
      </c>
    </row>
    <row r="5235" spans="1:16" ht="25.5">
      <c r="A5235" s="3" t="s">
        <v>4</v>
      </c>
      <c r="B5235" s="3" t="s">
        <v>4057</v>
      </c>
      <c r="C5235" s="4">
        <v>194</v>
      </c>
      <c r="D5235" s="3" t="s">
        <v>145</v>
      </c>
      <c r="E5235" s="3" t="s">
        <v>16</v>
      </c>
      <c r="F5235" s="5">
        <v>282</v>
      </c>
      <c r="G5235" s="5">
        <v>0</v>
      </c>
      <c r="H5235" s="6">
        <v>16744.98</v>
      </c>
      <c r="I5235" s="22">
        <v>0</v>
      </c>
      <c r="J5235" s="24">
        <f t="shared" si="243"/>
        <v>0</v>
      </c>
      <c r="K5235" s="25">
        <f t="shared" si="245"/>
        <v>1.0000000000000009</v>
      </c>
      <c r="L5235" s="27"/>
      <c r="M5235" s="28"/>
      <c r="N5235" s="28"/>
      <c r="O5235" s="20" t="s">
        <v>7530</v>
      </c>
      <c r="P5235" s="27" t="str">
        <f t="shared" si="244"/>
        <v>vermelho</v>
      </c>
    </row>
    <row r="5236" spans="1:16" ht="38.25">
      <c r="A5236" s="3" t="s">
        <v>4</v>
      </c>
      <c r="B5236" s="3" t="s">
        <v>4058</v>
      </c>
      <c r="C5236" s="4">
        <v>301</v>
      </c>
      <c r="D5236" s="3" t="s">
        <v>519</v>
      </c>
      <c r="E5236" s="3" t="s">
        <v>16</v>
      </c>
      <c r="F5236" s="5">
        <v>105</v>
      </c>
      <c r="G5236" s="5">
        <v>0</v>
      </c>
      <c r="H5236" s="6">
        <v>6617.16</v>
      </c>
      <c r="I5236" s="22">
        <v>0</v>
      </c>
      <c r="J5236" s="24">
        <f t="shared" si="243"/>
        <v>0</v>
      </c>
      <c r="K5236" s="25">
        <f t="shared" si="245"/>
        <v>1.0000000000000009</v>
      </c>
      <c r="L5236" s="27"/>
      <c r="M5236" s="28"/>
      <c r="N5236" s="28"/>
      <c r="O5236" s="20" t="s">
        <v>7530</v>
      </c>
      <c r="P5236" s="27" t="str">
        <f t="shared" si="244"/>
        <v>vermelho</v>
      </c>
    </row>
    <row r="5237" spans="1:16" ht="25.5">
      <c r="A5237" s="3" t="s">
        <v>4</v>
      </c>
      <c r="B5237" s="3" t="s">
        <v>4059</v>
      </c>
      <c r="C5237" s="4">
        <v>328</v>
      </c>
      <c r="D5237" s="3" t="s">
        <v>215</v>
      </c>
      <c r="E5237" s="3" t="s">
        <v>41</v>
      </c>
      <c r="F5237" s="5">
        <v>204</v>
      </c>
      <c r="G5237" s="5">
        <v>0</v>
      </c>
      <c r="H5237" s="6">
        <v>10274.147999999999</v>
      </c>
      <c r="I5237" s="22">
        <v>0</v>
      </c>
      <c r="J5237" s="24">
        <f t="shared" si="243"/>
        <v>0</v>
      </c>
      <c r="K5237" s="25">
        <f t="shared" si="245"/>
        <v>1.0000000000000009</v>
      </c>
      <c r="L5237" s="27"/>
      <c r="M5237" s="28"/>
      <c r="N5237" s="28"/>
      <c r="O5237" s="20" t="s">
        <v>7530</v>
      </c>
      <c r="P5237" s="27" t="str">
        <f t="shared" si="244"/>
        <v>vermelho</v>
      </c>
    </row>
    <row r="5238" spans="1:16" ht="38.25">
      <c r="A5238" s="3" t="s">
        <v>4</v>
      </c>
      <c r="B5238" s="3" t="s">
        <v>4060</v>
      </c>
      <c r="C5238" s="4">
        <v>34</v>
      </c>
      <c r="D5238" s="3" t="s">
        <v>54</v>
      </c>
      <c r="E5238" s="3" t="s">
        <v>49</v>
      </c>
      <c r="F5238" s="5">
        <v>48</v>
      </c>
      <c r="G5238" s="5">
        <v>0</v>
      </c>
      <c r="H5238" s="6">
        <v>2423.52</v>
      </c>
      <c r="I5238" s="22">
        <v>0</v>
      </c>
      <c r="J5238" s="24">
        <f t="shared" si="243"/>
        <v>0</v>
      </c>
      <c r="K5238" s="25">
        <f t="shared" si="245"/>
        <v>1.0000000000000009</v>
      </c>
      <c r="L5238" s="27"/>
      <c r="M5238" s="28"/>
      <c r="N5238" s="28"/>
      <c r="O5238" s="20" t="s">
        <v>7530</v>
      </c>
      <c r="P5238" s="27" t="str">
        <f t="shared" si="244"/>
        <v>vermelho</v>
      </c>
    </row>
    <row r="5239" spans="1:16" ht="51">
      <c r="A5239" s="3" t="s">
        <v>4</v>
      </c>
      <c r="B5239" s="3" t="s">
        <v>4061</v>
      </c>
      <c r="C5239" s="4">
        <v>282</v>
      </c>
      <c r="D5239" s="3" t="s">
        <v>12</v>
      </c>
      <c r="E5239" s="3" t="s">
        <v>13</v>
      </c>
      <c r="F5239" s="5">
        <v>36</v>
      </c>
      <c r="G5239" s="5">
        <v>0</v>
      </c>
      <c r="H5239" s="6">
        <v>2003.64</v>
      </c>
      <c r="I5239" s="22">
        <v>0</v>
      </c>
      <c r="J5239" s="24">
        <f t="shared" si="243"/>
        <v>0</v>
      </c>
      <c r="K5239" s="25">
        <f t="shared" si="245"/>
        <v>1.0000000000000009</v>
      </c>
      <c r="L5239" s="27"/>
      <c r="M5239" s="28"/>
      <c r="N5239" s="28"/>
      <c r="O5239" s="20" t="s">
        <v>7530</v>
      </c>
      <c r="P5239" s="27" t="str">
        <f t="shared" si="244"/>
        <v>vermelho</v>
      </c>
    </row>
    <row r="5240" spans="1:16" ht="25.5">
      <c r="A5240" s="3" t="s">
        <v>4</v>
      </c>
      <c r="B5240" s="3" t="s">
        <v>4062</v>
      </c>
      <c r="C5240" s="4">
        <v>232</v>
      </c>
      <c r="D5240" s="3" t="s">
        <v>174</v>
      </c>
      <c r="E5240" s="3" t="s">
        <v>16</v>
      </c>
      <c r="F5240" s="5">
        <v>300</v>
      </c>
      <c r="G5240" s="5">
        <v>0</v>
      </c>
      <c r="H5240" s="6">
        <v>14505.48</v>
      </c>
      <c r="I5240" s="22">
        <v>0</v>
      </c>
      <c r="J5240" s="24">
        <f t="shared" si="243"/>
        <v>0</v>
      </c>
      <c r="K5240" s="25">
        <f t="shared" si="245"/>
        <v>1.0000000000000009</v>
      </c>
      <c r="L5240" s="27"/>
      <c r="M5240" s="28"/>
      <c r="N5240" s="28"/>
      <c r="O5240" s="20" t="s">
        <v>7530</v>
      </c>
      <c r="P5240" s="27" t="str">
        <f t="shared" si="244"/>
        <v>vermelho</v>
      </c>
    </row>
    <row r="5241" spans="1:16" ht="25.5">
      <c r="A5241" s="3" t="s">
        <v>4</v>
      </c>
      <c r="B5241" s="3" t="s">
        <v>4063</v>
      </c>
      <c r="C5241" s="4">
        <v>31</v>
      </c>
      <c r="D5241" s="3" t="s">
        <v>194</v>
      </c>
      <c r="E5241" s="3" t="s">
        <v>16</v>
      </c>
      <c r="F5241" s="5">
        <v>132</v>
      </c>
      <c r="G5241" s="5">
        <v>0</v>
      </c>
      <c r="H5241" s="6">
        <v>7343.28</v>
      </c>
      <c r="I5241" s="22">
        <v>0</v>
      </c>
      <c r="J5241" s="24">
        <f t="shared" si="243"/>
        <v>0</v>
      </c>
      <c r="K5241" s="25">
        <f t="shared" si="245"/>
        <v>1.0000000000000009</v>
      </c>
      <c r="L5241" s="27"/>
      <c r="M5241" s="28"/>
      <c r="N5241" s="28"/>
      <c r="O5241" s="20" t="s">
        <v>7530</v>
      </c>
      <c r="P5241" s="27" t="str">
        <f t="shared" si="244"/>
        <v>vermelho</v>
      </c>
    </row>
    <row r="5242" spans="1:16" ht="25.5">
      <c r="A5242" s="3" t="s">
        <v>4</v>
      </c>
      <c r="B5242" s="3" t="s">
        <v>4064</v>
      </c>
      <c r="C5242" s="4">
        <v>334</v>
      </c>
      <c r="D5242" s="3" t="s">
        <v>531</v>
      </c>
      <c r="E5242" s="3" t="s">
        <v>7</v>
      </c>
      <c r="F5242" s="5">
        <v>84</v>
      </c>
      <c r="G5242" s="5">
        <v>0</v>
      </c>
      <c r="H5242" s="6">
        <v>5727.06</v>
      </c>
      <c r="I5242" s="22">
        <v>0</v>
      </c>
      <c r="J5242" s="24">
        <f t="shared" si="243"/>
        <v>0</v>
      </c>
      <c r="K5242" s="25">
        <f t="shared" si="245"/>
        <v>1.0000000000000009</v>
      </c>
      <c r="L5242" s="27"/>
      <c r="M5242" s="28"/>
      <c r="N5242" s="28"/>
      <c r="O5242" s="20" t="s">
        <v>7530</v>
      </c>
      <c r="P5242" s="27" t="str">
        <f t="shared" si="244"/>
        <v>vermelho</v>
      </c>
    </row>
    <row r="5243" spans="1:16" ht="38.25">
      <c r="A5243" s="3" t="s">
        <v>4</v>
      </c>
      <c r="B5243" s="3" t="s">
        <v>4065</v>
      </c>
      <c r="C5243" s="4">
        <v>301</v>
      </c>
      <c r="D5243" s="3" t="s">
        <v>519</v>
      </c>
      <c r="E5243" s="3" t="s">
        <v>16</v>
      </c>
      <c r="F5243" s="5">
        <v>156</v>
      </c>
      <c r="G5243" s="5">
        <v>0</v>
      </c>
      <c r="H5243" s="6">
        <v>8314.44</v>
      </c>
      <c r="I5243" s="22">
        <v>0</v>
      </c>
      <c r="J5243" s="24">
        <f t="shared" si="243"/>
        <v>0</v>
      </c>
      <c r="K5243" s="25">
        <f t="shared" si="245"/>
        <v>1.0000000000000009</v>
      </c>
      <c r="L5243" s="27"/>
      <c r="M5243" s="28"/>
      <c r="N5243" s="28"/>
      <c r="O5243" s="20" t="s">
        <v>7530</v>
      </c>
      <c r="P5243" s="27" t="str">
        <f t="shared" si="244"/>
        <v>vermelho</v>
      </c>
    </row>
    <row r="5244" spans="1:16" ht="25.5">
      <c r="A5244" s="3" t="s">
        <v>4</v>
      </c>
      <c r="B5244" s="3" t="s">
        <v>4066</v>
      </c>
      <c r="C5244" s="4">
        <v>317</v>
      </c>
      <c r="D5244" s="3" t="s">
        <v>78</v>
      </c>
      <c r="E5244" s="3" t="s">
        <v>10</v>
      </c>
      <c r="F5244" s="5">
        <v>72</v>
      </c>
      <c r="G5244" s="5">
        <v>0</v>
      </c>
      <c r="H5244" s="6">
        <v>4202.04</v>
      </c>
      <c r="I5244" s="22">
        <v>0</v>
      </c>
      <c r="J5244" s="24">
        <f t="shared" si="243"/>
        <v>0</v>
      </c>
      <c r="K5244" s="25">
        <f t="shared" si="245"/>
        <v>1.0000000000000009</v>
      </c>
      <c r="L5244" s="27"/>
      <c r="M5244" s="28"/>
      <c r="N5244" s="28"/>
      <c r="O5244" s="20" t="s">
        <v>7530</v>
      </c>
      <c r="P5244" s="27" t="str">
        <f t="shared" si="244"/>
        <v>vermelho</v>
      </c>
    </row>
    <row r="5245" spans="1:16" ht="25.5">
      <c r="A5245" s="3" t="s">
        <v>4</v>
      </c>
      <c r="B5245" s="3" t="s">
        <v>4067</v>
      </c>
      <c r="C5245" s="4">
        <v>15</v>
      </c>
      <c r="D5245" s="3" t="s">
        <v>18</v>
      </c>
      <c r="E5245" s="3" t="s">
        <v>16</v>
      </c>
      <c r="F5245" s="5">
        <v>252</v>
      </c>
      <c r="G5245" s="5">
        <v>0</v>
      </c>
      <c r="H5245" s="6">
        <v>13437.54</v>
      </c>
      <c r="I5245" s="22">
        <v>0</v>
      </c>
      <c r="J5245" s="24">
        <f t="shared" si="243"/>
        <v>0</v>
      </c>
      <c r="K5245" s="25">
        <f t="shared" si="245"/>
        <v>1.0000000000000009</v>
      </c>
      <c r="L5245" s="27"/>
      <c r="M5245" s="28"/>
      <c r="N5245" s="28"/>
      <c r="O5245" s="20" t="s">
        <v>7530</v>
      </c>
      <c r="P5245" s="27" t="str">
        <f t="shared" si="244"/>
        <v>vermelho</v>
      </c>
    </row>
    <row r="5246" spans="1:16" ht="51">
      <c r="A5246" s="3" t="s">
        <v>4</v>
      </c>
      <c r="B5246" s="3" t="s">
        <v>4068</v>
      </c>
      <c r="C5246" s="4">
        <v>282</v>
      </c>
      <c r="D5246" s="3" t="s">
        <v>12</v>
      </c>
      <c r="E5246" s="3" t="s">
        <v>13</v>
      </c>
      <c r="F5246" s="5">
        <v>120</v>
      </c>
      <c r="G5246" s="5">
        <v>0</v>
      </c>
      <c r="H5246" s="6">
        <v>2400</v>
      </c>
      <c r="I5246" s="22">
        <v>0</v>
      </c>
      <c r="J5246" s="24">
        <f t="shared" si="243"/>
        <v>0</v>
      </c>
      <c r="K5246" s="25">
        <f t="shared" si="245"/>
        <v>1.0000000000000009</v>
      </c>
      <c r="L5246" s="27"/>
      <c r="M5246" s="28"/>
      <c r="N5246" s="28"/>
      <c r="O5246" s="20" t="s">
        <v>7530</v>
      </c>
      <c r="P5246" s="27" t="str">
        <f t="shared" si="244"/>
        <v>vermelho</v>
      </c>
    </row>
    <row r="5247" spans="1:16">
      <c r="A5247" s="3" t="s">
        <v>4</v>
      </c>
      <c r="B5247" s="3" t="s">
        <v>4069</v>
      </c>
      <c r="C5247" s="4">
        <v>217</v>
      </c>
      <c r="D5247" s="3" t="s">
        <v>91</v>
      </c>
      <c r="E5247" s="3" t="s">
        <v>16</v>
      </c>
      <c r="F5247" s="5">
        <v>96</v>
      </c>
      <c r="G5247" s="5">
        <v>0</v>
      </c>
      <c r="H5247" s="6">
        <v>4907.28</v>
      </c>
      <c r="I5247" s="22">
        <v>0</v>
      </c>
      <c r="J5247" s="24">
        <f t="shared" si="243"/>
        <v>0</v>
      </c>
      <c r="K5247" s="25">
        <f t="shared" si="245"/>
        <v>1.0000000000000009</v>
      </c>
      <c r="L5247" s="27"/>
      <c r="M5247" s="28"/>
      <c r="N5247" s="28"/>
      <c r="O5247" s="20">
        <v>4129.8</v>
      </c>
      <c r="P5247" s="27" t="str">
        <f t="shared" si="244"/>
        <v>vermelho</v>
      </c>
    </row>
    <row r="5248" spans="1:16" ht="38.25">
      <c r="A5248" s="3" t="s">
        <v>4</v>
      </c>
      <c r="B5248" s="3" t="s">
        <v>4070</v>
      </c>
      <c r="C5248" s="4">
        <v>301</v>
      </c>
      <c r="D5248" s="3" t="s">
        <v>519</v>
      </c>
      <c r="E5248" s="3" t="s">
        <v>16</v>
      </c>
      <c r="F5248" s="5">
        <v>228</v>
      </c>
      <c r="G5248" s="5">
        <v>0</v>
      </c>
      <c r="H5248" s="6">
        <v>13287.18</v>
      </c>
      <c r="I5248" s="22">
        <v>0</v>
      </c>
      <c r="J5248" s="24">
        <f t="shared" si="243"/>
        <v>0</v>
      </c>
      <c r="K5248" s="25">
        <f t="shared" si="245"/>
        <v>1.0000000000000009</v>
      </c>
      <c r="L5248" s="27"/>
      <c r="M5248" s="28"/>
      <c r="N5248" s="28"/>
      <c r="O5248" s="20" t="s">
        <v>7530</v>
      </c>
      <c r="P5248" s="27" t="str">
        <f t="shared" si="244"/>
        <v>vermelho</v>
      </c>
    </row>
    <row r="5249" spans="1:16" ht="25.5">
      <c r="A5249" s="3" t="s">
        <v>4</v>
      </c>
      <c r="B5249" s="3" t="s">
        <v>4071</v>
      </c>
      <c r="C5249" s="4">
        <v>296</v>
      </c>
      <c r="D5249" s="3" t="s">
        <v>282</v>
      </c>
      <c r="E5249" s="3" t="s">
        <v>7</v>
      </c>
      <c r="F5249" s="5">
        <v>324</v>
      </c>
      <c r="G5249" s="5">
        <v>0</v>
      </c>
      <c r="H5249" s="6">
        <v>18914.759999999998</v>
      </c>
      <c r="I5249" s="22">
        <v>0</v>
      </c>
      <c r="J5249" s="24">
        <f t="shared" si="243"/>
        <v>0</v>
      </c>
      <c r="K5249" s="25">
        <f t="shared" si="245"/>
        <v>1.0000000000000009</v>
      </c>
      <c r="L5249" s="27"/>
      <c r="M5249" s="28"/>
      <c r="N5249" s="28"/>
      <c r="O5249" s="20" t="s">
        <v>7530</v>
      </c>
      <c r="P5249" s="27" t="str">
        <f t="shared" si="244"/>
        <v>vermelho</v>
      </c>
    </row>
    <row r="5250" spans="1:16" ht="25.5">
      <c r="A5250" s="3" t="s">
        <v>4</v>
      </c>
      <c r="B5250" s="3" t="s">
        <v>4072</v>
      </c>
      <c r="C5250" s="4">
        <v>23</v>
      </c>
      <c r="D5250" s="3" t="s">
        <v>87</v>
      </c>
      <c r="E5250" s="3" t="s">
        <v>7</v>
      </c>
      <c r="F5250" s="5">
        <v>207</v>
      </c>
      <c r="G5250" s="5">
        <v>0</v>
      </c>
      <c r="H5250" s="6">
        <v>13505.22</v>
      </c>
      <c r="I5250" s="22">
        <v>0</v>
      </c>
      <c r="J5250" s="24">
        <f t="shared" si="243"/>
        <v>0</v>
      </c>
      <c r="K5250" s="25">
        <f t="shared" si="245"/>
        <v>1.0000000000000009</v>
      </c>
      <c r="L5250" s="27"/>
      <c r="M5250" s="28"/>
      <c r="N5250" s="28"/>
      <c r="O5250" s="20">
        <v>3475.56</v>
      </c>
      <c r="P5250" s="27" t="str">
        <f t="shared" si="244"/>
        <v>vermelho</v>
      </c>
    </row>
    <row r="5251" spans="1:16" ht="38.25">
      <c r="A5251" s="3" t="s">
        <v>4</v>
      </c>
      <c r="B5251" s="3" t="s">
        <v>4073</v>
      </c>
      <c r="C5251" s="4">
        <v>11</v>
      </c>
      <c r="D5251" s="3" t="s">
        <v>61</v>
      </c>
      <c r="E5251" s="3" t="s">
        <v>10</v>
      </c>
      <c r="F5251" s="5">
        <v>576</v>
      </c>
      <c r="G5251" s="5">
        <v>0</v>
      </c>
      <c r="H5251" s="6">
        <v>31755.72</v>
      </c>
      <c r="I5251" s="22">
        <v>0</v>
      </c>
      <c r="J5251" s="24">
        <f t="shared" ref="J5251:J5314" si="246">I5251/$I$6364</f>
        <v>0</v>
      </c>
      <c r="K5251" s="25">
        <f t="shared" si="245"/>
        <v>1.0000000000000009</v>
      </c>
      <c r="L5251" s="27"/>
      <c r="M5251" s="28"/>
      <c r="N5251" s="28"/>
      <c r="O5251" s="20" t="s">
        <v>7530</v>
      </c>
      <c r="P5251" s="27" t="str">
        <f t="shared" ref="P5251:P5314" si="247">IF(O5251&lt;=0,"vermelho",IFERROR(IF(O5251/I5251&lt;=0.5098,"amarelo",IF(O5251/I5251&lt;1,"laranja","verde")),"vermelho"))</f>
        <v>vermelho</v>
      </c>
    </row>
    <row r="5252" spans="1:16" ht="38.25">
      <c r="A5252" s="3" t="s">
        <v>4</v>
      </c>
      <c r="B5252" s="3" t="s">
        <v>4074</v>
      </c>
      <c r="C5252" s="4">
        <v>371</v>
      </c>
      <c r="D5252" s="3" t="s">
        <v>82</v>
      </c>
      <c r="E5252" s="3" t="s">
        <v>49</v>
      </c>
      <c r="F5252" s="5">
        <v>54</v>
      </c>
      <c r="G5252" s="5">
        <v>0</v>
      </c>
      <c r="H5252" s="6">
        <v>2846.58</v>
      </c>
      <c r="I5252" s="22">
        <v>0</v>
      </c>
      <c r="J5252" s="24">
        <f t="shared" si="246"/>
        <v>0</v>
      </c>
      <c r="K5252" s="25">
        <f t="shared" ref="K5252:K5315" si="248">J5252+K5251</f>
        <v>1.0000000000000009</v>
      </c>
      <c r="L5252" s="27"/>
      <c r="M5252" s="28"/>
      <c r="N5252" s="28"/>
      <c r="O5252" s="20" t="s">
        <v>7530</v>
      </c>
      <c r="P5252" s="27" t="str">
        <f t="shared" si="247"/>
        <v>vermelho</v>
      </c>
    </row>
    <row r="5253" spans="1:16" ht="38.25">
      <c r="A5253" s="3" t="s">
        <v>4</v>
      </c>
      <c r="B5253" s="3" t="s">
        <v>4075</v>
      </c>
      <c r="C5253" s="4">
        <v>45</v>
      </c>
      <c r="D5253" s="3" t="s">
        <v>23</v>
      </c>
      <c r="E5253" s="3" t="s">
        <v>7</v>
      </c>
      <c r="F5253" s="5">
        <v>198</v>
      </c>
      <c r="G5253" s="5">
        <v>0</v>
      </c>
      <c r="H5253" s="6">
        <v>9669.2939999999999</v>
      </c>
      <c r="I5253" s="22">
        <v>0</v>
      </c>
      <c r="J5253" s="24">
        <f t="shared" si="246"/>
        <v>0</v>
      </c>
      <c r="K5253" s="25">
        <f t="shared" si="248"/>
        <v>1.0000000000000009</v>
      </c>
      <c r="L5253" s="27"/>
      <c r="M5253" s="28"/>
      <c r="N5253" s="28"/>
      <c r="O5253" s="20" t="s">
        <v>7530</v>
      </c>
      <c r="P5253" s="27" t="str">
        <f t="shared" si="247"/>
        <v>vermelho</v>
      </c>
    </row>
    <row r="5254" spans="1:16" ht="25.5">
      <c r="A5254" s="3" t="s">
        <v>4</v>
      </c>
      <c r="B5254" s="3" t="s">
        <v>4076</v>
      </c>
      <c r="C5254" s="4">
        <v>273</v>
      </c>
      <c r="D5254" s="3" t="s">
        <v>149</v>
      </c>
      <c r="E5254" s="3" t="s">
        <v>10</v>
      </c>
      <c r="F5254" s="5">
        <v>96</v>
      </c>
      <c r="G5254" s="5">
        <v>0</v>
      </c>
      <c r="H5254" s="6">
        <v>4637.5200000000004</v>
      </c>
      <c r="I5254" s="22">
        <v>0</v>
      </c>
      <c r="J5254" s="24">
        <f t="shared" si="246"/>
        <v>0</v>
      </c>
      <c r="K5254" s="25">
        <f t="shared" si="248"/>
        <v>1.0000000000000009</v>
      </c>
      <c r="L5254" s="27"/>
      <c r="M5254" s="28"/>
      <c r="N5254" s="28"/>
      <c r="O5254" s="20" t="s">
        <v>7530</v>
      </c>
      <c r="P5254" s="27" t="str">
        <f t="shared" si="247"/>
        <v>vermelho</v>
      </c>
    </row>
    <row r="5255" spans="1:16" ht="25.5">
      <c r="A5255" s="3" t="s">
        <v>4</v>
      </c>
      <c r="B5255" s="3" t="s">
        <v>4077</v>
      </c>
      <c r="C5255" s="4">
        <v>273</v>
      </c>
      <c r="D5255" s="3" t="s">
        <v>149</v>
      </c>
      <c r="E5255" s="3" t="s">
        <v>10</v>
      </c>
      <c r="F5255" s="5">
        <v>60</v>
      </c>
      <c r="G5255" s="5">
        <v>0</v>
      </c>
      <c r="H5255" s="6">
        <v>2736.6</v>
      </c>
      <c r="I5255" s="22">
        <v>0</v>
      </c>
      <c r="J5255" s="24">
        <f t="shared" si="246"/>
        <v>0</v>
      </c>
      <c r="K5255" s="25">
        <f t="shared" si="248"/>
        <v>1.0000000000000009</v>
      </c>
      <c r="L5255" s="27"/>
      <c r="M5255" s="28"/>
      <c r="N5255" s="28"/>
      <c r="O5255" s="20" t="s">
        <v>7530</v>
      </c>
      <c r="P5255" s="27" t="str">
        <f t="shared" si="247"/>
        <v>vermelho</v>
      </c>
    </row>
    <row r="5256" spans="1:16" ht="25.5">
      <c r="A5256" s="3" t="s">
        <v>4</v>
      </c>
      <c r="B5256" s="3" t="s">
        <v>4078</v>
      </c>
      <c r="C5256" s="4">
        <v>317</v>
      </c>
      <c r="D5256" s="3" t="s">
        <v>78</v>
      </c>
      <c r="E5256" s="3" t="s">
        <v>10</v>
      </c>
      <c r="F5256" s="5">
        <v>0</v>
      </c>
      <c r="G5256" s="5">
        <v>0</v>
      </c>
      <c r="H5256" s="6">
        <v>0</v>
      </c>
      <c r="I5256" s="22">
        <v>0</v>
      </c>
      <c r="J5256" s="24">
        <f t="shared" si="246"/>
        <v>0</v>
      </c>
      <c r="K5256" s="25">
        <f t="shared" si="248"/>
        <v>1.0000000000000009</v>
      </c>
      <c r="L5256" s="27"/>
      <c r="M5256" s="28"/>
      <c r="N5256" s="28"/>
      <c r="O5256" s="20" t="s">
        <v>7530</v>
      </c>
      <c r="P5256" s="27" t="str">
        <f t="shared" si="247"/>
        <v>vermelho</v>
      </c>
    </row>
    <row r="5257" spans="1:16" ht="38.25">
      <c r="A5257" s="3" t="s">
        <v>4</v>
      </c>
      <c r="B5257" s="3" t="s">
        <v>4079</v>
      </c>
      <c r="C5257" s="4">
        <v>38</v>
      </c>
      <c r="D5257" s="3" t="s">
        <v>184</v>
      </c>
      <c r="E5257" s="3" t="s">
        <v>49</v>
      </c>
      <c r="F5257" s="5">
        <v>294</v>
      </c>
      <c r="G5257" s="5">
        <v>0</v>
      </c>
      <c r="H5257" s="6">
        <v>17258.88</v>
      </c>
      <c r="I5257" s="22">
        <v>0</v>
      </c>
      <c r="J5257" s="24">
        <f t="shared" si="246"/>
        <v>0</v>
      </c>
      <c r="K5257" s="25">
        <f t="shared" si="248"/>
        <v>1.0000000000000009</v>
      </c>
      <c r="L5257" s="27"/>
      <c r="M5257" s="28"/>
      <c r="N5257" s="28"/>
      <c r="O5257" s="20" t="s">
        <v>7530</v>
      </c>
      <c r="P5257" s="27" t="str">
        <f t="shared" si="247"/>
        <v>vermelho</v>
      </c>
    </row>
    <row r="5258" spans="1:16" ht="38.25">
      <c r="A5258" s="3" t="s">
        <v>4</v>
      </c>
      <c r="B5258" s="3" t="s">
        <v>4080</v>
      </c>
      <c r="C5258" s="4">
        <v>23</v>
      </c>
      <c r="D5258" s="3" t="s">
        <v>87</v>
      </c>
      <c r="E5258" s="3" t="s">
        <v>7</v>
      </c>
      <c r="F5258" s="5">
        <v>231</v>
      </c>
      <c r="G5258" s="5">
        <v>0</v>
      </c>
      <c r="H5258" s="6">
        <v>13283.4</v>
      </c>
      <c r="I5258" s="22">
        <v>0</v>
      </c>
      <c r="J5258" s="24">
        <f t="shared" si="246"/>
        <v>0</v>
      </c>
      <c r="K5258" s="25">
        <f t="shared" si="248"/>
        <v>1.0000000000000009</v>
      </c>
      <c r="L5258" s="27"/>
      <c r="M5258" s="28"/>
      <c r="N5258" s="28"/>
      <c r="O5258" s="20" t="s">
        <v>7530</v>
      </c>
      <c r="P5258" s="27" t="str">
        <f t="shared" si="247"/>
        <v>vermelho</v>
      </c>
    </row>
    <row r="5259" spans="1:16" ht="51">
      <c r="A5259" s="3" t="s">
        <v>4</v>
      </c>
      <c r="B5259" s="3" t="s">
        <v>4081</v>
      </c>
      <c r="C5259" s="4">
        <v>282</v>
      </c>
      <c r="D5259" s="3" t="s">
        <v>12</v>
      </c>
      <c r="E5259" s="3" t="s">
        <v>13</v>
      </c>
      <c r="F5259" s="5">
        <v>48</v>
      </c>
      <c r="G5259" s="5">
        <v>0</v>
      </c>
      <c r="H5259" s="6">
        <v>2524.08</v>
      </c>
      <c r="I5259" s="22">
        <v>0</v>
      </c>
      <c r="J5259" s="24">
        <f t="shared" si="246"/>
        <v>0</v>
      </c>
      <c r="K5259" s="25">
        <f t="shared" si="248"/>
        <v>1.0000000000000009</v>
      </c>
      <c r="L5259" s="27"/>
      <c r="M5259" s="28"/>
      <c r="N5259" s="28"/>
      <c r="O5259" s="20" t="s">
        <v>7530</v>
      </c>
      <c r="P5259" s="27" t="str">
        <f t="shared" si="247"/>
        <v>vermelho</v>
      </c>
    </row>
    <row r="5260" spans="1:16" ht="25.5">
      <c r="A5260" s="3" t="s">
        <v>4</v>
      </c>
      <c r="B5260" s="3" t="s">
        <v>4082</v>
      </c>
      <c r="C5260" s="4">
        <v>327</v>
      </c>
      <c r="D5260" s="3" t="s">
        <v>100</v>
      </c>
      <c r="E5260" s="3" t="s">
        <v>7</v>
      </c>
      <c r="F5260" s="5">
        <v>126</v>
      </c>
      <c r="G5260" s="5">
        <v>0</v>
      </c>
      <c r="H5260" s="6">
        <v>5986.74</v>
      </c>
      <c r="I5260" s="22">
        <v>0</v>
      </c>
      <c r="J5260" s="24">
        <f t="shared" si="246"/>
        <v>0</v>
      </c>
      <c r="K5260" s="25">
        <f t="shared" si="248"/>
        <v>1.0000000000000009</v>
      </c>
      <c r="L5260" s="27"/>
      <c r="M5260" s="28"/>
      <c r="N5260" s="28"/>
      <c r="O5260" s="20" t="s">
        <v>7530</v>
      </c>
      <c r="P5260" s="27" t="str">
        <f t="shared" si="247"/>
        <v>vermelho</v>
      </c>
    </row>
    <row r="5261" spans="1:16" ht="38.25">
      <c r="A5261" s="3" t="s">
        <v>4</v>
      </c>
      <c r="B5261" s="3" t="s">
        <v>4083</v>
      </c>
      <c r="C5261" s="4">
        <v>11</v>
      </c>
      <c r="D5261" s="3" t="s">
        <v>61</v>
      </c>
      <c r="E5261" s="3" t="s">
        <v>10</v>
      </c>
      <c r="F5261" s="5">
        <v>159</v>
      </c>
      <c r="G5261" s="5">
        <v>0</v>
      </c>
      <c r="H5261" s="6">
        <v>7293.41</v>
      </c>
      <c r="I5261" s="22">
        <v>0</v>
      </c>
      <c r="J5261" s="24">
        <f t="shared" si="246"/>
        <v>0</v>
      </c>
      <c r="K5261" s="25">
        <f t="shared" si="248"/>
        <v>1.0000000000000009</v>
      </c>
      <c r="L5261" s="27"/>
      <c r="M5261" s="28"/>
      <c r="N5261" s="28"/>
      <c r="O5261" s="20" t="s">
        <v>7530</v>
      </c>
      <c r="P5261" s="27" t="str">
        <f t="shared" si="247"/>
        <v>vermelho</v>
      </c>
    </row>
    <row r="5262" spans="1:16" ht="25.5">
      <c r="A5262" s="3" t="s">
        <v>4</v>
      </c>
      <c r="B5262" s="3" t="s">
        <v>4084</v>
      </c>
      <c r="C5262" s="4">
        <v>273</v>
      </c>
      <c r="D5262" s="3" t="s">
        <v>149</v>
      </c>
      <c r="E5262" s="3" t="s">
        <v>10</v>
      </c>
      <c r="F5262" s="5">
        <v>144</v>
      </c>
      <c r="G5262" s="5">
        <v>0</v>
      </c>
      <c r="H5262" s="6">
        <v>6987.48</v>
      </c>
      <c r="I5262" s="22">
        <v>0</v>
      </c>
      <c r="J5262" s="24">
        <f t="shared" si="246"/>
        <v>0</v>
      </c>
      <c r="K5262" s="25">
        <f t="shared" si="248"/>
        <v>1.0000000000000009</v>
      </c>
      <c r="L5262" s="27"/>
      <c r="M5262" s="28"/>
      <c r="N5262" s="28"/>
      <c r="O5262" s="20" t="s">
        <v>7530</v>
      </c>
      <c r="P5262" s="27" t="str">
        <f t="shared" si="247"/>
        <v>vermelho</v>
      </c>
    </row>
    <row r="5263" spans="1:16" ht="25.5">
      <c r="A5263" s="3" t="s">
        <v>4</v>
      </c>
      <c r="B5263" s="3" t="s">
        <v>4085</v>
      </c>
      <c r="C5263" s="4">
        <v>240</v>
      </c>
      <c r="D5263" s="3" t="s">
        <v>69</v>
      </c>
      <c r="E5263" s="3" t="s">
        <v>16</v>
      </c>
      <c r="F5263" s="5">
        <v>0</v>
      </c>
      <c r="G5263" s="5">
        <v>0</v>
      </c>
      <c r="H5263" s="6">
        <v>0</v>
      </c>
      <c r="I5263" s="22">
        <v>0</v>
      </c>
      <c r="J5263" s="24">
        <f t="shared" si="246"/>
        <v>0</v>
      </c>
      <c r="K5263" s="25">
        <f t="shared" si="248"/>
        <v>1.0000000000000009</v>
      </c>
      <c r="L5263" s="27"/>
      <c r="M5263" s="28"/>
      <c r="N5263" s="28"/>
      <c r="O5263" s="20" t="s">
        <v>7530</v>
      </c>
      <c r="P5263" s="27" t="str">
        <f t="shared" si="247"/>
        <v>vermelho</v>
      </c>
    </row>
    <row r="5264" spans="1:16" ht="38.25">
      <c r="A5264" s="3" t="s">
        <v>4</v>
      </c>
      <c r="B5264" s="3" t="s">
        <v>4086</v>
      </c>
      <c r="C5264" s="4">
        <v>240</v>
      </c>
      <c r="D5264" s="3" t="s">
        <v>69</v>
      </c>
      <c r="E5264" s="3" t="s">
        <v>16</v>
      </c>
      <c r="F5264" s="5">
        <v>1578</v>
      </c>
      <c r="G5264" s="5">
        <v>0</v>
      </c>
      <c r="H5264" s="6">
        <v>91619.79</v>
      </c>
      <c r="I5264" s="22">
        <v>0</v>
      </c>
      <c r="J5264" s="24">
        <f t="shared" si="246"/>
        <v>0</v>
      </c>
      <c r="K5264" s="25">
        <f t="shared" si="248"/>
        <v>1.0000000000000009</v>
      </c>
      <c r="L5264" s="27"/>
      <c r="M5264" s="28"/>
      <c r="N5264" s="28"/>
      <c r="O5264" s="20" t="s">
        <v>7530</v>
      </c>
      <c r="P5264" s="27" t="str">
        <f t="shared" si="247"/>
        <v>vermelho</v>
      </c>
    </row>
    <row r="5265" spans="1:16" ht="38.25">
      <c r="A5265" s="3" t="s">
        <v>4</v>
      </c>
      <c r="B5265" s="3" t="s">
        <v>4087</v>
      </c>
      <c r="C5265" s="4">
        <v>34</v>
      </c>
      <c r="D5265" s="3" t="s">
        <v>54</v>
      </c>
      <c r="E5265" s="3" t="s">
        <v>49</v>
      </c>
      <c r="F5265" s="5">
        <v>276</v>
      </c>
      <c r="G5265" s="5">
        <v>0</v>
      </c>
      <c r="H5265" s="6">
        <v>17370.66</v>
      </c>
      <c r="I5265" s="22">
        <v>0</v>
      </c>
      <c r="J5265" s="24">
        <f t="shared" si="246"/>
        <v>0</v>
      </c>
      <c r="K5265" s="25">
        <f t="shared" si="248"/>
        <v>1.0000000000000009</v>
      </c>
      <c r="L5265" s="27"/>
      <c r="M5265" s="28"/>
      <c r="N5265" s="28"/>
      <c r="O5265" s="20" t="s">
        <v>7530</v>
      </c>
      <c r="P5265" s="27" t="str">
        <f t="shared" si="247"/>
        <v>vermelho</v>
      </c>
    </row>
    <row r="5266" spans="1:16" ht="51">
      <c r="A5266" s="3" t="s">
        <v>4</v>
      </c>
      <c r="B5266" s="3" t="s">
        <v>4088</v>
      </c>
      <c r="C5266" s="4">
        <v>282</v>
      </c>
      <c r="D5266" s="3" t="s">
        <v>12</v>
      </c>
      <c r="E5266" s="3" t="s">
        <v>13</v>
      </c>
      <c r="F5266" s="5">
        <v>72</v>
      </c>
      <c r="G5266" s="5">
        <v>0</v>
      </c>
      <c r="H5266" s="6">
        <v>4232.5200000000004</v>
      </c>
      <c r="I5266" s="22">
        <v>0</v>
      </c>
      <c r="J5266" s="24">
        <f t="shared" si="246"/>
        <v>0</v>
      </c>
      <c r="K5266" s="25">
        <f t="shared" si="248"/>
        <v>1.0000000000000009</v>
      </c>
      <c r="L5266" s="27"/>
      <c r="M5266" s="28"/>
      <c r="N5266" s="28"/>
      <c r="O5266" s="20" t="s">
        <v>7530</v>
      </c>
      <c r="P5266" s="27" t="str">
        <f t="shared" si="247"/>
        <v>vermelho</v>
      </c>
    </row>
    <row r="5267" spans="1:16" ht="38.25">
      <c r="A5267" s="3" t="s">
        <v>4</v>
      </c>
      <c r="B5267" s="3" t="s">
        <v>4089</v>
      </c>
      <c r="C5267" s="4">
        <v>321</v>
      </c>
      <c r="D5267" s="3" t="s">
        <v>136</v>
      </c>
      <c r="E5267" s="3" t="s">
        <v>41</v>
      </c>
      <c r="F5267" s="5">
        <v>108</v>
      </c>
      <c r="G5267" s="5">
        <v>0</v>
      </c>
      <c r="H5267" s="6">
        <v>4606.2</v>
      </c>
      <c r="I5267" s="22">
        <v>0</v>
      </c>
      <c r="J5267" s="24">
        <f t="shared" si="246"/>
        <v>0</v>
      </c>
      <c r="K5267" s="25">
        <f t="shared" si="248"/>
        <v>1.0000000000000009</v>
      </c>
      <c r="L5267" s="27"/>
      <c r="M5267" s="28"/>
      <c r="N5267" s="28"/>
      <c r="O5267" s="20" t="s">
        <v>7530</v>
      </c>
      <c r="P5267" s="27" t="str">
        <f t="shared" si="247"/>
        <v>vermelho</v>
      </c>
    </row>
    <row r="5268" spans="1:16" ht="38.25">
      <c r="A5268" s="3" t="s">
        <v>4</v>
      </c>
      <c r="B5268" s="3" t="s">
        <v>4090</v>
      </c>
      <c r="C5268" s="4">
        <v>371</v>
      </c>
      <c r="D5268" s="3" t="s">
        <v>82</v>
      </c>
      <c r="E5268" s="3" t="s">
        <v>49</v>
      </c>
      <c r="F5268" s="5">
        <v>252</v>
      </c>
      <c r="G5268" s="5">
        <v>0</v>
      </c>
      <c r="H5268" s="6">
        <v>11464.68</v>
      </c>
      <c r="I5268" s="22">
        <v>0</v>
      </c>
      <c r="J5268" s="24">
        <f t="shared" si="246"/>
        <v>0</v>
      </c>
      <c r="K5268" s="25">
        <f t="shared" si="248"/>
        <v>1.0000000000000009</v>
      </c>
      <c r="L5268" s="27"/>
      <c r="M5268" s="28"/>
      <c r="N5268" s="28"/>
      <c r="O5268" s="20" t="s">
        <v>7530</v>
      </c>
      <c r="P5268" s="27" t="str">
        <f t="shared" si="247"/>
        <v>vermelho</v>
      </c>
    </row>
    <row r="5269" spans="1:16" ht="25.5">
      <c r="A5269" s="3" t="s">
        <v>4</v>
      </c>
      <c r="B5269" s="3" t="s">
        <v>4091</v>
      </c>
      <c r="C5269" s="4">
        <v>264</v>
      </c>
      <c r="D5269" s="3" t="s">
        <v>40</v>
      </c>
      <c r="E5269" s="3" t="s">
        <v>10</v>
      </c>
      <c r="F5269" s="5">
        <v>84</v>
      </c>
      <c r="G5269" s="5">
        <v>0</v>
      </c>
      <c r="H5269" s="6">
        <v>4415.16</v>
      </c>
      <c r="I5269" s="22">
        <v>0</v>
      </c>
      <c r="J5269" s="24">
        <f t="shared" si="246"/>
        <v>0</v>
      </c>
      <c r="K5269" s="25">
        <f t="shared" si="248"/>
        <v>1.0000000000000009</v>
      </c>
      <c r="L5269" s="27"/>
      <c r="M5269" s="28"/>
      <c r="N5269" s="28"/>
      <c r="O5269" s="20" t="s">
        <v>7530</v>
      </c>
      <c r="P5269" s="27" t="str">
        <f t="shared" si="247"/>
        <v>vermelho</v>
      </c>
    </row>
    <row r="5270" spans="1:16" ht="25.5">
      <c r="A5270" s="3" t="s">
        <v>4</v>
      </c>
      <c r="B5270" s="3" t="s">
        <v>4091</v>
      </c>
      <c r="C5270" s="4">
        <v>264</v>
      </c>
      <c r="D5270" s="3" t="s">
        <v>40</v>
      </c>
      <c r="E5270" s="3" t="s">
        <v>41</v>
      </c>
      <c r="F5270" s="5">
        <v>72</v>
      </c>
      <c r="G5270" s="5">
        <v>0</v>
      </c>
      <c r="H5270" s="6">
        <v>4342.5600000000004</v>
      </c>
      <c r="I5270" s="22">
        <v>0</v>
      </c>
      <c r="J5270" s="24">
        <f t="shared" si="246"/>
        <v>0</v>
      </c>
      <c r="K5270" s="25">
        <f t="shared" si="248"/>
        <v>1.0000000000000009</v>
      </c>
      <c r="L5270" s="27"/>
      <c r="M5270" s="28"/>
      <c r="N5270" s="28"/>
      <c r="O5270" s="20" t="s">
        <v>7530</v>
      </c>
      <c r="P5270" s="27" t="str">
        <f t="shared" si="247"/>
        <v>vermelho</v>
      </c>
    </row>
    <row r="5271" spans="1:16" ht="25.5">
      <c r="A5271" s="3" t="s">
        <v>4</v>
      </c>
      <c r="B5271" s="3" t="s">
        <v>4092</v>
      </c>
      <c r="C5271" s="4">
        <v>217</v>
      </c>
      <c r="D5271" s="3" t="s">
        <v>91</v>
      </c>
      <c r="E5271" s="3" t="s">
        <v>16</v>
      </c>
      <c r="F5271" s="5">
        <v>180</v>
      </c>
      <c r="G5271" s="5">
        <v>0</v>
      </c>
      <c r="H5271" s="6">
        <v>10760.1</v>
      </c>
      <c r="I5271" s="22">
        <v>0</v>
      </c>
      <c r="J5271" s="24">
        <f t="shared" si="246"/>
        <v>0</v>
      </c>
      <c r="K5271" s="25">
        <f t="shared" si="248"/>
        <v>1.0000000000000009</v>
      </c>
      <c r="L5271" s="27"/>
      <c r="M5271" s="28"/>
      <c r="N5271" s="28"/>
      <c r="O5271" s="20" t="s">
        <v>7530</v>
      </c>
      <c r="P5271" s="27" t="str">
        <f t="shared" si="247"/>
        <v>vermelho</v>
      </c>
    </row>
    <row r="5272" spans="1:16">
      <c r="A5272" s="3" t="s">
        <v>4</v>
      </c>
      <c r="B5272" s="3" t="s">
        <v>4093</v>
      </c>
      <c r="C5272" s="4">
        <v>15</v>
      </c>
      <c r="D5272" s="3" t="s">
        <v>18</v>
      </c>
      <c r="E5272" s="3" t="s">
        <v>16</v>
      </c>
      <c r="F5272" s="5">
        <v>444</v>
      </c>
      <c r="G5272" s="5">
        <v>0</v>
      </c>
      <c r="H5272" s="6">
        <v>27490.92</v>
      </c>
      <c r="I5272" s="22">
        <v>0</v>
      </c>
      <c r="J5272" s="24">
        <f t="shared" si="246"/>
        <v>0</v>
      </c>
      <c r="K5272" s="25">
        <f t="shared" si="248"/>
        <v>1.0000000000000009</v>
      </c>
      <c r="L5272" s="27"/>
      <c r="M5272" s="28"/>
      <c r="N5272" s="28"/>
      <c r="O5272" s="20" t="s">
        <v>7530</v>
      </c>
      <c r="P5272" s="27" t="str">
        <f t="shared" si="247"/>
        <v>vermelho</v>
      </c>
    </row>
    <row r="5273" spans="1:16">
      <c r="A5273" s="3" t="s">
        <v>4</v>
      </c>
      <c r="B5273" s="3" t="s">
        <v>4094</v>
      </c>
      <c r="C5273" s="4">
        <v>264</v>
      </c>
      <c r="D5273" s="3" t="s">
        <v>40</v>
      </c>
      <c r="E5273" s="3" t="s">
        <v>10</v>
      </c>
      <c r="F5273" s="5">
        <v>168</v>
      </c>
      <c r="G5273" s="5">
        <v>0</v>
      </c>
      <c r="H5273" s="6">
        <v>4867.08</v>
      </c>
      <c r="I5273" s="22">
        <v>0</v>
      </c>
      <c r="J5273" s="24">
        <f t="shared" si="246"/>
        <v>0</v>
      </c>
      <c r="K5273" s="25">
        <f t="shared" si="248"/>
        <v>1.0000000000000009</v>
      </c>
      <c r="L5273" s="27"/>
      <c r="M5273" s="28"/>
      <c r="N5273" s="28"/>
      <c r="O5273" s="20" t="s">
        <v>7530</v>
      </c>
      <c r="P5273" s="27" t="str">
        <f t="shared" si="247"/>
        <v>vermelho</v>
      </c>
    </row>
    <row r="5274" spans="1:16" ht="25.5">
      <c r="A5274" s="3" t="s">
        <v>4</v>
      </c>
      <c r="B5274" s="3" t="s">
        <v>4095</v>
      </c>
      <c r="C5274" s="4">
        <v>74</v>
      </c>
      <c r="D5274" s="3" t="s">
        <v>6</v>
      </c>
      <c r="E5274" s="3" t="s">
        <v>7</v>
      </c>
      <c r="F5274" s="5">
        <v>270</v>
      </c>
      <c r="G5274" s="5">
        <v>0</v>
      </c>
      <c r="H5274" s="6">
        <v>16228.26</v>
      </c>
      <c r="I5274" s="22">
        <v>0</v>
      </c>
      <c r="J5274" s="24">
        <f t="shared" si="246"/>
        <v>0</v>
      </c>
      <c r="K5274" s="25">
        <f t="shared" si="248"/>
        <v>1.0000000000000009</v>
      </c>
      <c r="L5274" s="27"/>
      <c r="M5274" s="28"/>
      <c r="N5274" s="28"/>
      <c r="O5274" s="20" t="s">
        <v>7530</v>
      </c>
      <c r="P5274" s="27" t="str">
        <f t="shared" si="247"/>
        <v>vermelho</v>
      </c>
    </row>
    <row r="5275" spans="1:16" ht="25.5">
      <c r="A5275" s="3" t="s">
        <v>4</v>
      </c>
      <c r="B5275" s="3" t="s">
        <v>4096</v>
      </c>
      <c r="C5275" s="4">
        <v>270</v>
      </c>
      <c r="D5275" s="3" t="s">
        <v>266</v>
      </c>
      <c r="E5275" s="3" t="s">
        <v>49</v>
      </c>
      <c r="F5275" s="5">
        <v>60</v>
      </c>
      <c r="G5275" s="5">
        <v>0</v>
      </c>
      <c r="H5275" s="6">
        <v>2668.68</v>
      </c>
      <c r="I5275" s="22">
        <v>0</v>
      </c>
      <c r="J5275" s="24">
        <f t="shared" si="246"/>
        <v>0</v>
      </c>
      <c r="K5275" s="25">
        <f t="shared" si="248"/>
        <v>1.0000000000000009</v>
      </c>
      <c r="L5275" s="27"/>
      <c r="M5275" s="28"/>
      <c r="N5275" s="28"/>
      <c r="O5275" s="20" t="s">
        <v>7530</v>
      </c>
      <c r="P5275" s="27" t="str">
        <f t="shared" si="247"/>
        <v>vermelho</v>
      </c>
    </row>
    <row r="5276" spans="1:16" ht="25.5">
      <c r="A5276" s="3" t="s">
        <v>4</v>
      </c>
      <c r="B5276" s="3" t="s">
        <v>4097</v>
      </c>
      <c r="C5276" s="4">
        <v>74</v>
      </c>
      <c r="D5276" s="3" t="s">
        <v>6</v>
      </c>
      <c r="E5276" s="3" t="s">
        <v>7</v>
      </c>
      <c r="F5276" s="5">
        <v>72</v>
      </c>
      <c r="G5276" s="5">
        <v>0</v>
      </c>
      <c r="H5276" s="6">
        <v>4296.24</v>
      </c>
      <c r="I5276" s="22">
        <v>0</v>
      </c>
      <c r="J5276" s="24">
        <f t="shared" si="246"/>
        <v>0</v>
      </c>
      <c r="K5276" s="25">
        <f t="shared" si="248"/>
        <v>1.0000000000000009</v>
      </c>
      <c r="L5276" s="27"/>
      <c r="M5276" s="28"/>
      <c r="N5276" s="28"/>
      <c r="O5276" s="20" t="s">
        <v>7530</v>
      </c>
      <c r="P5276" s="27" t="str">
        <f t="shared" si="247"/>
        <v>vermelho</v>
      </c>
    </row>
    <row r="5277" spans="1:16" ht="25.5">
      <c r="A5277" s="3" t="s">
        <v>4</v>
      </c>
      <c r="B5277" s="3" t="s">
        <v>4098</v>
      </c>
      <c r="C5277" s="4">
        <v>296</v>
      </c>
      <c r="D5277" s="3" t="s">
        <v>282</v>
      </c>
      <c r="E5277" s="3" t="s">
        <v>16</v>
      </c>
      <c r="F5277" s="5">
        <v>156</v>
      </c>
      <c r="G5277" s="5">
        <v>0</v>
      </c>
      <c r="H5277" s="6">
        <v>8580</v>
      </c>
      <c r="I5277" s="22">
        <v>0</v>
      </c>
      <c r="J5277" s="24">
        <f t="shared" si="246"/>
        <v>0</v>
      </c>
      <c r="K5277" s="25">
        <f t="shared" si="248"/>
        <v>1.0000000000000009</v>
      </c>
      <c r="L5277" s="27"/>
      <c r="M5277" s="28"/>
      <c r="N5277" s="28"/>
      <c r="O5277" s="20" t="s">
        <v>7530</v>
      </c>
      <c r="P5277" s="27" t="str">
        <f t="shared" si="247"/>
        <v>vermelho</v>
      </c>
    </row>
    <row r="5278" spans="1:16" ht="25.5">
      <c r="A5278" s="3" t="s">
        <v>4</v>
      </c>
      <c r="B5278" s="3" t="s">
        <v>4099</v>
      </c>
      <c r="C5278" s="4">
        <v>61</v>
      </c>
      <c r="D5278" s="3" t="s">
        <v>48</v>
      </c>
      <c r="E5278" s="3" t="s">
        <v>49</v>
      </c>
      <c r="F5278" s="5">
        <v>228</v>
      </c>
      <c r="G5278" s="5">
        <v>0</v>
      </c>
      <c r="H5278" s="6">
        <v>13783.56</v>
      </c>
      <c r="I5278" s="22">
        <v>0</v>
      </c>
      <c r="J5278" s="24">
        <f t="shared" si="246"/>
        <v>0</v>
      </c>
      <c r="K5278" s="25">
        <f t="shared" si="248"/>
        <v>1.0000000000000009</v>
      </c>
      <c r="L5278" s="27"/>
      <c r="M5278" s="28"/>
      <c r="N5278" s="28"/>
      <c r="O5278" s="20" t="s">
        <v>7530</v>
      </c>
      <c r="P5278" s="27" t="str">
        <f t="shared" si="247"/>
        <v>vermelho</v>
      </c>
    </row>
    <row r="5279" spans="1:16" ht="25.5">
      <c r="A5279" s="3" t="s">
        <v>4</v>
      </c>
      <c r="B5279" s="3" t="s">
        <v>4100</v>
      </c>
      <c r="C5279" s="4">
        <v>194</v>
      </c>
      <c r="D5279" s="3" t="s">
        <v>145</v>
      </c>
      <c r="E5279" s="3" t="s">
        <v>16</v>
      </c>
      <c r="F5279" s="5">
        <v>216</v>
      </c>
      <c r="G5279" s="5">
        <v>0</v>
      </c>
      <c r="H5279" s="6">
        <v>13030.08</v>
      </c>
      <c r="I5279" s="22">
        <v>0</v>
      </c>
      <c r="J5279" s="24">
        <f t="shared" si="246"/>
        <v>0</v>
      </c>
      <c r="K5279" s="25">
        <f t="shared" si="248"/>
        <v>1.0000000000000009</v>
      </c>
      <c r="L5279" s="27"/>
      <c r="M5279" s="28"/>
      <c r="N5279" s="28"/>
      <c r="O5279" s="20" t="s">
        <v>7530</v>
      </c>
      <c r="P5279" s="27" t="str">
        <f t="shared" si="247"/>
        <v>vermelho</v>
      </c>
    </row>
    <row r="5280" spans="1:16">
      <c r="A5280" s="3" t="s">
        <v>4</v>
      </c>
      <c r="B5280" s="3" t="s">
        <v>4101</v>
      </c>
      <c r="C5280" s="4">
        <v>217</v>
      </c>
      <c r="D5280" s="3" t="s">
        <v>91</v>
      </c>
      <c r="E5280" s="3" t="s">
        <v>16</v>
      </c>
      <c r="F5280" s="5">
        <v>72</v>
      </c>
      <c r="G5280" s="5">
        <v>0</v>
      </c>
      <c r="H5280" s="6">
        <v>4159.8</v>
      </c>
      <c r="I5280" s="22">
        <v>0</v>
      </c>
      <c r="J5280" s="24">
        <f t="shared" si="246"/>
        <v>0</v>
      </c>
      <c r="K5280" s="25">
        <f t="shared" si="248"/>
        <v>1.0000000000000009</v>
      </c>
      <c r="L5280" s="27"/>
      <c r="M5280" s="28"/>
      <c r="N5280" s="28"/>
      <c r="O5280" s="20" t="s">
        <v>7530</v>
      </c>
      <c r="P5280" s="27" t="str">
        <f t="shared" si="247"/>
        <v>vermelho</v>
      </c>
    </row>
    <row r="5281" spans="1:16" ht="25.5">
      <c r="A5281" s="3" t="s">
        <v>4</v>
      </c>
      <c r="B5281" s="3" t="s">
        <v>4102</v>
      </c>
      <c r="C5281" s="4">
        <v>194</v>
      </c>
      <c r="D5281" s="3" t="s">
        <v>145</v>
      </c>
      <c r="E5281" s="3" t="s">
        <v>16</v>
      </c>
      <c r="F5281" s="5">
        <v>72</v>
      </c>
      <c r="G5281" s="5">
        <v>0</v>
      </c>
      <c r="H5281" s="6">
        <v>4429.5600000000004</v>
      </c>
      <c r="I5281" s="22">
        <v>0</v>
      </c>
      <c r="J5281" s="24">
        <f t="shared" si="246"/>
        <v>0</v>
      </c>
      <c r="K5281" s="25">
        <f t="shared" si="248"/>
        <v>1.0000000000000009</v>
      </c>
      <c r="L5281" s="27"/>
      <c r="M5281" s="28"/>
      <c r="N5281" s="28"/>
      <c r="O5281" s="20" t="s">
        <v>7530</v>
      </c>
      <c r="P5281" s="27" t="str">
        <f t="shared" si="247"/>
        <v>vermelho</v>
      </c>
    </row>
    <row r="5282" spans="1:16">
      <c r="A5282" s="3" t="s">
        <v>4</v>
      </c>
      <c r="B5282" s="3" t="s">
        <v>4103</v>
      </c>
      <c r="C5282" s="4">
        <v>334</v>
      </c>
      <c r="D5282" s="3" t="s">
        <v>531</v>
      </c>
      <c r="E5282" s="3" t="s">
        <v>7</v>
      </c>
      <c r="F5282" s="5">
        <v>192</v>
      </c>
      <c r="G5282" s="5">
        <v>0</v>
      </c>
      <c r="H5282" s="6">
        <v>5760</v>
      </c>
      <c r="I5282" s="22">
        <v>0</v>
      </c>
      <c r="J5282" s="24">
        <f t="shared" si="246"/>
        <v>0</v>
      </c>
      <c r="K5282" s="25">
        <f t="shared" si="248"/>
        <v>1.0000000000000009</v>
      </c>
      <c r="L5282" s="27"/>
      <c r="M5282" s="28"/>
      <c r="N5282" s="28"/>
      <c r="O5282" s="20" t="s">
        <v>7530</v>
      </c>
      <c r="P5282" s="27" t="str">
        <f t="shared" si="247"/>
        <v>vermelho</v>
      </c>
    </row>
    <row r="5283" spans="1:16" ht="25.5">
      <c r="A5283" s="3" t="s">
        <v>4</v>
      </c>
      <c r="B5283" s="3" t="s">
        <v>4104</v>
      </c>
      <c r="C5283" s="4">
        <v>327</v>
      </c>
      <c r="D5283" s="3" t="s">
        <v>100</v>
      </c>
      <c r="E5283" s="3" t="s">
        <v>7</v>
      </c>
      <c r="F5283" s="5">
        <v>84</v>
      </c>
      <c r="G5283" s="5">
        <v>0</v>
      </c>
      <c r="H5283" s="6">
        <v>5987.16</v>
      </c>
      <c r="I5283" s="22">
        <v>0</v>
      </c>
      <c r="J5283" s="24">
        <f t="shared" si="246"/>
        <v>0</v>
      </c>
      <c r="K5283" s="25">
        <f t="shared" si="248"/>
        <v>1.0000000000000009</v>
      </c>
      <c r="L5283" s="27"/>
      <c r="M5283" s="28"/>
      <c r="N5283" s="28"/>
      <c r="O5283" s="20" t="s">
        <v>7530</v>
      </c>
      <c r="P5283" s="27" t="str">
        <f t="shared" si="247"/>
        <v>vermelho</v>
      </c>
    </row>
    <row r="5284" spans="1:16" ht="25.5">
      <c r="A5284" s="3" t="s">
        <v>4</v>
      </c>
      <c r="B5284" s="3" t="s">
        <v>4105</v>
      </c>
      <c r="C5284" s="4">
        <v>23</v>
      </c>
      <c r="D5284" s="3" t="s">
        <v>87</v>
      </c>
      <c r="E5284" s="3" t="s">
        <v>7</v>
      </c>
      <c r="F5284" s="5">
        <v>78</v>
      </c>
      <c r="G5284" s="5">
        <v>0</v>
      </c>
      <c r="H5284" s="6">
        <v>3491.22</v>
      </c>
      <c r="I5284" s="22">
        <v>0</v>
      </c>
      <c r="J5284" s="24">
        <f t="shared" si="246"/>
        <v>0</v>
      </c>
      <c r="K5284" s="25">
        <f t="shared" si="248"/>
        <v>1.0000000000000009</v>
      </c>
      <c r="L5284" s="27"/>
      <c r="M5284" s="28"/>
      <c r="N5284" s="28"/>
      <c r="O5284" s="20" t="s">
        <v>7530</v>
      </c>
      <c r="P5284" s="27" t="str">
        <f t="shared" si="247"/>
        <v>vermelho</v>
      </c>
    </row>
    <row r="5285" spans="1:16" ht="25.5">
      <c r="A5285" s="3" t="s">
        <v>4</v>
      </c>
      <c r="B5285" s="3" t="s">
        <v>4106</v>
      </c>
      <c r="C5285" s="4">
        <v>334</v>
      </c>
      <c r="D5285" s="3" t="s">
        <v>531</v>
      </c>
      <c r="E5285" s="3" t="s">
        <v>7</v>
      </c>
      <c r="F5285" s="5">
        <v>54</v>
      </c>
      <c r="G5285" s="5">
        <v>0</v>
      </c>
      <c r="H5285" s="6">
        <v>3607.14</v>
      </c>
      <c r="I5285" s="22">
        <v>0</v>
      </c>
      <c r="J5285" s="24">
        <f t="shared" si="246"/>
        <v>0</v>
      </c>
      <c r="K5285" s="25">
        <f t="shared" si="248"/>
        <v>1.0000000000000009</v>
      </c>
      <c r="L5285" s="27"/>
      <c r="M5285" s="28"/>
      <c r="N5285" s="28"/>
      <c r="O5285" s="20" t="s">
        <v>7530</v>
      </c>
      <c r="P5285" s="27" t="str">
        <f t="shared" si="247"/>
        <v>vermelho</v>
      </c>
    </row>
    <row r="5286" spans="1:16" ht="25.5">
      <c r="A5286" s="3" t="s">
        <v>4</v>
      </c>
      <c r="B5286" s="3" t="s">
        <v>4107</v>
      </c>
      <c r="C5286" s="4">
        <v>261</v>
      </c>
      <c r="D5286" s="3" t="s">
        <v>9</v>
      </c>
      <c r="E5286" s="3" t="s">
        <v>10</v>
      </c>
      <c r="F5286" s="5">
        <v>60</v>
      </c>
      <c r="G5286" s="5">
        <v>0</v>
      </c>
      <c r="H5286" s="6">
        <v>3577.68</v>
      </c>
      <c r="I5286" s="22">
        <v>0</v>
      </c>
      <c r="J5286" s="24">
        <f t="shared" si="246"/>
        <v>0</v>
      </c>
      <c r="K5286" s="25">
        <f t="shared" si="248"/>
        <v>1.0000000000000009</v>
      </c>
      <c r="L5286" s="27"/>
      <c r="M5286" s="28"/>
      <c r="N5286" s="28"/>
      <c r="O5286" s="20" t="s">
        <v>7530</v>
      </c>
      <c r="P5286" s="27" t="str">
        <f t="shared" si="247"/>
        <v>vermelho</v>
      </c>
    </row>
    <row r="5287" spans="1:16" ht="38.25">
      <c r="A5287" s="3" t="s">
        <v>4</v>
      </c>
      <c r="B5287" s="3" t="s">
        <v>4108</v>
      </c>
      <c r="C5287" s="4">
        <v>292</v>
      </c>
      <c r="D5287" s="3" t="s">
        <v>57</v>
      </c>
      <c r="E5287" s="3" t="s">
        <v>49</v>
      </c>
      <c r="F5287" s="5">
        <v>66</v>
      </c>
      <c r="G5287" s="5">
        <v>0</v>
      </c>
      <c r="H5287" s="6">
        <v>3403.92</v>
      </c>
      <c r="I5287" s="22">
        <v>0</v>
      </c>
      <c r="J5287" s="24">
        <f t="shared" si="246"/>
        <v>0</v>
      </c>
      <c r="K5287" s="25">
        <f t="shared" si="248"/>
        <v>1.0000000000000009</v>
      </c>
      <c r="L5287" s="27"/>
      <c r="M5287" s="28"/>
      <c r="N5287" s="28"/>
      <c r="O5287" s="20" t="s">
        <v>7530</v>
      </c>
      <c r="P5287" s="27" t="str">
        <f t="shared" si="247"/>
        <v>vermelho</v>
      </c>
    </row>
    <row r="5288" spans="1:16" ht="25.5">
      <c r="A5288" s="3" t="s">
        <v>4</v>
      </c>
      <c r="B5288" s="3" t="s">
        <v>4109</v>
      </c>
      <c r="C5288" s="4">
        <v>316</v>
      </c>
      <c r="D5288" s="3" t="s">
        <v>247</v>
      </c>
      <c r="E5288" s="3" t="s">
        <v>10</v>
      </c>
      <c r="F5288" s="5">
        <v>252</v>
      </c>
      <c r="G5288" s="5">
        <v>0</v>
      </c>
      <c r="H5288" s="6">
        <v>12335.4</v>
      </c>
      <c r="I5288" s="22">
        <v>0</v>
      </c>
      <c r="J5288" s="24">
        <f t="shared" si="246"/>
        <v>0</v>
      </c>
      <c r="K5288" s="25">
        <f t="shared" si="248"/>
        <v>1.0000000000000009</v>
      </c>
      <c r="L5288" s="27"/>
      <c r="M5288" s="28"/>
      <c r="N5288" s="28"/>
      <c r="O5288" s="20" t="s">
        <v>7530</v>
      </c>
      <c r="P5288" s="27" t="str">
        <f t="shared" si="247"/>
        <v>vermelho</v>
      </c>
    </row>
    <row r="5289" spans="1:16" ht="38.25">
      <c r="A5289" s="3" t="s">
        <v>4</v>
      </c>
      <c r="B5289" s="3" t="s">
        <v>4110</v>
      </c>
      <c r="C5289" s="4">
        <v>292</v>
      </c>
      <c r="D5289" s="3" t="s">
        <v>57</v>
      </c>
      <c r="E5289" s="3" t="s">
        <v>49</v>
      </c>
      <c r="F5289" s="5">
        <v>48</v>
      </c>
      <c r="G5289" s="5">
        <v>0</v>
      </c>
      <c r="H5289" s="6">
        <v>2130.2399999999998</v>
      </c>
      <c r="I5289" s="22">
        <v>0</v>
      </c>
      <c r="J5289" s="24">
        <f t="shared" si="246"/>
        <v>0</v>
      </c>
      <c r="K5289" s="25">
        <f t="shared" si="248"/>
        <v>1.0000000000000009</v>
      </c>
      <c r="L5289" s="27"/>
      <c r="M5289" s="28"/>
      <c r="N5289" s="28"/>
      <c r="O5289" s="20">
        <v>2330.88</v>
      </c>
      <c r="P5289" s="27" t="str">
        <f t="shared" si="247"/>
        <v>vermelho</v>
      </c>
    </row>
    <row r="5290" spans="1:16" ht="25.5">
      <c r="A5290" s="3" t="s">
        <v>4</v>
      </c>
      <c r="B5290" s="3" t="s">
        <v>4111</v>
      </c>
      <c r="C5290" s="4">
        <v>316</v>
      </c>
      <c r="D5290" s="3" t="s">
        <v>247</v>
      </c>
      <c r="E5290" s="3" t="s">
        <v>10</v>
      </c>
      <c r="F5290" s="5">
        <v>60</v>
      </c>
      <c r="G5290" s="5">
        <v>0</v>
      </c>
      <c r="H5290" s="6">
        <v>2762.34</v>
      </c>
      <c r="I5290" s="22">
        <v>0</v>
      </c>
      <c r="J5290" s="24">
        <f t="shared" si="246"/>
        <v>0</v>
      </c>
      <c r="K5290" s="25">
        <f t="shared" si="248"/>
        <v>1.0000000000000009</v>
      </c>
      <c r="L5290" s="27"/>
      <c r="M5290" s="28"/>
      <c r="N5290" s="28"/>
      <c r="O5290" s="20" t="s">
        <v>7530</v>
      </c>
      <c r="P5290" s="27" t="str">
        <f t="shared" si="247"/>
        <v>vermelho</v>
      </c>
    </row>
    <row r="5291" spans="1:16" ht="38.25">
      <c r="A5291" s="3" t="s">
        <v>4</v>
      </c>
      <c r="B5291" s="3" t="s">
        <v>4112</v>
      </c>
      <c r="C5291" s="4">
        <v>337</v>
      </c>
      <c r="D5291" s="3" t="s">
        <v>202</v>
      </c>
      <c r="E5291" s="3" t="s">
        <v>16</v>
      </c>
      <c r="F5291" s="5">
        <v>120</v>
      </c>
      <c r="G5291" s="5">
        <v>0</v>
      </c>
      <c r="H5291" s="6">
        <v>5519.04</v>
      </c>
      <c r="I5291" s="22">
        <v>0</v>
      </c>
      <c r="J5291" s="24">
        <f t="shared" si="246"/>
        <v>0</v>
      </c>
      <c r="K5291" s="25">
        <f t="shared" si="248"/>
        <v>1.0000000000000009</v>
      </c>
      <c r="L5291" s="27"/>
      <c r="M5291" s="28"/>
      <c r="N5291" s="28"/>
      <c r="O5291" s="20" t="s">
        <v>7530</v>
      </c>
      <c r="P5291" s="27" t="str">
        <f t="shared" si="247"/>
        <v>vermelho</v>
      </c>
    </row>
    <row r="5292" spans="1:16" ht="25.5">
      <c r="A5292" s="3" t="s">
        <v>4</v>
      </c>
      <c r="B5292" s="3" t="s">
        <v>4113</v>
      </c>
      <c r="C5292" s="4">
        <v>337</v>
      </c>
      <c r="D5292" s="3" t="s">
        <v>202</v>
      </c>
      <c r="E5292" s="3" t="s">
        <v>16</v>
      </c>
      <c r="F5292" s="5">
        <v>120</v>
      </c>
      <c r="G5292" s="5">
        <v>0</v>
      </c>
      <c r="H5292" s="6">
        <v>5519.04</v>
      </c>
      <c r="I5292" s="22">
        <v>0</v>
      </c>
      <c r="J5292" s="24">
        <f t="shared" si="246"/>
        <v>0</v>
      </c>
      <c r="K5292" s="25">
        <f t="shared" si="248"/>
        <v>1.0000000000000009</v>
      </c>
      <c r="L5292" s="27"/>
      <c r="M5292" s="28"/>
      <c r="N5292" s="28"/>
      <c r="O5292" s="20" t="s">
        <v>7530</v>
      </c>
      <c r="P5292" s="27" t="str">
        <f t="shared" si="247"/>
        <v>vermelho</v>
      </c>
    </row>
    <row r="5293" spans="1:16" ht="38.25">
      <c r="A5293" s="3" t="s">
        <v>4</v>
      </c>
      <c r="B5293" s="3" t="s">
        <v>4114</v>
      </c>
      <c r="C5293" s="4">
        <v>371</v>
      </c>
      <c r="D5293" s="3" t="s">
        <v>82</v>
      </c>
      <c r="E5293" s="3" t="s">
        <v>49</v>
      </c>
      <c r="F5293" s="5">
        <v>399</v>
      </c>
      <c r="G5293" s="5">
        <v>0</v>
      </c>
      <c r="H5293" s="6">
        <v>18928.284</v>
      </c>
      <c r="I5293" s="22">
        <v>0</v>
      </c>
      <c r="J5293" s="24">
        <f t="shared" si="246"/>
        <v>0</v>
      </c>
      <c r="K5293" s="25">
        <f t="shared" si="248"/>
        <v>1.0000000000000009</v>
      </c>
      <c r="L5293" s="27"/>
      <c r="M5293" s="28"/>
      <c r="N5293" s="28"/>
      <c r="O5293" s="20" t="s">
        <v>7530</v>
      </c>
      <c r="P5293" s="27" t="str">
        <f t="shared" si="247"/>
        <v>vermelho</v>
      </c>
    </row>
    <row r="5294" spans="1:16" ht="25.5">
      <c r="A5294" s="3" t="s">
        <v>4</v>
      </c>
      <c r="B5294" s="3" t="s">
        <v>4115</v>
      </c>
      <c r="C5294" s="4">
        <v>217</v>
      </c>
      <c r="D5294" s="3" t="s">
        <v>91</v>
      </c>
      <c r="E5294" s="3" t="s">
        <v>16</v>
      </c>
      <c r="F5294" s="5">
        <v>234</v>
      </c>
      <c r="G5294" s="5">
        <v>0</v>
      </c>
      <c r="H5294" s="6">
        <v>10606.59</v>
      </c>
      <c r="I5294" s="22">
        <v>0</v>
      </c>
      <c r="J5294" s="24">
        <f t="shared" si="246"/>
        <v>0</v>
      </c>
      <c r="K5294" s="25">
        <f t="shared" si="248"/>
        <v>1.0000000000000009</v>
      </c>
      <c r="L5294" s="27"/>
      <c r="M5294" s="28"/>
      <c r="N5294" s="28"/>
      <c r="O5294" s="20" t="s">
        <v>7530</v>
      </c>
      <c r="P5294" s="27" t="str">
        <f t="shared" si="247"/>
        <v>vermelho</v>
      </c>
    </row>
    <row r="5295" spans="1:16">
      <c r="A5295" s="3" t="s">
        <v>4</v>
      </c>
      <c r="B5295" s="3" t="s">
        <v>4116</v>
      </c>
      <c r="C5295" s="4">
        <v>232</v>
      </c>
      <c r="D5295" s="3" t="s">
        <v>174</v>
      </c>
      <c r="E5295" s="3" t="s">
        <v>16</v>
      </c>
      <c r="F5295" s="5">
        <v>60</v>
      </c>
      <c r="G5295" s="5">
        <v>0</v>
      </c>
      <c r="H5295" s="6">
        <v>3261.84</v>
      </c>
      <c r="I5295" s="22">
        <v>0</v>
      </c>
      <c r="J5295" s="24">
        <f t="shared" si="246"/>
        <v>0</v>
      </c>
      <c r="K5295" s="25">
        <f t="shared" si="248"/>
        <v>1.0000000000000009</v>
      </c>
      <c r="L5295" s="27"/>
      <c r="M5295" s="28"/>
      <c r="N5295" s="28"/>
      <c r="O5295" s="20" t="s">
        <v>7530</v>
      </c>
      <c r="P5295" s="27" t="str">
        <f t="shared" si="247"/>
        <v>vermelho</v>
      </c>
    </row>
    <row r="5296" spans="1:16" ht="25.5">
      <c r="A5296" s="3" t="s">
        <v>4</v>
      </c>
      <c r="B5296" s="3" t="s">
        <v>4117</v>
      </c>
      <c r="C5296" s="4">
        <v>218</v>
      </c>
      <c r="D5296" s="3" t="s">
        <v>104</v>
      </c>
      <c r="E5296" s="3" t="s">
        <v>16</v>
      </c>
      <c r="F5296" s="5">
        <v>120</v>
      </c>
      <c r="G5296" s="5">
        <v>0</v>
      </c>
      <c r="H5296" s="6">
        <v>6130.8</v>
      </c>
      <c r="I5296" s="22">
        <v>0</v>
      </c>
      <c r="J5296" s="24">
        <f t="shared" si="246"/>
        <v>0</v>
      </c>
      <c r="K5296" s="25">
        <f t="shared" si="248"/>
        <v>1.0000000000000009</v>
      </c>
      <c r="L5296" s="27"/>
      <c r="M5296" s="28"/>
      <c r="N5296" s="28"/>
      <c r="O5296" s="20" t="s">
        <v>7530</v>
      </c>
      <c r="P5296" s="27" t="str">
        <f t="shared" si="247"/>
        <v>vermelho</v>
      </c>
    </row>
    <row r="5297" spans="1:16">
      <c r="A5297" s="3" t="s">
        <v>4</v>
      </c>
      <c r="B5297" s="3" t="s">
        <v>4118</v>
      </c>
      <c r="C5297" s="4">
        <v>232</v>
      </c>
      <c r="D5297" s="3" t="s">
        <v>174</v>
      </c>
      <c r="E5297" s="3" t="s">
        <v>16</v>
      </c>
      <c r="F5297" s="5">
        <v>300</v>
      </c>
      <c r="G5297" s="5">
        <v>0</v>
      </c>
      <c r="H5297" s="6">
        <v>16973.400000000001</v>
      </c>
      <c r="I5297" s="22">
        <v>0</v>
      </c>
      <c r="J5297" s="24">
        <f t="shared" si="246"/>
        <v>0</v>
      </c>
      <c r="K5297" s="25">
        <f t="shared" si="248"/>
        <v>1.0000000000000009</v>
      </c>
      <c r="L5297" s="27"/>
      <c r="M5297" s="28"/>
      <c r="N5297" s="28"/>
      <c r="O5297" s="20" t="s">
        <v>7530</v>
      </c>
      <c r="P5297" s="27" t="str">
        <f t="shared" si="247"/>
        <v>vermelho</v>
      </c>
    </row>
    <row r="5298" spans="1:16" ht="51">
      <c r="A5298" s="3" t="s">
        <v>4</v>
      </c>
      <c r="B5298" s="3" t="s">
        <v>4119</v>
      </c>
      <c r="C5298" s="4">
        <v>282</v>
      </c>
      <c r="D5298" s="3" t="s">
        <v>12</v>
      </c>
      <c r="E5298" s="3" t="s">
        <v>13</v>
      </c>
      <c r="F5298" s="5">
        <v>72</v>
      </c>
      <c r="G5298" s="5">
        <v>0</v>
      </c>
      <c r="H5298" s="6">
        <v>4739.28</v>
      </c>
      <c r="I5298" s="22">
        <v>0</v>
      </c>
      <c r="J5298" s="24">
        <f t="shared" si="246"/>
        <v>0</v>
      </c>
      <c r="K5298" s="25">
        <f t="shared" si="248"/>
        <v>1.0000000000000009</v>
      </c>
      <c r="L5298" s="27"/>
      <c r="M5298" s="28"/>
      <c r="N5298" s="28"/>
      <c r="O5298" s="20" t="s">
        <v>7530</v>
      </c>
      <c r="P5298" s="27" t="str">
        <f t="shared" si="247"/>
        <v>vermelho</v>
      </c>
    </row>
    <row r="5299" spans="1:16" ht="25.5">
      <c r="A5299" s="3" t="s">
        <v>4</v>
      </c>
      <c r="B5299" s="3" t="s">
        <v>4120</v>
      </c>
      <c r="C5299" s="4">
        <v>30</v>
      </c>
      <c r="D5299" s="3" t="s">
        <v>4121</v>
      </c>
      <c r="E5299" s="3" t="s">
        <v>16</v>
      </c>
      <c r="F5299" s="5">
        <v>0</v>
      </c>
      <c r="G5299" s="5">
        <v>0</v>
      </c>
      <c r="H5299" s="6">
        <v>0</v>
      </c>
      <c r="I5299" s="22">
        <v>0</v>
      </c>
      <c r="J5299" s="24">
        <f t="shared" si="246"/>
        <v>0</v>
      </c>
      <c r="K5299" s="25">
        <f t="shared" si="248"/>
        <v>1.0000000000000009</v>
      </c>
      <c r="L5299" s="27"/>
      <c r="M5299" s="28"/>
      <c r="N5299" s="28"/>
      <c r="O5299" s="20" t="s">
        <v>7530</v>
      </c>
      <c r="P5299" s="27" t="str">
        <f t="shared" si="247"/>
        <v>vermelho</v>
      </c>
    </row>
    <row r="5300" spans="1:16" ht="25.5">
      <c r="A5300" s="3" t="s">
        <v>4</v>
      </c>
      <c r="B5300" s="3" t="s">
        <v>4122</v>
      </c>
      <c r="C5300" s="4">
        <v>273</v>
      </c>
      <c r="D5300" s="3" t="s">
        <v>149</v>
      </c>
      <c r="E5300" s="3" t="s">
        <v>16</v>
      </c>
      <c r="F5300" s="5">
        <v>48</v>
      </c>
      <c r="G5300" s="5">
        <v>0</v>
      </c>
      <c r="H5300" s="6">
        <v>3069.9</v>
      </c>
      <c r="I5300" s="22">
        <v>0</v>
      </c>
      <c r="J5300" s="24">
        <f t="shared" si="246"/>
        <v>0</v>
      </c>
      <c r="K5300" s="25">
        <f t="shared" si="248"/>
        <v>1.0000000000000009</v>
      </c>
      <c r="L5300" s="27"/>
      <c r="M5300" s="28"/>
      <c r="N5300" s="28"/>
      <c r="O5300" s="20" t="s">
        <v>7530</v>
      </c>
      <c r="P5300" s="27" t="str">
        <f t="shared" si="247"/>
        <v>vermelho</v>
      </c>
    </row>
    <row r="5301" spans="1:16" ht="25.5">
      <c r="A5301" s="3" t="s">
        <v>4</v>
      </c>
      <c r="B5301" s="3" t="s">
        <v>4123</v>
      </c>
      <c r="C5301" s="4">
        <v>315</v>
      </c>
      <c r="D5301" s="3" t="s">
        <v>63</v>
      </c>
      <c r="E5301" s="3" t="s">
        <v>7</v>
      </c>
      <c r="F5301" s="5">
        <v>273</v>
      </c>
      <c r="G5301" s="5">
        <v>0</v>
      </c>
      <c r="H5301" s="6">
        <v>15469.862999999999</v>
      </c>
      <c r="I5301" s="22">
        <v>0</v>
      </c>
      <c r="J5301" s="24">
        <f t="shared" si="246"/>
        <v>0</v>
      </c>
      <c r="K5301" s="25">
        <f t="shared" si="248"/>
        <v>1.0000000000000009</v>
      </c>
      <c r="L5301" s="27"/>
      <c r="M5301" s="28"/>
      <c r="N5301" s="28"/>
      <c r="O5301" s="20" t="s">
        <v>7530</v>
      </c>
      <c r="P5301" s="27" t="str">
        <f t="shared" si="247"/>
        <v>vermelho</v>
      </c>
    </row>
    <row r="5302" spans="1:16" ht="38.25">
      <c r="A5302" s="3" t="s">
        <v>4</v>
      </c>
      <c r="B5302" s="3" t="s">
        <v>4124</v>
      </c>
      <c r="C5302" s="4">
        <v>143</v>
      </c>
      <c r="D5302" s="3" t="s">
        <v>44</v>
      </c>
      <c r="E5302" s="3" t="s">
        <v>41</v>
      </c>
      <c r="F5302" s="5">
        <v>48</v>
      </c>
      <c r="G5302" s="5">
        <v>0</v>
      </c>
      <c r="H5302" s="6">
        <v>2984.6880000000001</v>
      </c>
      <c r="I5302" s="22">
        <v>0</v>
      </c>
      <c r="J5302" s="24">
        <f t="shared" si="246"/>
        <v>0</v>
      </c>
      <c r="K5302" s="25">
        <f t="shared" si="248"/>
        <v>1.0000000000000009</v>
      </c>
      <c r="L5302" s="27"/>
      <c r="M5302" s="28"/>
      <c r="N5302" s="28"/>
      <c r="O5302" s="20" t="s">
        <v>7530</v>
      </c>
      <c r="P5302" s="27" t="str">
        <f t="shared" si="247"/>
        <v>vermelho</v>
      </c>
    </row>
    <row r="5303" spans="1:16" ht="25.5">
      <c r="A5303" s="3" t="s">
        <v>4</v>
      </c>
      <c r="B5303" s="3" t="s">
        <v>4125</v>
      </c>
      <c r="C5303" s="4">
        <v>335</v>
      </c>
      <c r="D5303" s="3" t="s">
        <v>36</v>
      </c>
      <c r="E5303" s="3" t="s">
        <v>7</v>
      </c>
      <c r="F5303" s="5">
        <v>0</v>
      </c>
      <c r="G5303" s="5">
        <v>0</v>
      </c>
      <c r="H5303" s="6">
        <v>0</v>
      </c>
      <c r="I5303" s="22">
        <v>0</v>
      </c>
      <c r="J5303" s="24">
        <f t="shared" si="246"/>
        <v>0</v>
      </c>
      <c r="K5303" s="25">
        <f t="shared" si="248"/>
        <v>1.0000000000000009</v>
      </c>
      <c r="L5303" s="27"/>
      <c r="M5303" s="28"/>
      <c r="N5303" s="28"/>
      <c r="O5303" s="20" t="s">
        <v>7530</v>
      </c>
      <c r="P5303" s="27" t="str">
        <f t="shared" si="247"/>
        <v>vermelho</v>
      </c>
    </row>
    <row r="5304" spans="1:16" ht="25.5">
      <c r="A5304" s="3" t="s">
        <v>4</v>
      </c>
      <c r="B5304" s="3" t="s">
        <v>4126</v>
      </c>
      <c r="C5304" s="4">
        <v>41</v>
      </c>
      <c r="D5304" s="3" t="s">
        <v>178</v>
      </c>
      <c r="E5304" s="3" t="s">
        <v>41</v>
      </c>
      <c r="F5304" s="5">
        <v>222</v>
      </c>
      <c r="G5304" s="5">
        <v>0</v>
      </c>
      <c r="H5304" s="6">
        <v>12669.78</v>
      </c>
      <c r="I5304" s="22">
        <v>0</v>
      </c>
      <c r="J5304" s="24">
        <f t="shared" si="246"/>
        <v>0</v>
      </c>
      <c r="K5304" s="25">
        <f t="shared" si="248"/>
        <v>1.0000000000000009</v>
      </c>
      <c r="L5304" s="27"/>
      <c r="M5304" s="28"/>
      <c r="N5304" s="28"/>
      <c r="O5304" s="20" t="s">
        <v>7530</v>
      </c>
      <c r="P5304" s="27" t="str">
        <f t="shared" si="247"/>
        <v>vermelho</v>
      </c>
    </row>
    <row r="5305" spans="1:16">
      <c r="A5305" s="3" t="s">
        <v>4</v>
      </c>
      <c r="B5305" s="3" t="s">
        <v>4127</v>
      </c>
      <c r="C5305" s="4">
        <v>232</v>
      </c>
      <c r="D5305" s="3" t="s">
        <v>174</v>
      </c>
      <c r="E5305" s="3" t="s">
        <v>16</v>
      </c>
      <c r="F5305" s="5">
        <v>60</v>
      </c>
      <c r="G5305" s="5">
        <v>0</v>
      </c>
      <c r="H5305" s="6">
        <v>3090.24</v>
      </c>
      <c r="I5305" s="22">
        <v>0</v>
      </c>
      <c r="J5305" s="24">
        <f t="shared" si="246"/>
        <v>0</v>
      </c>
      <c r="K5305" s="25">
        <f t="shared" si="248"/>
        <v>1.0000000000000009</v>
      </c>
      <c r="L5305" s="27"/>
      <c r="M5305" s="28"/>
      <c r="N5305" s="28"/>
      <c r="O5305" s="20" t="s">
        <v>7530</v>
      </c>
      <c r="P5305" s="27" t="str">
        <f t="shared" si="247"/>
        <v>vermelho</v>
      </c>
    </row>
    <row r="5306" spans="1:16" ht="25.5">
      <c r="A5306" s="3" t="s">
        <v>4</v>
      </c>
      <c r="B5306" s="3" t="s">
        <v>4128</v>
      </c>
      <c r="C5306" s="4">
        <v>270</v>
      </c>
      <c r="D5306" s="3" t="s">
        <v>266</v>
      </c>
      <c r="E5306" s="3" t="s">
        <v>49</v>
      </c>
      <c r="F5306" s="5">
        <v>72</v>
      </c>
      <c r="G5306" s="5">
        <v>0</v>
      </c>
      <c r="H5306" s="6">
        <v>4536.72</v>
      </c>
      <c r="I5306" s="22">
        <v>0</v>
      </c>
      <c r="J5306" s="24">
        <f t="shared" si="246"/>
        <v>0</v>
      </c>
      <c r="K5306" s="25">
        <f t="shared" si="248"/>
        <v>1.0000000000000009</v>
      </c>
      <c r="L5306" s="27"/>
      <c r="M5306" s="28"/>
      <c r="N5306" s="28"/>
      <c r="O5306" s="20">
        <v>24144.39</v>
      </c>
      <c r="P5306" s="27" t="str">
        <f t="shared" si="247"/>
        <v>vermelho</v>
      </c>
    </row>
    <row r="5307" spans="1:16" ht="38.25">
      <c r="A5307" s="3" t="s">
        <v>4</v>
      </c>
      <c r="B5307" s="3" t="s">
        <v>4129</v>
      </c>
      <c r="C5307" s="4">
        <v>299</v>
      </c>
      <c r="D5307" s="3" t="s">
        <v>111</v>
      </c>
      <c r="E5307" s="3" t="s">
        <v>49</v>
      </c>
      <c r="F5307" s="5">
        <v>213</v>
      </c>
      <c r="G5307" s="5">
        <v>0</v>
      </c>
      <c r="H5307" s="6">
        <v>13346.93</v>
      </c>
      <c r="I5307" s="22">
        <v>0</v>
      </c>
      <c r="J5307" s="24">
        <f t="shared" si="246"/>
        <v>0</v>
      </c>
      <c r="K5307" s="25">
        <f t="shared" si="248"/>
        <v>1.0000000000000009</v>
      </c>
      <c r="L5307" s="27"/>
      <c r="M5307" s="28"/>
      <c r="N5307" s="28"/>
      <c r="O5307" s="20" t="s">
        <v>7530</v>
      </c>
      <c r="P5307" s="27" t="str">
        <f t="shared" si="247"/>
        <v>vermelho</v>
      </c>
    </row>
    <row r="5308" spans="1:16" ht="38.25">
      <c r="A5308" s="3" t="s">
        <v>4</v>
      </c>
      <c r="B5308" s="3" t="s">
        <v>4130</v>
      </c>
      <c r="C5308" s="4">
        <v>301</v>
      </c>
      <c r="D5308" s="3" t="s">
        <v>519</v>
      </c>
      <c r="E5308" s="3" t="s">
        <v>16</v>
      </c>
      <c r="F5308" s="5">
        <v>228</v>
      </c>
      <c r="G5308" s="5">
        <v>0</v>
      </c>
      <c r="H5308" s="6">
        <v>14103.48</v>
      </c>
      <c r="I5308" s="22">
        <v>0</v>
      </c>
      <c r="J5308" s="24">
        <f t="shared" si="246"/>
        <v>0</v>
      </c>
      <c r="K5308" s="25">
        <f t="shared" si="248"/>
        <v>1.0000000000000009</v>
      </c>
      <c r="L5308" s="27"/>
      <c r="M5308" s="28"/>
      <c r="N5308" s="28">
        <v>1.6200248610796754E-2</v>
      </c>
      <c r="O5308" s="20">
        <v>3803.04</v>
      </c>
      <c r="P5308" s="27" t="str">
        <f t="shared" si="247"/>
        <v>vermelho</v>
      </c>
    </row>
    <row r="5309" spans="1:16" ht="25.5">
      <c r="A5309" s="3" t="s">
        <v>4</v>
      </c>
      <c r="B5309" s="3" t="s">
        <v>4131</v>
      </c>
      <c r="C5309" s="4">
        <v>273</v>
      </c>
      <c r="D5309" s="3" t="s">
        <v>149</v>
      </c>
      <c r="E5309" s="3" t="s">
        <v>10</v>
      </c>
      <c r="F5309" s="5">
        <v>132</v>
      </c>
      <c r="G5309" s="5">
        <v>0</v>
      </c>
      <c r="H5309" s="6">
        <v>7530</v>
      </c>
      <c r="I5309" s="22">
        <v>0</v>
      </c>
      <c r="J5309" s="24">
        <f t="shared" si="246"/>
        <v>0</v>
      </c>
      <c r="K5309" s="25">
        <f t="shared" si="248"/>
        <v>1.0000000000000009</v>
      </c>
      <c r="L5309" s="27"/>
      <c r="M5309" s="28"/>
      <c r="N5309" s="28"/>
      <c r="O5309" s="20" t="s">
        <v>7530</v>
      </c>
      <c r="P5309" s="27" t="str">
        <f t="shared" si="247"/>
        <v>vermelho</v>
      </c>
    </row>
    <row r="5310" spans="1:16" ht="25.5">
      <c r="A5310" s="3" t="s">
        <v>4</v>
      </c>
      <c r="B5310" s="3" t="s">
        <v>4132</v>
      </c>
      <c r="C5310" s="4">
        <v>61</v>
      </c>
      <c r="D5310" s="3" t="s">
        <v>48</v>
      </c>
      <c r="E5310" s="3" t="s">
        <v>49</v>
      </c>
      <c r="F5310" s="5">
        <v>90</v>
      </c>
      <c r="G5310" s="5">
        <v>0</v>
      </c>
      <c r="H5310" s="6">
        <v>5325.5879999999997</v>
      </c>
      <c r="I5310" s="22">
        <v>0</v>
      </c>
      <c r="J5310" s="24">
        <f t="shared" si="246"/>
        <v>0</v>
      </c>
      <c r="K5310" s="25">
        <f t="shared" si="248"/>
        <v>1.0000000000000009</v>
      </c>
      <c r="L5310" s="27"/>
      <c r="M5310" s="28"/>
      <c r="N5310" s="28"/>
      <c r="O5310" s="20" t="s">
        <v>7530</v>
      </c>
      <c r="P5310" s="27" t="str">
        <f t="shared" si="247"/>
        <v>vermelho</v>
      </c>
    </row>
    <row r="5311" spans="1:16" ht="25.5">
      <c r="A5311" s="3" t="s">
        <v>4</v>
      </c>
      <c r="B5311" s="3" t="s">
        <v>4133</v>
      </c>
      <c r="C5311" s="4">
        <v>261</v>
      </c>
      <c r="D5311" s="3" t="s">
        <v>9</v>
      </c>
      <c r="E5311" s="3" t="s">
        <v>10</v>
      </c>
      <c r="F5311" s="5">
        <v>114</v>
      </c>
      <c r="G5311" s="5">
        <v>0</v>
      </c>
      <c r="H5311" s="6">
        <v>5826.93</v>
      </c>
      <c r="I5311" s="22">
        <v>0</v>
      </c>
      <c r="J5311" s="24">
        <f t="shared" si="246"/>
        <v>0</v>
      </c>
      <c r="K5311" s="25">
        <f t="shared" si="248"/>
        <v>1.0000000000000009</v>
      </c>
      <c r="L5311" s="27"/>
      <c r="M5311" s="28"/>
      <c r="N5311" s="28"/>
      <c r="O5311" s="20" t="s">
        <v>7530</v>
      </c>
      <c r="P5311" s="27" t="str">
        <f t="shared" si="247"/>
        <v>vermelho</v>
      </c>
    </row>
    <row r="5312" spans="1:16" ht="25.5">
      <c r="A5312" s="3" t="s">
        <v>4</v>
      </c>
      <c r="B5312" s="3" t="s">
        <v>4134</v>
      </c>
      <c r="C5312" s="4">
        <v>53</v>
      </c>
      <c r="D5312" s="3" t="s">
        <v>34</v>
      </c>
      <c r="E5312" s="3" t="s">
        <v>16</v>
      </c>
      <c r="F5312" s="5">
        <v>942</v>
      </c>
      <c r="G5312" s="5">
        <v>0</v>
      </c>
      <c r="H5312" s="6">
        <v>45409.14</v>
      </c>
      <c r="I5312" s="22">
        <v>0</v>
      </c>
      <c r="J5312" s="24">
        <f t="shared" si="246"/>
        <v>0</v>
      </c>
      <c r="K5312" s="25">
        <f t="shared" si="248"/>
        <v>1.0000000000000009</v>
      </c>
      <c r="L5312" s="27"/>
      <c r="M5312" s="28"/>
      <c r="N5312" s="28"/>
      <c r="O5312" s="20" t="s">
        <v>7530</v>
      </c>
      <c r="P5312" s="27" t="str">
        <f t="shared" si="247"/>
        <v>vermelho</v>
      </c>
    </row>
    <row r="5313" spans="1:16" ht="25.5">
      <c r="A5313" s="3" t="s">
        <v>4</v>
      </c>
      <c r="B5313" s="3" t="s">
        <v>4135</v>
      </c>
      <c r="C5313" s="4">
        <v>19</v>
      </c>
      <c r="D5313" s="3" t="s">
        <v>72</v>
      </c>
      <c r="E5313" s="3" t="s">
        <v>41</v>
      </c>
      <c r="F5313" s="5">
        <v>69</v>
      </c>
      <c r="G5313" s="5">
        <v>0</v>
      </c>
      <c r="H5313" s="6">
        <v>4781.3100000000004</v>
      </c>
      <c r="I5313" s="22">
        <v>0</v>
      </c>
      <c r="J5313" s="24">
        <f t="shared" si="246"/>
        <v>0</v>
      </c>
      <c r="K5313" s="25">
        <f t="shared" si="248"/>
        <v>1.0000000000000009</v>
      </c>
      <c r="L5313" s="27"/>
      <c r="M5313" s="28"/>
      <c r="N5313" s="28"/>
      <c r="O5313" s="20" t="s">
        <v>7530</v>
      </c>
      <c r="P5313" s="27" t="str">
        <f t="shared" si="247"/>
        <v>vermelho</v>
      </c>
    </row>
    <row r="5314" spans="1:16" ht="25.5">
      <c r="A5314" s="3" t="s">
        <v>4</v>
      </c>
      <c r="B5314" s="3" t="s">
        <v>4136</v>
      </c>
      <c r="C5314" s="4">
        <v>194</v>
      </c>
      <c r="D5314" s="3" t="s">
        <v>145</v>
      </c>
      <c r="E5314" s="3" t="s">
        <v>16</v>
      </c>
      <c r="F5314" s="5">
        <v>61</v>
      </c>
      <c r="G5314" s="5">
        <v>0</v>
      </c>
      <c r="H5314" s="6">
        <v>3876.95</v>
      </c>
      <c r="I5314" s="22">
        <v>0</v>
      </c>
      <c r="J5314" s="24">
        <f t="shared" si="246"/>
        <v>0</v>
      </c>
      <c r="K5314" s="25">
        <f t="shared" si="248"/>
        <v>1.0000000000000009</v>
      </c>
      <c r="L5314" s="27"/>
      <c r="M5314" s="28"/>
      <c r="N5314" s="28"/>
      <c r="O5314" s="20" t="s">
        <v>7530</v>
      </c>
      <c r="P5314" s="27" t="str">
        <f t="shared" si="247"/>
        <v>vermelho</v>
      </c>
    </row>
    <row r="5315" spans="1:16" ht="51">
      <c r="A5315" s="3" t="s">
        <v>4</v>
      </c>
      <c r="B5315" s="3" t="s">
        <v>4137</v>
      </c>
      <c r="C5315" s="4">
        <v>282</v>
      </c>
      <c r="D5315" s="3" t="s">
        <v>12</v>
      </c>
      <c r="E5315" s="3" t="s">
        <v>13</v>
      </c>
      <c r="F5315" s="5">
        <v>342</v>
      </c>
      <c r="G5315" s="5">
        <v>0</v>
      </c>
      <c r="H5315" s="6">
        <v>14374.68</v>
      </c>
      <c r="I5315" s="22">
        <v>0</v>
      </c>
      <c r="J5315" s="24">
        <f t="shared" ref="J5315:J5378" si="249">I5315/$I$6364</f>
        <v>0</v>
      </c>
      <c r="K5315" s="25">
        <f t="shared" si="248"/>
        <v>1.0000000000000009</v>
      </c>
      <c r="L5315" s="27"/>
      <c r="M5315" s="28"/>
      <c r="N5315" s="28"/>
      <c r="O5315" s="20" t="s">
        <v>7530</v>
      </c>
      <c r="P5315" s="27" t="str">
        <f t="shared" ref="P5315:P5378" si="250">IF(O5315&lt;=0,"vermelho",IFERROR(IF(O5315/I5315&lt;=0.5098,"amarelo",IF(O5315/I5315&lt;1,"laranja","verde")),"vermelho"))</f>
        <v>vermelho</v>
      </c>
    </row>
    <row r="5316" spans="1:16" ht="25.5">
      <c r="A5316" s="3" t="s">
        <v>4</v>
      </c>
      <c r="B5316" s="3" t="s">
        <v>4138</v>
      </c>
      <c r="C5316" s="4">
        <v>266</v>
      </c>
      <c r="D5316" s="3" t="s">
        <v>80</v>
      </c>
      <c r="E5316" s="3" t="s">
        <v>10</v>
      </c>
      <c r="F5316" s="5">
        <v>318</v>
      </c>
      <c r="G5316" s="5">
        <v>0</v>
      </c>
      <c r="H5316" s="6">
        <v>17813.849999999999</v>
      </c>
      <c r="I5316" s="22">
        <v>0</v>
      </c>
      <c r="J5316" s="24">
        <f t="shared" si="249"/>
        <v>0</v>
      </c>
      <c r="K5316" s="25">
        <f t="shared" ref="K5316:K5379" si="251">J5316+K5315</f>
        <v>1.0000000000000009</v>
      </c>
      <c r="L5316" s="27"/>
      <c r="M5316" s="28"/>
      <c r="N5316" s="28"/>
      <c r="O5316" s="20" t="s">
        <v>7530</v>
      </c>
      <c r="P5316" s="27" t="str">
        <f t="shared" si="250"/>
        <v>vermelho</v>
      </c>
    </row>
    <row r="5317" spans="1:16" ht="25.5">
      <c r="A5317" s="3" t="s">
        <v>4</v>
      </c>
      <c r="B5317" s="3" t="s">
        <v>4139</v>
      </c>
      <c r="C5317" s="4">
        <v>328</v>
      </c>
      <c r="D5317" s="3" t="s">
        <v>215</v>
      </c>
      <c r="E5317" s="3" t="s">
        <v>41</v>
      </c>
      <c r="F5317" s="5">
        <v>312</v>
      </c>
      <c r="G5317" s="5">
        <v>0</v>
      </c>
      <c r="H5317" s="6">
        <v>17686.740000000002</v>
      </c>
      <c r="I5317" s="22">
        <v>0</v>
      </c>
      <c r="J5317" s="24">
        <f t="shared" si="249"/>
        <v>0</v>
      </c>
      <c r="K5317" s="25">
        <f t="shared" si="251"/>
        <v>1.0000000000000009</v>
      </c>
      <c r="L5317" s="27"/>
      <c r="M5317" s="28"/>
      <c r="N5317" s="28"/>
      <c r="O5317" s="20" t="s">
        <v>7530</v>
      </c>
      <c r="P5317" s="27" t="str">
        <f t="shared" si="250"/>
        <v>vermelho</v>
      </c>
    </row>
    <row r="5318" spans="1:16" ht="25.5">
      <c r="A5318" s="3" t="s">
        <v>4</v>
      </c>
      <c r="B5318" s="3" t="s">
        <v>4140</v>
      </c>
      <c r="C5318" s="4">
        <v>315</v>
      </c>
      <c r="D5318" s="3" t="s">
        <v>63</v>
      </c>
      <c r="E5318" s="3" t="s">
        <v>7</v>
      </c>
      <c r="F5318" s="5">
        <v>255</v>
      </c>
      <c r="G5318" s="5">
        <v>0</v>
      </c>
      <c r="H5318" s="6">
        <v>11974.356</v>
      </c>
      <c r="I5318" s="22">
        <v>0</v>
      </c>
      <c r="J5318" s="24">
        <f t="shared" si="249"/>
        <v>0</v>
      </c>
      <c r="K5318" s="25">
        <f t="shared" si="251"/>
        <v>1.0000000000000009</v>
      </c>
      <c r="L5318" s="27"/>
      <c r="M5318" s="28"/>
      <c r="N5318" s="28"/>
      <c r="O5318" s="20" t="s">
        <v>7530</v>
      </c>
      <c r="P5318" s="27" t="str">
        <f t="shared" si="250"/>
        <v>vermelho</v>
      </c>
    </row>
    <row r="5319" spans="1:16" ht="25.5">
      <c r="A5319" s="3" t="s">
        <v>4</v>
      </c>
      <c r="B5319" s="3" t="s">
        <v>4141</v>
      </c>
      <c r="C5319" s="4">
        <v>317</v>
      </c>
      <c r="D5319" s="3" t="s">
        <v>78</v>
      </c>
      <c r="E5319" s="3" t="s">
        <v>10</v>
      </c>
      <c r="F5319" s="5">
        <v>732</v>
      </c>
      <c r="G5319" s="5">
        <v>0</v>
      </c>
      <c r="H5319" s="6">
        <v>25367.16</v>
      </c>
      <c r="I5319" s="22">
        <v>0</v>
      </c>
      <c r="J5319" s="24">
        <f t="shared" si="249"/>
        <v>0</v>
      </c>
      <c r="K5319" s="25">
        <f t="shared" si="251"/>
        <v>1.0000000000000009</v>
      </c>
      <c r="L5319" s="27"/>
      <c r="M5319" s="28"/>
      <c r="N5319" s="28"/>
      <c r="O5319" s="20" t="s">
        <v>7530</v>
      </c>
      <c r="P5319" s="27" t="str">
        <f t="shared" si="250"/>
        <v>vermelho</v>
      </c>
    </row>
    <row r="5320" spans="1:16" ht="25.5">
      <c r="A5320" s="3" t="s">
        <v>4</v>
      </c>
      <c r="B5320" s="3" t="s">
        <v>4142</v>
      </c>
      <c r="C5320" s="4">
        <v>74</v>
      </c>
      <c r="D5320" s="3" t="s">
        <v>6</v>
      </c>
      <c r="E5320" s="3" t="s">
        <v>7</v>
      </c>
      <c r="F5320" s="5">
        <v>72</v>
      </c>
      <c r="G5320" s="5">
        <v>0</v>
      </c>
      <c r="H5320" s="6">
        <v>3046.8</v>
      </c>
      <c r="I5320" s="22">
        <v>0</v>
      </c>
      <c r="J5320" s="24">
        <f t="shared" si="249"/>
        <v>0</v>
      </c>
      <c r="K5320" s="25">
        <f t="shared" si="251"/>
        <v>1.0000000000000009</v>
      </c>
      <c r="L5320" s="27"/>
      <c r="M5320" s="28"/>
      <c r="N5320" s="28"/>
      <c r="O5320" s="20" t="s">
        <v>7530</v>
      </c>
      <c r="P5320" s="27" t="str">
        <f t="shared" si="250"/>
        <v>vermelho</v>
      </c>
    </row>
    <row r="5321" spans="1:16" ht="25.5">
      <c r="A5321" s="3" t="s">
        <v>4</v>
      </c>
      <c r="B5321" s="3" t="s">
        <v>4143</v>
      </c>
      <c r="C5321" s="4">
        <v>296</v>
      </c>
      <c r="D5321" s="3" t="s">
        <v>282</v>
      </c>
      <c r="E5321" s="3" t="s">
        <v>16</v>
      </c>
      <c r="F5321" s="5">
        <v>81</v>
      </c>
      <c r="G5321" s="5">
        <v>0</v>
      </c>
      <c r="H5321" s="6">
        <v>3689.88</v>
      </c>
      <c r="I5321" s="22">
        <v>0</v>
      </c>
      <c r="J5321" s="24">
        <f t="shared" si="249"/>
        <v>0</v>
      </c>
      <c r="K5321" s="25">
        <f t="shared" si="251"/>
        <v>1.0000000000000009</v>
      </c>
      <c r="L5321" s="27"/>
      <c r="M5321" s="28"/>
      <c r="N5321" s="28"/>
      <c r="O5321" s="20" t="s">
        <v>7530</v>
      </c>
      <c r="P5321" s="27" t="str">
        <f t="shared" si="250"/>
        <v>vermelho</v>
      </c>
    </row>
    <row r="5322" spans="1:16" ht="38.25">
      <c r="A5322" s="3" t="s">
        <v>4</v>
      </c>
      <c r="B5322" s="3" t="s">
        <v>4144</v>
      </c>
      <c r="C5322" s="4">
        <v>93</v>
      </c>
      <c r="D5322" s="3" t="s">
        <v>20</v>
      </c>
      <c r="E5322" s="3" t="s">
        <v>7</v>
      </c>
      <c r="F5322" s="5">
        <v>60</v>
      </c>
      <c r="G5322" s="5">
        <v>0</v>
      </c>
      <c r="H5322" s="6">
        <v>3419.4</v>
      </c>
      <c r="I5322" s="22">
        <v>0</v>
      </c>
      <c r="J5322" s="24">
        <f t="shared" si="249"/>
        <v>0</v>
      </c>
      <c r="K5322" s="25">
        <f t="shared" si="251"/>
        <v>1.0000000000000009</v>
      </c>
      <c r="L5322" s="27"/>
      <c r="M5322" s="28"/>
      <c r="N5322" s="28"/>
      <c r="O5322" s="20" t="s">
        <v>7530</v>
      </c>
      <c r="P5322" s="27" t="str">
        <f t="shared" si="250"/>
        <v>vermelho</v>
      </c>
    </row>
    <row r="5323" spans="1:16" ht="25.5">
      <c r="A5323" s="3" t="s">
        <v>4</v>
      </c>
      <c r="B5323" s="3" t="s">
        <v>4145</v>
      </c>
      <c r="C5323" s="4">
        <v>217</v>
      </c>
      <c r="D5323" s="3" t="s">
        <v>91</v>
      </c>
      <c r="E5323" s="3" t="s">
        <v>16</v>
      </c>
      <c r="F5323" s="5">
        <v>300</v>
      </c>
      <c r="G5323" s="5">
        <v>0</v>
      </c>
      <c r="H5323" s="6">
        <v>18528.990000000002</v>
      </c>
      <c r="I5323" s="22">
        <v>0</v>
      </c>
      <c r="J5323" s="24">
        <f t="shared" si="249"/>
        <v>0</v>
      </c>
      <c r="K5323" s="25">
        <f t="shared" si="251"/>
        <v>1.0000000000000009</v>
      </c>
      <c r="L5323" s="27"/>
      <c r="M5323" s="28"/>
      <c r="N5323" s="28"/>
      <c r="O5323" s="20" t="s">
        <v>7530</v>
      </c>
      <c r="P5323" s="27" t="str">
        <f t="shared" si="250"/>
        <v>vermelho</v>
      </c>
    </row>
    <row r="5324" spans="1:16" ht="25.5">
      <c r="A5324" s="3" t="s">
        <v>4</v>
      </c>
      <c r="B5324" s="3" t="s">
        <v>4146</v>
      </c>
      <c r="C5324" s="4">
        <v>267</v>
      </c>
      <c r="D5324" s="3" t="s">
        <v>125</v>
      </c>
      <c r="E5324" s="3" t="s">
        <v>16</v>
      </c>
      <c r="F5324" s="5">
        <v>60</v>
      </c>
      <c r="G5324" s="5">
        <v>0</v>
      </c>
      <c r="H5324" s="6">
        <v>3563.4</v>
      </c>
      <c r="I5324" s="22">
        <v>0</v>
      </c>
      <c r="J5324" s="24">
        <f t="shared" si="249"/>
        <v>0</v>
      </c>
      <c r="K5324" s="25">
        <f t="shared" si="251"/>
        <v>1.0000000000000009</v>
      </c>
      <c r="L5324" s="27"/>
      <c r="M5324" s="28"/>
      <c r="N5324" s="28"/>
      <c r="O5324" s="20" t="s">
        <v>7530</v>
      </c>
      <c r="P5324" s="27" t="str">
        <f t="shared" si="250"/>
        <v>vermelho</v>
      </c>
    </row>
    <row r="5325" spans="1:16" ht="25.5">
      <c r="A5325" s="3" t="s">
        <v>4</v>
      </c>
      <c r="B5325" s="3" t="s">
        <v>4147</v>
      </c>
      <c r="C5325" s="4">
        <v>53</v>
      </c>
      <c r="D5325" s="3" t="s">
        <v>34</v>
      </c>
      <c r="E5325" s="3" t="s">
        <v>16</v>
      </c>
      <c r="F5325" s="5">
        <v>312</v>
      </c>
      <c r="G5325" s="5">
        <v>0</v>
      </c>
      <c r="H5325" s="6">
        <v>15850.68</v>
      </c>
      <c r="I5325" s="22">
        <v>0</v>
      </c>
      <c r="J5325" s="24">
        <f t="shared" si="249"/>
        <v>0</v>
      </c>
      <c r="K5325" s="25">
        <f t="shared" si="251"/>
        <v>1.0000000000000009</v>
      </c>
      <c r="L5325" s="27"/>
      <c r="M5325" s="28"/>
      <c r="N5325" s="28"/>
      <c r="O5325" s="20" t="s">
        <v>7530</v>
      </c>
      <c r="P5325" s="27" t="str">
        <f t="shared" si="250"/>
        <v>vermelho</v>
      </c>
    </row>
    <row r="5326" spans="1:16" ht="25.5">
      <c r="A5326" s="3" t="s">
        <v>4</v>
      </c>
      <c r="B5326" s="3" t="s">
        <v>4148</v>
      </c>
      <c r="C5326" s="4">
        <v>296</v>
      </c>
      <c r="D5326" s="3" t="s">
        <v>282</v>
      </c>
      <c r="E5326" s="3" t="s">
        <v>16</v>
      </c>
      <c r="F5326" s="5">
        <v>114</v>
      </c>
      <c r="G5326" s="5">
        <v>0</v>
      </c>
      <c r="H5326" s="6">
        <v>7716.66</v>
      </c>
      <c r="I5326" s="22">
        <v>0</v>
      </c>
      <c r="J5326" s="24">
        <f t="shared" si="249"/>
        <v>0</v>
      </c>
      <c r="K5326" s="25">
        <f t="shared" si="251"/>
        <v>1.0000000000000009</v>
      </c>
      <c r="L5326" s="27"/>
      <c r="M5326" s="28"/>
      <c r="N5326" s="28"/>
      <c r="O5326" s="20" t="s">
        <v>7530</v>
      </c>
      <c r="P5326" s="27" t="str">
        <f t="shared" si="250"/>
        <v>vermelho</v>
      </c>
    </row>
    <row r="5327" spans="1:16" ht="25.5">
      <c r="A5327" s="3" t="s">
        <v>4</v>
      </c>
      <c r="B5327" s="3" t="s">
        <v>4149</v>
      </c>
      <c r="C5327" s="4">
        <v>299</v>
      </c>
      <c r="D5327" s="3" t="s">
        <v>111</v>
      </c>
      <c r="E5327" s="3" t="s">
        <v>49</v>
      </c>
      <c r="F5327" s="5">
        <v>252</v>
      </c>
      <c r="G5327" s="5">
        <v>0</v>
      </c>
      <c r="H5327" s="6">
        <v>11982.96</v>
      </c>
      <c r="I5327" s="22">
        <v>0</v>
      </c>
      <c r="J5327" s="24">
        <f t="shared" si="249"/>
        <v>0</v>
      </c>
      <c r="K5327" s="25">
        <f t="shared" si="251"/>
        <v>1.0000000000000009</v>
      </c>
      <c r="L5327" s="27"/>
      <c r="M5327" s="28"/>
      <c r="N5327" s="28"/>
      <c r="O5327" s="20" t="s">
        <v>7530</v>
      </c>
      <c r="P5327" s="27" t="str">
        <f t="shared" si="250"/>
        <v>vermelho</v>
      </c>
    </row>
    <row r="5328" spans="1:16" ht="51">
      <c r="A5328" s="3" t="s">
        <v>4</v>
      </c>
      <c r="B5328" s="3" t="s">
        <v>4150</v>
      </c>
      <c r="C5328" s="4">
        <v>282</v>
      </c>
      <c r="D5328" s="3" t="s">
        <v>12</v>
      </c>
      <c r="E5328" s="3" t="s">
        <v>13</v>
      </c>
      <c r="F5328" s="5">
        <v>36</v>
      </c>
      <c r="G5328" s="5">
        <v>0</v>
      </c>
      <c r="H5328" s="6">
        <v>2089.4760000000001</v>
      </c>
      <c r="I5328" s="22">
        <v>0</v>
      </c>
      <c r="J5328" s="24">
        <f t="shared" si="249"/>
        <v>0</v>
      </c>
      <c r="K5328" s="25">
        <f t="shared" si="251"/>
        <v>1.0000000000000009</v>
      </c>
      <c r="L5328" s="27"/>
      <c r="M5328" s="28"/>
      <c r="N5328" s="28"/>
      <c r="O5328" s="20" t="s">
        <v>7530</v>
      </c>
      <c r="P5328" s="27" t="str">
        <f t="shared" si="250"/>
        <v>vermelho</v>
      </c>
    </row>
    <row r="5329" spans="1:16" ht="25.5">
      <c r="A5329" s="3" t="s">
        <v>4</v>
      </c>
      <c r="B5329" s="3" t="s">
        <v>4151</v>
      </c>
      <c r="C5329" s="4">
        <v>194</v>
      </c>
      <c r="D5329" s="3" t="s">
        <v>145</v>
      </c>
      <c r="E5329" s="3" t="s">
        <v>16</v>
      </c>
      <c r="F5329" s="5">
        <v>48</v>
      </c>
      <c r="G5329" s="5">
        <v>0</v>
      </c>
      <c r="H5329" s="6">
        <v>3131.28</v>
      </c>
      <c r="I5329" s="22">
        <v>0</v>
      </c>
      <c r="J5329" s="24">
        <f t="shared" si="249"/>
        <v>0</v>
      </c>
      <c r="K5329" s="25">
        <f t="shared" si="251"/>
        <v>1.0000000000000009</v>
      </c>
      <c r="L5329" s="27"/>
      <c r="M5329" s="28"/>
      <c r="N5329" s="28"/>
      <c r="O5329" s="20" t="s">
        <v>7530</v>
      </c>
      <c r="P5329" s="27" t="str">
        <f t="shared" si="250"/>
        <v>vermelho</v>
      </c>
    </row>
    <row r="5330" spans="1:16" ht="25.5">
      <c r="A5330" s="3" t="s">
        <v>4</v>
      </c>
      <c r="B5330" s="3" t="s">
        <v>4152</v>
      </c>
      <c r="C5330" s="4">
        <v>270</v>
      </c>
      <c r="D5330" s="3" t="s">
        <v>266</v>
      </c>
      <c r="E5330" s="3" t="s">
        <v>49</v>
      </c>
      <c r="F5330" s="5">
        <v>60</v>
      </c>
      <c r="G5330" s="5">
        <v>0</v>
      </c>
      <c r="H5330" s="6">
        <v>3743.4</v>
      </c>
      <c r="I5330" s="22">
        <v>0</v>
      </c>
      <c r="J5330" s="24">
        <f t="shared" si="249"/>
        <v>0</v>
      </c>
      <c r="K5330" s="25">
        <f t="shared" si="251"/>
        <v>1.0000000000000009</v>
      </c>
      <c r="L5330" s="27"/>
      <c r="M5330" s="28"/>
      <c r="N5330" s="28"/>
      <c r="O5330" s="20" t="s">
        <v>7530</v>
      </c>
      <c r="P5330" s="27" t="str">
        <f t="shared" si="250"/>
        <v>vermelho</v>
      </c>
    </row>
    <row r="5331" spans="1:16" ht="25.5">
      <c r="A5331" s="3" t="s">
        <v>4</v>
      </c>
      <c r="B5331" s="3" t="s">
        <v>4153</v>
      </c>
      <c r="C5331" s="4">
        <v>231</v>
      </c>
      <c r="D5331" s="3" t="s">
        <v>52</v>
      </c>
      <c r="E5331" s="3" t="s">
        <v>7</v>
      </c>
      <c r="F5331" s="5">
        <v>315</v>
      </c>
      <c r="G5331" s="5">
        <v>0</v>
      </c>
      <c r="H5331" s="6">
        <v>16362.414000000001</v>
      </c>
      <c r="I5331" s="22">
        <v>0</v>
      </c>
      <c r="J5331" s="24">
        <f t="shared" si="249"/>
        <v>0</v>
      </c>
      <c r="K5331" s="25">
        <f t="shared" si="251"/>
        <v>1.0000000000000009</v>
      </c>
      <c r="L5331" s="27"/>
      <c r="M5331" s="28"/>
      <c r="N5331" s="28"/>
      <c r="O5331" s="20" t="s">
        <v>7530</v>
      </c>
      <c r="P5331" s="27" t="str">
        <f t="shared" si="250"/>
        <v>vermelho</v>
      </c>
    </row>
    <row r="5332" spans="1:16" ht="38.25">
      <c r="A5332" s="3" t="s">
        <v>4</v>
      </c>
      <c r="B5332" s="3" t="s">
        <v>4154</v>
      </c>
      <c r="C5332" s="4">
        <v>45</v>
      </c>
      <c r="D5332" s="3" t="s">
        <v>23</v>
      </c>
      <c r="E5332" s="3" t="s">
        <v>7</v>
      </c>
      <c r="F5332" s="5">
        <v>204</v>
      </c>
      <c r="G5332" s="5">
        <v>0</v>
      </c>
      <c r="H5332" s="6">
        <v>12305.88</v>
      </c>
      <c r="I5332" s="22">
        <v>0</v>
      </c>
      <c r="J5332" s="24">
        <f t="shared" si="249"/>
        <v>0</v>
      </c>
      <c r="K5332" s="25">
        <f t="shared" si="251"/>
        <v>1.0000000000000009</v>
      </c>
      <c r="L5332" s="27"/>
      <c r="M5332" s="28"/>
      <c r="N5332" s="28"/>
      <c r="O5332" s="20" t="s">
        <v>7530</v>
      </c>
      <c r="P5332" s="27" t="str">
        <f t="shared" si="250"/>
        <v>vermelho</v>
      </c>
    </row>
    <row r="5333" spans="1:16" ht="38.25">
      <c r="A5333" s="3" t="s">
        <v>4</v>
      </c>
      <c r="B5333" s="3" t="s">
        <v>4155</v>
      </c>
      <c r="C5333" s="4">
        <v>371</v>
      </c>
      <c r="D5333" s="3" t="s">
        <v>82</v>
      </c>
      <c r="E5333" s="3" t="s">
        <v>49</v>
      </c>
      <c r="F5333" s="5">
        <v>120</v>
      </c>
      <c r="G5333" s="5">
        <v>0</v>
      </c>
      <c r="H5333" s="6">
        <v>5386.8</v>
      </c>
      <c r="I5333" s="22">
        <v>0</v>
      </c>
      <c r="J5333" s="24">
        <f t="shared" si="249"/>
        <v>0</v>
      </c>
      <c r="K5333" s="25">
        <f t="shared" si="251"/>
        <v>1.0000000000000009</v>
      </c>
      <c r="L5333" s="27"/>
      <c r="M5333" s="28"/>
      <c r="N5333" s="28"/>
      <c r="O5333" s="20" t="s">
        <v>7530</v>
      </c>
      <c r="P5333" s="27" t="str">
        <f t="shared" si="250"/>
        <v>vermelho</v>
      </c>
    </row>
    <row r="5334" spans="1:16" ht="25.5">
      <c r="A5334" s="3" t="s">
        <v>4</v>
      </c>
      <c r="B5334" s="3" t="s">
        <v>4156</v>
      </c>
      <c r="C5334" s="4">
        <v>267</v>
      </c>
      <c r="D5334" s="3" t="s">
        <v>125</v>
      </c>
      <c r="E5334" s="3" t="s">
        <v>16</v>
      </c>
      <c r="F5334" s="5">
        <v>432</v>
      </c>
      <c r="G5334" s="5">
        <v>0</v>
      </c>
      <c r="H5334" s="6">
        <v>22225.200000000001</v>
      </c>
      <c r="I5334" s="22">
        <v>0</v>
      </c>
      <c r="J5334" s="24">
        <f t="shared" si="249"/>
        <v>0</v>
      </c>
      <c r="K5334" s="25">
        <f t="shared" si="251"/>
        <v>1.0000000000000009</v>
      </c>
      <c r="L5334" s="27"/>
      <c r="M5334" s="28"/>
      <c r="N5334" s="28"/>
      <c r="O5334" s="20" t="s">
        <v>7530</v>
      </c>
      <c r="P5334" s="27" t="str">
        <f t="shared" si="250"/>
        <v>vermelho</v>
      </c>
    </row>
    <row r="5335" spans="1:16" ht="25.5">
      <c r="A5335" s="3" t="s">
        <v>4</v>
      </c>
      <c r="B5335" s="3" t="s">
        <v>4157</v>
      </c>
      <c r="C5335" s="4">
        <v>273</v>
      </c>
      <c r="D5335" s="3" t="s">
        <v>149</v>
      </c>
      <c r="E5335" s="3" t="s">
        <v>16</v>
      </c>
      <c r="F5335" s="5">
        <v>180</v>
      </c>
      <c r="G5335" s="5">
        <v>0</v>
      </c>
      <c r="H5335" s="6">
        <v>8814.99</v>
      </c>
      <c r="I5335" s="22">
        <v>0</v>
      </c>
      <c r="J5335" s="24">
        <f t="shared" si="249"/>
        <v>0</v>
      </c>
      <c r="K5335" s="25">
        <f t="shared" si="251"/>
        <v>1.0000000000000009</v>
      </c>
      <c r="L5335" s="27"/>
      <c r="M5335" s="28"/>
      <c r="N5335" s="28"/>
      <c r="O5335" s="20" t="s">
        <v>7530</v>
      </c>
      <c r="P5335" s="27" t="str">
        <f t="shared" si="250"/>
        <v>vermelho</v>
      </c>
    </row>
    <row r="5336" spans="1:16" ht="25.5">
      <c r="A5336" s="3" t="s">
        <v>4</v>
      </c>
      <c r="B5336" s="3" t="s">
        <v>4158</v>
      </c>
      <c r="C5336" s="4">
        <v>218</v>
      </c>
      <c r="D5336" s="3" t="s">
        <v>104</v>
      </c>
      <c r="E5336" s="3" t="s">
        <v>16</v>
      </c>
      <c r="F5336" s="5">
        <v>96</v>
      </c>
      <c r="G5336" s="5">
        <v>0</v>
      </c>
      <c r="H5336" s="6">
        <v>5015.04</v>
      </c>
      <c r="I5336" s="22">
        <v>0</v>
      </c>
      <c r="J5336" s="24">
        <f t="shared" si="249"/>
        <v>0</v>
      </c>
      <c r="K5336" s="25">
        <f t="shared" si="251"/>
        <v>1.0000000000000009</v>
      </c>
      <c r="L5336" s="27"/>
      <c r="M5336" s="28"/>
      <c r="N5336" s="28"/>
      <c r="O5336" s="20" t="s">
        <v>7530</v>
      </c>
      <c r="P5336" s="27" t="str">
        <f t="shared" si="250"/>
        <v>vermelho</v>
      </c>
    </row>
    <row r="5337" spans="1:16" ht="38.25">
      <c r="A5337" s="3" t="s">
        <v>4</v>
      </c>
      <c r="B5337" s="3" t="s">
        <v>4159</v>
      </c>
      <c r="C5337" s="4">
        <v>143</v>
      </c>
      <c r="D5337" s="3" t="s">
        <v>44</v>
      </c>
      <c r="E5337" s="3" t="s">
        <v>41</v>
      </c>
      <c r="F5337" s="5">
        <v>174</v>
      </c>
      <c r="G5337" s="5">
        <v>0</v>
      </c>
      <c r="H5337" s="6">
        <v>11809.8</v>
      </c>
      <c r="I5337" s="22">
        <v>0</v>
      </c>
      <c r="J5337" s="24">
        <f t="shared" si="249"/>
        <v>0</v>
      </c>
      <c r="K5337" s="25">
        <f t="shared" si="251"/>
        <v>1.0000000000000009</v>
      </c>
      <c r="L5337" s="27"/>
      <c r="M5337" s="28"/>
      <c r="N5337" s="28"/>
      <c r="O5337" s="20" t="s">
        <v>7530</v>
      </c>
      <c r="P5337" s="27" t="str">
        <f t="shared" si="250"/>
        <v>vermelho</v>
      </c>
    </row>
    <row r="5338" spans="1:16" ht="25.5">
      <c r="A5338" s="3" t="s">
        <v>4</v>
      </c>
      <c r="B5338" s="3" t="s">
        <v>4160</v>
      </c>
      <c r="C5338" s="4">
        <v>328</v>
      </c>
      <c r="D5338" s="3" t="s">
        <v>215</v>
      </c>
      <c r="E5338" s="3" t="s">
        <v>41</v>
      </c>
      <c r="F5338" s="5">
        <v>84</v>
      </c>
      <c r="G5338" s="5">
        <v>0</v>
      </c>
      <c r="H5338" s="6">
        <v>3723.4079999999999</v>
      </c>
      <c r="I5338" s="22">
        <v>0</v>
      </c>
      <c r="J5338" s="24">
        <f t="shared" si="249"/>
        <v>0</v>
      </c>
      <c r="K5338" s="25">
        <f t="shared" si="251"/>
        <v>1.0000000000000009</v>
      </c>
      <c r="L5338" s="27"/>
      <c r="M5338" s="28"/>
      <c r="N5338" s="28"/>
      <c r="O5338" s="20" t="s">
        <v>7530</v>
      </c>
      <c r="P5338" s="27" t="str">
        <f t="shared" si="250"/>
        <v>vermelho</v>
      </c>
    </row>
    <row r="5339" spans="1:16" ht="25.5">
      <c r="A5339" s="3" t="s">
        <v>4</v>
      </c>
      <c r="B5339" s="3" t="s">
        <v>4161</v>
      </c>
      <c r="C5339" s="4">
        <v>93</v>
      </c>
      <c r="D5339" s="3" t="s">
        <v>20</v>
      </c>
      <c r="E5339" s="3" t="s">
        <v>7</v>
      </c>
      <c r="F5339" s="5">
        <v>333</v>
      </c>
      <c r="G5339" s="5">
        <v>0</v>
      </c>
      <c r="H5339" s="6">
        <v>21333.39</v>
      </c>
      <c r="I5339" s="22">
        <v>0</v>
      </c>
      <c r="J5339" s="24">
        <f t="shared" si="249"/>
        <v>0</v>
      </c>
      <c r="K5339" s="25">
        <f t="shared" si="251"/>
        <v>1.0000000000000009</v>
      </c>
      <c r="L5339" s="27"/>
      <c r="M5339" s="28"/>
      <c r="N5339" s="28"/>
      <c r="O5339" s="20" t="s">
        <v>7530</v>
      </c>
      <c r="P5339" s="27" t="str">
        <f t="shared" si="250"/>
        <v>vermelho</v>
      </c>
    </row>
    <row r="5340" spans="1:16" ht="25.5">
      <c r="A5340" s="3" t="s">
        <v>4</v>
      </c>
      <c r="B5340" s="3" t="s">
        <v>4162</v>
      </c>
      <c r="C5340" s="4">
        <v>232</v>
      </c>
      <c r="D5340" s="3" t="s">
        <v>174</v>
      </c>
      <c r="E5340" s="3" t="s">
        <v>16</v>
      </c>
      <c r="F5340" s="5">
        <v>168</v>
      </c>
      <c r="G5340" s="5">
        <v>0</v>
      </c>
      <c r="H5340" s="6">
        <v>8208.24</v>
      </c>
      <c r="I5340" s="22">
        <v>0</v>
      </c>
      <c r="J5340" s="24">
        <f t="shared" si="249"/>
        <v>0</v>
      </c>
      <c r="K5340" s="25">
        <f t="shared" si="251"/>
        <v>1.0000000000000009</v>
      </c>
      <c r="L5340" s="27"/>
      <c r="M5340" s="28"/>
      <c r="N5340" s="28"/>
      <c r="O5340" s="20" t="s">
        <v>7530</v>
      </c>
      <c r="P5340" s="27" t="str">
        <f t="shared" si="250"/>
        <v>vermelho</v>
      </c>
    </row>
    <row r="5341" spans="1:16" ht="25.5">
      <c r="A5341" s="3" t="s">
        <v>4</v>
      </c>
      <c r="B5341" s="3" t="s">
        <v>4163</v>
      </c>
      <c r="C5341" s="4">
        <v>297</v>
      </c>
      <c r="D5341" s="3" t="s">
        <v>115</v>
      </c>
      <c r="E5341" s="3" t="s">
        <v>41</v>
      </c>
      <c r="F5341" s="5">
        <v>300</v>
      </c>
      <c r="G5341" s="5">
        <v>0</v>
      </c>
      <c r="H5341" s="6">
        <v>19611.36</v>
      </c>
      <c r="I5341" s="22">
        <v>0</v>
      </c>
      <c r="J5341" s="24">
        <f t="shared" si="249"/>
        <v>0</v>
      </c>
      <c r="K5341" s="25">
        <f t="shared" si="251"/>
        <v>1.0000000000000009</v>
      </c>
      <c r="L5341" s="27"/>
      <c r="M5341" s="28"/>
      <c r="N5341" s="28"/>
      <c r="O5341" s="20" t="s">
        <v>7530</v>
      </c>
      <c r="P5341" s="27" t="str">
        <f t="shared" si="250"/>
        <v>vermelho</v>
      </c>
    </row>
    <row r="5342" spans="1:16" ht="25.5">
      <c r="A5342" s="3" t="s">
        <v>4</v>
      </c>
      <c r="B5342" s="3" t="s">
        <v>4164</v>
      </c>
      <c r="C5342" s="4">
        <v>317</v>
      </c>
      <c r="D5342" s="3" t="s">
        <v>78</v>
      </c>
      <c r="E5342" s="3" t="s">
        <v>10</v>
      </c>
      <c r="F5342" s="5">
        <v>219</v>
      </c>
      <c r="G5342" s="5">
        <v>0</v>
      </c>
      <c r="H5342" s="6">
        <v>12235.29</v>
      </c>
      <c r="I5342" s="22">
        <v>0</v>
      </c>
      <c r="J5342" s="24">
        <f t="shared" si="249"/>
        <v>0</v>
      </c>
      <c r="K5342" s="25">
        <f t="shared" si="251"/>
        <v>1.0000000000000009</v>
      </c>
      <c r="L5342" s="27"/>
      <c r="M5342" s="28"/>
      <c r="N5342" s="28"/>
      <c r="O5342" s="20" t="s">
        <v>7530</v>
      </c>
      <c r="P5342" s="27" t="str">
        <f t="shared" si="250"/>
        <v>vermelho</v>
      </c>
    </row>
    <row r="5343" spans="1:16" ht="25.5">
      <c r="A5343" s="3" t="s">
        <v>4</v>
      </c>
      <c r="B5343" s="3" t="s">
        <v>4165</v>
      </c>
      <c r="C5343" s="4">
        <v>267</v>
      </c>
      <c r="D5343" s="3" t="s">
        <v>125</v>
      </c>
      <c r="E5343" s="3" t="s">
        <v>16</v>
      </c>
      <c r="F5343" s="5">
        <v>108</v>
      </c>
      <c r="G5343" s="5">
        <v>0</v>
      </c>
      <c r="H5343" s="6">
        <v>5153.58</v>
      </c>
      <c r="I5343" s="22">
        <v>0</v>
      </c>
      <c r="J5343" s="24">
        <f t="shared" si="249"/>
        <v>0</v>
      </c>
      <c r="K5343" s="25">
        <f t="shared" si="251"/>
        <v>1.0000000000000009</v>
      </c>
      <c r="L5343" s="27"/>
      <c r="M5343" s="28"/>
      <c r="N5343" s="28"/>
      <c r="O5343" s="20" t="s">
        <v>7530</v>
      </c>
      <c r="P5343" s="27" t="str">
        <f t="shared" si="250"/>
        <v>vermelho</v>
      </c>
    </row>
    <row r="5344" spans="1:16" ht="25.5">
      <c r="A5344" s="3" t="s">
        <v>4</v>
      </c>
      <c r="B5344" s="3" t="s">
        <v>4166</v>
      </c>
      <c r="C5344" s="4">
        <v>270</v>
      </c>
      <c r="D5344" s="3" t="s">
        <v>266</v>
      </c>
      <c r="E5344" s="3" t="s">
        <v>49</v>
      </c>
      <c r="F5344" s="5">
        <v>156</v>
      </c>
      <c r="G5344" s="5">
        <v>0</v>
      </c>
      <c r="H5344" s="6">
        <v>8815.68</v>
      </c>
      <c r="I5344" s="22">
        <v>0</v>
      </c>
      <c r="J5344" s="24">
        <f t="shared" si="249"/>
        <v>0</v>
      </c>
      <c r="K5344" s="25">
        <f t="shared" si="251"/>
        <v>1.0000000000000009</v>
      </c>
      <c r="L5344" s="27"/>
      <c r="M5344" s="28"/>
      <c r="N5344" s="28"/>
      <c r="O5344" s="20" t="s">
        <v>7530</v>
      </c>
      <c r="P5344" s="27" t="str">
        <f t="shared" si="250"/>
        <v>vermelho</v>
      </c>
    </row>
    <row r="5345" spans="1:16">
      <c r="A5345" s="3" t="s">
        <v>4</v>
      </c>
      <c r="B5345" s="3" t="s">
        <v>4167</v>
      </c>
      <c r="C5345" s="4">
        <v>315</v>
      </c>
      <c r="D5345" s="3" t="s">
        <v>63</v>
      </c>
      <c r="E5345" s="3" t="s">
        <v>7</v>
      </c>
      <c r="F5345" s="5">
        <v>132</v>
      </c>
      <c r="G5345" s="5">
        <v>0</v>
      </c>
      <c r="H5345" s="6">
        <v>6584.4960000000001</v>
      </c>
      <c r="I5345" s="22">
        <v>0</v>
      </c>
      <c r="J5345" s="24">
        <f t="shared" si="249"/>
        <v>0</v>
      </c>
      <c r="K5345" s="25">
        <f t="shared" si="251"/>
        <v>1.0000000000000009</v>
      </c>
      <c r="L5345" s="27"/>
      <c r="M5345" s="28">
        <v>-0.1796470468595141</v>
      </c>
      <c r="N5345" s="28"/>
      <c r="O5345" s="20" t="s">
        <v>7530</v>
      </c>
      <c r="P5345" s="27" t="str">
        <f t="shared" si="250"/>
        <v>vermelho</v>
      </c>
    </row>
    <row r="5346" spans="1:16" ht="25.5">
      <c r="A5346" s="3" t="s">
        <v>4</v>
      </c>
      <c r="B5346" s="3" t="s">
        <v>4168</v>
      </c>
      <c r="C5346" s="4">
        <v>31</v>
      </c>
      <c r="D5346" s="3" t="s">
        <v>194</v>
      </c>
      <c r="E5346" s="3" t="s">
        <v>16</v>
      </c>
      <c r="F5346" s="5">
        <v>240</v>
      </c>
      <c r="G5346" s="5">
        <v>0</v>
      </c>
      <c r="H5346" s="6">
        <v>12933.36</v>
      </c>
      <c r="I5346" s="22">
        <v>0</v>
      </c>
      <c r="J5346" s="24">
        <f t="shared" si="249"/>
        <v>0</v>
      </c>
      <c r="K5346" s="25">
        <f t="shared" si="251"/>
        <v>1.0000000000000009</v>
      </c>
      <c r="L5346" s="27"/>
      <c r="M5346" s="28"/>
      <c r="N5346" s="28"/>
      <c r="O5346" s="20" t="s">
        <v>7530</v>
      </c>
      <c r="P5346" s="27" t="str">
        <f t="shared" si="250"/>
        <v>vermelho</v>
      </c>
    </row>
    <row r="5347" spans="1:16" ht="25.5">
      <c r="A5347" s="3" t="s">
        <v>4</v>
      </c>
      <c r="B5347" s="3" t="s">
        <v>4169</v>
      </c>
      <c r="C5347" s="4">
        <v>266</v>
      </c>
      <c r="D5347" s="3" t="s">
        <v>80</v>
      </c>
      <c r="E5347" s="3" t="s">
        <v>10</v>
      </c>
      <c r="F5347" s="5">
        <v>204</v>
      </c>
      <c r="G5347" s="5">
        <v>0</v>
      </c>
      <c r="H5347" s="6">
        <v>10891.92</v>
      </c>
      <c r="I5347" s="22">
        <v>0</v>
      </c>
      <c r="J5347" s="24">
        <f t="shared" si="249"/>
        <v>0</v>
      </c>
      <c r="K5347" s="25">
        <f t="shared" si="251"/>
        <v>1.0000000000000009</v>
      </c>
      <c r="L5347" s="27"/>
      <c r="M5347" s="28"/>
      <c r="N5347" s="28"/>
      <c r="O5347" s="20" t="s">
        <v>7530</v>
      </c>
      <c r="P5347" s="27" t="str">
        <f t="shared" si="250"/>
        <v>vermelho</v>
      </c>
    </row>
    <row r="5348" spans="1:16" ht="51">
      <c r="A5348" s="3" t="s">
        <v>4</v>
      </c>
      <c r="B5348" s="3" t="s">
        <v>4170</v>
      </c>
      <c r="C5348" s="4">
        <v>282</v>
      </c>
      <c r="D5348" s="3" t="s">
        <v>12</v>
      </c>
      <c r="E5348" s="3" t="s">
        <v>13</v>
      </c>
      <c r="F5348" s="5">
        <v>288</v>
      </c>
      <c r="G5348" s="5">
        <v>0</v>
      </c>
      <c r="H5348" s="6">
        <v>15540.696</v>
      </c>
      <c r="I5348" s="22">
        <v>0</v>
      </c>
      <c r="J5348" s="24">
        <f t="shared" si="249"/>
        <v>0</v>
      </c>
      <c r="K5348" s="25">
        <f t="shared" si="251"/>
        <v>1.0000000000000009</v>
      </c>
      <c r="L5348" s="27"/>
      <c r="M5348" s="28"/>
      <c r="N5348" s="28"/>
      <c r="O5348" s="20" t="s">
        <v>7530</v>
      </c>
      <c r="P5348" s="27" t="str">
        <f t="shared" si="250"/>
        <v>vermelho</v>
      </c>
    </row>
    <row r="5349" spans="1:16" ht="25.5">
      <c r="A5349" s="3" t="s">
        <v>4</v>
      </c>
      <c r="B5349" s="3" t="s">
        <v>4171</v>
      </c>
      <c r="C5349" s="4">
        <v>231</v>
      </c>
      <c r="D5349" s="3" t="s">
        <v>52</v>
      </c>
      <c r="E5349" s="3" t="s">
        <v>7</v>
      </c>
      <c r="F5349" s="5">
        <v>114</v>
      </c>
      <c r="G5349" s="5">
        <v>0</v>
      </c>
      <c r="H5349" s="6">
        <v>6928.86</v>
      </c>
      <c r="I5349" s="22">
        <v>0</v>
      </c>
      <c r="J5349" s="24">
        <f t="shared" si="249"/>
        <v>0</v>
      </c>
      <c r="K5349" s="25">
        <f t="shared" si="251"/>
        <v>1.0000000000000009</v>
      </c>
      <c r="L5349" s="27"/>
      <c r="M5349" s="28"/>
      <c r="N5349" s="28"/>
      <c r="O5349" s="20" t="s">
        <v>7530</v>
      </c>
      <c r="P5349" s="27" t="str">
        <f t="shared" si="250"/>
        <v>vermelho</v>
      </c>
    </row>
    <row r="5350" spans="1:16" ht="25.5">
      <c r="A5350" s="3" t="s">
        <v>4</v>
      </c>
      <c r="B5350" s="3" t="s">
        <v>4172</v>
      </c>
      <c r="C5350" s="4">
        <v>194</v>
      </c>
      <c r="D5350" s="3" t="s">
        <v>145</v>
      </c>
      <c r="E5350" s="3" t="s">
        <v>16</v>
      </c>
      <c r="F5350" s="5">
        <v>120</v>
      </c>
      <c r="G5350" s="5">
        <v>0</v>
      </c>
      <c r="H5350" s="6">
        <v>7249.44</v>
      </c>
      <c r="I5350" s="22">
        <v>0</v>
      </c>
      <c r="J5350" s="24">
        <f t="shared" si="249"/>
        <v>0</v>
      </c>
      <c r="K5350" s="25">
        <f t="shared" si="251"/>
        <v>1.0000000000000009</v>
      </c>
      <c r="L5350" s="27"/>
      <c r="M5350" s="28"/>
      <c r="N5350" s="28"/>
      <c r="O5350" s="20">
        <v>5949.24</v>
      </c>
      <c r="P5350" s="27" t="str">
        <f t="shared" si="250"/>
        <v>vermelho</v>
      </c>
    </row>
    <row r="5351" spans="1:16" ht="25.5">
      <c r="A5351" s="3" t="s">
        <v>4</v>
      </c>
      <c r="B5351" s="3" t="s">
        <v>4173</v>
      </c>
      <c r="C5351" s="4">
        <v>197</v>
      </c>
      <c r="D5351" s="3" t="s">
        <v>66</v>
      </c>
      <c r="E5351" s="3" t="s">
        <v>41</v>
      </c>
      <c r="F5351" s="5">
        <v>48</v>
      </c>
      <c r="G5351" s="5">
        <v>0</v>
      </c>
      <c r="H5351" s="6">
        <v>2956.08</v>
      </c>
      <c r="I5351" s="22">
        <v>0</v>
      </c>
      <c r="J5351" s="24">
        <f t="shared" si="249"/>
        <v>0</v>
      </c>
      <c r="K5351" s="25">
        <f t="shared" si="251"/>
        <v>1.0000000000000009</v>
      </c>
      <c r="L5351" s="27"/>
      <c r="M5351" s="28"/>
      <c r="N5351" s="28"/>
      <c r="O5351" s="20" t="s">
        <v>7530</v>
      </c>
      <c r="P5351" s="27" t="str">
        <f t="shared" si="250"/>
        <v>vermelho</v>
      </c>
    </row>
    <row r="5352" spans="1:16" ht="38.25">
      <c r="A5352" s="3" t="s">
        <v>4</v>
      </c>
      <c r="B5352" s="3" t="s">
        <v>4174</v>
      </c>
      <c r="C5352" s="4">
        <v>292</v>
      </c>
      <c r="D5352" s="3" t="s">
        <v>57</v>
      </c>
      <c r="E5352" s="3" t="s">
        <v>49</v>
      </c>
      <c r="F5352" s="5">
        <v>135</v>
      </c>
      <c r="G5352" s="5">
        <v>0</v>
      </c>
      <c r="H5352" s="6">
        <v>6444.6570000000002</v>
      </c>
      <c r="I5352" s="22">
        <v>0</v>
      </c>
      <c r="J5352" s="24">
        <f t="shared" si="249"/>
        <v>0</v>
      </c>
      <c r="K5352" s="25">
        <f t="shared" si="251"/>
        <v>1.0000000000000009</v>
      </c>
      <c r="L5352" s="27"/>
      <c r="M5352" s="28"/>
      <c r="N5352" s="28"/>
      <c r="O5352" s="20" t="s">
        <v>7530</v>
      </c>
      <c r="P5352" s="27" t="str">
        <f t="shared" si="250"/>
        <v>vermelho</v>
      </c>
    </row>
    <row r="5353" spans="1:16" ht="25.5">
      <c r="A5353" s="3" t="s">
        <v>4</v>
      </c>
      <c r="B5353" s="3" t="s">
        <v>4175</v>
      </c>
      <c r="C5353" s="4">
        <v>178</v>
      </c>
      <c r="D5353" s="3" t="s">
        <v>74</v>
      </c>
      <c r="E5353" s="3" t="s">
        <v>7</v>
      </c>
      <c r="F5353" s="5">
        <v>159</v>
      </c>
      <c r="G5353" s="5">
        <v>0</v>
      </c>
      <c r="H5353" s="6">
        <v>9515.43</v>
      </c>
      <c r="I5353" s="22">
        <v>0</v>
      </c>
      <c r="J5353" s="24">
        <f t="shared" si="249"/>
        <v>0</v>
      </c>
      <c r="K5353" s="25">
        <f t="shared" si="251"/>
        <v>1.0000000000000009</v>
      </c>
      <c r="L5353" s="27"/>
      <c r="M5353" s="28"/>
      <c r="N5353" s="28"/>
      <c r="O5353" s="20" t="s">
        <v>7530</v>
      </c>
      <c r="P5353" s="27" t="str">
        <f t="shared" si="250"/>
        <v>vermelho</v>
      </c>
    </row>
    <row r="5354" spans="1:16" ht="51">
      <c r="A5354" s="3" t="s">
        <v>4</v>
      </c>
      <c r="B5354" s="3" t="s">
        <v>4176</v>
      </c>
      <c r="C5354" s="4">
        <v>282</v>
      </c>
      <c r="D5354" s="3" t="s">
        <v>12</v>
      </c>
      <c r="E5354" s="3" t="s">
        <v>13</v>
      </c>
      <c r="F5354" s="5">
        <v>516</v>
      </c>
      <c r="G5354" s="5">
        <v>0</v>
      </c>
      <c r="H5354" s="6">
        <v>24214.482</v>
      </c>
      <c r="I5354" s="22">
        <v>0</v>
      </c>
      <c r="J5354" s="24">
        <f t="shared" si="249"/>
        <v>0</v>
      </c>
      <c r="K5354" s="25">
        <f t="shared" si="251"/>
        <v>1.0000000000000009</v>
      </c>
      <c r="L5354" s="27"/>
      <c r="M5354" s="28"/>
      <c r="N5354" s="28"/>
      <c r="O5354" s="20">
        <v>3381.48</v>
      </c>
      <c r="P5354" s="27" t="str">
        <f t="shared" si="250"/>
        <v>vermelho</v>
      </c>
    </row>
    <row r="5355" spans="1:16">
      <c r="A5355" s="3" t="s">
        <v>4</v>
      </c>
      <c r="B5355" s="3" t="s">
        <v>4177</v>
      </c>
      <c r="C5355" s="4">
        <v>231</v>
      </c>
      <c r="D5355" s="3" t="s">
        <v>52</v>
      </c>
      <c r="E5355" s="3" t="s">
        <v>7</v>
      </c>
      <c r="F5355" s="5">
        <v>198</v>
      </c>
      <c r="G5355" s="5">
        <v>0</v>
      </c>
      <c r="H5355" s="6">
        <v>10033.02</v>
      </c>
      <c r="I5355" s="22">
        <v>0</v>
      </c>
      <c r="J5355" s="24">
        <f t="shared" si="249"/>
        <v>0</v>
      </c>
      <c r="K5355" s="25">
        <f t="shared" si="251"/>
        <v>1.0000000000000009</v>
      </c>
      <c r="L5355" s="27"/>
      <c r="M5355" s="28"/>
      <c r="N5355" s="28"/>
      <c r="O5355" s="20" t="s">
        <v>7530</v>
      </c>
      <c r="P5355" s="27" t="str">
        <f t="shared" si="250"/>
        <v>vermelho</v>
      </c>
    </row>
    <row r="5356" spans="1:16" ht="25.5">
      <c r="A5356" s="3" t="s">
        <v>4</v>
      </c>
      <c r="B5356" s="3" t="s">
        <v>4178</v>
      </c>
      <c r="C5356" s="4">
        <v>194</v>
      </c>
      <c r="D5356" s="3" t="s">
        <v>145</v>
      </c>
      <c r="E5356" s="3" t="s">
        <v>16</v>
      </c>
      <c r="F5356" s="5">
        <v>96</v>
      </c>
      <c r="G5356" s="5">
        <v>0</v>
      </c>
      <c r="H5356" s="6">
        <v>5236.92</v>
      </c>
      <c r="I5356" s="22">
        <v>0</v>
      </c>
      <c r="J5356" s="24">
        <f t="shared" si="249"/>
        <v>0</v>
      </c>
      <c r="K5356" s="25">
        <f t="shared" si="251"/>
        <v>1.0000000000000009</v>
      </c>
      <c r="L5356" s="27"/>
      <c r="M5356" s="28"/>
      <c r="N5356" s="28"/>
      <c r="O5356" s="20" t="s">
        <v>7530</v>
      </c>
      <c r="P5356" s="27" t="str">
        <f t="shared" si="250"/>
        <v>vermelho</v>
      </c>
    </row>
    <row r="5357" spans="1:16" ht="51">
      <c r="A5357" s="3" t="s">
        <v>4</v>
      </c>
      <c r="B5357" s="3" t="s">
        <v>4179</v>
      </c>
      <c r="C5357" s="4">
        <v>282</v>
      </c>
      <c r="D5357" s="3" t="s">
        <v>12</v>
      </c>
      <c r="E5357" s="3" t="s">
        <v>13</v>
      </c>
      <c r="F5357" s="5">
        <v>165</v>
      </c>
      <c r="G5357" s="5">
        <v>0</v>
      </c>
      <c r="H5357" s="6">
        <v>8301.4950000000008</v>
      </c>
      <c r="I5357" s="22">
        <v>0</v>
      </c>
      <c r="J5357" s="24">
        <f t="shared" si="249"/>
        <v>0</v>
      </c>
      <c r="K5357" s="25">
        <f t="shared" si="251"/>
        <v>1.0000000000000009</v>
      </c>
      <c r="L5357" s="27"/>
      <c r="M5357" s="28"/>
      <c r="N5357" s="28"/>
      <c r="O5357" s="20" t="s">
        <v>7530</v>
      </c>
      <c r="P5357" s="27" t="str">
        <f t="shared" si="250"/>
        <v>vermelho</v>
      </c>
    </row>
    <row r="5358" spans="1:16" ht="38.25">
      <c r="A5358" s="3" t="s">
        <v>4</v>
      </c>
      <c r="B5358" s="3" t="s">
        <v>4180</v>
      </c>
      <c r="C5358" s="4">
        <v>34</v>
      </c>
      <c r="D5358" s="3" t="s">
        <v>54</v>
      </c>
      <c r="E5358" s="3" t="s">
        <v>49</v>
      </c>
      <c r="F5358" s="5">
        <v>114</v>
      </c>
      <c r="G5358" s="5">
        <v>0</v>
      </c>
      <c r="H5358" s="6">
        <v>6978.7439999999997</v>
      </c>
      <c r="I5358" s="22">
        <v>0</v>
      </c>
      <c r="J5358" s="24">
        <f t="shared" si="249"/>
        <v>0</v>
      </c>
      <c r="K5358" s="25">
        <f t="shared" si="251"/>
        <v>1.0000000000000009</v>
      </c>
      <c r="L5358" s="27"/>
      <c r="M5358" s="28"/>
      <c r="N5358" s="28"/>
      <c r="O5358" s="20" t="s">
        <v>7530</v>
      </c>
      <c r="P5358" s="27" t="str">
        <f t="shared" si="250"/>
        <v>vermelho</v>
      </c>
    </row>
    <row r="5359" spans="1:16" ht="38.25">
      <c r="A5359" s="3" t="s">
        <v>4</v>
      </c>
      <c r="B5359" s="3" t="s">
        <v>4181</v>
      </c>
      <c r="C5359" s="4">
        <v>371</v>
      </c>
      <c r="D5359" s="3" t="s">
        <v>82</v>
      </c>
      <c r="E5359" s="3" t="s">
        <v>49</v>
      </c>
      <c r="F5359" s="5">
        <v>411</v>
      </c>
      <c r="G5359" s="5">
        <v>0</v>
      </c>
      <c r="H5359" s="6">
        <v>20895.669999999998</v>
      </c>
      <c r="I5359" s="22">
        <v>0</v>
      </c>
      <c r="J5359" s="24">
        <f t="shared" si="249"/>
        <v>0</v>
      </c>
      <c r="K5359" s="25">
        <f t="shared" si="251"/>
        <v>1.0000000000000009</v>
      </c>
      <c r="L5359" s="27"/>
      <c r="M5359" s="28"/>
      <c r="N5359" s="28"/>
      <c r="O5359" s="20" t="s">
        <v>7530</v>
      </c>
      <c r="P5359" s="27" t="str">
        <f t="shared" si="250"/>
        <v>vermelho</v>
      </c>
    </row>
    <row r="5360" spans="1:16" ht="25.5">
      <c r="A5360" s="3" t="s">
        <v>4</v>
      </c>
      <c r="B5360" s="3" t="s">
        <v>4182</v>
      </c>
      <c r="C5360" s="4">
        <v>194</v>
      </c>
      <c r="D5360" s="3" t="s">
        <v>145</v>
      </c>
      <c r="E5360" s="3" t="s">
        <v>16</v>
      </c>
      <c r="F5360" s="5">
        <v>231</v>
      </c>
      <c r="G5360" s="5">
        <v>0</v>
      </c>
      <c r="H5360" s="6">
        <v>12515.79</v>
      </c>
      <c r="I5360" s="22">
        <v>0</v>
      </c>
      <c r="J5360" s="24">
        <f t="shared" si="249"/>
        <v>0</v>
      </c>
      <c r="K5360" s="25">
        <f t="shared" si="251"/>
        <v>1.0000000000000009</v>
      </c>
      <c r="L5360" s="27"/>
      <c r="M5360" s="28"/>
      <c r="N5360" s="28"/>
      <c r="O5360" s="20" t="s">
        <v>7530</v>
      </c>
      <c r="P5360" s="27" t="str">
        <f t="shared" si="250"/>
        <v>vermelho</v>
      </c>
    </row>
    <row r="5361" spans="1:16" ht="25.5">
      <c r="A5361" s="3" t="s">
        <v>4</v>
      </c>
      <c r="B5361" s="3" t="s">
        <v>4183</v>
      </c>
      <c r="C5361" s="4">
        <v>261</v>
      </c>
      <c r="D5361" s="3" t="s">
        <v>9</v>
      </c>
      <c r="E5361" s="3" t="s">
        <v>10</v>
      </c>
      <c r="F5361" s="5">
        <v>84</v>
      </c>
      <c r="G5361" s="5">
        <v>0</v>
      </c>
      <c r="H5361" s="6">
        <v>4368.84</v>
      </c>
      <c r="I5361" s="22">
        <v>0</v>
      </c>
      <c r="J5361" s="24">
        <f t="shared" si="249"/>
        <v>0</v>
      </c>
      <c r="K5361" s="25">
        <f t="shared" si="251"/>
        <v>1.0000000000000009</v>
      </c>
      <c r="L5361" s="27"/>
      <c r="M5361" s="28"/>
      <c r="N5361" s="28"/>
      <c r="O5361" s="20" t="s">
        <v>7530</v>
      </c>
      <c r="P5361" s="27" t="str">
        <f t="shared" si="250"/>
        <v>vermelho</v>
      </c>
    </row>
    <row r="5362" spans="1:16" ht="25.5">
      <c r="A5362" s="3" t="s">
        <v>4</v>
      </c>
      <c r="B5362" s="3" t="s">
        <v>4184</v>
      </c>
      <c r="C5362" s="4">
        <v>194</v>
      </c>
      <c r="D5362" s="3" t="s">
        <v>145</v>
      </c>
      <c r="E5362" s="3" t="s">
        <v>16</v>
      </c>
      <c r="F5362" s="5">
        <v>252</v>
      </c>
      <c r="G5362" s="5">
        <v>0</v>
      </c>
      <c r="H5362" s="6">
        <v>13991.76</v>
      </c>
      <c r="I5362" s="22">
        <v>0</v>
      </c>
      <c r="J5362" s="24">
        <f t="shared" si="249"/>
        <v>0</v>
      </c>
      <c r="K5362" s="25">
        <f t="shared" si="251"/>
        <v>1.0000000000000009</v>
      </c>
      <c r="L5362" s="27"/>
      <c r="M5362" s="28"/>
      <c r="N5362" s="28"/>
      <c r="O5362" s="20" t="s">
        <v>7530</v>
      </c>
      <c r="P5362" s="27" t="str">
        <f t="shared" si="250"/>
        <v>vermelho</v>
      </c>
    </row>
    <row r="5363" spans="1:16" ht="25.5">
      <c r="A5363" s="3" t="s">
        <v>4</v>
      </c>
      <c r="B5363" s="3" t="s">
        <v>4185</v>
      </c>
      <c r="C5363" s="4">
        <v>74</v>
      </c>
      <c r="D5363" s="3" t="s">
        <v>6</v>
      </c>
      <c r="E5363" s="3" t="s">
        <v>7</v>
      </c>
      <c r="F5363" s="5">
        <v>156</v>
      </c>
      <c r="G5363" s="5">
        <v>0</v>
      </c>
      <c r="H5363" s="6">
        <v>9485.16</v>
      </c>
      <c r="I5363" s="22">
        <v>0</v>
      </c>
      <c r="J5363" s="24">
        <f t="shared" si="249"/>
        <v>0</v>
      </c>
      <c r="K5363" s="25">
        <f t="shared" si="251"/>
        <v>1.0000000000000009</v>
      </c>
      <c r="L5363" s="27"/>
      <c r="M5363" s="28"/>
      <c r="N5363" s="28"/>
      <c r="O5363" s="20" t="s">
        <v>7530</v>
      </c>
      <c r="P5363" s="27" t="str">
        <f t="shared" si="250"/>
        <v>vermelho</v>
      </c>
    </row>
    <row r="5364" spans="1:16" ht="38.25">
      <c r="A5364" s="3" t="s">
        <v>4</v>
      </c>
      <c r="B5364" s="3" t="s">
        <v>4186</v>
      </c>
      <c r="C5364" s="4">
        <v>38</v>
      </c>
      <c r="D5364" s="3" t="s">
        <v>184</v>
      </c>
      <c r="E5364" s="3" t="s">
        <v>49</v>
      </c>
      <c r="F5364" s="5">
        <v>144</v>
      </c>
      <c r="G5364" s="5">
        <v>0</v>
      </c>
      <c r="H5364" s="6">
        <v>8727.7999999999993</v>
      </c>
      <c r="I5364" s="22">
        <v>0</v>
      </c>
      <c r="J5364" s="24">
        <f t="shared" si="249"/>
        <v>0</v>
      </c>
      <c r="K5364" s="25">
        <f t="shared" si="251"/>
        <v>1.0000000000000009</v>
      </c>
      <c r="L5364" s="27"/>
      <c r="M5364" s="28"/>
      <c r="N5364" s="28"/>
      <c r="O5364" s="20" t="s">
        <v>7530</v>
      </c>
      <c r="P5364" s="27" t="str">
        <f t="shared" si="250"/>
        <v>vermelho</v>
      </c>
    </row>
    <row r="5365" spans="1:16" ht="25.5">
      <c r="A5365" s="3" t="s">
        <v>4</v>
      </c>
      <c r="B5365" s="3" t="s">
        <v>4187</v>
      </c>
      <c r="C5365" s="4">
        <v>178</v>
      </c>
      <c r="D5365" s="3" t="s">
        <v>74</v>
      </c>
      <c r="E5365" s="3" t="s">
        <v>7</v>
      </c>
      <c r="F5365" s="5">
        <v>360</v>
      </c>
      <c r="G5365" s="5">
        <v>0</v>
      </c>
      <c r="H5365" s="6">
        <v>19220.400000000001</v>
      </c>
      <c r="I5365" s="22">
        <v>0</v>
      </c>
      <c r="J5365" s="24">
        <f t="shared" si="249"/>
        <v>0</v>
      </c>
      <c r="K5365" s="25">
        <f t="shared" si="251"/>
        <v>1.0000000000000009</v>
      </c>
      <c r="L5365" s="27"/>
      <c r="M5365" s="28"/>
      <c r="N5365" s="28"/>
      <c r="O5365" s="20" t="s">
        <v>7530</v>
      </c>
      <c r="P5365" s="27" t="str">
        <f t="shared" si="250"/>
        <v>vermelho</v>
      </c>
    </row>
    <row r="5366" spans="1:16" ht="38.25">
      <c r="A5366" s="3" t="s">
        <v>4</v>
      </c>
      <c r="B5366" s="3" t="s">
        <v>4188</v>
      </c>
      <c r="C5366" s="4">
        <v>38</v>
      </c>
      <c r="D5366" s="3" t="s">
        <v>184</v>
      </c>
      <c r="E5366" s="3" t="s">
        <v>49</v>
      </c>
      <c r="F5366" s="5">
        <v>189</v>
      </c>
      <c r="G5366" s="5">
        <v>0</v>
      </c>
      <c r="H5366" s="6">
        <v>10009.98</v>
      </c>
      <c r="I5366" s="22">
        <v>0</v>
      </c>
      <c r="J5366" s="24">
        <f t="shared" si="249"/>
        <v>0</v>
      </c>
      <c r="K5366" s="25">
        <f t="shared" si="251"/>
        <v>1.0000000000000009</v>
      </c>
      <c r="L5366" s="27"/>
      <c r="M5366" s="28"/>
      <c r="N5366" s="28"/>
      <c r="O5366" s="20">
        <v>9329.0400000000009</v>
      </c>
      <c r="P5366" s="27" t="str">
        <f t="shared" si="250"/>
        <v>vermelho</v>
      </c>
    </row>
    <row r="5367" spans="1:16" ht="25.5">
      <c r="A5367" s="3" t="s">
        <v>4</v>
      </c>
      <c r="B5367" s="3" t="s">
        <v>4189</v>
      </c>
      <c r="C5367" s="4">
        <v>335</v>
      </c>
      <c r="D5367" s="3" t="s">
        <v>36</v>
      </c>
      <c r="E5367" s="3" t="s">
        <v>7</v>
      </c>
      <c r="F5367" s="5">
        <v>624</v>
      </c>
      <c r="G5367" s="5">
        <v>0</v>
      </c>
      <c r="H5367" s="6">
        <v>36016.44</v>
      </c>
      <c r="I5367" s="22">
        <v>0</v>
      </c>
      <c r="J5367" s="24">
        <f t="shared" si="249"/>
        <v>0</v>
      </c>
      <c r="K5367" s="25">
        <f t="shared" si="251"/>
        <v>1.0000000000000009</v>
      </c>
      <c r="L5367" s="27"/>
      <c r="M5367" s="28"/>
      <c r="N5367" s="28"/>
      <c r="O5367" s="20" t="s">
        <v>7530</v>
      </c>
      <c r="P5367" s="27" t="str">
        <f t="shared" si="250"/>
        <v>vermelho</v>
      </c>
    </row>
    <row r="5368" spans="1:16" ht="25.5">
      <c r="A5368" s="3" t="s">
        <v>4</v>
      </c>
      <c r="B5368" s="3" t="s">
        <v>4190</v>
      </c>
      <c r="C5368" s="4">
        <v>194</v>
      </c>
      <c r="D5368" s="3" t="s">
        <v>145</v>
      </c>
      <c r="E5368" s="3" t="s">
        <v>16</v>
      </c>
      <c r="F5368" s="5">
        <v>216</v>
      </c>
      <c r="G5368" s="5">
        <v>0</v>
      </c>
      <c r="H5368" s="6">
        <v>10569.84</v>
      </c>
      <c r="I5368" s="22">
        <v>0</v>
      </c>
      <c r="J5368" s="24">
        <f t="shared" si="249"/>
        <v>0</v>
      </c>
      <c r="K5368" s="25">
        <f t="shared" si="251"/>
        <v>1.0000000000000009</v>
      </c>
      <c r="L5368" s="27"/>
      <c r="M5368" s="28"/>
      <c r="N5368" s="28"/>
      <c r="O5368" s="20" t="s">
        <v>7530</v>
      </c>
      <c r="P5368" s="27" t="str">
        <f t="shared" si="250"/>
        <v>vermelho</v>
      </c>
    </row>
    <row r="5369" spans="1:16" ht="25.5">
      <c r="A5369" s="3" t="s">
        <v>4</v>
      </c>
      <c r="B5369" s="3" t="s">
        <v>4191</v>
      </c>
      <c r="C5369" s="4">
        <v>240</v>
      </c>
      <c r="D5369" s="3" t="s">
        <v>69</v>
      </c>
      <c r="E5369" s="3" t="s">
        <v>16</v>
      </c>
      <c r="F5369" s="5">
        <v>60</v>
      </c>
      <c r="G5369" s="5">
        <v>0</v>
      </c>
      <c r="H5369" s="6">
        <v>3732.6</v>
      </c>
      <c r="I5369" s="22">
        <v>0</v>
      </c>
      <c r="J5369" s="24">
        <f t="shared" si="249"/>
        <v>0</v>
      </c>
      <c r="K5369" s="25">
        <f t="shared" si="251"/>
        <v>1.0000000000000009</v>
      </c>
      <c r="L5369" s="27"/>
      <c r="M5369" s="28"/>
      <c r="N5369" s="28"/>
      <c r="O5369" s="20" t="s">
        <v>7530</v>
      </c>
      <c r="P5369" s="27" t="str">
        <f t="shared" si="250"/>
        <v>vermelho</v>
      </c>
    </row>
    <row r="5370" spans="1:16" ht="25.5">
      <c r="A5370" s="3" t="s">
        <v>4</v>
      </c>
      <c r="B5370" s="3" t="s">
        <v>4192</v>
      </c>
      <c r="C5370" s="4">
        <v>328</v>
      </c>
      <c r="D5370" s="3" t="s">
        <v>215</v>
      </c>
      <c r="E5370" s="3" t="s">
        <v>41</v>
      </c>
      <c r="F5370" s="5">
        <v>90</v>
      </c>
      <c r="G5370" s="5">
        <v>0</v>
      </c>
      <c r="H5370" s="6">
        <v>5117.1000000000004</v>
      </c>
      <c r="I5370" s="22">
        <v>0</v>
      </c>
      <c r="J5370" s="24">
        <f t="shared" si="249"/>
        <v>0</v>
      </c>
      <c r="K5370" s="25">
        <f t="shared" si="251"/>
        <v>1.0000000000000009</v>
      </c>
      <c r="L5370" s="27"/>
      <c r="M5370" s="28"/>
      <c r="N5370" s="28"/>
      <c r="O5370" s="20" t="s">
        <v>7530</v>
      </c>
      <c r="P5370" s="27" t="str">
        <f t="shared" si="250"/>
        <v>vermelho</v>
      </c>
    </row>
    <row r="5371" spans="1:16">
      <c r="A5371" s="3" t="s">
        <v>4</v>
      </c>
      <c r="B5371" s="3" t="s">
        <v>4193</v>
      </c>
      <c r="C5371" s="4">
        <v>217</v>
      </c>
      <c r="D5371" s="3" t="s">
        <v>91</v>
      </c>
      <c r="E5371" s="3" t="s">
        <v>16</v>
      </c>
      <c r="F5371" s="5">
        <v>156</v>
      </c>
      <c r="G5371" s="5">
        <v>0</v>
      </c>
      <c r="H5371" s="6">
        <v>7825.92</v>
      </c>
      <c r="I5371" s="22">
        <v>0</v>
      </c>
      <c r="J5371" s="24">
        <f t="shared" si="249"/>
        <v>0</v>
      </c>
      <c r="K5371" s="25">
        <f t="shared" si="251"/>
        <v>1.0000000000000009</v>
      </c>
      <c r="L5371" s="27"/>
      <c r="M5371" s="28"/>
      <c r="N5371" s="28"/>
      <c r="O5371" s="20" t="s">
        <v>7530</v>
      </c>
      <c r="P5371" s="27" t="str">
        <f t="shared" si="250"/>
        <v>vermelho</v>
      </c>
    </row>
    <row r="5372" spans="1:16" ht="25.5">
      <c r="A5372" s="3" t="s">
        <v>4</v>
      </c>
      <c r="B5372" s="3" t="s">
        <v>4194</v>
      </c>
      <c r="C5372" s="4">
        <v>266</v>
      </c>
      <c r="D5372" s="3" t="s">
        <v>80</v>
      </c>
      <c r="E5372" s="3" t="s">
        <v>10</v>
      </c>
      <c r="F5372" s="5">
        <v>60</v>
      </c>
      <c r="G5372" s="5">
        <v>0</v>
      </c>
      <c r="H5372" s="6">
        <v>3314.52</v>
      </c>
      <c r="I5372" s="22">
        <v>0</v>
      </c>
      <c r="J5372" s="24">
        <f t="shared" si="249"/>
        <v>0</v>
      </c>
      <c r="K5372" s="25">
        <f t="shared" si="251"/>
        <v>1.0000000000000009</v>
      </c>
      <c r="L5372" s="27"/>
      <c r="M5372" s="28"/>
      <c r="N5372" s="28"/>
      <c r="O5372" s="20" t="s">
        <v>7530</v>
      </c>
      <c r="P5372" s="27" t="str">
        <f t="shared" si="250"/>
        <v>vermelho</v>
      </c>
    </row>
    <row r="5373" spans="1:16" ht="25.5">
      <c r="A5373" s="3" t="s">
        <v>4</v>
      </c>
      <c r="B5373" s="3" t="s">
        <v>4195</v>
      </c>
      <c r="C5373" s="4">
        <v>296</v>
      </c>
      <c r="D5373" s="3" t="s">
        <v>282</v>
      </c>
      <c r="E5373" s="3" t="s">
        <v>7</v>
      </c>
      <c r="F5373" s="5">
        <v>141</v>
      </c>
      <c r="G5373" s="5">
        <v>0</v>
      </c>
      <c r="H5373" s="6">
        <v>5929.2</v>
      </c>
      <c r="I5373" s="22">
        <v>0</v>
      </c>
      <c r="J5373" s="24">
        <f t="shared" si="249"/>
        <v>0</v>
      </c>
      <c r="K5373" s="25">
        <f t="shared" si="251"/>
        <v>1.0000000000000009</v>
      </c>
      <c r="L5373" s="27"/>
      <c r="M5373" s="28"/>
      <c r="N5373" s="28"/>
      <c r="O5373" s="20" t="s">
        <v>7530</v>
      </c>
      <c r="P5373" s="27" t="str">
        <f t="shared" si="250"/>
        <v>vermelho</v>
      </c>
    </row>
    <row r="5374" spans="1:16" ht="38.25">
      <c r="A5374" s="3" t="s">
        <v>4</v>
      </c>
      <c r="B5374" s="3" t="s">
        <v>4196</v>
      </c>
      <c r="C5374" s="4">
        <v>240</v>
      </c>
      <c r="D5374" s="3" t="s">
        <v>69</v>
      </c>
      <c r="E5374" s="3" t="s">
        <v>16</v>
      </c>
      <c r="F5374" s="5">
        <v>60</v>
      </c>
      <c r="G5374" s="5">
        <v>0</v>
      </c>
      <c r="H5374" s="6">
        <v>3716.4</v>
      </c>
      <c r="I5374" s="22">
        <v>0</v>
      </c>
      <c r="J5374" s="24">
        <f t="shared" si="249"/>
        <v>0</v>
      </c>
      <c r="K5374" s="25">
        <f t="shared" si="251"/>
        <v>1.0000000000000009</v>
      </c>
      <c r="L5374" s="27"/>
      <c r="M5374" s="28"/>
      <c r="N5374" s="28"/>
      <c r="O5374" s="20" t="s">
        <v>7530</v>
      </c>
      <c r="P5374" s="27" t="str">
        <f t="shared" si="250"/>
        <v>vermelho</v>
      </c>
    </row>
    <row r="5375" spans="1:16" ht="25.5">
      <c r="A5375" s="3" t="s">
        <v>4</v>
      </c>
      <c r="B5375" s="3" t="s">
        <v>4197</v>
      </c>
      <c r="C5375" s="4">
        <v>208</v>
      </c>
      <c r="D5375" s="3" t="s">
        <v>15</v>
      </c>
      <c r="E5375" s="3" t="s">
        <v>16</v>
      </c>
      <c r="F5375" s="5">
        <v>120</v>
      </c>
      <c r="G5375" s="5">
        <v>0</v>
      </c>
      <c r="H5375" s="6">
        <v>6428.88</v>
      </c>
      <c r="I5375" s="22">
        <v>0</v>
      </c>
      <c r="J5375" s="24">
        <f t="shared" si="249"/>
        <v>0</v>
      </c>
      <c r="K5375" s="25">
        <f t="shared" si="251"/>
        <v>1.0000000000000009</v>
      </c>
      <c r="L5375" s="27"/>
      <c r="M5375" s="28"/>
      <c r="N5375" s="28"/>
      <c r="O5375" s="20" t="s">
        <v>7530</v>
      </c>
      <c r="P5375" s="27" t="str">
        <f t="shared" si="250"/>
        <v>vermelho</v>
      </c>
    </row>
    <row r="5376" spans="1:16" ht="25.5">
      <c r="A5376" s="3" t="s">
        <v>4</v>
      </c>
      <c r="B5376" s="3" t="s">
        <v>4198</v>
      </c>
      <c r="C5376" s="4">
        <v>267</v>
      </c>
      <c r="D5376" s="3" t="s">
        <v>125</v>
      </c>
      <c r="E5376" s="3" t="s">
        <v>16</v>
      </c>
      <c r="F5376" s="5">
        <v>168</v>
      </c>
      <c r="G5376" s="5">
        <v>0</v>
      </c>
      <c r="H5376" s="6">
        <v>10003.32</v>
      </c>
      <c r="I5376" s="22">
        <v>0</v>
      </c>
      <c r="J5376" s="24">
        <f t="shared" si="249"/>
        <v>0</v>
      </c>
      <c r="K5376" s="25">
        <f t="shared" si="251"/>
        <v>1.0000000000000009</v>
      </c>
      <c r="L5376" s="27"/>
      <c r="M5376" s="28"/>
      <c r="N5376" s="28"/>
      <c r="O5376" s="20" t="s">
        <v>7530</v>
      </c>
      <c r="P5376" s="27" t="str">
        <f t="shared" si="250"/>
        <v>vermelho</v>
      </c>
    </row>
    <row r="5377" spans="1:16" ht="25.5">
      <c r="A5377" s="3" t="s">
        <v>4</v>
      </c>
      <c r="B5377" s="3" t="s">
        <v>4199</v>
      </c>
      <c r="C5377" s="4">
        <v>31</v>
      </c>
      <c r="D5377" s="3" t="s">
        <v>194</v>
      </c>
      <c r="E5377" s="3" t="s">
        <v>16</v>
      </c>
      <c r="F5377" s="5">
        <v>204</v>
      </c>
      <c r="G5377" s="5">
        <v>0</v>
      </c>
      <c r="H5377" s="6">
        <v>12586.56</v>
      </c>
      <c r="I5377" s="22">
        <v>0</v>
      </c>
      <c r="J5377" s="24">
        <f t="shared" si="249"/>
        <v>0</v>
      </c>
      <c r="K5377" s="25">
        <f t="shared" si="251"/>
        <v>1.0000000000000009</v>
      </c>
      <c r="L5377" s="27"/>
      <c r="M5377" s="28"/>
      <c r="N5377" s="28"/>
      <c r="O5377" s="20" t="s">
        <v>7530</v>
      </c>
      <c r="P5377" s="27" t="str">
        <f t="shared" si="250"/>
        <v>vermelho</v>
      </c>
    </row>
    <row r="5378" spans="1:16" ht="25.5">
      <c r="A5378" s="3" t="s">
        <v>4</v>
      </c>
      <c r="B5378" s="3" t="s">
        <v>4200</v>
      </c>
      <c r="C5378" s="4">
        <v>296</v>
      </c>
      <c r="D5378" s="3" t="s">
        <v>282</v>
      </c>
      <c r="E5378" s="3" t="s">
        <v>16</v>
      </c>
      <c r="F5378" s="5">
        <v>204</v>
      </c>
      <c r="G5378" s="5">
        <v>0</v>
      </c>
      <c r="H5378" s="6">
        <v>10355.879999999999</v>
      </c>
      <c r="I5378" s="22">
        <v>0</v>
      </c>
      <c r="J5378" s="24">
        <f t="shared" si="249"/>
        <v>0</v>
      </c>
      <c r="K5378" s="25">
        <f t="shared" si="251"/>
        <v>1.0000000000000009</v>
      </c>
      <c r="L5378" s="27"/>
      <c r="M5378" s="28"/>
      <c r="N5378" s="28"/>
      <c r="O5378" s="20" t="s">
        <v>7530</v>
      </c>
      <c r="P5378" s="27" t="str">
        <f t="shared" si="250"/>
        <v>vermelho</v>
      </c>
    </row>
    <row r="5379" spans="1:16" ht="25.5">
      <c r="A5379" s="3" t="s">
        <v>4</v>
      </c>
      <c r="B5379" s="3" t="s">
        <v>4201</v>
      </c>
      <c r="C5379" s="4">
        <v>217</v>
      </c>
      <c r="D5379" s="3" t="s">
        <v>91</v>
      </c>
      <c r="E5379" s="3" t="s">
        <v>16</v>
      </c>
      <c r="F5379" s="5">
        <v>180</v>
      </c>
      <c r="G5379" s="5">
        <v>0</v>
      </c>
      <c r="H5379" s="6">
        <v>8707.32</v>
      </c>
      <c r="I5379" s="22">
        <v>0</v>
      </c>
      <c r="J5379" s="24">
        <f t="shared" ref="J5379:J5442" si="252">I5379/$I$6364</f>
        <v>0</v>
      </c>
      <c r="K5379" s="25">
        <f t="shared" si="251"/>
        <v>1.0000000000000009</v>
      </c>
      <c r="L5379" s="27"/>
      <c r="M5379" s="28"/>
      <c r="N5379" s="28"/>
      <c r="O5379" s="20" t="s">
        <v>7530</v>
      </c>
      <c r="P5379" s="27" t="str">
        <f t="shared" ref="P5379:P5442" si="253">IF(O5379&lt;=0,"vermelho",IFERROR(IF(O5379/I5379&lt;=0.5098,"amarelo",IF(O5379/I5379&lt;1,"laranja","verde")),"vermelho"))</f>
        <v>vermelho</v>
      </c>
    </row>
    <row r="5380" spans="1:16" ht="38.25">
      <c r="A5380" s="3" t="s">
        <v>4</v>
      </c>
      <c r="B5380" s="3" t="s">
        <v>4202</v>
      </c>
      <c r="C5380" s="4">
        <v>292</v>
      </c>
      <c r="D5380" s="3" t="s">
        <v>57</v>
      </c>
      <c r="E5380" s="3" t="s">
        <v>49</v>
      </c>
      <c r="F5380" s="5">
        <v>120</v>
      </c>
      <c r="G5380" s="5">
        <v>0</v>
      </c>
      <c r="H5380" s="6">
        <v>4825.6559999999999</v>
      </c>
      <c r="I5380" s="22">
        <v>0</v>
      </c>
      <c r="J5380" s="24">
        <f t="shared" si="252"/>
        <v>0</v>
      </c>
      <c r="K5380" s="25">
        <f t="shared" ref="K5380:K5443" si="254">J5380+K5379</f>
        <v>1.0000000000000009</v>
      </c>
      <c r="L5380" s="27"/>
      <c r="M5380" s="28"/>
      <c r="N5380" s="28"/>
      <c r="O5380" s="20" t="s">
        <v>7530</v>
      </c>
      <c r="P5380" s="27" t="str">
        <f t="shared" si="253"/>
        <v>vermelho</v>
      </c>
    </row>
    <row r="5381" spans="1:16" ht="25.5">
      <c r="A5381" s="3" t="s">
        <v>4</v>
      </c>
      <c r="B5381" s="3" t="s">
        <v>4203</v>
      </c>
      <c r="C5381" s="4">
        <v>299</v>
      </c>
      <c r="D5381" s="3" t="s">
        <v>111</v>
      </c>
      <c r="E5381" s="3" t="s">
        <v>49</v>
      </c>
      <c r="F5381" s="5">
        <v>72</v>
      </c>
      <c r="G5381" s="5">
        <v>0</v>
      </c>
      <c r="H5381" s="6">
        <v>4246.32</v>
      </c>
      <c r="I5381" s="22">
        <v>0</v>
      </c>
      <c r="J5381" s="24">
        <f t="shared" si="252"/>
        <v>0</v>
      </c>
      <c r="K5381" s="25">
        <f t="shared" si="254"/>
        <v>1.0000000000000009</v>
      </c>
      <c r="L5381" s="27"/>
      <c r="M5381" s="28"/>
      <c r="N5381" s="28"/>
      <c r="O5381" s="20" t="s">
        <v>7530</v>
      </c>
      <c r="P5381" s="27" t="str">
        <f t="shared" si="253"/>
        <v>vermelho</v>
      </c>
    </row>
    <row r="5382" spans="1:16" ht="38.25">
      <c r="A5382" s="3" t="s">
        <v>4</v>
      </c>
      <c r="B5382" s="3" t="s">
        <v>4204</v>
      </c>
      <c r="C5382" s="4">
        <v>299</v>
      </c>
      <c r="D5382" s="3" t="s">
        <v>111</v>
      </c>
      <c r="E5382" s="3" t="s">
        <v>49</v>
      </c>
      <c r="F5382" s="5">
        <v>72</v>
      </c>
      <c r="G5382" s="5">
        <v>0</v>
      </c>
      <c r="H5382" s="6">
        <v>2053.8000000000002</v>
      </c>
      <c r="I5382" s="22">
        <v>0</v>
      </c>
      <c r="J5382" s="24">
        <f t="shared" si="252"/>
        <v>0</v>
      </c>
      <c r="K5382" s="25">
        <f t="shared" si="254"/>
        <v>1.0000000000000009</v>
      </c>
      <c r="L5382" s="27"/>
      <c r="M5382" s="28"/>
      <c r="N5382" s="28"/>
      <c r="O5382" s="20" t="s">
        <v>7530</v>
      </c>
      <c r="P5382" s="27" t="str">
        <f t="shared" si="253"/>
        <v>vermelho</v>
      </c>
    </row>
    <row r="5383" spans="1:16" ht="25.5">
      <c r="A5383" s="3" t="s">
        <v>4</v>
      </c>
      <c r="B5383" s="3" t="s">
        <v>4205</v>
      </c>
      <c r="C5383" s="4">
        <v>187</v>
      </c>
      <c r="D5383" s="3" t="s">
        <v>96</v>
      </c>
      <c r="E5383" s="3" t="s">
        <v>7</v>
      </c>
      <c r="F5383" s="5">
        <v>96</v>
      </c>
      <c r="G5383" s="5">
        <v>0</v>
      </c>
      <c r="H5383" s="6">
        <v>6056.04</v>
      </c>
      <c r="I5383" s="22">
        <v>0</v>
      </c>
      <c r="J5383" s="24">
        <f t="shared" si="252"/>
        <v>0</v>
      </c>
      <c r="K5383" s="25">
        <f t="shared" si="254"/>
        <v>1.0000000000000009</v>
      </c>
      <c r="L5383" s="27"/>
      <c r="M5383" s="28"/>
      <c r="N5383" s="28"/>
      <c r="O5383" s="20" t="s">
        <v>7530</v>
      </c>
      <c r="P5383" s="27" t="str">
        <f t="shared" si="253"/>
        <v>vermelho</v>
      </c>
    </row>
    <row r="5384" spans="1:16" ht="25.5">
      <c r="A5384" s="3" t="s">
        <v>4</v>
      </c>
      <c r="B5384" s="3" t="s">
        <v>4206</v>
      </c>
      <c r="C5384" s="4">
        <v>178</v>
      </c>
      <c r="D5384" s="3" t="s">
        <v>74</v>
      </c>
      <c r="E5384" s="3" t="s">
        <v>7</v>
      </c>
      <c r="F5384" s="5">
        <v>99</v>
      </c>
      <c r="G5384" s="5">
        <v>0</v>
      </c>
      <c r="H5384" s="6">
        <v>6294.93</v>
      </c>
      <c r="I5384" s="22">
        <v>0</v>
      </c>
      <c r="J5384" s="24">
        <f t="shared" si="252"/>
        <v>0</v>
      </c>
      <c r="K5384" s="25">
        <f t="shared" si="254"/>
        <v>1.0000000000000009</v>
      </c>
      <c r="L5384" s="27"/>
      <c r="M5384" s="28"/>
      <c r="N5384" s="28"/>
      <c r="O5384" s="20" t="s">
        <v>7530</v>
      </c>
      <c r="P5384" s="27" t="str">
        <f t="shared" si="253"/>
        <v>vermelho</v>
      </c>
    </row>
    <row r="5385" spans="1:16" ht="25.5">
      <c r="A5385" s="3" t="s">
        <v>4</v>
      </c>
      <c r="B5385" s="3" t="s">
        <v>4207</v>
      </c>
      <c r="C5385" s="4">
        <v>194</v>
      </c>
      <c r="D5385" s="3" t="s">
        <v>145</v>
      </c>
      <c r="E5385" s="3" t="s">
        <v>16</v>
      </c>
      <c r="F5385" s="5">
        <v>60</v>
      </c>
      <c r="G5385" s="5">
        <v>0</v>
      </c>
      <c r="H5385" s="6">
        <v>2921.64</v>
      </c>
      <c r="I5385" s="22">
        <v>0</v>
      </c>
      <c r="J5385" s="24">
        <f t="shared" si="252"/>
        <v>0</v>
      </c>
      <c r="K5385" s="25">
        <f t="shared" si="254"/>
        <v>1.0000000000000009</v>
      </c>
      <c r="L5385" s="27"/>
      <c r="M5385" s="28"/>
      <c r="N5385" s="28"/>
      <c r="O5385" s="20" t="s">
        <v>7530</v>
      </c>
      <c r="P5385" s="27" t="str">
        <f t="shared" si="253"/>
        <v>vermelho</v>
      </c>
    </row>
    <row r="5386" spans="1:16" ht="25.5">
      <c r="A5386" s="3" t="s">
        <v>4</v>
      </c>
      <c r="B5386" s="3" t="s">
        <v>4208</v>
      </c>
      <c r="C5386" s="4">
        <v>74</v>
      </c>
      <c r="D5386" s="3" t="s">
        <v>6</v>
      </c>
      <c r="E5386" s="3" t="s">
        <v>7</v>
      </c>
      <c r="F5386" s="5">
        <v>84</v>
      </c>
      <c r="G5386" s="5">
        <v>0</v>
      </c>
      <c r="H5386" s="6">
        <v>4822.8</v>
      </c>
      <c r="I5386" s="22">
        <v>0</v>
      </c>
      <c r="J5386" s="24">
        <f t="shared" si="252"/>
        <v>0</v>
      </c>
      <c r="K5386" s="25">
        <f t="shared" si="254"/>
        <v>1.0000000000000009</v>
      </c>
      <c r="L5386" s="27"/>
      <c r="M5386" s="28"/>
      <c r="N5386" s="28"/>
      <c r="O5386" s="20" t="s">
        <v>7530</v>
      </c>
      <c r="P5386" s="27" t="str">
        <f t="shared" si="253"/>
        <v>vermelho</v>
      </c>
    </row>
    <row r="5387" spans="1:16" ht="25.5">
      <c r="A5387" s="3" t="s">
        <v>4</v>
      </c>
      <c r="B5387" s="3" t="s">
        <v>4209</v>
      </c>
      <c r="C5387" s="4">
        <v>315</v>
      </c>
      <c r="D5387" s="3" t="s">
        <v>63</v>
      </c>
      <c r="E5387" s="3" t="s">
        <v>7</v>
      </c>
      <c r="F5387" s="5">
        <v>144</v>
      </c>
      <c r="G5387" s="5">
        <v>0</v>
      </c>
      <c r="H5387" s="6">
        <v>4569.24</v>
      </c>
      <c r="I5387" s="22">
        <v>0</v>
      </c>
      <c r="J5387" s="24">
        <f t="shared" si="252"/>
        <v>0</v>
      </c>
      <c r="K5387" s="25">
        <f t="shared" si="254"/>
        <v>1.0000000000000009</v>
      </c>
      <c r="L5387" s="27"/>
      <c r="M5387" s="28"/>
      <c r="N5387" s="28"/>
      <c r="O5387" s="20" t="s">
        <v>7530</v>
      </c>
      <c r="P5387" s="27" t="str">
        <f t="shared" si="253"/>
        <v>vermelho</v>
      </c>
    </row>
    <row r="5388" spans="1:16" ht="25.5">
      <c r="A5388" s="3" t="s">
        <v>4</v>
      </c>
      <c r="B5388" s="3" t="s">
        <v>4210</v>
      </c>
      <c r="C5388" s="4">
        <v>328</v>
      </c>
      <c r="D5388" s="3" t="s">
        <v>215</v>
      </c>
      <c r="E5388" s="3" t="s">
        <v>41</v>
      </c>
      <c r="F5388" s="5">
        <v>381</v>
      </c>
      <c r="G5388" s="5">
        <v>0</v>
      </c>
      <c r="H5388" s="6">
        <v>23871.18</v>
      </c>
      <c r="I5388" s="22">
        <v>0</v>
      </c>
      <c r="J5388" s="24">
        <f t="shared" si="252"/>
        <v>0</v>
      </c>
      <c r="K5388" s="25">
        <f t="shared" si="254"/>
        <v>1.0000000000000009</v>
      </c>
      <c r="L5388" s="27"/>
      <c r="M5388" s="28"/>
      <c r="N5388" s="28"/>
      <c r="O5388" s="20" t="s">
        <v>7530</v>
      </c>
      <c r="P5388" s="27" t="str">
        <f t="shared" si="253"/>
        <v>vermelho</v>
      </c>
    </row>
    <row r="5389" spans="1:16" ht="25.5">
      <c r="A5389" s="3" t="s">
        <v>4</v>
      </c>
      <c r="B5389" s="3" t="s">
        <v>4211</v>
      </c>
      <c r="C5389" s="4">
        <v>187</v>
      </c>
      <c r="D5389" s="3" t="s">
        <v>96</v>
      </c>
      <c r="E5389" s="3" t="s">
        <v>7</v>
      </c>
      <c r="F5389" s="5">
        <v>90</v>
      </c>
      <c r="G5389" s="5">
        <v>0</v>
      </c>
      <c r="H5389" s="6">
        <v>5399.1</v>
      </c>
      <c r="I5389" s="22">
        <v>0</v>
      </c>
      <c r="J5389" s="24">
        <f t="shared" si="252"/>
        <v>0</v>
      </c>
      <c r="K5389" s="25">
        <f t="shared" si="254"/>
        <v>1.0000000000000009</v>
      </c>
      <c r="L5389" s="27"/>
      <c r="M5389" s="28"/>
      <c r="N5389" s="28"/>
      <c r="O5389" s="20" t="s">
        <v>7530</v>
      </c>
      <c r="P5389" s="27" t="str">
        <f t="shared" si="253"/>
        <v>vermelho</v>
      </c>
    </row>
    <row r="5390" spans="1:16" ht="25.5">
      <c r="A5390" s="3" t="s">
        <v>4</v>
      </c>
      <c r="B5390" s="3" t="s">
        <v>4212</v>
      </c>
      <c r="C5390" s="4">
        <v>267</v>
      </c>
      <c r="D5390" s="3" t="s">
        <v>125</v>
      </c>
      <c r="E5390" s="3" t="s">
        <v>16</v>
      </c>
      <c r="F5390" s="5">
        <v>498</v>
      </c>
      <c r="G5390" s="5">
        <v>0</v>
      </c>
      <c r="H5390" s="6">
        <v>26538.54</v>
      </c>
      <c r="I5390" s="22">
        <v>0</v>
      </c>
      <c r="J5390" s="24">
        <f t="shared" si="252"/>
        <v>0</v>
      </c>
      <c r="K5390" s="25">
        <f t="shared" si="254"/>
        <v>1.0000000000000009</v>
      </c>
      <c r="L5390" s="27"/>
      <c r="M5390" s="28"/>
      <c r="N5390" s="28"/>
      <c r="O5390" s="20" t="s">
        <v>7530</v>
      </c>
      <c r="P5390" s="27" t="str">
        <f t="shared" si="253"/>
        <v>vermelho</v>
      </c>
    </row>
    <row r="5391" spans="1:16" ht="25.5">
      <c r="A5391" s="3" t="s">
        <v>4</v>
      </c>
      <c r="B5391" s="3" t="s">
        <v>4213</v>
      </c>
      <c r="C5391" s="4">
        <v>337</v>
      </c>
      <c r="D5391" s="3" t="s">
        <v>202</v>
      </c>
      <c r="E5391" s="3" t="s">
        <v>16</v>
      </c>
      <c r="F5391" s="5">
        <v>156</v>
      </c>
      <c r="G5391" s="5">
        <v>0</v>
      </c>
      <c r="H5391" s="6">
        <v>7258.44</v>
      </c>
      <c r="I5391" s="22">
        <v>0</v>
      </c>
      <c r="J5391" s="24">
        <f t="shared" si="252"/>
        <v>0</v>
      </c>
      <c r="K5391" s="25">
        <f t="shared" si="254"/>
        <v>1.0000000000000009</v>
      </c>
      <c r="L5391" s="27"/>
      <c r="M5391" s="28"/>
      <c r="N5391" s="28"/>
      <c r="O5391" s="20" t="s">
        <v>7530</v>
      </c>
      <c r="P5391" s="27" t="str">
        <f t="shared" si="253"/>
        <v>vermelho</v>
      </c>
    </row>
    <row r="5392" spans="1:16" ht="25.5">
      <c r="A5392" s="3" t="s">
        <v>4</v>
      </c>
      <c r="B5392" s="3" t="s">
        <v>4214</v>
      </c>
      <c r="C5392" s="4">
        <v>317</v>
      </c>
      <c r="D5392" s="3" t="s">
        <v>78</v>
      </c>
      <c r="E5392" s="3" t="s">
        <v>10</v>
      </c>
      <c r="F5392" s="5">
        <v>120</v>
      </c>
      <c r="G5392" s="5">
        <v>0</v>
      </c>
      <c r="H5392" s="6">
        <v>3757.2</v>
      </c>
      <c r="I5392" s="22">
        <v>0</v>
      </c>
      <c r="J5392" s="24">
        <f t="shared" si="252"/>
        <v>0</v>
      </c>
      <c r="K5392" s="25">
        <f t="shared" si="254"/>
        <v>1.0000000000000009</v>
      </c>
      <c r="L5392" s="27"/>
      <c r="M5392" s="28"/>
      <c r="N5392" s="28"/>
      <c r="O5392" s="20" t="s">
        <v>7530</v>
      </c>
      <c r="P5392" s="27" t="str">
        <f t="shared" si="253"/>
        <v>vermelho</v>
      </c>
    </row>
    <row r="5393" spans="1:16" ht="25.5">
      <c r="A5393" s="3" t="s">
        <v>4</v>
      </c>
      <c r="B5393" s="3" t="s">
        <v>4215</v>
      </c>
      <c r="C5393" s="4">
        <v>337</v>
      </c>
      <c r="D5393" s="3" t="s">
        <v>202</v>
      </c>
      <c r="E5393" s="3" t="s">
        <v>16</v>
      </c>
      <c r="F5393" s="5">
        <v>180</v>
      </c>
      <c r="G5393" s="5">
        <v>0</v>
      </c>
      <c r="H5393" s="6">
        <v>9509.52</v>
      </c>
      <c r="I5393" s="22">
        <v>0</v>
      </c>
      <c r="J5393" s="24">
        <f t="shared" si="252"/>
        <v>0</v>
      </c>
      <c r="K5393" s="25">
        <f t="shared" si="254"/>
        <v>1.0000000000000009</v>
      </c>
      <c r="L5393" s="27"/>
      <c r="M5393" s="28"/>
      <c r="N5393" s="28"/>
      <c r="O5393" s="20" t="s">
        <v>7530</v>
      </c>
      <c r="P5393" s="27" t="str">
        <f t="shared" si="253"/>
        <v>vermelho</v>
      </c>
    </row>
    <row r="5394" spans="1:16" ht="38.25">
      <c r="A5394" s="3" t="s">
        <v>4</v>
      </c>
      <c r="B5394" s="3" t="s">
        <v>4216</v>
      </c>
      <c r="C5394" s="4">
        <v>45</v>
      </c>
      <c r="D5394" s="3" t="s">
        <v>23</v>
      </c>
      <c r="E5394" s="3" t="s">
        <v>7</v>
      </c>
      <c r="F5394" s="5">
        <v>144</v>
      </c>
      <c r="G5394" s="5">
        <v>0</v>
      </c>
      <c r="H5394" s="6">
        <v>8060.76</v>
      </c>
      <c r="I5394" s="22">
        <v>0</v>
      </c>
      <c r="J5394" s="24">
        <f t="shared" si="252"/>
        <v>0</v>
      </c>
      <c r="K5394" s="25">
        <f t="shared" si="254"/>
        <v>1.0000000000000009</v>
      </c>
      <c r="L5394" s="27"/>
      <c r="M5394" s="28"/>
      <c r="N5394" s="28"/>
      <c r="O5394" s="20" t="s">
        <v>7530</v>
      </c>
      <c r="P5394" s="27" t="str">
        <f t="shared" si="253"/>
        <v>vermelho</v>
      </c>
    </row>
    <row r="5395" spans="1:16" ht="25.5">
      <c r="A5395" s="3" t="s">
        <v>4</v>
      </c>
      <c r="B5395" s="3" t="s">
        <v>4217</v>
      </c>
      <c r="C5395" s="4">
        <v>261</v>
      </c>
      <c r="D5395" s="3" t="s">
        <v>9</v>
      </c>
      <c r="E5395" s="3" t="s">
        <v>10</v>
      </c>
      <c r="F5395" s="5">
        <v>207</v>
      </c>
      <c r="G5395" s="5">
        <v>0</v>
      </c>
      <c r="H5395" s="6">
        <v>10257.93</v>
      </c>
      <c r="I5395" s="22">
        <v>0</v>
      </c>
      <c r="J5395" s="24">
        <f t="shared" si="252"/>
        <v>0</v>
      </c>
      <c r="K5395" s="25">
        <f t="shared" si="254"/>
        <v>1.0000000000000009</v>
      </c>
      <c r="L5395" s="27"/>
      <c r="M5395" s="28"/>
      <c r="N5395" s="28"/>
      <c r="O5395" s="20" t="s">
        <v>7530</v>
      </c>
      <c r="P5395" s="27" t="str">
        <f t="shared" si="253"/>
        <v>vermelho</v>
      </c>
    </row>
    <row r="5396" spans="1:16" ht="38.25">
      <c r="A5396" s="3" t="s">
        <v>4</v>
      </c>
      <c r="B5396" s="3" t="s">
        <v>4218</v>
      </c>
      <c r="C5396" s="4">
        <v>93</v>
      </c>
      <c r="D5396" s="3" t="s">
        <v>20</v>
      </c>
      <c r="E5396" s="3" t="s">
        <v>7</v>
      </c>
      <c r="F5396" s="5">
        <v>0</v>
      </c>
      <c r="G5396" s="5">
        <v>0</v>
      </c>
      <c r="H5396" s="6">
        <v>0</v>
      </c>
      <c r="I5396" s="22">
        <v>0</v>
      </c>
      <c r="J5396" s="24">
        <f t="shared" si="252"/>
        <v>0</v>
      </c>
      <c r="K5396" s="25">
        <f t="shared" si="254"/>
        <v>1.0000000000000009</v>
      </c>
      <c r="L5396" s="27"/>
      <c r="M5396" s="28"/>
      <c r="N5396" s="28"/>
      <c r="O5396" s="20" t="s">
        <v>7530</v>
      </c>
      <c r="P5396" s="27" t="str">
        <f t="shared" si="253"/>
        <v>vermelho</v>
      </c>
    </row>
    <row r="5397" spans="1:16" ht="25.5">
      <c r="A5397" s="3" t="s">
        <v>4</v>
      </c>
      <c r="B5397" s="3" t="s">
        <v>4219</v>
      </c>
      <c r="C5397" s="4">
        <v>327</v>
      </c>
      <c r="D5397" s="3" t="s">
        <v>100</v>
      </c>
      <c r="E5397" s="3" t="s">
        <v>7</v>
      </c>
      <c r="F5397" s="5">
        <v>66</v>
      </c>
      <c r="G5397" s="5">
        <v>0</v>
      </c>
      <c r="H5397" s="6">
        <v>3687.54</v>
      </c>
      <c r="I5397" s="22">
        <v>0</v>
      </c>
      <c r="J5397" s="24">
        <f t="shared" si="252"/>
        <v>0</v>
      </c>
      <c r="K5397" s="25">
        <f t="shared" si="254"/>
        <v>1.0000000000000009</v>
      </c>
      <c r="L5397" s="27"/>
      <c r="M5397" s="28"/>
      <c r="N5397" s="28"/>
      <c r="O5397" s="20" t="s">
        <v>7530</v>
      </c>
      <c r="P5397" s="27" t="str">
        <f t="shared" si="253"/>
        <v>vermelho</v>
      </c>
    </row>
    <row r="5398" spans="1:16" ht="38.25">
      <c r="A5398" s="3" t="s">
        <v>4</v>
      </c>
      <c r="B5398" s="3" t="s">
        <v>4220</v>
      </c>
      <c r="C5398" s="4">
        <v>38</v>
      </c>
      <c r="D5398" s="3" t="s">
        <v>184</v>
      </c>
      <c r="E5398" s="3" t="s">
        <v>49</v>
      </c>
      <c r="F5398" s="5">
        <v>216</v>
      </c>
      <c r="G5398" s="5">
        <v>0</v>
      </c>
      <c r="H5398" s="6">
        <v>11905.716</v>
      </c>
      <c r="I5398" s="22">
        <v>0</v>
      </c>
      <c r="J5398" s="24">
        <f t="shared" si="252"/>
        <v>0</v>
      </c>
      <c r="K5398" s="25">
        <f t="shared" si="254"/>
        <v>1.0000000000000009</v>
      </c>
      <c r="L5398" s="27"/>
      <c r="M5398" s="28"/>
      <c r="N5398" s="28"/>
      <c r="O5398" s="20" t="s">
        <v>7530</v>
      </c>
      <c r="P5398" s="27" t="str">
        <f t="shared" si="253"/>
        <v>vermelho</v>
      </c>
    </row>
    <row r="5399" spans="1:16" ht="25.5">
      <c r="A5399" s="3" t="s">
        <v>4</v>
      </c>
      <c r="B5399" s="3" t="s">
        <v>4221</v>
      </c>
      <c r="C5399" s="4">
        <v>23</v>
      </c>
      <c r="D5399" s="3" t="s">
        <v>87</v>
      </c>
      <c r="E5399" s="3" t="s">
        <v>7</v>
      </c>
      <c r="F5399" s="5">
        <v>591</v>
      </c>
      <c r="G5399" s="5">
        <v>0</v>
      </c>
      <c r="H5399" s="6">
        <v>33183.18</v>
      </c>
      <c r="I5399" s="22">
        <v>0</v>
      </c>
      <c r="J5399" s="24">
        <f t="shared" si="252"/>
        <v>0</v>
      </c>
      <c r="K5399" s="25">
        <f t="shared" si="254"/>
        <v>1.0000000000000009</v>
      </c>
      <c r="L5399" s="27"/>
      <c r="M5399" s="28"/>
      <c r="N5399" s="28"/>
      <c r="O5399" s="20" t="s">
        <v>7530</v>
      </c>
      <c r="P5399" s="27" t="str">
        <f t="shared" si="253"/>
        <v>vermelho</v>
      </c>
    </row>
    <row r="5400" spans="1:16" ht="25.5">
      <c r="A5400" s="3" t="s">
        <v>4</v>
      </c>
      <c r="B5400" s="3" t="s">
        <v>4222</v>
      </c>
      <c r="C5400" s="4">
        <v>273</v>
      </c>
      <c r="D5400" s="3" t="s">
        <v>149</v>
      </c>
      <c r="E5400" s="3" t="s">
        <v>16</v>
      </c>
      <c r="F5400" s="5">
        <v>516</v>
      </c>
      <c r="G5400" s="5">
        <v>0</v>
      </c>
      <c r="H5400" s="6">
        <v>28769.55</v>
      </c>
      <c r="I5400" s="22">
        <v>0</v>
      </c>
      <c r="J5400" s="24">
        <f t="shared" si="252"/>
        <v>0</v>
      </c>
      <c r="K5400" s="25">
        <f t="shared" si="254"/>
        <v>1.0000000000000009</v>
      </c>
      <c r="L5400" s="27"/>
      <c r="M5400" s="28"/>
      <c r="N5400" s="28"/>
      <c r="O5400" s="20" t="s">
        <v>7530</v>
      </c>
      <c r="P5400" s="27" t="str">
        <f t="shared" si="253"/>
        <v>vermelho</v>
      </c>
    </row>
    <row r="5401" spans="1:16" ht="25.5">
      <c r="A5401" s="3" t="s">
        <v>4</v>
      </c>
      <c r="B5401" s="3" t="s">
        <v>4223</v>
      </c>
      <c r="C5401" s="4">
        <v>334</v>
      </c>
      <c r="D5401" s="3" t="s">
        <v>531</v>
      </c>
      <c r="E5401" s="3" t="s">
        <v>7</v>
      </c>
      <c r="F5401" s="5">
        <v>102</v>
      </c>
      <c r="G5401" s="5">
        <v>0</v>
      </c>
      <c r="H5401" s="6">
        <v>6977.76</v>
      </c>
      <c r="I5401" s="22">
        <v>0</v>
      </c>
      <c r="J5401" s="24">
        <f t="shared" si="252"/>
        <v>0</v>
      </c>
      <c r="K5401" s="25">
        <f t="shared" si="254"/>
        <v>1.0000000000000009</v>
      </c>
      <c r="L5401" s="27"/>
      <c r="M5401" s="28"/>
      <c r="N5401" s="28"/>
      <c r="O5401" s="20" t="s">
        <v>7530</v>
      </c>
      <c r="P5401" s="27" t="str">
        <f t="shared" si="253"/>
        <v>vermelho</v>
      </c>
    </row>
    <row r="5402" spans="1:16">
      <c r="A5402" s="3" t="s">
        <v>4</v>
      </c>
      <c r="B5402" s="3" t="s">
        <v>4224</v>
      </c>
      <c r="C5402" s="4">
        <v>231</v>
      </c>
      <c r="D5402" s="3" t="s">
        <v>52</v>
      </c>
      <c r="E5402" s="3" t="s">
        <v>7</v>
      </c>
      <c r="F5402" s="5">
        <v>36</v>
      </c>
      <c r="G5402" s="5">
        <v>0</v>
      </c>
      <c r="H5402" s="6">
        <v>2471.64</v>
      </c>
      <c r="I5402" s="22">
        <v>0</v>
      </c>
      <c r="J5402" s="24">
        <f t="shared" si="252"/>
        <v>0</v>
      </c>
      <c r="K5402" s="25">
        <f t="shared" si="254"/>
        <v>1.0000000000000009</v>
      </c>
      <c r="L5402" s="27"/>
      <c r="M5402" s="28"/>
      <c r="N5402" s="28"/>
      <c r="O5402" s="20" t="s">
        <v>7530</v>
      </c>
      <c r="P5402" s="27" t="str">
        <f t="shared" si="253"/>
        <v>vermelho</v>
      </c>
    </row>
    <row r="5403" spans="1:16" ht="25.5">
      <c r="A5403" s="3" t="s">
        <v>4</v>
      </c>
      <c r="B5403" s="3" t="s">
        <v>4225</v>
      </c>
      <c r="C5403" s="4">
        <v>19</v>
      </c>
      <c r="D5403" s="3" t="s">
        <v>72</v>
      </c>
      <c r="E5403" s="3" t="s">
        <v>41</v>
      </c>
      <c r="F5403" s="5">
        <v>108</v>
      </c>
      <c r="G5403" s="5">
        <v>0</v>
      </c>
      <c r="H5403" s="6">
        <v>4738.92</v>
      </c>
      <c r="I5403" s="22">
        <v>0</v>
      </c>
      <c r="J5403" s="24">
        <f t="shared" si="252"/>
        <v>0</v>
      </c>
      <c r="K5403" s="25">
        <f t="shared" si="254"/>
        <v>1.0000000000000009</v>
      </c>
      <c r="L5403" s="27"/>
      <c r="M5403" s="28"/>
      <c r="N5403" s="28">
        <v>4.733844051641585E-2</v>
      </c>
      <c r="O5403" s="20">
        <v>11890.2</v>
      </c>
      <c r="P5403" s="27" t="str">
        <f t="shared" si="253"/>
        <v>vermelho</v>
      </c>
    </row>
    <row r="5404" spans="1:16" ht="25.5">
      <c r="A5404" s="3" t="s">
        <v>4</v>
      </c>
      <c r="B5404" s="3" t="s">
        <v>4226</v>
      </c>
      <c r="C5404" s="4">
        <v>320</v>
      </c>
      <c r="D5404" s="3" t="s">
        <v>218</v>
      </c>
      <c r="E5404" s="3" t="s">
        <v>49</v>
      </c>
      <c r="F5404" s="5">
        <v>177</v>
      </c>
      <c r="G5404" s="5">
        <v>0</v>
      </c>
      <c r="H5404" s="6">
        <v>10138.92</v>
      </c>
      <c r="I5404" s="22">
        <v>0</v>
      </c>
      <c r="J5404" s="24">
        <f t="shared" si="252"/>
        <v>0</v>
      </c>
      <c r="K5404" s="25">
        <f t="shared" si="254"/>
        <v>1.0000000000000009</v>
      </c>
      <c r="L5404" s="27"/>
      <c r="M5404" s="28"/>
      <c r="N5404" s="28"/>
      <c r="O5404" s="20" t="s">
        <v>7530</v>
      </c>
      <c r="P5404" s="27" t="str">
        <f t="shared" si="253"/>
        <v>vermelho</v>
      </c>
    </row>
    <row r="5405" spans="1:16">
      <c r="A5405" s="3" t="s">
        <v>4</v>
      </c>
      <c r="B5405" s="3" t="s">
        <v>4227</v>
      </c>
      <c r="C5405" s="4">
        <v>217</v>
      </c>
      <c r="D5405" s="3" t="s">
        <v>91</v>
      </c>
      <c r="E5405" s="3" t="s">
        <v>16</v>
      </c>
      <c r="F5405" s="5">
        <v>144</v>
      </c>
      <c r="G5405" s="5">
        <v>0</v>
      </c>
      <c r="H5405" s="6">
        <v>9166.77</v>
      </c>
      <c r="I5405" s="22">
        <v>0</v>
      </c>
      <c r="J5405" s="24">
        <f t="shared" si="252"/>
        <v>0</v>
      </c>
      <c r="K5405" s="25">
        <f t="shared" si="254"/>
        <v>1.0000000000000009</v>
      </c>
      <c r="L5405" s="27"/>
      <c r="M5405" s="28"/>
      <c r="N5405" s="28"/>
      <c r="O5405" s="20" t="s">
        <v>7530</v>
      </c>
      <c r="P5405" s="27" t="str">
        <f t="shared" si="253"/>
        <v>vermelho</v>
      </c>
    </row>
    <row r="5406" spans="1:16" ht="25.5">
      <c r="A5406" s="3" t="s">
        <v>4</v>
      </c>
      <c r="B5406" s="3" t="s">
        <v>4228</v>
      </c>
      <c r="C5406" s="4">
        <v>316</v>
      </c>
      <c r="D5406" s="3" t="s">
        <v>247</v>
      </c>
      <c r="E5406" s="3" t="s">
        <v>10</v>
      </c>
      <c r="F5406" s="5">
        <v>60</v>
      </c>
      <c r="G5406" s="5">
        <v>0</v>
      </c>
      <c r="H5406" s="6">
        <v>2762.34</v>
      </c>
      <c r="I5406" s="22">
        <v>0</v>
      </c>
      <c r="J5406" s="24">
        <f t="shared" si="252"/>
        <v>0</v>
      </c>
      <c r="K5406" s="25">
        <f t="shared" si="254"/>
        <v>1.0000000000000009</v>
      </c>
      <c r="L5406" s="27"/>
      <c r="M5406" s="28"/>
      <c r="N5406" s="28"/>
      <c r="O5406" s="20" t="s">
        <v>7530</v>
      </c>
      <c r="P5406" s="27" t="str">
        <f t="shared" si="253"/>
        <v>vermelho</v>
      </c>
    </row>
    <row r="5407" spans="1:16" ht="25.5">
      <c r="A5407" s="3" t="s">
        <v>4</v>
      </c>
      <c r="B5407" s="3" t="s">
        <v>4229</v>
      </c>
      <c r="C5407" s="4">
        <v>270</v>
      </c>
      <c r="D5407" s="3" t="s">
        <v>266</v>
      </c>
      <c r="E5407" s="3" t="s">
        <v>49</v>
      </c>
      <c r="F5407" s="5">
        <v>84</v>
      </c>
      <c r="G5407" s="5">
        <v>0</v>
      </c>
      <c r="H5407" s="6">
        <v>3551.16</v>
      </c>
      <c r="I5407" s="22">
        <v>0</v>
      </c>
      <c r="J5407" s="24">
        <f t="shared" si="252"/>
        <v>0</v>
      </c>
      <c r="K5407" s="25">
        <f t="shared" si="254"/>
        <v>1.0000000000000009</v>
      </c>
      <c r="L5407" s="27"/>
      <c r="M5407" s="28"/>
      <c r="N5407" s="28"/>
      <c r="O5407" s="20" t="s">
        <v>7530</v>
      </c>
      <c r="P5407" s="27" t="str">
        <f t="shared" si="253"/>
        <v>vermelho</v>
      </c>
    </row>
    <row r="5408" spans="1:16" ht="25.5">
      <c r="A5408" s="3" t="s">
        <v>4</v>
      </c>
      <c r="B5408" s="3" t="s">
        <v>4230</v>
      </c>
      <c r="C5408" s="4">
        <v>270</v>
      </c>
      <c r="D5408" s="3" t="s">
        <v>266</v>
      </c>
      <c r="E5408" s="3" t="s">
        <v>49</v>
      </c>
      <c r="F5408" s="5">
        <v>144</v>
      </c>
      <c r="G5408" s="5">
        <v>0</v>
      </c>
      <c r="H5408" s="6">
        <v>8086.56</v>
      </c>
      <c r="I5408" s="22">
        <v>0</v>
      </c>
      <c r="J5408" s="24">
        <f t="shared" si="252"/>
        <v>0</v>
      </c>
      <c r="K5408" s="25">
        <f t="shared" si="254"/>
        <v>1.0000000000000009</v>
      </c>
      <c r="L5408" s="27"/>
      <c r="M5408" s="28"/>
      <c r="N5408" s="28"/>
      <c r="O5408" s="20" t="s">
        <v>7530</v>
      </c>
      <c r="P5408" s="27" t="str">
        <f t="shared" si="253"/>
        <v>vermelho</v>
      </c>
    </row>
    <row r="5409" spans="1:16">
      <c r="A5409" s="3" t="s">
        <v>4</v>
      </c>
      <c r="B5409" s="3" t="s">
        <v>4231</v>
      </c>
      <c r="C5409" s="4">
        <v>232</v>
      </c>
      <c r="D5409" s="3" t="s">
        <v>174</v>
      </c>
      <c r="E5409" s="3" t="s">
        <v>16</v>
      </c>
      <c r="F5409" s="5">
        <v>288</v>
      </c>
      <c r="G5409" s="5">
        <v>0</v>
      </c>
      <c r="H5409" s="6">
        <v>15382.8</v>
      </c>
      <c r="I5409" s="22">
        <v>0</v>
      </c>
      <c r="J5409" s="24">
        <f t="shared" si="252"/>
        <v>0</v>
      </c>
      <c r="K5409" s="25">
        <f t="shared" si="254"/>
        <v>1.0000000000000009</v>
      </c>
      <c r="L5409" s="27"/>
      <c r="M5409" s="28"/>
      <c r="N5409" s="28"/>
      <c r="O5409" s="20" t="s">
        <v>7530</v>
      </c>
      <c r="P5409" s="27" t="str">
        <f t="shared" si="253"/>
        <v>vermelho</v>
      </c>
    </row>
    <row r="5410" spans="1:16" ht="25.5">
      <c r="A5410" s="3" t="s">
        <v>4</v>
      </c>
      <c r="B5410" s="3" t="s">
        <v>4232</v>
      </c>
      <c r="C5410" s="4">
        <v>41</v>
      </c>
      <c r="D5410" s="3" t="s">
        <v>178</v>
      </c>
      <c r="E5410" s="3" t="s">
        <v>41</v>
      </c>
      <c r="F5410" s="5">
        <v>144</v>
      </c>
      <c r="G5410" s="5">
        <v>0</v>
      </c>
      <c r="H5410" s="6">
        <v>8893.68</v>
      </c>
      <c r="I5410" s="22">
        <v>0</v>
      </c>
      <c r="J5410" s="24">
        <f t="shared" si="252"/>
        <v>0</v>
      </c>
      <c r="K5410" s="25">
        <f t="shared" si="254"/>
        <v>1.0000000000000009</v>
      </c>
      <c r="L5410" s="27"/>
      <c r="M5410" s="28"/>
      <c r="N5410" s="28"/>
      <c r="O5410" s="20" t="s">
        <v>7530</v>
      </c>
      <c r="P5410" s="27" t="str">
        <f t="shared" si="253"/>
        <v>vermelho</v>
      </c>
    </row>
    <row r="5411" spans="1:16" ht="25.5">
      <c r="A5411" s="3" t="s">
        <v>4</v>
      </c>
      <c r="B5411" s="3" t="s">
        <v>4233</v>
      </c>
      <c r="C5411" s="4">
        <v>337</v>
      </c>
      <c r="D5411" s="3" t="s">
        <v>202</v>
      </c>
      <c r="E5411" s="3" t="s">
        <v>16</v>
      </c>
      <c r="F5411" s="5">
        <v>180</v>
      </c>
      <c r="G5411" s="5">
        <v>0</v>
      </c>
      <c r="H5411" s="6">
        <v>9381.84</v>
      </c>
      <c r="I5411" s="22">
        <v>0</v>
      </c>
      <c r="J5411" s="24">
        <f t="shared" si="252"/>
        <v>0</v>
      </c>
      <c r="K5411" s="25">
        <f t="shared" si="254"/>
        <v>1.0000000000000009</v>
      </c>
      <c r="L5411" s="27"/>
      <c r="M5411" s="28"/>
      <c r="N5411" s="28"/>
      <c r="O5411" s="20">
        <v>6445.2</v>
      </c>
      <c r="P5411" s="27" t="str">
        <f t="shared" si="253"/>
        <v>vermelho</v>
      </c>
    </row>
    <row r="5412" spans="1:16" ht="25.5">
      <c r="A5412" s="3" t="s">
        <v>4</v>
      </c>
      <c r="B5412" s="3" t="s">
        <v>4234</v>
      </c>
      <c r="C5412" s="4">
        <v>321</v>
      </c>
      <c r="D5412" s="3" t="s">
        <v>136</v>
      </c>
      <c r="E5412" s="3" t="s">
        <v>41</v>
      </c>
      <c r="F5412" s="5">
        <v>189</v>
      </c>
      <c r="G5412" s="5">
        <v>0</v>
      </c>
      <c r="H5412" s="6">
        <v>11332.17</v>
      </c>
      <c r="I5412" s="22">
        <v>0</v>
      </c>
      <c r="J5412" s="24">
        <f t="shared" si="252"/>
        <v>0</v>
      </c>
      <c r="K5412" s="25">
        <f t="shared" si="254"/>
        <v>1.0000000000000009</v>
      </c>
      <c r="L5412" s="27"/>
      <c r="M5412" s="28"/>
      <c r="N5412" s="28"/>
      <c r="O5412" s="20" t="s">
        <v>7530</v>
      </c>
      <c r="P5412" s="27" t="str">
        <f t="shared" si="253"/>
        <v>vermelho</v>
      </c>
    </row>
    <row r="5413" spans="1:16" ht="38.25">
      <c r="A5413" s="3" t="s">
        <v>4</v>
      </c>
      <c r="B5413" s="3" t="s">
        <v>4235</v>
      </c>
      <c r="C5413" s="4">
        <v>371</v>
      </c>
      <c r="D5413" s="3" t="s">
        <v>82</v>
      </c>
      <c r="E5413" s="3" t="s">
        <v>49</v>
      </c>
      <c r="F5413" s="5">
        <v>60</v>
      </c>
      <c r="G5413" s="5">
        <v>0</v>
      </c>
      <c r="H5413" s="6">
        <v>3640.32</v>
      </c>
      <c r="I5413" s="22">
        <v>0</v>
      </c>
      <c r="J5413" s="24">
        <f t="shared" si="252"/>
        <v>0</v>
      </c>
      <c r="K5413" s="25">
        <f t="shared" si="254"/>
        <v>1.0000000000000009</v>
      </c>
      <c r="L5413" s="27"/>
      <c r="M5413" s="28"/>
      <c r="N5413" s="28"/>
      <c r="O5413" s="20" t="s">
        <v>7530</v>
      </c>
      <c r="P5413" s="27" t="str">
        <f t="shared" si="253"/>
        <v>vermelho</v>
      </c>
    </row>
    <row r="5414" spans="1:16" ht="25.5">
      <c r="A5414" s="3" t="s">
        <v>4</v>
      </c>
      <c r="B5414" s="3" t="s">
        <v>4236</v>
      </c>
      <c r="C5414" s="4">
        <v>208</v>
      </c>
      <c r="D5414" s="3" t="s">
        <v>15</v>
      </c>
      <c r="E5414" s="3" t="s">
        <v>16</v>
      </c>
      <c r="F5414" s="5">
        <v>0</v>
      </c>
      <c r="G5414" s="5">
        <v>0</v>
      </c>
      <c r="H5414" s="6">
        <v>0</v>
      </c>
      <c r="I5414" s="22">
        <v>0</v>
      </c>
      <c r="J5414" s="24">
        <f t="shared" si="252"/>
        <v>0</v>
      </c>
      <c r="K5414" s="25">
        <f t="shared" si="254"/>
        <v>1.0000000000000009</v>
      </c>
      <c r="L5414" s="27"/>
      <c r="M5414" s="28"/>
      <c r="N5414" s="28"/>
      <c r="O5414" s="20" t="s">
        <v>7530</v>
      </c>
      <c r="P5414" s="27" t="str">
        <f t="shared" si="253"/>
        <v>vermelho</v>
      </c>
    </row>
    <row r="5415" spans="1:16" ht="25.5">
      <c r="A5415" s="3" t="s">
        <v>4</v>
      </c>
      <c r="B5415" s="3" t="s">
        <v>4237</v>
      </c>
      <c r="C5415" s="4">
        <v>93</v>
      </c>
      <c r="D5415" s="3" t="s">
        <v>20</v>
      </c>
      <c r="E5415" s="3" t="s">
        <v>7</v>
      </c>
      <c r="F5415" s="5">
        <v>0</v>
      </c>
      <c r="G5415" s="5">
        <v>0</v>
      </c>
      <c r="H5415" s="6">
        <v>0</v>
      </c>
      <c r="I5415" s="22">
        <v>0</v>
      </c>
      <c r="J5415" s="24">
        <f t="shared" si="252"/>
        <v>0</v>
      </c>
      <c r="K5415" s="25">
        <f t="shared" si="254"/>
        <v>1.0000000000000009</v>
      </c>
      <c r="L5415" s="27"/>
      <c r="M5415" s="28"/>
      <c r="N5415" s="28"/>
      <c r="O5415" s="20" t="s">
        <v>7530</v>
      </c>
      <c r="P5415" s="27" t="str">
        <f t="shared" si="253"/>
        <v>vermelho</v>
      </c>
    </row>
    <row r="5416" spans="1:16" ht="25.5">
      <c r="A5416" s="3" t="s">
        <v>4</v>
      </c>
      <c r="B5416" s="3" t="s">
        <v>4238</v>
      </c>
      <c r="C5416" s="4">
        <v>299</v>
      </c>
      <c r="D5416" s="3" t="s">
        <v>111</v>
      </c>
      <c r="E5416" s="3" t="s">
        <v>49</v>
      </c>
      <c r="F5416" s="5">
        <v>36</v>
      </c>
      <c r="G5416" s="5">
        <v>0</v>
      </c>
      <c r="H5416" s="6">
        <v>2140.6799999999998</v>
      </c>
      <c r="I5416" s="22">
        <v>0</v>
      </c>
      <c r="J5416" s="24">
        <f t="shared" si="252"/>
        <v>0</v>
      </c>
      <c r="K5416" s="25">
        <f t="shared" si="254"/>
        <v>1.0000000000000009</v>
      </c>
      <c r="L5416" s="27"/>
      <c r="M5416" s="28"/>
      <c r="N5416" s="28"/>
      <c r="O5416" s="20" t="s">
        <v>7530</v>
      </c>
      <c r="P5416" s="27" t="str">
        <f t="shared" si="253"/>
        <v>vermelho</v>
      </c>
    </row>
    <row r="5417" spans="1:16" ht="25.5">
      <c r="A5417" s="3" t="s">
        <v>4</v>
      </c>
      <c r="B5417" s="3" t="s">
        <v>4239</v>
      </c>
      <c r="C5417" s="4">
        <v>296</v>
      </c>
      <c r="D5417" s="3" t="s">
        <v>282</v>
      </c>
      <c r="E5417" s="3" t="s">
        <v>10</v>
      </c>
      <c r="F5417" s="5">
        <v>0</v>
      </c>
      <c r="G5417" s="5">
        <v>0</v>
      </c>
      <c r="H5417" s="6">
        <v>0</v>
      </c>
      <c r="I5417" s="22">
        <v>0</v>
      </c>
      <c r="J5417" s="24">
        <f t="shared" si="252"/>
        <v>0</v>
      </c>
      <c r="K5417" s="25">
        <f t="shared" si="254"/>
        <v>1.0000000000000009</v>
      </c>
      <c r="L5417" s="27"/>
      <c r="M5417" s="28"/>
      <c r="N5417" s="28"/>
      <c r="O5417" s="20" t="s">
        <v>7530</v>
      </c>
      <c r="P5417" s="27" t="str">
        <f t="shared" si="253"/>
        <v>vermelho</v>
      </c>
    </row>
    <row r="5418" spans="1:16" ht="38.25">
      <c r="A5418" s="3" t="s">
        <v>4</v>
      </c>
      <c r="B5418" s="3" t="s">
        <v>4240</v>
      </c>
      <c r="C5418" s="4">
        <v>301</v>
      </c>
      <c r="D5418" s="3" t="s">
        <v>519</v>
      </c>
      <c r="E5418" s="3" t="s">
        <v>16</v>
      </c>
      <c r="F5418" s="5">
        <v>120</v>
      </c>
      <c r="G5418" s="5">
        <v>0</v>
      </c>
      <c r="H5418" s="6">
        <v>8183.04</v>
      </c>
      <c r="I5418" s="22">
        <v>0</v>
      </c>
      <c r="J5418" s="24">
        <f t="shared" si="252"/>
        <v>0</v>
      </c>
      <c r="K5418" s="25">
        <f t="shared" si="254"/>
        <v>1.0000000000000009</v>
      </c>
      <c r="L5418" s="27"/>
      <c r="M5418" s="28"/>
      <c r="N5418" s="28"/>
      <c r="O5418" s="20" t="s">
        <v>7530</v>
      </c>
      <c r="P5418" s="27" t="str">
        <f t="shared" si="253"/>
        <v>vermelho</v>
      </c>
    </row>
    <row r="5419" spans="1:16" ht="51">
      <c r="A5419" s="3" t="s">
        <v>4</v>
      </c>
      <c r="B5419" s="3" t="s">
        <v>4241</v>
      </c>
      <c r="C5419" s="4">
        <v>208</v>
      </c>
      <c r="D5419" s="3" t="s">
        <v>15</v>
      </c>
      <c r="E5419" s="3" t="s">
        <v>16</v>
      </c>
      <c r="F5419" s="5">
        <v>327</v>
      </c>
      <c r="G5419" s="5">
        <v>0</v>
      </c>
      <c r="H5419" s="6">
        <v>17260.62</v>
      </c>
      <c r="I5419" s="22">
        <v>0</v>
      </c>
      <c r="J5419" s="24">
        <f t="shared" si="252"/>
        <v>0</v>
      </c>
      <c r="K5419" s="25">
        <f t="shared" si="254"/>
        <v>1.0000000000000009</v>
      </c>
      <c r="L5419" s="27"/>
      <c r="M5419" s="28"/>
      <c r="N5419" s="28"/>
      <c r="O5419" s="20" t="s">
        <v>7530</v>
      </c>
      <c r="P5419" s="27" t="str">
        <f t="shared" si="253"/>
        <v>vermelho</v>
      </c>
    </row>
    <row r="5420" spans="1:16" ht="25.5">
      <c r="A5420" s="3" t="s">
        <v>4</v>
      </c>
      <c r="B5420" s="3" t="s">
        <v>4242</v>
      </c>
      <c r="C5420" s="4">
        <v>273</v>
      </c>
      <c r="D5420" s="3" t="s">
        <v>149</v>
      </c>
      <c r="E5420" s="3" t="s">
        <v>16</v>
      </c>
      <c r="F5420" s="5">
        <v>213</v>
      </c>
      <c r="G5420" s="5">
        <v>0</v>
      </c>
      <c r="H5420" s="6">
        <v>11791.44</v>
      </c>
      <c r="I5420" s="22">
        <v>0</v>
      </c>
      <c r="J5420" s="24">
        <f t="shared" si="252"/>
        <v>0</v>
      </c>
      <c r="K5420" s="25">
        <f t="shared" si="254"/>
        <v>1.0000000000000009</v>
      </c>
      <c r="L5420" s="27"/>
      <c r="M5420" s="28"/>
      <c r="N5420" s="28"/>
      <c r="O5420" s="20">
        <v>4966.26</v>
      </c>
      <c r="P5420" s="27" t="str">
        <f t="shared" si="253"/>
        <v>vermelho</v>
      </c>
    </row>
    <row r="5421" spans="1:16" ht="25.5">
      <c r="A5421" s="3" t="s">
        <v>4</v>
      </c>
      <c r="B5421" s="3" t="s">
        <v>4243</v>
      </c>
      <c r="C5421" s="4">
        <v>93</v>
      </c>
      <c r="D5421" s="3" t="s">
        <v>20</v>
      </c>
      <c r="E5421" s="3" t="s">
        <v>7</v>
      </c>
      <c r="F5421" s="5">
        <v>120</v>
      </c>
      <c r="G5421" s="5">
        <v>0</v>
      </c>
      <c r="H5421" s="6">
        <v>6675.6719999999996</v>
      </c>
      <c r="I5421" s="22">
        <v>0</v>
      </c>
      <c r="J5421" s="24">
        <f t="shared" si="252"/>
        <v>0</v>
      </c>
      <c r="K5421" s="25">
        <f t="shared" si="254"/>
        <v>1.0000000000000009</v>
      </c>
      <c r="L5421" s="27"/>
      <c r="M5421" s="28"/>
      <c r="N5421" s="28"/>
      <c r="O5421" s="20" t="s">
        <v>7530</v>
      </c>
      <c r="P5421" s="27" t="str">
        <f t="shared" si="253"/>
        <v>vermelho</v>
      </c>
    </row>
    <row r="5422" spans="1:16" ht="25.5">
      <c r="A5422" s="3" t="s">
        <v>4</v>
      </c>
      <c r="B5422" s="3" t="s">
        <v>4244</v>
      </c>
      <c r="C5422" s="4">
        <v>194</v>
      </c>
      <c r="D5422" s="3" t="s">
        <v>145</v>
      </c>
      <c r="E5422" s="3" t="s">
        <v>16</v>
      </c>
      <c r="F5422" s="5">
        <v>54</v>
      </c>
      <c r="G5422" s="5">
        <v>0</v>
      </c>
      <c r="H5422" s="6">
        <v>2968.74</v>
      </c>
      <c r="I5422" s="22">
        <v>0</v>
      </c>
      <c r="J5422" s="24">
        <f t="shared" si="252"/>
        <v>0</v>
      </c>
      <c r="K5422" s="25">
        <f t="shared" si="254"/>
        <v>1.0000000000000009</v>
      </c>
      <c r="L5422" s="27"/>
      <c r="M5422" s="28"/>
      <c r="N5422" s="28"/>
      <c r="O5422" s="20" t="s">
        <v>7530</v>
      </c>
      <c r="P5422" s="27" t="str">
        <f t="shared" si="253"/>
        <v>vermelho</v>
      </c>
    </row>
    <row r="5423" spans="1:16" ht="25.5">
      <c r="A5423" s="3" t="s">
        <v>4</v>
      </c>
      <c r="B5423" s="3" t="s">
        <v>4245</v>
      </c>
      <c r="C5423" s="4">
        <v>334</v>
      </c>
      <c r="D5423" s="3" t="s">
        <v>531</v>
      </c>
      <c r="E5423" s="3" t="s">
        <v>7</v>
      </c>
      <c r="F5423" s="5">
        <v>114</v>
      </c>
      <c r="G5423" s="5">
        <v>0</v>
      </c>
      <c r="H5423" s="6">
        <v>6270.36</v>
      </c>
      <c r="I5423" s="22">
        <v>0</v>
      </c>
      <c r="J5423" s="24">
        <f t="shared" si="252"/>
        <v>0</v>
      </c>
      <c r="K5423" s="25">
        <f t="shared" si="254"/>
        <v>1.0000000000000009</v>
      </c>
      <c r="L5423" s="27"/>
      <c r="M5423" s="28"/>
      <c r="N5423" s="28"/>
      <c r="O5423" s="20" t="s">
        <v>7530</v>
      </c>
      <c r="P5423" s="27" t="str">
        <f t="shared" si="253"/>
        <v>vermelho</v>
      </c>
    </row>
    <row r="5424" spans="1:16" ht="25.5">
      <c r="A5424" s="3" t="s">
        <v>4</v>
      </c>
      <c r="B5424" s="3" t="s">
        <v>4246</v>
      </c>
      <c r="C5424" s="4">
        <v>217</v>
      </c>
      <c r="D5424" s="3" t="s">
        <v>91</v>
      </c>
      <c r="E5424" s="3" t="s">
        <v>16</v>
      </c>
      <c r="F5424" s="5">
        <v>216</v>
      </c>
      <c r="G5424" s="5">
        <v>0</v>
      </c>
      <c r="H5424" s="6">
        <v>10426.32</v>
      </c>
      <c r="I5424" s="22">
        <v>0</v>
      </c>
      <c r="J5424" s="24">
        <f t="shared" si="252"/>
        <v>0</v>
      </c>
      <c r="K5424" s="25">
        <f t="shared" si="254"/>
        <v>1.0000000000000009</v>
      </c>
      <c r="L5424" s="27"/>
      <c r="M5424" s="28"/>
      <c r="N5424" s="28"/>
      <c r="O5424" s="20" t="s">
        <v>7530</v>
      </c>
      <c r="P5424" s="27" t="str">
        <f t="shared" si="253"/>
        <v>vermelho</v>
      </c>
    </row>
    <row r="5425" spans="1:16" ht="51">
      <c r="A5425" s="3" t="s">
        <v>4</v>
      </c>
      <c r="B5425" s="3" t="s">
        <v>4247</v>
      </c>
      <c r="C5425" s="4">
        <v>282</v>
      </c>
      <c r="D5425" s="3" t="s">
        <v>12</v>
      </c>
      <c r="E5425" s="3" t="s">
        <v>13</v>
      </c>
      <c r="F5425" s="5">
        <v>162</v>
      </c>
      <c r="G5425" s="5">
        <v>0</v>
      </c>
      <c r="H5425" s="6">
        <v>9954.66</v>
      </c>
      <c r="I5425" s="22">
        <v>0</v>
      </c>
      <c r="J5425" s="24">
        <f t="shared" si="252"/>
        <v>0</v>
      </c>
      <c r="K5425" s="25">
        <f t="shared" si="254"/>
        <v>1.0000000000000009</v>
      </c>
      <c r="L5425" s="27"/>
      <c r="M5425" s="28"/>
      <c r="N5425" s="28"/>
      <c r="O5425" s="20" t="s">
        <v>7530</v>
      </c>
      <c r="P5425" s="27" t="str">
        <f t="shared" si="253"/>
        <v>vermelho</v>
      </c>
    </row>
    <row r="5426" spans="1:16" ht="25.5">
      <c r="A5426" s="3" t="s">
        <v>4</v>
      </c>
      <c r="B5426" s="3" t="s">
        <v>4248</v>
      </c>
      <c r="C5426" s="4">
        <v>231</v>
      </c>
      <c r="D5426" s="3" t="s">
        <v>52</v>
      </c>
      <c r="E5426" s="3" t="s">
        <v>7</v>
      </c>
      <c r="F5426" s="5">
        <v>48</v>
      </c>
      <c r="G5426" s="5">
        <v>0</v>
      </c>
      <c r="H5426" s="6">
        <v>2880.96</v>
      </c>
      <c r="I5426" s="22">
        <v>0</v>
      </c>
      <c r="J5426" s="24">
        <f t="shared" si="252"/>
        <v>0</v>
      </c>
      <c r="K5426" s="25">
        <f t="shared" si="254"/>
        <v>1.0000000000000009</v>
      </c>
      <c r="L5426" s="27"/>
      <c r="M5426" s="28"/>
      <c r="N5426" s="28"/>
      <c r="O5426" s="20" t="s">
        <v>7530</v>
      </c>
      <c r="P5426" s="27" t="str">
        <f t="shared" si="253"/>
        <v>vermelho</v>
      </c>
    </row>
    <row r="5427" spans="1:16" ht="25.5">
      <c r="A5427" s="3" t="s">
        <v>4</v>
      </c>
      <c r="B5427" s="3" t="s">
        <v>4249</v>
      </c>
      <c r="C5427" s="4">
        <v>320</v>
      </c>
      <c r="D5427" s="3" t="s">
        <v>218</v>
      </c>
      <c r="E5427" s="3" t="s">
        <v>49</v>
      </c>
      <c r="F5427" s="5">
        <v>102</v>
      </c>
      <c r="G5427" s="5">
        <v>0</v>
      </c>
      <c r="H5427" s="6">
        <v>6227.22</v>
      </c>
      <c r="I5427" s="22">
        <v>0</v>
      </c>
      <c r="J5427" s="24">
        <f t="shared" si="252"/>
        <v>0</v>
      </c>
      <c r="K5427" s="25">
        <f t="shared" si="254"/>
        <v>1.0000000000000009</v>
      </c>
      <c r="L5427" s="27"/>
      <c r="M5427" s="28"/>
      <c r="N5427" s="28"/>
      <c r="O5427" s="20" t="s">
        <v>7530</v>
      </c>
      <c r="P5427" s="27" t="str">
        <f t="shared" si="253"/>
        <v>vermelho</v>
      </c>
    </row>
    <row r="5428" spans="1:16" ht="25.5">
      <c r="A5428" s="3" t="s">
        <v>4</v>
      </c>
      <c r="B5428" s="3" t="s">
        <v>4250</v>
      </c>
      <c r="C5428" s="4">
        <v>232</v>
      </c>
      <c r="D5428" s="3" t="s">
        <v>174</v>
      </c>
      <c r="E5428" s="3" t="s">
        <v>16</v>
      </c>
      <c r="F5428" s="5">
        <v>108</v>
      </c>
      <c r="G5428" s="5">
        <v>0</v>
      </c>
      <c r="H5428" s="6">
        <v>4869.4799999999996</v>
      </c>
      <c r="I5428" s="22">
        <v>0</v>
      </c>
      <c r="J5428" s="24">
        <f t="shared" si="252"/>
        <v>0</v>
      </c>
      <c r="K5428" s="25">
        <f t="shared" si="254"/>
        <v>1.0000000000000009</v>
      </c>
      <c r="L5428" s="27"/>
      <c r="M5428" s="28"/>
      <c r="N5428" s="28">
        <v>3.3773781990607481E-2</v>
      </c>
      <c r="O5428" s="20">
        <v>8985.06</v>
      </c>
      <c r="P5428" s="27" t="str">
        <f t="shared" si="253"/>
        <v>vermelho</v>
      </c>
    </row>
    <row r="5429" spans="1:16" ht="38.25">
      <c r="A5429" s="3" t="s">
        <v>4</v>
      </c>
      <c r="B5429" s="3" t="s">
        <v>4251</v>
      </c>
      <c r="C5429" s="4">
        <v>371</v>
      </c>
      <c r="D5429" s="3" t="s">
        <v>82</v>
      </c>
      <c r="E5429" s="3" t="s">
        <v>49</v>
      </c>
      <c r="F5429" s="5">
        <v>252</v>
      </c>
      <c r="G5429" s="5">
        <v>0</v>
      </c>
      <c r="H5429" s="6">
        <v>8963.2800000000007</v>
      </c>
      <c r="I5429" s="22">
        <v>0</v>
      </c>
      <c r="J5429" s="24">
        <f t="shared" si="252"/>
        <v>0</v>
      </c>
      <c r="K5429" s="25">
        <f t="shared" si="254"/>
        <v>1.0000000000000009</v>
      </c>
      <c r="L5429" s="27"/>
      <c r="M5429" s="28"/>
      <c r="N5429" s="28"/>
      <c r="O5429" s="20" t="s">
        <v>7530</v>
      </c>
      <c r="P5429" s="27" t="str">
        <f t="shared" si="253"/>
        <v>vermelho</v>
      </c>
    </row>
    <row r="5430" spans="1:16" ht="25.5">
      <c r="A5430" s="3" t="s">
        <v>4</v>
      </c>
      <c r="B5430" s="3" t="s">
        <v>4252</v>
      </c>
      <c r="C5430" s="4">
        <v>74</v>
      </c>
      <c r="D5430" s="3" t="s">
        <v>6</v>
      </c>
      <c r="E5430" s="3" t="s">
        <v>7</v>
      </c>
      <c r="F5430" s="5">
        <v>650</v>
      </c>
      <c r="G5430" s="5">
        <v>0</v>
      </c>
      <c r="H5430" s="6">
        <v>36607.980000000003</v>
      </c>
      <c r="I5430" s="22">
        <v>0</v>
      </c>
      <c r="J5430" s="24">
        <f t="shared" si="252"/>
        <v>0</v>
      </c>
      <c r="K5430" s="25">
        <f t="shared" si="254"/>
        <v>1.0000000000000009</v>
      </c>
      <c r="L5430" s="27"/>
      <c r="M5430" s="28"/>
      <c r="N5430" s="28"/>
      <c r="O5430" s="20">
        <v>25424.16</v>
      </c>
      <c r="P5430" s="27" t="str">
        <f t="shared" si="253"/>
        <v>vermelho</v>
      </c>
    </row>
    <row r="5431" spans="1:16" ht="25.5">
      <c r="A5431" s="3" t="s">
        <v>4</v>
      </c>
      <c r="B5431" s="3" t="s">
        <v>4253</v>
      </c>
      <c r="C5431" s="4">
        <v>317</v>
      </c>
      <c r="D5431" s="3" t="s">
        <v>78</v>
      </c>
      <c r="E5431" s="3" t="s">
        <v>10</v>
      </c>
      <c r="F5431" s="5">
        <v>1560</v>
      </c>
      <c r="G5431" s="5">
        <v>0</v>
      </c>
      <c r="H5431" s="6">
        <v>57283.32</v>
      </c>
      <c r="I5431" s="22">
        <v>0</v>
      </c>
      <c r="J5431" s="24">
        <f t="shared" si="252"/>
        <v>0</v>
      </c>
      <c r="K5431" s="25">
        <f t="shared" si="254"/>
        <v>1.0000000000000009</v>
      </c>
      <c r="L5431" s="27"/>
      <c r="M5431" s="28"/>
      <c r="N5431" s="28"/>
      <c r="O5431" s="20" t="s">
        <v>7530</v>
      </c>
      <c r="P5431" s="27" t="str">
        <f t="shared" si="253"/>
        <v>vermelho</v>
      </c>
    </row>
    <row r="5432" spans="1:16" ht="38.25">
      <c r="A5432" s="3" t="s">
        <v>4</v>
      </c>
      <c r="B5432" s="3" t="s">
        <v>4254</v>
      </c>
      <c r="C5432" s="4">
        <v>301</v>
      </c>
      <c r="D5432" s="3" t="s">
        <v>519</v>
      </c>
      <c r="E5432" s="3" t="s">
        <v>16</v>
      </c>
      <c r="F5432" s="5">
        <v>192</v>
      </c>
      <c r="G5432" s="5">
        <v>0</v>
      </c>
      <c r="H5432" s="6">
        <v>8864.8799999999992</v>
      </c>
      <c r="I5432" s="22">
        <v>0</v>
      </c>
      <c r="J5432" s="24">
        <f t="shared" si="252"/>
        <v>0</v>
      </c>
      <c r="K5432" s="25">
        <f t="shared" si="254"/>
        <v>1.0000000000000009</v>
      </c>
      <c r="L5432" s="27"/>
      <c r="M5432" s="28"/>
      <c r="N5432" s="28"/>
      <c r="O5432" s="20" t="s">
        <v>7530</v>
      </c>
      <c r="P5432" s="27" t="str">
        <f t="shared" si="253"/>
        <v>vermelho</v>
      </c>
    </row>
    <row r="5433" spans="1:16" ht="38.25">
      <c r="A5433" s="3" t="s">
        <v>4</v>
      </c>
      <c r="B5433" s="3" t="s">
        <v>4255</v>
      </c>
      <c r="C5433" s="4">
        <v>11</v>
      </c>
      <c r="D5433" s="3" t="s">
        <v>61</v>
      </c>
      <c r="E5433" s="3" t="s">
        <v>10</v>
      </c>
      <c r="F5433" s="5">
        <v>378</v>
      </c>
      <c r="G5433" s="5">
        <v>0</v>
      </c>
      <c r="H5433" s="6">
        <v>20712.07</v>
      </c>
      <c r="I5433" s="22">
        <v>0</v>
      </c>
      <c r="J5433" s="24">
        <f t="shared" si="252"/>
        <v>0</v>
      </c>
      <c r="K5433" s="25">
        <f t="shared" si="254"/>
        <v>1.0000000000000009</v>
      </c>
      <c r="L5433" s="27"/>
      <c r="M5433" s="28"/>
      <c r="N5433" s="28"/>
      <c r="O5433" s="20" t="s">
        <v>7530</v>
      </c>
      <c r="P5433" s="27" t="str">
        <f t="shared" si="253"/>
        <v>vermelho</v>
      </c>
    </row>
    <row r="5434" spans="1:16" ht="25.5">
      <c r="A5434" s="3" t="s">
        <v>4</v>
      </c>
      <c r="B5434" s="3" t="s">
        <v>4256</v>
      </c>
      <c r="C5434" s="4">
        <v>316</v>
      </c>
      <c r="D5434" s="3" t="s">
        <v>247</v>
      </c>
      <c r="E5434" s="3" t="s">
        <v>10</v>
      </c>
      <c r="F5434" s="5">
        <v>192</v>
      </c>
      <c r="G5434" s="5">
        <v>0</v>
      </c>
      <c r="H5434" s="6">
        <v>9473.0400000000009</v>
      </c>
      <c r="I5434" s="22">
        <v>0</v>
      </c>
      <c r="J5434" s="24">
        <f t="shared" si="252"/>
        <v>0</v>
      </c>
      <c r="K5434" s="25">
        <f t="shared" si="254"/>
        <v>1.0000000000000009</v>
      </c>
      <c r="L5434" s="27"/>
      <c r="M5434" s="28"/>
      <c r="N5434" s="28"/>
      <c r="O5434" s="20" t="s">
        <v>7530</v>
      </c>
      <c r="P5434" s="27" t="str">
        <f t="shared" si="253"/>
        <v>vermelho</v>
      </c>
    </row>
    <row r="5435" spans="1:16" ht="25.5">
      <c r="A5435" s="3" t="s">
        <v>4</v>
      </c>
      <c r="B5435" s="3" t="s">
        <v>4257</v>
      </c>
      <c r="C5435" s="4">
        <v>273</v>
      </c>
      <c r="D5435" s="3" t="s">
        <v>149</v>
      </c>
      <c r="E5435" s="3" t="s">
        <v>16</v>
      </c>
      <c r="F5435" s="5">
        <v>519</v>
      </c>
      <c r="G5435" s="5">
        <v>0</v>
      </c>
      <c r="H5435" s="6">
        <v>26443.17</v>
      </c>
      <c r="I5435" s="22">
        <v>0</v>
      </c>
      <c r="J5435" s="24">
        <f t="shared" si="252"/>
        <v>0</v>
      </c>
      <c r="K5435" s="25">
        <f t="shared" si="254"/>
        <v>1.0000000000000009</v>
      </c>
      <c r="L5435" s="27"/>
      <c r="M5435" s="28"/>
      <c r="N5435" s="28"/>
      <c r="O5435" s="20" t="s">
        <v>7530</v>
      </c>
      <c r="P5435" s="27" t="str">
        <f t="shared" si="253"/>
        <v>vermelho</v>
      </c>
    </row>
    <row r="5436" spans="1:16" ht="25.5">
      <c r="A5436" s="3" t="s">
        <v>4</v>
      </c>
      <c r="B5436" s="3" t="s">
        <v>4258</v>
      </c>
      <c r="C5436" s="4">
        <v>321</v>
      </c>
      <c r="D5436" s="3" t="s">
        <v>136</v>
      </c>
      <c r="E5436" s="3" t="s">
        <v>41</v>
      </c>
      <c r="F5436" s="5">
        <v>48</v>
      </c>
      <c r="G5436" s="5">
        <v>0</v>
      </c>
      <c r="H5436" s="6">
        <v>2567.64</v>
      </c>
      <c r="I5436" s="22">
        <v>0</v>
      </c>
      <c r="J5436" s="24">
        <f t="shared" si="252"/>
        <v>0</v>
      </c>
      <c r="K5436" s="25">
        <f t="shared" si="254"/>
        <v>1.0000000000000009</v>
      </c>
      <c r="L5436" s="27"/>
      <c r="M5436" s="28"/>
      <c r="N5436" s="28"/>
      <c r="O5436" s="20" t="s">
        <v>7530</v>
      </c>
      <c r="P5436" s="27" t="str">
        <f t="shared" si="253"/>
        <v>vermelho</v>
      </c>
    </row>
    <row r="5437" spans="1:16" ht="25.5">
      <c r="A5437" s="3" t="s">
        <v>4</v>
      </c>
      <c r="B5437" s="3" t="s">
        <v>4259</v>
      </c>
      <c r="C5437" s="4">
        <v>321</v>
      </c>
      <c r="D5437" s="3" t="s">
        <v>136</v>
      </c>
      <c r="E5437" s="3" t="s">
        <v>41</v>
      </c>
      <c r="F5437" s="5">
        <v>306</v>
      </c>
      <c r="G5437" s="5">
        <v>0</v>
      </c>
      <c r="H5437" s="6">
        <v>17709.21</v>
      </c>
      <c r="I5437" s="22">
        <v>0</v>
      </c>
      <c r="J5437" s="24">
        <f t="shared" si="252"/>
        <v>0</v>
      </c>
      <c r="K5437" s="25">
        <f t="shared" si="254"/>
        <v>1.0000000000000009</v>
      </c>
      <c r="L5437" s="27"/>
      <c r="M5437" s="28"/>
      <c r="N5437" s="28"/>
      <c r="O5437" s="20" t="s">
        <v>7530</v>
      </c>
      <c r="P5437" s="27" t="str">
        <f t="shared" si="253"/>
        <v>vermelho</v>
      </c>
    </row>
    <row r="5438" spans="1:16" ht="25.5">
      <c r="A5438" s="3" t="s">
        <v>4</v>
      </c>
      <c r="B5438" s="3" t="s">
        <v>4260</v>
      </c>
      <c r="C5438" s="4">
        <v>93</v>
      </c>
      <c r="D5438" s="3" t="s">
        <v>20</v>
      </c>
      <c r="E5438" s="3" t="s">
        <v>7</v>
      </c>
      <c r="F5438" s="5">
        <v>192</v>
      </c>
      <c r="G5438" s="5">
        <v>0</v>
      </c>
      <c r="H5438" s="6">
        <v>7595.7120000000004</v>
      </c>
      <c r="I5438" s="22">
        <v>0</v>
      </c>
      <c r="J5438" s="24">
        <f t="shared" si="252"/>
        <v>0</v>
      </c>
      <c r="K5438" s="25">
        <f t="shared" si="254"/>
        <v>1.0000000000000009</v>
      </c>
      <c r="L5438" s="27"/>
      <c r="M5438" s="28"/>
      <c r="N5438" s="28"/>
      <c r="O5438" s="20" t="s">
        <v>7530</v>
      </c>
      <c r="P5438" s="27" t="str">
        <f t="shared" si="253"/>
        <v>vermelho</v>
      </c>
    </row>
    <row r="5439" spans="1:16" ht="25.5">
      <c r="A5439" s="3" t="s">
        <v>4</v>
      </c>
      <c r="B5439" s="3" t="s">
        <v>4261</v>
      </c>
      <c r="C5439" s="4">
        <v>315</v>
      </c>
      <c r="D5439" s="3" t="s">
        <v>63</v>
      </c>
      <c r="E5439" s="3" t="s">
        <v>7</v>
      </c>
      <c r="F5439" s="5">
        <v>156</v>
      </c>
      <c r="G5439" s="5">
        <v>0</v>
      </c>
      <c r="H5439" s="6">
        <v>7979.6880000000001</v>
      </c>
      <c r="I5439" s="22">
        <v>0</v>
      </c>
      <c r="J5439" s="24">
        <f t="shared" si="252"/>
        <v>0</v>
      </c>
      <c r="K5439" s="25">
        <f t="shared" si="254"/>
        <v>1.0000000000000009</v>
      </c>
      <c r="L5439" s="27"/>
      <c r="M5439" s="28"/>
      <c r="N5439" s="28"/>
      <c r="O5439" s="20" t="s">
        <v>7530</v>
      </c>
      <c r="P5439" s="27" t="str">
        <f t="shared" si="253"/>
        <v>vermelho</v>
      </c>
    </row>
    <row r="5440" spans="1:16" ht="25.5">
      <c r="A5440" s="3" t="s">
        <v>4</v>
      </c>
      <c r="B5440" s="3" t="s">
        <v>4262</v>
      </c>
      <c r="C5440" s="4">
        <v>273</v>
      </c>
      <c r="D5440" s="3" t="s">
        <v>149</v>
      </c>
      <c r="E5440" s="3" t="s">
        <v>16</v>
      </c>
      <c r="F5440" s="5">
        <v>174</v>
      </c>
      <c r="G5440" s="5">
        <v>0</v>
      </c>
      <c r="H5440" s="6">
        <v>10283.64</v>
      </c>
      <c r="I5440" s="22">
        <v>0</v>
      </c>
      <c r="J5440" s="24">
        <f t="shared" si="252"/>
        <v>0</v>
      </c>
      <c r="K5440" s="25">
        <f t="shared" si="254"/>
        <v>1.0000000000000009</v>
      </c>
      <c r="L5440" s="27"/>
      <c r="M5440" s="28"/>
      <c r="N5440" s="28"/>
      <c r="O5440" s="20" t="s">
        <v>7530</v>
      </c>
      <c r="P5440" s="27" t="str">
        <f t="shared" si="253"/>
        <v>vermelho</v>
      </c>
    </row>
    <row r="5441" spans="1:16" ht="38.25">
      <c r="A5441" s="3" t="s">
        <v>4</v>
      </c>
      <c r="B5441" s="3" t="s">
        <v>4263</v>
      </c>
      <c r="C5441" s="4">
        <v>38</v>
      </c>
      <c r="D5441" s="3" t="s">
        <v>184</v>
      </c>
      <c r="E5441" s="3" t="s">
        <v>49</v>
      </c>
      <c r="F5441" s="5">
        <v>384</v>
      </c>
      <c r="G5441" s="5">
        <v>0</v>
      </c>
      <c r="H5441" s="6">
        <v>19019.124</v>
      </c>
      <c r="I5441" s="22">
        <v>0</v>
      </c>
      <c r="J5441" s="24">
        <f t="shared" si="252"/>
        <v>0</v>
      </c>
      <c r="K5441" s="25">
        <f t="shared" si="254"/>
        <v>1.0000000000000009</v>
      </c>
      <c r="L5441" s="27"/>
      <c r="M5441" s="28"/>
      <c r="N5441" s="28"/>
      <c r="O5441" s="20" t="s">
        <v>7530</v>
      </c>
      <c r="P5441" s="27" t="str">
        <f t="shared" si="253"/>
        <v>vermelho</v>
      </c>
    </row>
    <row r="5442" spans="1:16" ht="25.5">
      <c r="A5442" s="3" t="s">
        <v>4</v>
      </c>
      <c r="B5442" s="3" t="s">
        <v>4264</v>
      </c>
      <c r="C5442" s="4">
        <v>261</v>
      </c>
      <c r="D5442" s="3" t="s">
        <v>9</v>
      </c>
      <c r="E5442" s="3" t="s">
        <v>10</v>
      </c>
      <c r="F5442" s="5">
        <v>144</v>
      </c>
      <c r="G5442" s="5">
        <v>0</v>
      </c>
      <c r="H5442" s="6">
        <v>7968.6</v>
      </c>
      <c r="I5442" s="22">
        <v>0</v>
      </c>
      <c r="J5442" s="24">
        <f t="shared" si="252"/>
        <v>0</v>
      </c>
      <c r="K5442" s="25">
        <f t="shared" si="254"/>
        <v>1.0000000000000009</v>
      </c>
      <c r="L5442" s="27"/>
      <c r="M5442" s="28"/>
      <c r="N5442" s="28"/>
      <c r="O5442" s="20" t="s">
        <v>7530</v>
      </c>
      <c r="P5442" s="27" t="str">
        <f t="shared" si="253"/>
        <v>vermelho</v>
      </c>
    </row>
    <row r="5443" spans="1:16">
      <c r="A5443" s="3" t="s">
        <v>4</v>
      </c>
      <c r="B5443" s="3" t="s">
        <v>4265</v>
      </c>
      <c r="C5443" s="4">
        <v>217</v>
      </c>
      <c r="D5443" s="3" t="s">
        <v>91</v>
      </c>
      <c r="E5443" s="3" t="s">
        <v>16</v>
      </c>
      <c r="F5443" s="5">
        <v>90</v>
      </c>
      <c r="G5443" s="5">
        <v>0</v>
      </c>
      <c r="H5443" s="6">
        <v>5778.54</v>
      </c>
      <c r="I5443" s="22">
        <v>0</v>
      </c>
      <c r="J5443" s="24">
        <f t="shared" ref="J5443:J5506" si="255">I5443/$I$6364</f>
        <v>0</v>
      </c>
      <c r="K5443" s="25">
        <f t="shared" si="254"/>
        <v>1.0000000000000009</v>
      </c>
      <c r="L5443" s="27"/>
      <c r="M5443" s="28"/>
      <c r="N5443" s="28"/>
      <c r="O5443" s="20" t="s">
        <v>7530</v>
      </c>
      <c r="P5443" s="27" t="str">
        <f t="shared" ref="P5443:P5506" si="256">IF(O5443&lt;=0,"vermelho",IFERROR(IF(O5443/I5443&lt;=0.5098,"amarelo",IF(O5443/I5443&lt;1,"laranja","verde")),"vermelho"))</f>
        <v>vermelho</v>
      </c>
    </row>
    <row r="5444" spans="1:16">
      <c r="A5444" s="3" t="s">
        <v>4</v>
      </c>
      <c r="B5444" s="3" t="s">
        <v>4266</v>
      </c>
      <c r="C5444" s="4">
        <v>15</v>
      </c>
      <c r="D5444" s="3" t="s">
        <v>18</v>
      </c>
      <c r="E5444" s="3" t="s">
        <v>16</v>
      </c>
      <c r="F5444" s="5">
        <v>951</v>
      </c>
      <c r="G5444" s="5">
        <v>0</v>
      </c>
      <c r="H5444" s="6">
        <v>55596.21</v>
      </c>
      <c r="I5444" s="22">
        <v>0</v>
      </c>
      <c r="J5444" s="24">
        <f t="shared" si="255"/>
        <v>0</v>
      </c>
      <c r="K5444" s="25">
        <f t="shared" ref="K5444:K5507" si="257">J5444+K5443</f>
        <v>1.0000000000000009</v>
      </c>
      <c r="L5444" s="27"/>
      <c r="M5444" s="28"/>
      <c r="N5444" s="28"/>
      <c r="O5444" s="20" t="s">
        <v>7530</v>
      </c>
      <c r="P5444" s="27" t="str">
        <f t="shared" si="256"/>
        <v>vermelho</v>
      </c>
    </row>
    <row r="5445" spans="1:16">
      <c r="A5445" s="3" t="s">
        <v>4</v>
      </c>
      <c r="B5445" s="3" t="s">
        <v>4267</v>
      </c>
      <c r="C5445" s="4">
        <v>15</v>
      </c>
      <c r="D5445" s="3" t="s">
        <v>18</v>
      </c>
      <c r="E5445" s="3" t="s">
        <v>16</v>
      </c>
      <c r="F5445" s="5">
        <v>78</v>
      </c>
      <c r="G5445" s="5">
        <v>0</v>
      </c>
      <c r="H5445" s="6">
        <v>3787.95</v>
      </c>
      <c r="I5445" s="22">
        <v>0</v>
      </c>
      <c r="J5445" s="24">
        <f t="shared" si="255"/>
        <v>0</v>
      </c>
      <c r="K5445" s="25">
        <f t="shared" si="257"/>
        <v>1.0000000000000009</v>
      </c>
      <c r="L5445" s="27"/>
      <c r="M5445" s="28"/>
      <c r="N5445" s="28"/>
      <c r="O5445" s="20" t="s">
        <v>7530</v>
      </c>
      <c r="P5445" s="27" t="str">
        <f t="shared" si="256"/>
        <v>vermelho</v>
      </c>
    </row>
    <row r="5446" spans="1:16" ht="25.5">
      <c r="A5446" s="3" t="s">
        <v>4</v>
      </c>
      <c r="B5446" s="3" t="s">
        <v>4268</v>
      </c>
      <c r="C5446" s="4">
        <v>93</v>
      </c>
      <c r="D5446" s="3" t="s">
        <v>20</v>
      </c>
      <c r="E5446" s="3" t="s">
        <v>7</v>
      </c>
      <c r="F5446" s="5">
        <v>72</v>
      </c>
      <c r="G5446" s="5">
        <v>0</v>
      </c>
      <c r="H5446" s="6">
        <v>3004.56</v>
      </c>
      <c r="I5446" s="22">
        <v>0</v>
      </c>
      <c r="J5446" s="24">
        <f t="shared" si="255"/>
        <v>0</v>
      </c>
      <c r="K5446" s="25">
        <f t="shared" si="257"/>
        <v>1.0000000000000009</v>
      </c>
      <c r="L5446" s="27"/>
      <c r="M5446" s="28"/>
      <c r="N5446" s="28"/>
      <c r="O5446" s="20" t="s">
        <v>7530</v>
      </c>
      <c r="P5446" s="27" t="str">
        <f t="shared" si="256"/>
        <v>vermelho</v>
      </c>
    </row>
    <row r="5447" spans="1:16">
      <c r="A5447" s="3" t="s">
        <v>4</v>
      </c>
      <c r="B5447" s="3" t="s">
        <v>4269</v>
      </c>
      <c r="C5447" s="4">
        <v>232</v>
      </c>
      <c r="D5447" s="3" t="s">
        <v>174</v>
      </c>
      <c r="E5447" s="3" t="s">
        <v>16</v>
      </c>
      <c r="F5447" s="5">
        <v>135</v>
      </c>
      <c r="G5447" s="5">
        <v>0</v>
      </c>
      <c r="H5447" s="6">
        <v>7746.57</v>
      </c>
      <c r="I5447" s="22">
        <v>0</v>
      </c>
      <c r="J5447" s="24">
        <f t="shared" si="255"/>
        <v>0</v>
      </c>
      <c r="K5447" s="25">
        <f t="shared" si="257"/>
        <v>1.0000000000000009</v>
      </c>
      <c r="L5447" s="27"/>
      <c r="M5447" s="28"/>
      <c r="N5447" s="28"/>
      <c r="O5447" s="20" t="s">
        <v>7530</v>
      </c>
      <c r="P5447" s="27" t="str">
        <f t="shared" si="256"/>
        <v>vermelho</v>
      </c>
    </row>
    <row r="5448" spans="1:16" ht="38.25">
      <c r="A5448" s="3" t="s">
        <v>4</v>
      </c>
      <c r="B5448" s="3" t="s">
        <v>4270</v>
      </c>
      <c r="C5448" s="4">
        <v>371</v>
      </c>
      <c r="D5448" s="3" t="s">
        <v>82</v>
      </c>
      <c r="E5448" s="3" t="s">
        <v>49</v>
      </c>
      <c r="F5448" s="5">
        <v>0</v>
      </c>
      <c r="G5448" s="5">
        <v>0</v>
      </c>
      <c r="H5448" s="6">
        <v>0</v>
      </c>
      <c r="I5448" s="22">
        <v>0</v>
      </c>
      <c r="J5448" s="24">
        <f t="shared" si="255"/>
        <v>0</v>
      </c>
      <c r="K5448" s="25">
        <f t="shared" si="257"/>
        <v>1.0000000000000009</v>
      </c>
      <c r="L5448" s="27"/>
      <c r="M5448" s="28"/>
      <c r="N5448" s="28"/>
      <c r="O5448" s="20" t="s">
        <v>7530</v>
      </c>
      <c r="P5448" s="27" t="str">
        <f t="shared" si="256"/>
        <v>vermelho</v>
      </c>
    </row>
    <row r="5449" spans="1:16" ht="25.5">
      <c r="A5449" s="3" t="s">
        <v>4</v>
      </c>
      <c r="B5449" s="3" t="s">
        <v>4271</v>
      </c>
      <c r="C5449" s="4">
        <v>337</v>
      </c>
      <c r="D5449" s="3" t="s">
        <v>202</v>
      </c>
      <c r="E5449" s="3" t="s">
        <v>16</v>
      </c>
      <c r="F5449" s="5">
        <v>114</v>
      </c>
      <c r="G5449" s="5">
        <v>0</v>
      </c>
      <c r="H5449" s="6">
        <v>6256.86</v>
      </c>
      <c r="I5449" s="22">
        <v>0</v>
      </c>
      <c r="J5449" s="24">
        <f t="shared" si="255"/>
        <v>0</v>
      </c>
      <c r="K5449" s="25">
        <f t="shared" si="257"/>
        <v>1.0000000000000009</v>
      </c>
      <c r="L5449" s="27"/>
      <c r="M5449" s="28"/>
      <c r="N5449" s="28"/>
      <c r="O5449" s="20" t="s">
        <v>7530</v>
      </c>
      <c r="P5449" s="27" t="str">
        <f t="shared" si="256"/>
        <v>vermelho</v>
      </c>
    </row>
    <row r="5450" spans="1:16">
      <c r="A5450" s="3" t="s">
        <v>4</v>
      </c>
      <c r="B5450" s="3" t="s">
        <v>4272</v>
      </c>
      <c r="C5450" s="4">
        <v>217</v>
      </c>
      <c r="D5450" s="3" t="s">
        <v>91</v>
      </c>
      <c r="E5450" s="3" t="s">
        <v>16</v>
      </c>
      <c r="F5450" s="5">
        <v>411</v>
      </c>
      <c r="G5450" s="5">
        <v>0</v>
      </c>
      <c r="H5450" s="6">
        <v>23978.880000000001</v>
      </c>
      <c r="I5450" s="22">
        <v>0</v>
      </c>
      <c r="J5450" s="24">
        <f t="shared" si="255"/>
        <v>0</v>
      </c>
      <c r="K5450" s="25">
        <f t="shared" si="257"/>
        <v>1.0000000000000009</v>
      </c>
      <c r="L5450" s="27"/>
      <c r="M5450" s="28"/>
      <c r="N5450" s="28"/>
      <c r="O5450" s="20" t="s">
        <v>7530</v>
      </c>
      <c r="P5450" s="27" t="str">
        <f t="shared" si="256"/>
        <v>vermelho</v>
      </c>
    </row>
    <row r="5451" spans="1:16" ht="25.5">
      <c r="A5451" s="3" t="s">
        <v>4</v>
      </c>
      <c r="B5451" s="3" t="s">
        <v>4273</v>
      </c>
      <c r="C5451" s="4">
        <v>53</v>
      </c>
      <c r="D5451" s="3" t="s">
        <v>34</v>
      </c>
      <c r="E5451" s="3" t="s">
        <v>16</v>
      </c>
      <c r="F5451" s="5">
        <v>228</v>
      </c>
      <c r="G5451" s="5">
        <v>0</v>
      </c>
      <c r="H5451" s="6">
        <v>13214.76</v>
      </c>
      <c r="I5451" s="22">
        <v>0</v>
      </c>
      <c r="J5451" s="24">
        <f t="shared" si="255"/>
        <v>0</v>
      </c>
      <c r="K5451" s="25">
        <f t="shared" si="257"/>
        <v>1.0000000000000009</v>
      </c>
      <c r="L5451" s="27"/>
      <c r="M5451" s="28"/>
      <c r="N5451" s="28"/>
      <c r="O5451" s="20" t="s">
        <v>7530</v>
      </c>
      <c r="P5451" s="27" t="str">
        <f t="shared" si="256"/>
        <v>vermelho</v>
      </c>
    </row>
    <row r="5452" spans="1:16">
      <c r="A5452" s="3" t="s">
        <v>4</v>
      </c>
      <c r="B5452" s="3" t="s">
        <v>4274</v>
      </c>
      <c r="C5452" s="4">
        <v>232</v>
      </c>
      <c r="D5452" s="3" t="s">
        <v>174</v>
      </c>
      <c r="E5452" s="3" t="s">
        <v>16</v>
      </c>
      <c r="F5452" s="5">
        <v>60</v>
      </c>
      <c r="G5452" s="5">
        <v>0</v>
      </c>
      <c r="H5452" s="6">
        <v>3335.4</v>
      </c>
      <c r="I5452" s="22">
        <v>0</v>
      </c>
      <c r="J5452" s="24">
        <f t="shared" si="255"/>
        <v>0</v>
      </c>
      <c r="K5452" s="25">
        <f t="shared" si="257"/>
        <v>1.0000000000000009</v>
      </c>
      <c r="L5452" s="27"/>
      <c r="M5452" s="28"/>
      <c r="N5452" s="28"/>
      <c r="O5452" s="20" t="s">
        <v>7530</v>
      </c>
      <c r="P5452" s="27" t="str">
        <f t="shared" si="256"/>
        <v>vermelho</v>
      </c>
    </row>
    <row r="5453" spans="1:16" ht="25.5">
      <c r="A5453" s="3" t="s">
        <v>4</v>
      </c>
      <c r="B5453" s="3" t="s">
        <v>4275</v>
      </c>
      <c r="C5453" s="4">
        <v>337</v>
      </c>
      <c r="D5453" s="3" t="s">
        <v>202</v>
      </c>
      <c r="E5453" s="3" t="s">
        <v>16</v>
      </c>
      <c r="F5453" s="5">
        <v>456</v>
      </c>
      <c r="G5453" s="5">
        <v>0</v>
      </c>
      <c r="H5453" s="6">
        <v>22754.639999999999</v>
      </c>
      <c r="I5453" s="22">
        <v>0</v>
      </c>
      <c r="J5453" s="24">
        <f t="shared" si="255"/>
        <v>0</v>
      </c>
      <c r="K5453" s="25">
        <f t="shared" si="257"/>
        <v>1.0000000000000009</v>
      </c>
      <c r="L5453" s="27"/>
      <c r="M5453" s="28"/>
      <c r="N5453" s="28"/>
      <c r="O5453" s="20" t="s">
        <v>7530</v>
      </c>
      <c r="P5453" s="27" t="str">
        <f t="shared" si="256"/>
        <v>vermelho</v>
      </c>
    </row>
    <row r="5454" spans="1:16" ht="25.5">
      <c r="A5454" s="3" t="s">
        <v>4</v>
      </c>
      <c r="B5454" s="3" t="s">
        <v>4276</v>
      </c>
      <c r="C5454" s="4">
        <v>273</v>
      </c>
      <c r="D5454" s="3" t="s">
        <v>149</v>
      </c>
      <c r="E5454" s="3" t="s">
        <v>16</v>
      </c>
      <c r="F5454" s="5">
        <v>60</v>
      </c>
      <c r="G5454" s="5">
        <v>0</v>
      </c>
      <c r="H5454" s="6">
        <v>3109.2</v>
      </c>
      <c r="I5454" s="22">
        <v>0</v>
      </c>
      <c r="J5454" s="24">
        <f t="shared" si="255"/>
        <v>0</v>
      </c>
      <c r="K5454" s="25">
        <f t="shared" si="257"/>
        <v>1.0000000000000009</v>
      </c>
      <c r="L5454" s="27"/>
      <c r="M5454" s="28"/>
      <c r="N5454" s="28"/>
      <c r="O5454" s="20" t="s">
        <v>7530</v>
      </c>
      <c r="P5454" s="27" t="str">
        <f t="shared" si="256"/>
        <v>vermelho</v>
      </c>
    </row>
    <row r="5455" spans="1:16" ht="25.5">
      <c r="A5455" s="3" t="s">
        <v>4</v>
      </c>
      <c r="B5455" s="3" t="s">
        <v>4277</v>
      </c>
      <c r="C5455" s="4">
        <v>93</v>
      </c>
      <c r="D5455" s="3" t="s">
        <v>20</v>
      </c>
      <c r="E5455" s="3" t="s">
        <v>7</v>
      </c>
      <c r="F5455" s="5">
        <v>312</v>
      </c>
      <c r="G5455" s="5">
        <v>0</v>
      </c>
      <c r="H5455" s="6">
        <v>16240.092000000001</v>
      </c>
      <c r="I5455" s="22">
        <v>0</v>
      </c>
      <c r="J5455" s="24">
        <f t="shared" si="255"/>
        <v>0</v>
      </c>
      <c r="K5455" s="25">
        <f t="shared" si="257"/>
        <v>1.0000000000000009</v>
      </c>
      <c r="L5455" s="27"/>
      <c r="M5455" s="28"/>
      <c r="N5455" s="28"/>
      <c r="O5455" s="20">
        <v>14554.59</v>
      </c>
      <c r="P5455" s="27" t="str">
        <f t="shared" si="256"/>
        <v>vermelho</v>
      </c>
    </row>
    <row r="5456" spans="1:16" ht="38.25">
      <c r="A5456" s="3" t="s">
        <v>4</v>
      </c>
      <c r="B5456" s="3" t="s">
        <v>4278</v>
      </c>
      <c r="C5456" s="4">
        <v>371</v>
      </c>
      <c r="D5456" s="3" t="s">
        <v>82</v>
      </c>
      <c r="E5456" s="3" t="s">
        <v>49</v>
      </c>
      <c r="F5456" s="5">
        <v>168</v>
      </c>
      <c r="G5456" s="5">
        <v>0</v>
      </c>
      <c r="H5456" s="6">
        <v>7333.0919999999996</v>
      </c>
      <c r="I5456" s="22">
        <v>0</v>
      </c>
      <c r="J5456" s="24">
        <f t="shared" si="255"/>
        <v>0</v>
      </c>
      <c r="K5456" s="25">
        <f t="shared" si="257"/>
        <v>1.0000000000000009</v>
      </c>
      <c r="L5456" s="27"/>
      <c r="M5456" s="28"/>
      <c r="N5456" s="28"/>
      <c r="O5456" s="20" t="s">
        <v>7530</v>
      </c>
      <c r="P5456" s="27" t="str">
        <f t="shared" si="256"/>
        <v>vermelho</v>
      </c>
    </row>
    <row r="5457" spans="1:16" ht="25.5">
      <c r="A5457" s="3" t="s">
        <v>4</v>
      </c>
      <c r="B5457" s="3" t="s">
        <v>4279</v>
      </c>
      <c r="C5457" s="4">
        <v>266</v>
      </c>
      <c r="D5457" s="3" t="s">
        <v>80</v>
      </c>
      <c r="E5457" s="3" t="s">
        <v>10</v>
      </c>
      <c r="F5457" s="5">
        <v>114</v>
      </c>
      <c r="G5457" s="5">
        <v>0</v>
      </c>
      <c r="H5457" s="6">
        <v>8711.73</v>
      </c>
      <c r="I5457" s="22">
        <v>0</v>
      </c>
      <c r="J5457" s="24">
        <f t="shared" si="255"/>
        <v>0</v>
      </c>
      <c r="K5457" s="25">
        <f t="shared" si="257"/>
        <v>1.0000000000000009</v>
      </c>
      <c r="L5457" s="27"/>
      <c r="M5457" s="28"/>
      <c r="N5457" s="28"/>
      <c r="O5457" s="20" t="s">
        <v>7530</v>
      </c>
      <c r="P5457" s="27" t="str">
        <f t="shared" si="256"/>
        <v>vermelho</v>
      </c>
    </row>
    <row r="5458" spans="1:16" ht="25.5">
      <c r="A5458" s="3" t="s">
        <v>4</v>
      </c>
      <c r="B5458" s="3" t="s">
        <v>4280</v>
      </c>
      <c r="C5458" s="4">
        <v>208</v>
      </c>
      <c r="D5458" s="3" t="s">
        <v>15</v>
      </c>
      <c r="E5458" s="3" t="s">
        <v>16</v>
      </c>
      <c r="F5458" s="5">
        <v>324</v>
      </c>
      <c r="G5458" s="5">
        <v>0</v>
      </c>
      <c r="H5458" s="6">
        <v>17756.28</v>
      </c>
      <c r="I5458" s="22">
        <v>0</v>
      </c>
      <c r="J5458" s="24">
        <f t="shared" si="255"/>
        <v>0</v>
      </c>
      <c r="K5458" s="25">
        <f t="shared" si="257"/>
        <v>1.0000000000000009</v>
      </c>
      <c r="L5458" s="27"/>
      <c r="M5458" s="28"/>
      <c r="N5458" s="28"/>
      <c r="O5458" s="20">
        <v>5965.56</v>
      </c>
      <c r="P5458" s="27" t="str">
        <f t="shared" si="256"/>
        <v>vermelho</v>
      </c>
    </row>
    <row r="5459" spans="1:16" ht="25.5">
      <c r="A5459" s="3" t="s">
        <v>4</v>
      </c>
      <c r="B5459" s="3" t="s">
        <v>4281</v>
      </c>
      <c r="C5459" s="4">
        <v>39</v>
      </c>
      <c r="D5459" s="3" t="s">
        <v>26</v>
      </c>
      <c r="E5459" s="3" t="s">
        <v>13</v>
      </c>
      <c r="F5459" s="5">
        <v>1074</v>
      </c>
      <c r="G5459" s="5">
        <v>0</v>
      </c>
      <c r="H5459" s="6">
        <v>50021.26</v>
      </c>
      <c r="I5459" s="22">
        <v>0</v>
      </c>
      <c r="J5459" s="24">
        <f t="shared" si="255"/>
        <v>0</v>
      </c>
      <c r="K5459" s="25">
        <f t="shared" si="257"/>
        <v>1.0000000000000009</v>
      </c>
      <c r="L5459" s="27"/>
      <c r="M5459" s="28"/>
      <c r="N5459" s="28"/>
      <c r="O5459" s="20" t="s">
        <v>7530</v>
      </c>
      <c r="P5459" s="27" t="str">
        <f t="shared" si="256"/>
        <v>vermelho</v>
      </c>
    </row>
    <row r="5460" spans="1:16" ht="25.5">
      <c r="A5460" s="3" t="s">
        <v>4</v>
      </c>
      <c r="B5460" s="3" t="s">
        <v>4282</v>
      </c>
      <c r="C5460" s="4">
        <v>23</v>
      </c>
      <c r="D5460" s="3" t="s">
        <v>87</v>
      </c>
      <c r="E5460" s="3" t="s">
        <v>7</v>
      </c>
      <c r="F5460" s="5">
        <v>66</v>
      </c>
      <c r="G5460" s="5">
        <v>0</v>
      </c>
      <c r="H5460" s="6">
        <v>4442.58</v>
      </c>
      <c r="I5460" s="22">
        <v>0</v>
      </c>
      <c r="J5460" s="24">
        <f t="shared" si="255"/>
        <v>0</v>
      </c>
      <c r="K5460" s="25">
        <f t="shared" si="257"/>
        <v>1.0000000000000009</v>
      </c>
      <c r="L5460" s="27"/>
      <c r="M5460" s="28"/>
      <c r="N5460" s="28"/>
      <c r="O5460" s="20" t="s">
        <v>7530</v>
      </c>
      <c r="P5460" s="27" t="str">
        <f t="shared" si="256"/>
        <v>vermelho</v>
      </c>
    </row>
    <row r="5461" spans="1:16" ht="25.5">
      <c r="A5461" s="3" t="s">
        <v>4</v>
      </c>
      <c r="B5461" s="3" t="s">
        <v>4283</v>
      </c>
      <c r="C5461" s="4">
        <v>217</v>
      </c>
      <c r="D5461" s="3" t="s">
        <v>91</v>
      </c>
      <c r="E5461" s="3" t="s">
        <v>16</v>
      </c>
      <c r="F5461" s="5">
        <v>303</v>
      </c>
      <c r="G5461" s="5">
        <v>0</v>
      </c>
      <c r="H5461" s="6">
        <v>15247.92</v>
      </c>
      <c r="I5461" s="22">
        <v>0</v>
      </c>
      <c r="J5461" s="24">
        <f t="shared" si="255"/>
        <v>0</v>
      </c>
      <c r="K5461" s="25">
        <f t="shared" si="257"/>
        <v>1.0000000000000009</v>
      </c>
      <c r="L5461" s="27"/>
      <c r="M5461" s="28"/>
      <c r="N5461" s="28"/>
      <c r="O5461" s="20" t="s">
        <v>7530</v>
      </c>
      <c r="P5461" s="27" t="str">
        <f t="shared" si="256"/>
        <v>vermelho</v>
      </c>
    </row>
    <row r="5462" spans="1:16">
      <c r="A5462" s="3" t="s">
        <v>4</v>
      </c>
      <c r="B5462" s="3" t="s">
        <v>4284</v>
      </c>
      <c r="C5462" s="4">
        <v>232</v>
      </c>
      <c r="D5462" s="3" t="s">
        <v>174</v>
      </c>
      <c r="E5462" s="3" t="s">
        <v>16</v>
      </c>
      <c r="F5462" s="5">
        <v>60</v>
      </c>
      <c r="G5462" s="5">
        <v>0</v>
      </c>
      <c r="H5462" s="6">
        <v>4172.88</v>
      </c>
      <c r="I5462" s="22">
        <v>0</v>
      </c>
      <c r="J5462" s="24">
        <f t="shared" si="255"/>
        <v>0</v>
      </c>
      <c r="K5462" s="25">
        <f t="shared" si="257"/>
        <v>1.0000000000000009</v>
      </c>
      <c r="L5462" s="27"/>
      <c r="M5462" s="28"/>
      <c r="N5462" s="28"/>
      <c r="O5462" s="20" t="s">
        <v>7530</v>
      </c>
      <c r="P5462" s="27" t="str">
        <f t="shared" si="256"/>
        <v>vermelho</v>
      </c>
    </row>
    <row r="5463" spans="1:16" ht="25.5">
      <c r="A5463" s="3" t="s">
        <v>4</v>
      </c>
      <c r="B5463" s="3" t="s">
        <v>4285</v>
      </c>
      <c r="C5463" s="4">
        <v>267</v>
      </c>
      <c r="D5463" s="3" t="s">
        <v>125</v>
      </c>
      <c r="E5463" s="3" t="s">
        <v>16</v>
      </c>
      <c r="F5463" s="5">
        <v>135</v>
      </c>
      <c r="G5463" s="5">
        <v>0</v>
      </c>
      <c r="H5463" s="6">
        <v>6782.67</v>
      </c>
      <c r="I5463" s="22">
        <v>0</v>
      </c>
      <c r="J5463" s="24">
        <f t="shared" si="255"/>
        <v>0</v>
      </c>
      <c r="K5463" s="25">
        <f t="shared" si="257"/>
        <v>1.0000000000000009</v>
      </c>
      <c r="L5463" s="27"/>
      <c r="M5463" s="28"/>
      <c r="N5463" s="28"/>
      <c r="O5463" s="20" t="s">
        <v>7530</v>
      </c>
      <c r="P5463" s="27" t="str">
        <f t="shared" si="256"/>
        <v>vermelho</v>
      </c>
    </row>
    <row r="5464" spans="1:16" ht="25.5">
      <c r="A5464" s="3" t="s">
        <v>4</v>
      </c>
      <c r="B5464" s="3" t="s">
        <v>4286</v>
      </c>
      <c r="C5464" s="4">
        <v>194</v>
      </c>
      <c r="D5464" s="3" t="s">
        <v>145</v>
      </c>
      <c r="E5464" s="3" t="s">
        <v>16</v>
      </c>
      <c r="F5464" s="5">
        <v>60</v>
      </c>
      <c r="G5464" s="5">
        <v>0</v>
      </c>
      <c r="H5464" s="6">
        <v>3735.36</v>
      </c>
      <c r="I5464" s="22">
        <v>0</v>
      </c>
      <c r="J5464" s="24">
        <f t="shared" si="255"/>
        <v>0</v>
      </c>
      <c r="K5464" s="25">
        <f t="shared" si="257"/>
        <v>1.0000000000000009</v>
      </c>
      <c r="L5464" s="27"/>
      <c r="M5464" s="28"/>
      <c r="N5464" s="28"/>
      <c r="O5464" s="20">
        <v>13642.32</v>
      </c>
      <c r="P5464" s="27" t="str">
        <f t="shared" si="256"/>
        <v>vermelho</v>
      </c>
    </row>
    <row r="5465" spans="1:16" ht="25.5">
      <c r="A5465" s="3" t="s">
        <v>4</v>
      </c>
      <c r="B5465" s="3" t="s">
        <v>4287</v>
      </c>
      <c r="C5465" s="4">
        <v>327</v>
      </c>
      <c r="D5465" s="3" t="s">
        <v>100</v>
      </c>
      <c r="E5465" s="3" t="s">
        <v>7</v>
      </c>
      <c r="F5465" s="5">
        <v>228</v>
      </c>
      <c r="G5465" s="5">
        <v>0</v>
      </c>
      <c r="H5465" s="6">
        <v>12536.22</v>
      </c>
      <c r="I5465" s="22">
        <v>0</v>
      </c>
      <c r="J5465" s="24">
        <f t="shared" si="255"/>
        <v>0</v>
      </c>
      <c r="K5465" s="25">
        <f t="shared" si="257"/>
        <v>1.0000000000000009</v>
      </c>
      <c r="L5465" s="27"/>
      <c r="M5465" s="28"/>
      <c r="N5465" s="28"/>
      <c r="O5465" s="20" t="s">
        <v>7530</v>
      </c>
      <c r="P5465" s="27" t="str">
        <f t="shared" si="256"/>
        <v>vermelho</v>
      </c>
    </row>
    <row r="5466" spans="1:16" ht="25.5">
      <c r="A5466" s="3" t="s">
        <v>4</v>
      </c>
      <c r="B5466" s="3" t="s">
        <v>4288</v>
      </c>
      <c r="C5466" s="4">
        <v>197</v>
      </c>
      <c r="D5466" s="3" t="s">
        <v>66</v>
      </c>
      <c r="E5466" s="3" t="s">
        <v>41</v>
      </c>
      <c r="F5466" s="5">
        <v>72</v>
      </c>
      <c r="G5466" s="5">
        <v>0</v>
      </c>
      <c r="H5466" s="6">
        <v>3959.28</v>
      </c>
      <c r="I5466" s="22">
        <v>0</v>
      </c>
      <c r="J5466" s="24">
        <f t="shared" si="255"/>
        <v>0</v>
      </c>
      <c r="K5466" s="25">
        <f t="shared" si="257"/>
        <v>1.0000000000000009</v>
      </c>
      <c r="L5466" s="27"/>
      <c r="M5466" s="28"/>
      <c r="N5466" s="28"/>
      <c r="O5466" s="20" t="s">
        <v>7530</v>
      </c>
      <c r="P5466" s="27" t="str">
        <f t="shared" si="256"/>
        <v>vermelho</v>
      </c>
    </row>
    <row r="5467" spans="1:16" ht="25.5">
      <c r="A5467" s="3" t="s">
        <v>4</v>
      </c>
      <c r="B5467" s="3" t="s">
        <v>4289</v>
      </c>
      <c r="C5467" s="4">
        <v>327</v>
      </c>
      <c r="D5467" s="3" t="s">
        <v>100</v>
      </c>
      <c r="E5467" s="3" t="s">
        <v>7</v>
      </c>
      <c r="F5467" s="5">
        <v>72</v>
      </c>
      <c r="G5467" s="5">
        <v>0</v>
      </c>
      <c r="H5467" s="6">
        <v>3737.28</v>
      </c>
      <c r="I5467" s="22">
        <v>0</v>
      </c>
      <c r="J5467" s="24">
        <f t="shared" si="255"/>
        <v>0</v>
      </c>
      <c r="K5467" s="25">
        <f t="shared" si="257"/>
        <v>1.0000000000000009</v>
      </c>
      <c r="L5467" s="27"/>
      <c r="M5467" s="28"/>
      <c r="N5467" s="28"/>
      <c r="O5467" s="20" t="s">
        <v>7530</v>
      </c>
      <c r="P5467" s="27" t="str">
        <f t="shared" si="256"/>
        <v>vermelho</v>
      </c>
    </row>
    <row r="5468" spans="1:16" ht="25.5">
      <c r="A5468" s="3" t="s">
        <v>4</v>
      </c>
      <c r="B5468" s="3" t="s">
        <v>4290</v>
      </c>
      <c r="C5468" s="4">
        <v>267</v>
      </c>
      <c r="D5468" s="3" t="s">
        <v>125</v>
      </c>
      <c r="E5468" s="3" t="s">
        <v>16</v>
      </c>
      <c r="F5468" s="5">
        <v>108</v>
      </c>
      <c r="G5468" s="5">
        <v>0</v>
      </c>
      <c r="H5468" s="6">
        <v>6046.92</v>
      </c>
      <c r="I5468" s="22">
        <v>0</v>
      </c>
      <c r="J5468" s="24">
        <f t="shared" si="255"/>
        <v>0</v>
      </c>
      <c r="K5468" s="25">
        <f t="shared" si="257"/>
        <v>1.0000000000000009</v>
      </c>
      <c r="L5468" s="27"/>
      <c r="M5468" s="28"/>
      <c r="N5468" s="28"/>
      <c r="O5468" s="20" t="s">
        <v>7530</v>
      </c>
      <c r="P5468" s="27" t="str">
        <f t="shared" si="256"/>
        <v>vermelho</v>
      </c>
    </row>
    <row r="5469" spans="1:16" ht="25.5">
      <c r="A5469" s="3" t="s">
        <v>4</v>
      </c>
      <c r="B5469" s="3" t="s">
        <v>4291</v>
      </c>
      <c r="C5469" s="4">
        <v>273</v>
      </c>
      <c r="D5469" s="3" t="s">
        <v>149</v>
      </c>
      <c r="E5469" s="3" t="s">
        <v>10</v>
      </c>
      <c r="F5469" s="5">
        <v>366</v>
      </c>
      <c r="G5469" s="5">
        <v>0</v>
      </c>
      <c r="H5469" s="6">
        <v>12060.42</v>
      </c>
      <c r="I5469" s="22">
        <v>0</v>
      </c>
      <c r="J5469" s="24">
        <f t="shared" si="255"/>
        <v>0</v>
      </c>
      <c r="K5469" s="25">
        <f t="shared" si="257"/>
        <v>1.0000000000000009</v>
      </c>
      <c r="L5469" s="27"/>
      <c r="M5469" s="28"/>
      <c r="N5469" s="28"/>
      <c r="O5469" s="20" t="s">
        <v>7530</v>
      </c>
      <c r="P5469" s="27" t="str">
        <f t="shared" si="256"/>
        <v>vermelho</v>
      </c>
    </row>
    <row r="5470" spans="1:16">
      <c r="A5470" s="3" t="s">
        <v>4</v>
      </c>
      <c r="B5470" s="3" t="s">
        <v>4292</v>
      </c>
      <c r="C5470" s="4">
        <v>264</v>
      </c>
      <c r="D5470" s="3" t="s">
        <v>40</v>
      </c>
      <c r="E5470" s="3" t="s">
        <v>10</v>
      </c>
      <c r="F5470" s="5">
        <v>252</v>
      </c>
      <c r="G5470" s="5">
        <v>0</v>
      </c>
      <c r="H5470" s="6">
        <v>11216.28</v>
      </c>
      <c r="I5470" s="22">
        <v>0</v>
      </c>
      <c r="J5470" s="24">
        <f t="shared" si="255"/>
        <v>0</v>
      </c>
      <c r="K5470" s="25">
        <f t="shared" si="257"/>
        <v>1.0000000000000009</v>
      </c>
      <c r="L5470" s="27"/>
      <c r="M5470" s="28"/>
      <c r="N5470" s="28"/>
      <c r="O5470" s="20" t="s">
        <v>7530</v>
      </c>
      <c r="P5470" s="27" t="str">
        <f t="shared" si="256"/>
        <v>vermelho</v>
      </c>
    </row>
    <row r="5471" spans="1:16" ht="25.5">
      <c r="A5471" s="3" t="s">
        <v>4</v>
      </c>
      <c r="B5471" s="3" t="s">
        <v>4293</v>
      </c>
      <c r="C5471" s="4">
        <v>270</v>
      </c>
      <c r="D5471" s="3" t="s">
        <v>266</v>
      </c>
      <c r="E5471" s="3" t="s">
        <v>49</v>
      </c>
      <c r="F5471" s="5">
        <v>108</v>
      </c>
      <c r="G5471" s="5">
        <v>0</v>
      </c>
      <c r="H5471" s="6">
        <v>5346.24</v>
      </c>
      <c r="I5471" s="22">
        <v>0</v>
      </c>
      <c r="J5471" s="24">
        <f t="shared" si="255"/>
        <v>0</v>
      </c>
      <c r="K5471" s="25">
        <f t="shared" si="257"/>
        <v>1.0000000000000009</v>
      </c>
      <c r="L5471" s="27"/>
      <c r="M5471" s="28"/>
      <c r="N5471" s="28"/>
      <c r="O5471" s="20" t="s">
        <v>7530</v>
      </c>
      <c r="P5471" s="27" t="str">
        <f t="shared" si="256"/>
        <v>vermelho</v>
      </c>
    </row>
    <row r="5472" spans="1:16" ht="25.5">
      <c r="A5472" s="3" t="s">
        <v>4</v>
      </c>
      <c r="B5472" s="3" t="s">
        <v>4294</v>
      </c>
      <c r="C5472" s="4">
        <v>31</v>
      </c>
      <c r="D5472" s="3" t="s">
        <v>194</v>
      </c>
      <c r="E5472" s="3" t="s">
        <v>16</v>
      </c>
      <c r="F5472" s="5">
        <v>120</v>
      </c>
      <c r="G5472" s="5">
        <v>0</v>
      </c>
      <c r="H5472" s="6">
        <v>5326.8</v>
      </c>
      <c r="I5472" s="22">
        <v>0</v>
      </c>
      <c r="J5472" s="24">
        <f t="shared" si="255"/>
        <v>0</v>
      </c>
      <c r="K5472" s="25">
        <f t="shared" si="257"/>
        <v>1.0000000000000009</v>
      </c>
      <c r="L5472" s="27"/>
      <c r="M5472" s="28"/>
      <c r="N5472" s="28"/>
      <c r="O5472" s="20" t="s">
        <v>7530</v>
      </c>
      <c r="P5472" s="27" t="str">
        <f t="shared" si="256"/>
        <v>vermelho</v>
      </c>
    </row>
    <row r="5473" spans="1:16" ht="25.5">
      <c r="A5473" s="3" t="s">
        <v>4</v>
      </c>
      <c r="B5473" s="3" t="s">
        <v>4295</v>
      </c>
      <c r="C5473" s="4">
        <v>197</v>
      </c>
      <c r="D5473" s="3" t="s">
        <v>66</v>
      </c>
      <c r="E5473" s="3" t="s">
        <v>41</v>
      </c>
      <c r="F5473" s="5">
        <v>156</v>
      </c>
      <c r="G5473" s="5">
        <v>0</v>
      </c>
      <c r="H5473" s="6">
        <v>10527.93</v>
      </c>
      <c r="I5473" s="22">
        <v>0</v>
      </c>
      <c r="J5473" s="24">
        <f t="shared" si="255"/>
        <v>0</v>
      </c>
      <c r="K5473" s="25">
        <f t="shared" si="257"/>
        <v>1.0000000000000009</v>
      </c>
      <c r="L5473" s="27"/>
      <c r="M5473" s="28"/>
      <c r="N5473" s="28"/>
      <c r="O5473" s="20">
        <v>6340.62</v>
      </c>
      <c r="P5473" s="27" t="str">
        <f t="shared" si="256"/>
        <v>vermelho</v>
      </c>
    </row>
    <row r="5474" spans="1:16" ht="25.5">
      <c r="A5474" s="3" t="s">
        <v>4</v>
      </c>
      <c r="B5474" s="3" t="s">
        <v>4296</v>
      </c>
      <c r="C5474" s="4">
        <v>267</v>
      </c>
      <c r="D5474" s="3" t="s">
        <v>125</v>
      </c>
      <c r="E5474" s="3" t="s">
        <v>16</v>
      </c>
      <c r="F5474" s="5">
        <v>84</v>
      </c>
      <c r="G5474" s="5">
        <v>0</v>
      </c>
      <c r="H5474" s="6">
        <v>4883.16</v>
      </c>
      <c r="I5474" s="22">
        <v>0</v>
      </c>
      <c r="J5474" s="24">
        <f t="shared" si="255"/>
        <v>0</v>
      </c>
      <c r="K5474" s="25">
        <f t="shared" si="257"/>
        <v>1.0000000000000009</v>
      </c>
      <c r="L5474" s="27"/>
      <c r="M5474" s="28"/>
      <c r="N5474" s="28"/>
      <c r="O5474" s="20" t="s">
        <v>7530</v>
      </c>
      <c r="P5474" s="27" t="str">
        <f t="shared" si="256"/>
        <v>vermelho</v>
      </c>
    </row>
    <row r="5475" spans="1:16">
      <c r="A5475" s="3" t="s">
        <v>4</v>
      </c>
      <c r="B5475" s="3" t="s">
        <v>4297</v>
      </c>
      <c r="C5475" s="4">
        <v>264</v>
      </c>
      <c r="D5475" s="3" t="s">
        <v>40</v>
      </c>
      <c r="E5475" s="3" t="s">
        <v>10</v>
      </c>
      <c r="F5475" s="5">
        <v>66</v>
      </c>
      <c r="G5475" s="5">
        <v>0</v>
      </c>
      <c r="H5475" s="6">
        <v>3305.31</v>
      </c>
      <c r="I5475" s="22">
        <v>0</v>
      </c>
      <c r="J5475" s="24">
        <f t="shared" si="255"/>
        <v>0</v>
      </c>
      <c r="K5475" s="25">
        <f t="shared" si="257"/>
        <v>1.0000000000000009</v>
      </c>
      <c r="L5475" s="27"/>
      <c r="M5475" s="28"/>
      <c r="N5475" s="28"/>
      <c r="O5475" s="20" t="s">
        <v>7530</v>
      </c>
      <c r="P5475" s="27" t="str">
        <f t="shared" si="256"/>
        <v>vermelho</v>
      </c>
    </row>
    <row r="5476" spans="1:16" ht="25.5">
      <c r="A5476" s="3" t="s">
        <v>4</v>
      </c>
      <c r="B5476" s="3" t="s">
        <v>4298</v>
      </c>
      <c r="C5476" s="4">
        <v>296</v>
      </c>
      <c r="D5476" s="3" t="s">
        <v>282</v>
      </c>
      <c r="E5476" s="3" t="s">
        <v>16</v>
      </c>
      <c r="F5476" s="5">
        <v>72</v>
      </c>
      <c r="G5476" s="5">
        <v>0</v>
      </c>
      <c r="H5476" s="6">
        <v>3430.8</v>
      </c>
      <c r="I5476" s="22">
        <v>0</v>
      </c>
      <c r="J5476" s="24">
        <f t="shared" si="255"/>
        <v>0</v>
      </c>
      <c r="K5476" s="25">
        <f t="shared" si="257"/>
        <v>1.0000000000000009</v>
      </c>
      <c r="L5476" s="27"/>
      <c r="M5476" s="28"/>
      <c r="N5476" s="28"/>
      <c r="O5476" s="20" t="s">
        <v>7530</v>
      </c>
      <c r="P5476" s="27" t="str">
        <f t="shared" si="256"/>
        <v>vermelho</v>
      </c>
    </row>
    <row r="5477" spans="1:16" ht="25.5">
      <c r="A5477" s="3" t="s">
        <v>4</v>
      </c>
      <c r="B5477" s="3" t="s">
        <v>4299</v>
      </c>
      <c r="C5477" s="4">
        <v>267</v>
      </c>
      <c r="D5477" s="3" t="s">
        <v>125</v>
      </c>
      <c r="E5477" s="3" t="s">
        <v>16</v>
      </c>
      <c r="F5477" s="5">
        <v>324</v>
      </c>
      <c r="G5477" s="5">
        <v>0</v>
      </c>
      <c r="H5477" s="6">
        <v>15771.84</v>
      </c>
      <c r="I5477" s="22">
        <v>0</v>
      </c>
      <c r="J5477" s="24">
        <f t="shared" si="255"/>
        <v>0</v>
      </c>
      <c r="K5477" s="25">
        <f t="shared" si="257"/>
        <v>1.0000000000000009</v>
      </c>
      <c r="L5477" s="27"/>
      <c r="M5477" s="28"/>
      <c r="N5477" s="28"/>
      <c r="O5477" s="20" t="s">
        <v>7530</v>
      </c>
      <c r="P5477" s="27" t="str">
        <f t="shared" si="256"/>
        <v>vermelho</v>
      </c>
    </row>
    <row r="5478" spans="1:16" ht="25.5">
      <c r="A5478" s="3" t="s">
        <v>4</v>
      </c>
      <c r="B5478" s="3" t="s">
        <v>4300</v>
      </c>
      <c r="C5478" s="4">
        <v>264</v>
      </c>
      <c r="D5478" s="3" t="s">
        <v>40</v>
      </c>
      <c r="E5478" s="3" t="s">
        <v>10</v>
      </c>
      <c r="F5478" s="5">
        <v>66</v>
      </c>
      <c r="G5478" s="5">
        <v>0</v>
      </c>
      <c r="H5478" s="6">
        <v>4110.72</v>
      </c>
      <c r="I5478" s="22">
        <v>0</v>
      </c>
      <c r="J5478" s="24">
        <f t="shared" si="255"/>
        <v>0</v>
      </c>
      <c r="K5478" s="25">
        <f t="shared" si="257"/>
        <v>1.0000000000000009</v>
      </c>
      <c r="L5478" s="27"/>
      <c r="M5478" s="28"/>
      <c r="N5478" s="28"/>
      <c r="O5478" s="20" t="s">
        <v>7530</v>
      </c>
      <c r="P5478" s="27" t="str">
        <f t="shared" si="256"/>
        <v>vermelho</v>
      </c>
    </row>
    <row r="5479" spans="1:16" ht="51">
      <c r="A5479" s="3" t="s">
        <v>4</v>
      </c>
      <c r="B5479" s="3" t="s">
        <v>4301</v>
      </c>
      <c r="C5479" s="4">
        <v>282</v>
      </c>
      <c r="D5479" s="3" t="s">
        <v>12</v>
      </c>
      <c r="E5479" s="3" t="s">
        <v>13</v>
      </c>
      <c r="F5479" s="5">
        <v>138</v>
      </c>
      <c r="G5479" s="5">
        <v>0</v>
      </c>
      <c r="H5479" s="6">
        <v>7737.6</v>
      </c>
      <c r="I5479" s="22">
        <v>0</v>
      </c>
      <c r="J5479" s="24">
        <f t="shared" si="255"/>
        <v>0</v>
      </c>
      <c r="K5479" s="25">
        <f t="shared" si="257"/>
        <v>1.0000000000000009</v>
      </c>
      <c r="L5479" s="27"/>
      <c r="M5479" s="28"/>
      <c r="N5479" s="28"/>
      <c r="O5479" s="20" t="s">
        <v>7530</v>
      </c>
      <c r="P5479" s="27" t="str">
        <f t="shared" si="256"/>
        <v>vermelho</v>
      </c>
    </row>
    <row r="5480" spans="1:16" ht="25.5">
      <c r="A5480" s="3" t="s">
        <v>4</v>
      </c>
      <c r="B5480" s="3" t="s">
        <v>4302</v>
      </c>
      <c r="C5480" s="4">
        <v>315</v>
      </c>
      <c r="D5480" s="3" t="s">
        <v>63</v>
      </c>
      <c r="E5480" s="3" t="s">
        <v>7</v>
      </c>
      <c r="F5480" s="5">
        <v>96</v>
      </c>
      <c r="G5480" s="5">
        <v>0</v>
      </c>
      <c r="H5480" s="6">
        <v>6338.64</v>
      </c>
      <c r="I5480" s="22">
        <v>0</v>
      </c>
      <c r="J5480" s="24">
        <f t="shared" si="255"/>
        <v>0</v>
      </c>
      <c r="K5480" s="25">
        <f t="shared" si="257"/>
        <v>1.0000000000000009</v>
      </c>
      <c r="L5480" s="27"/>
      <c r="M5480" s="28"/>
      <c r="N5480" s="28"/>
      <c r="O5480" s="20" t="s">
        <v>7530</v>
      </c>
      <c r="P5480" s="27" t="str">
        <f t="shared" si="256"/>
        <v>vermelho</v>
      </c>
    </row>
    <row r="5481" spans="1:16">
      <c r="A5481" s="3" t="s">
        <v>4</v>
      </c>
      <c r="B5481" s="3" t="s">
        <v>4303</v>
      </c>
      <c r="C5481" s="4">
        <v>264</v>
      </c>
      <c r="D5481" s="3" t="s">
        <v>40</v>
      </c>
      <c r="E5481" s="3" t="s">
        <v>10</v>
      </c>
      <c r="F5481" s="5">
        <v>132</v>
      </c>
      <c r="G5481" s="5">
        <v>0</v>
      </c>
      <c r="H5481" s="6">
        <v>8934.1200000000008</v>
      </c>
      <c r="I5481" s="22">
        <v>0</v>
      </c>
      <c r="J5481" s="24">
        <f t="shared" si="255"/>
        <v>0</v>
      </c>
      <c r="K5481" s="25">
        <f t="shared" si="257"/>
        <v>1.0000000000000009</v>
      </c>
      <c r="L5481" s="27"/>
      <c r="M5481" s="28"/>
      <c r="N5481" s="28"/>
      <c r="O5481" s="20" t="s">
        <v>7530</v>
      </c>
      <c r="P5481" s="27" t="str">
        <f t="shared" si="256"/>
        <v>vermelho</v>
      </c>
    </row>
    <row r="5482" spans="1:16" ht="25.5">
      <c r="A5482" s="3" t="s">
        <v>4</v>
      </c>
      <c r="B5482" s="3" t="s">
        <v>4304</v>
      </c>
      <c r="C5482" s="4">
        <v>232</v>
      </c>
      <c r="D5482" s="3" t="s">
        <v>174</v>
      </c>
      <c r="E5482" s="3" t="s">
        <v>16</v>
      </c>
      <c r="F5482" s="5">
        <v>120</v>
      </c>
      <c r="G5482" s="5">
        <v>0</v>
      </c>
      <c r="H5482" s="6">
        <v>6354.6</v>
      </c>
      <c r="I5482" s="22">
        <v>0</v>
      </c>
      <c r="J5482" s="24">
        <f t="shared" si="255"/>
        <v>0</v>
      </c>
      <c r="K5482" s="25">
        <f t="shared" si="257"/>
        <v>1.0000000000000009</v>
      </c>
      <c r="L5482" s="27"/>
      <c r="M5482" s="28"/>
      <c r="N5482" s="28"/>
      <c r="O5482" s="20" t="s">
        <v>7530</v>
      </c>
      <c r="P5482" s="27" t="str">
        <f t="shared" si="256"/>
        <v>vermelho</v>
      </c>
    </row>
    <row r="5483" spans="1:16" ht="25.5">
      <c r="A5483" s="3" t="s">
        <v>4</v>
      </c>
      <c r="B5483" s="3" t="s">
        <v>4305</v>
      </c>
      <c r="C5483" s="4">
        <v>194</v>
      </c>
      <c r="D5483" s="3" t="s">
        <v>145</v>
      </c>
      <c r="E5483" s="3" t="s">
        <v>16</v>
      </c>
      <c r="F5483" s="5">
        <v>60</v>
      </c>
      <c r="G5483" s="5">
        <v>0</v>
      </c>
      <c r="H5483" s="6">
        <v>3367.68</v>
      </c>
      <c r="I5483" s="22">
        <v>0</v>
      </c>
      <c r="J5483" s="24">
        <f t="shared" si="255"/>
        <v>0</v>
      </c>
      <c r="K5483" s="25">
        <f t="shared" si="257"/>
        <v>1.0000000000000009</v>
      </c>
      <c r="L5483" s="27"/>
      <c r="M5483" s="28"/>
      <c r="N5483" s="28"/>
      <c r="O5483" s="20" t="s">
        <v>7530</v>
      </c>
      <c r="P5483" s="27" t="str">
        <f t="shared" si="256"/>
        <v>vermelho</v>
      </c>
    </row>
    <row r="5484" spans="1:16" ht="25.5">
      <c r="A5484" s="3" t="s">
        <v>4</v>
      </c>
      <c r="B5484" s="3" t="s">
        <v>4306</v>
      </c>
      <c r="C5484" s="4">
        <v>217</v>
      </c>
      <c r="D5484" s="3" t="s">
        <v>91</v>
      </c>
      <c r="E5484" s="3" t="s">
        <v>16</v>
      </c>
      <c r="F5484" s="5">
        <v>576</v>
      </c>
      <c r="G5484" s="5">
        <v>0</v>
      </c>
      <c r="H5484" s="6">
        <v>30908.639999999999</v>
      </c>
      <c r="I5484" s="22">
        <v>0</v>
      </c>
      <c r="J5484" s="24">
        <f t="shared" si="255"/>
        <v>0</v>
      </c>
      <c r="K5484" s="25">
        <f t="shared" si="257"/>
        <v>1.0000000000000009</v>
      </c>
      <c r="L5484" s="27"/>
      <c r="M5484" s="28"/>
      <c r="N5484" s="28"/>
      <c r="O5484" s="20" t="s">
        <v>7530</v>
      </c>
      <c r="P5484" s="27" t="str">
        <f t="shared" si="256"/>
        <v>vermelho</v>
      </c>
    </row>
    <row r="5485" spans="1:16" ht="25.5">
      <c r="A5485" s="3" t="s">
        <v>4</v>
      </c>
      <c r="B5485" s="3" t="s">
        <v>4307</v>
      </c>
      <c r="C5485" s="4">
        <v>321</v>
      </c>
      <c r="D5485" s="3" t="s">
        <v>136</v>
      </c>
      <c r="E5485" s="3" t="s">
        <v>41</v>
      </c>
      <c r="F5485" s="5">
        <v>204</v>
      </c>
      <c r="G5485" s="5">
        <v>0</v>
      </c>
      <c r="H5485" s="6">
        <v>10220.76</v>
      </c>
      <c r="I5485" s="22">
        <v>0</v>
      </c>
      <c r="J5485" s="24">
        <f t="shared" si="255"/>
        <v>0</v>
      </c>
      <c r="K5485" s="25">
        <f t="shared" si="257"/>
        <v>1.0000000000000009</v>
      </c>
      <c r="L5485" s="27"/>
      <c r="M5485" s="28"/>
      <c r="N5485" s="28"/>
      <c r="O5485" s="20" t="s">
        <v>7530</v>
      </c>
      <c r="P5485" s="27" t="str">
        <f t="shared" si="256"/>
        <v>vermelho</v>
      </c>
    </row>
    <row r="5486" spans="1:16" ht="38.25">
      <c r="A5486" s="3" t="s">
        <v>4</v>
      </c>
      <c r="B5486" s="3" t="s">
        <v>4308</v>
      </c>
      <c r="C5486" s="4">
        <v>34</v>
      </c>
      <c r="D5486" s="3" t="s">
        <v>54</v>
      </c>
      <c r="E5486" s="3" t="s">
        <v>49</v>
      </c>
      <c r="F5486" s="5">
        <v>144</v>
      </c>
      <c r="G5486" s="5">
        <v>0</v>
      </c>
      <c r="H5486" s="6">
        <v>8140.3559999999998</v>
      </c>
      <c r="I5486" s="22">
        <v>0</v>
      </c>
      <c r="J5486" s="24">
        <f t="shared" si="255"/>
        <v>0</v>
      </c>
      <c r="K5486" s="25">
        <f t="shared" si="257"/>
        <v>1.0000000000000009</v>
      </c>
      <c r="L5486" s="27"/>
      <c r="M5486" s="28"/>
      <c r="N5486" s="28"/>
      <c r="O5486" s="20">
        <v>6130.08</v>
      </c>
      <c r="P5486" s="27" t="str">
        <f t="shared" si="256"/>
        <v>vermelho</v>
      </c>
    </row>
    <row r="5487" spans="1:16" ht="38.25">
      <c r="A5487" s="3" t="s">
        <v>4</v>
      </c>
      <c r="B5487" s="3" t="s">
        <v>4309</v>
      </c>
      <c r="C5487" s="4">
        <v>11</v>
      </c>
      <c r="D5487" s="3" t="s">
        <v>61</v>
      </c>
      <c r="E5487" s="3" t="s">
        <v>10</v>
      </c>
      <c r="F5487" s="5">
        <v>372</v>
      </c>
      <c r="G5487" s="5">
        <v>0</v>
      </c>
      <c r="H5487" s="6">
        <v>20877.12</v>
      </c>
      <c r="I5487" s="22">
        <v>0</v>
      </c>
      <c r="J5487" s="24">
        <f t="shared" si="255"/>
        <v>0</v>
      </c>
      <c r="K5487" s="25">
        <f t="shared" si="257"/>
        <v>1.0000000000000009</v>
      </c>
      <c r="L5487" s="27"/>
      <c r="M5487" s="28"/>
      <c r="N5487" s="28"/>
      <c r="O5487" s="20" t="s">
        <v>7530</v>
      </c>
      <c r="P5487" s="27" t="str">
        <f t="shared" si="256"/>
        <v>vermelho</v>
      </c>
    </row>
    <row r="5488" spans="1:16" ht="25.5">
      <c r="A5488" s="3" t="s">
        <v>4</v>
      </c>
      <c r="B5488" s="3" t="s">
        <v>4310</v>
      </c>
      <c r="C5488" s="4">
        <v>217</v>
      </c>
      <c r="D5488" s="3" t="s">
        <v>91</v>
      </c>
      <c r="E5488" s="3" t="s">
        <v>16</v>
      </c>
      <c r="F5488" s="5">
        <v>111</v>
      </c>
      <c r="G5488" s="5">
        <v>0</v>
      </c>
      <c r="H5488" s="6">
        <v>5683.86</v>
      </c>
      <c r="I5488" s="22">
        <v>0</v>
      </c>
      <c r="J5488" s="24">
        <f t="shared" si="255"/>
        <v>0</v>
      </c>
      <c r="K5488" s="25">
        <f t="shared" si="257"/>
        <v>1.0000000000000009</v>
      </c>
      <c r="L5488" s="27"/>
      <c r="M5488" s="28"/>
      <c r="N5488" s="28"/>
      <c r="O5488" s="20" t="s">
        <v>7530</v>
      </c>
      <c r="P5488" s="27" t="str">
        <f t="shared" si="256"/>
        <v>vermelho</v>
      </c>
    </row>
    <row r="5489" spans="1:16" ht="38.25">
      <c r="A5489" s="3" t="s">
        <v>4</v>
      </c>
      <c r="B5489" s="3" t="s">
        <v>4311</v>
      </c>
      <c r="C5489" s="4">
        <v>45</v>
      </c>
      <c r="D5489" s="3" t="s">
        <v>23</v>
      </c>
      <c r="E5489" s="3" t="s">
        <v>7</v>
      </c>
      <c r="F5489" s="5">
        <v>60</v>
      </c>
      <c r="G5489" s="5">
        <v>0</v>
      </c>
      <c r="H5489" s="6">
        <v>3158.16</v>
      </c>
      <c r="I5489" s="22">
        <v>0</v>
      </c>
      <c r="J5489" s="24">
        <f t="shared" si="255"/>
        <v>0</v>
      </c>
      <c r="K5489" s="25">
        <f t="shared" si="257"/>
        <v>1.0000000000000009</v>
      </c>
      <c r="L5489" s="27"/>
      <c r="M5489" s="28"/>
      <c r="N5489" s="28"/>
      <c r="O5489" s="20" t="s">
        <v>7530</v>
      </c>
      <c r="P5489" s="27" t="str">
        <f t="shared" si="256"/>
        <v>vermelho</v>
      </c>
    </row>
    <row r="5490" spans="1:16" ht="25.5">
      <c r="A5490" s="3" t="s">
        <v>4</v>
      </c>
      <c r="B5490" s="3" t="s">
        <v>4312</v>
      </c>
      <c r="C5490" s="4">
        <v>296</v>
      </c>
      <c r="D5490" s="3" t="s">
        <v>282</v>
      </c>
      <c r="E5490" s="3" t="s">
        <v>49</v>
      </c>
      <c r="F5490" s="5">
        <v>84</v>
      </c>
      <c r="G5490" s="5">
        <v>0</v>
      </c>
      <c r="H5490" s="6">
        <v>3651.48</v>
      </c>
      <c r="I5490" s="22">
        <v>0</v>
      </c>
      <c r="J5490" s="24">
        <f t="shared" si="255"/>
        <v>0</v>
      </c>
      <c r="K5490" s="25">
        <f t="shared" si="257"/>
        <v>1.0000000000000009</v>
      </c>
      <c r="L5490" s="27"/>
      <c r="M5490" s="28"/>
      <c r="N5490" s="28"/>
      <c r="O5490" s="20" t="s">
        <v>7530</v>
      </c>
      <c r="P5490" s="27" t="str">
        <f t="shared" si="256"/>
        <v>vermelho</v>
      </c>
    </row>
    <row r="5491" spans="1:16">
      <c r="A5491" s="3" t="s">
        <v>4</v>
      </c>
      <c r="B5491" s="3" t="s">
        <v>4313</v>
      </c>
      <c r="C5491" s="4">
        <v>240</v>
      </c>
      <c r="D5491" s="3" t="s">
        <v>69</v>
      </c>
      <c r="E5491" s="3" t="s">
        <v>16</v>
      </c>
      <c r="F5491" s="5">
        <v>72</v>
      </c>
      <c r="G5491" s="5">
        <v>0</v>
      </c>
      <c r="H5491" s="6">
        <v>3059.28</v>
      </c>
      <c r="I5491" s="22">
        <v>0</v>
      </c>
      <c r="J5491" s="24">
        <f t="shared" si="255"/>
        <v>0</v>
      </c>
      <c r="K5491" s="25">
        <f t="shared" si="257"/>
        <v>1.0000000000000009</v>
      </c>
      <c r="L5491" s="27"/>
      <c r="M5491" s="28"/>
      <c r="N5491" s="28"/>
      <c r="O5491" s="20">
        <v>3531.72</v>
      </c>
      <c r="P5491" s="27" t="str">
        <f t="shared" si="256"/>
        <v>vermelho</v>
      </c>
    </row>
    <row r="5492" spans="1:16" ht="51">
      <c r="A5492" s="3" t="s">
        <v>4</v>
      </c>
      <c r="B5492" s="3" t="s">
        <v>4314</v>
      </c>
      <c r="C5492" s="4">
        <v>282</v>
      </c>
      <c r="D5492" s="3" t="s">
        <v>12</v>
      </c>
      <c r="E5492" s="3" t="s">
        <v>13</v>
      </c>
      <c r="F5492" s="5">
        <v>138</v>
      </c>
      <c r="G5492" s="5">
        <v>0</v>
      </c>
      <c r="H5492" s="6">
        <v>7737.6</v>
      </c>
      <c r="I5492" s="22">
        <v>0</v>
      </c>
      <c r="J5492" s="24">
        <f t="shared" si="255"/>
        <v>0</v>
      </c>
      <c r="K5492" s="25">
        <f t="shared" si="257"/>
        <v>1.0000000000000009</v>
      </c>
      <c r="L5492" s="27"/>
      <c r="M5492" s="28"/>
      <c r="N5492" s="28"/>
      <c r="O5492" s="20" t="s">
        <v>7530</v>
      </c>
      <c r="P5492" s="27" t="str">
        <f t="shared" si="256"/>
        <v>vermelho</v>
      </c>
    </row>
    <row r="5493" spans="1:16" ht="38.25">
      <c r="A5493" s="3" t="s">
        <v>4</v>
      </c>
      <c r="B5493" s="3" t="s">
        <v>4315</v>
      </c>
      <c r="C5493" s="4">
        <v>31</v>
      </c>
      <c r="D5493" s="3" t="s">
        <v>194</v>
      </c>
      <c r="E5493" s="3" t="s">
        <v>16</v>
      </c>
      <c r="F5493" s="5">
        <v>375</v>
      </c>
      <c r="G5493" s="5">
        <v>0</v>
      </c>
      <c r="H5493" s="6">
        <v>20100.599999999999</v>
      </c>
      <c r="I5493" s="22">
        <v>0</v>
      </c>
      <c r="J5493" s="24">
        <f t="shared" si="255"/>
        <v>0</v>
      </c>
      <c r="K5493" s="25">
        <f t="shared" si="257"/>
        <v>1.0000000000000009</v>
      </c>
      <c r="L5493" s="27"/>
      <c r="M5493" s="28"/>
      <c r="N5493" s="28"/>
      <c r="O5493" s="20" t="s">
        <v>7530</v>
      </c>
      <c r="P5493" s="27" t="str">
        <f t="shared" si="256"/>
        <v>vermelho</v>
      </c>
    </row>
    <row r="5494" spans="1:16" ht="25.5">
      <c r="A5494" s="3" t="s">
        <v>4</v>
      </c>
      <c r="B5494" s="3" t="s">
        <v>4316</v>
      </c>
      <c r="C5494" s="4">
        <v>197</v>
      </c>
      <c r="D5494" s="3" t="s">
        <v>66</v>
      </c>
      <c r="E5494" s="3" t="s">
        <v>41</v>
      </c>
      <c r="F5494" s="5">
        <v>108</v>
      </c>
      <c r="G5494" s="5">
        <v>0</v>
      </c>
      <c r="H5494" s="6">
        <v>7001.28</v>
      </c>
      <c r="I5494" s="22">
        <v>0</v>
      </c>
      <c r="J5494" s="24">
        <f t="shared" si="255"/>
        <v>0</v>
      </c>
      <c r="K5494" s="25">
        <f t="shared" si="257"/>
        <v>1.0000000000000009</v>
      </c>
      <c r="L5494" s="27"/>
      <c r="M5494" s="28"/>
      <c r="N5494" s="28"/>
      <c r="O5494" s="20" t="s">
        <v>7530</v>
      </c>
      <c r="P5494" s="27" t="str">
        <f t="shared" si="256"/>
        <v>vermelho</v>
      </c>
    </row>
    <row r="5495" spans="1:16" ht="25.5">
      <c r="A5495" s="3" t="s">
        <v>4</v>
      </c>
      <c r="B5495" s="3" t="s">
        <v>4317</v>
      </c>
      <c r="C5495" s="4">
        <v>321</v>
      </c>
      <c r="D5495" s="3" t="s">
        <v>136</v>
      </c>
      <c r="E5495" s="3" t="s">
        <v>41</v>
      </c>
      <c r="F5495" s="5">
        <v>210</v>
      </c>
      <c r="G5495" s="5">
        <v>0</v>
      </c>
      <c r="H5495" s="6">
        <v>12200.91</v>
      </c>
      <c r="I5495" s="22">
        <v>0</v>
      </c>
      <c r="J5495" s="24">
        <f t="shared" si="255"/>
        <v>0</v>
      </c>
      <c r="K5495" s="25">
        <f t="shared" si="257"/>
        <v>1.0000000000000009</v>
      </c>
      <c r="L5495" s="27"/>
      <c r="M5495" s="28"/>
      <c r="N5495" s="28"/>
      <c r="O5495" s="20" t="s">
        <v>7530</v>
      </c>
      <c r="P5495" s="27" t="str">
        <f t="shared" si="256"/>
        <v>vermelho</v>
      </c>
    </row>
    <row r="5496" spans="1:16" ht="25.5">
      <c r="A5496" s="3" t="s">
        <v>4</v>
      </c>
      <c r="B5496" s="3" t="s">
        <v>4318</v>
      </c>
      <c r="C5496" s="4">
        <v>270</v>
      </c>
      <c r="D5496" s="3" t="s">
        <v>266</v>
      </c>
      <c r="E5496" s="3" t="s">
        <v>49</v>
      </c>
      <c r="F5496" s="5">
        <v>594</v>
      </c>
      <c r="G5496" s="5">
        <v>0</v>
      </c>
      <c r="H5496" s="6">
        <v>31410.720000000001</v>
      </c>
      <c r="I5496" s="22">
        <v>0</v>
      </c>
      <c r="J5496" s="24">
        <f t="shared" si="255"/>
        <v>0</v>
      </c>
      <c r="K5496" s="25">
        <f t="shared" si="257"/>
        <v>1.0000000000000009</v>
      </c>
      <c r="L5496" s="27"/>
      <c r="M5496" s="28"/>
      <c r="N5496" s="28"/>
      <c r="O5496" s="20" t="s">
        <v>7530</v>
      </c>
      <c r="P5496" s="27" t="str">
        <f t="shared" si="256"/>
        <v>vermelho</v>
      </c>
    </row>
    <row r="5497" spans="1:16" ht="25.5">
      <c r="A5497" s="3" t="s">
        <v>4</v>
      </c>
      <c r="B5497" s="3" t="s">
        <v>4319</v>
      </c>
      <c r="C5497" s="4">
        <v>197</v>
      </c>
      <c r="D5497" s="3" t="s">
        <v>66</v>
      </c>
      <c r="E5497" s="3" t="s">
        <v>41</v>
      </c>
      <c r="F5497" s="5">
        <v>54</v>
      </c>
      <c r="G5497" s="5">
        <v>0</v>
      </c>
      <c r="H5497" s="6">
        <v>2845.46</v>
      </c>
      <c r="I5497" s="22">
        <v>0</v>
      </c>
      <c r="J5497" s="24">
        <f t="shared" si="255"/>
        <v>0</v>
      </c>
      <c r="K5497" s="25">
        <f t="shared" si="257"/>
        <v>1.0000000000000009</v>
      </c>
      <c r="L5497" s="27"/>
      <c r="M5497" s="28"/>
      <c r="N5497" s="28"/>
      <c r="O5497" s="20" t="s">
        <v>7530</v>
      </c>
      <c r="P5497" s="27" t="str">
        <f t="shared" si="256"/>
        <v>vermelho</v>
      </c>
    </row>
    <row r="5498" spans="1:16" ht="25.5">
      <c r="A5498" s="3" t="s">
        <v>4</v>
      </c>
      <c r="B5498" s="3" t="s">
        <v>4320</v>
      </c>
      <c r="C5498" s="4">
        <v>217</v>
      </c>
      <c r="D5498" s="3" t="s">
        <v>91</v>
      </c>
      <c r="E5498" s="3" t="s">
        <v>16</v>
      </c>
      <c r="F5498" s="5">
        <v>168</v>
      </c>
      <c r="G5498" s="5">
        <v>0</v>
      </c>
      <c r="H5498" s="6">
        <v>9222.1200000000008</v>
      </c>
      <c r="I5498" s="22">
        <v>0</v>
      </c>
      <c r="J5498" s="24">
        <f t="shared" si="255"/>
        <v>0</v>
      </c>
      <c r="K5498" s="25">
        <f t="shared" si="257"/>
        <v>1.0000000000000009</v>
      </c>
      <c r="L5498" s="27"/>
      <c r="M5498" s="28"/>
      <c r="N5498" s="28"/>
      <c r="O5498" s="20" t="s">
        <v>7530</v>
      </c>
      <c r="P5498" s="27" t="str">
        <f t="shared" si="256"/>
        <v>vermelho</v>
      </c>
    </row>
    <row r="5499" spans="1:16" ht="25.5">
      <c r="A5499" s="3" t="s">
        <v>4</v>
      </c>
      <c r="B5499" s="3" t="s">
        <v>4321</v>
      </c>
      <c r="C5499" s="4">
        <v>270</v>
      </c>
      <c r="D5499" s="3" t="s">
        <v>266</v>
      </c>
      <c r="E5499" s="3" t="s">
        <v>49</v>
      </c>
      <c r="F5499" s="5">
        <v>84</v>
      </c>
      <c r="G5499" s="5">
        <v>0</v>
      </c>
      <c r="H5499" s="6">
        <v>4007.16</v>
      </c>
      <c r="I5499" s="22">
        <v>0</v>
      </c>
      <c r="J5499" s="24">
        <f t="shared" si="255"/>
        <v>0</v>
      </c>
      <c r="K5499" s="25">
        <f t="shared" si="257"/>
        <v>1.0000000000000009</v>
      </c>
      <c r="L5499" s="27"/>
      <c r="M5499" s="28"/>
      <c r="N5499" s="28"/>
      <c r="O5499" s="20">
        <v>4145.28</v>
      </c>
      <c r="P5499" s="27" t="str">
        <f t="shared" si="256"/>
        <v>vermelho</v>
      </c>
    </row>
    <row r="5500" spans="1:16" ht="25.5">
      <c r="A5500" s="3" t="s">
        <v>4</v>
      </c>
      <c r="B5500" s="3" t="s">
        <v>4322</v>
      </c>
      <c r="C5500" s="4">
        <v>15</v>
      </c>
      <c r="D5500" s="3" t="s">
        <v>18</v>
      </c>
      <c r="E5500" s="3" t="s">
        <v>16</v>
      </c>
      <c r="F5500" s="5">
        <v>390</v>
      </c>
      <c r="G5500" s="5">
        <v>0</v>
      </c>
      <c r="H5500" s="6">
        <v>22648.5</v>
      </c>
      <c r="I5500" s="22">
        <v>0</v>
      </c>
      <c r="J5500" s="24">
        <f t="shared" si="255"/>
        <v>0</v>
      </c>
      <c r="K5500" s="25">
        <f t="shared" si="257"/>
        <v>1.0000000000000009</v>
      </c>
      <c r="L5500" s="27"/>
      <c r="M5500" s="28"/>
      <c r="N5500" s="28"/>
      <c r="O5500" s="20" t="s">
        <v>7530</v>
      </c>
      <c r="P5500" s="27" t="str">
        <f t="shared" si="256"/>
        <v>vermelho</v>
      </c>
    </row>
    <row r="5501" spans="1:16" ht="25.5">
      <c r="A5501" s="3" t="s">
        <v>4</v>
      </c>
      <c r="B5501" s="3" t="s">
        <v>4323</v>
      </c>
      <c r="C5501" s="4">
        <v>267</v>
      </c>
      <c r="D5501" s="3" t="s">
        <v>125</v>
      </c>
      <c r="E5501" s="3" t="s">
        <v>16</v>
      </c>
      <c r="F5501" s="5">
        <v>540</v>
      </c>
      <c r="G5501" s="5">
        <v>0</v>
      </c>
      <c r="H5501" s="6">
        <v>28590.6</v>
      </c>
      <c r="I5501" s="22">
        <v>0</v>
      </c>
      <c r="J5501" s="24">
        <f t="shared" si="255"/>
        <v>0</v>
      </c>
      <c r="K5501" s="25">
        <f t="shared" si="257"/>
        <v>1.0000000000000009</v>
      </c>
      <c r="L5501" s="27"/>
      <c r="M5501" s="28"/>
      <c r="N5501" s="28"/>
      <c r="O5501" s="20" t="s">
        <v>7530</v>
      </c>
      <c r="P5501" s="27" t="str">
        <f t="shared" si="256"/>
        <v>vermelho</v>
      </c>
    </row>
    <row r="5502" spans="1:16" ht="38.25">
      <c r="A5502" s="3" t="s">
        <v>4</v>
      </c>
      <c r="B5502" s="3" t="s">
        <v>4324</v>
      </c>
      <c r="C5502" s="4">
        <v>371</v>
      </c>
      <c r="D5502" s="3" t="s">
        <v>82</v>
      </c>
      <c r="E5502" s="3" t="s">
        <v>49</v>
      </c>
      <c r="F5502" s="5">
        <v>138</v>
      </c>
      <c r="G5502" s="5">
        <v>0</v>
      </c>
      <c r="H5502" s="6">
        <v>5736.81</v>
      </c>
      <c r="I5502" s="22">
        <v>0</v>
      </c>
      <c r="J5502" s="24">
        <f t="shared" si="255"/>
        <v>0</v>
      </c>
      <c r="K5502" s="25">
        <f t="shared" si="257"/>
        <v>1.0000000000000009</v>
      </c>
      <c r="L5502" s="27"/>
      <c r="M5502" s="28"/>
      <c r="N5502" s="28">
        <v>7.0449255116469794E-2</v>
      </c>
      <c r="O5502" s="20">
        <v>2650.6439999999998</v>
      </c>
      <c r="P5502" s="27" t="str">
        <f t="shared" si="256"/>
        <v>vermelho</v>
      </c>
    </row>
    <row r="5503" spans="1:16">
      <c r="A5503" s="3" t="s">
        <v>4</v>
      </c>
      <c r="B5503" s="3" t="s">
        <v>4325</v>
      </c>
      <c r="C5503" s="4">
        <v>217</v>
      </c>
      <c r="D5503" s="3" t="s">
        <v>91</v>
      </c>
      <c r="E5503" s="3" t="s">
        <v>16</v>
      </c>
      <c r="F5503" s="5">
        <v>432</v>
      </c>
      <c r="G5503" s="5">
        <v>0</v>
      </c>
      <c r="H5503" s="6">
        <v>23669.67</v>
      </c>
      <c r="I5503" s="22">
        <v>0</v>
      </c>
      <c r="J5503" s="24">
        <f t="shared" si="255"/>
        <v>0</v>
      </c>
      <c r="K5503" s="25">
        <f t="shared" si="257"/>
        <v>1.0000000000000009</v>
      </c>
      <c r="L5503" s="27"/>
      <c r="M5503" s="28"/>
      <c r="N5503" s="28"/>
      <c r="O5503" s="20" t="s">
        <v>7530</v>
      </c>
      <c r="P5503" s="27" t="str">
        <f t="shared" si="256"/>
        <v>vermelho</v>
      </c>
    </row>
    <row r="5504" spans="1:16" ht="25.5">
      <c r="A5504" s="3" t="s">
        <v>4</v>
      </c>
      <c r="B5504" s="3" t="s">
        <v>4326</v>
      </c>
      <c r="C5504" s="4">
        <v>15</v>
      </c>
      <c r="D5504" s="3" t="s">
        <v>18</v>
      </c>
      <c r="E5504" s="3" t="s">
        <v>16</v>
      </c>
      <c r="F5504" s="5">
        <v>120</v>
      </c>
      <c r="G5504" s="5">
        <v>0</v>
      </c>
      <c r="H5504" s="6">
        <v>6026.28</v>
      </c>
      <c r="I5504" s="22">
        <v>0</v>
      </c>
      <c r="J5504" s="24">
        <f t="shared" si="255"/>
        <v>0</v>
      </c>
      <c r="K5504" s="25">
        <f t="shared" si="257"/>
        <v>1.0000000000000009</v>
      </c>
      <c r="L5504" s="27"/>
      <c r="M5504" s="28"/>
      <c r="N5504" s="28"/>
      <c r="O5504" s="20" t="s">
        <v>7530</v>
      </c>
      <c r="P5504" s="27" t="str">
        <f t="shared" si="256"/>
        <v>vermelho</v>
      </c>
    </row>
    <row r="5505" spans="1:16">
      <c r="A5505" s="3" t="s">
        <v>4</v>
      </c>
      <c r="B5505" s="3" t="s">
        <v>4327</v>
      </c>
      <c r="C5505" s="4">
        <v>232</v>
      </c>
      <c r="D5505" s="3" t="s">
        <v>174</v>
      </c>
      <c r="E5505" s="3" t="s">
        <v>16</v>
      </c>
      <c r="F5505" s="5">
        <v>108</v>
      </c>
      <c r="G5505" s="5">
        <v>0</v>
      </c>
      <c r="H5505" s="6">
        <v>5754</v>
      </c>
      <c r="I5505" s="22">
        <v>0</v>
      </c>
      <c r="J5505" s="24">
        <f t="shared" si="255"/>
        <v>0</v>
      </c>
      <c r="K5505" s="25">
        <f t="shared" si="257"/>
        <v>1.0000000000000009</v>
      </c>
      <c r="L5505" s="27"/>
      <c r="M5505" s="28"/>
      <c r="N5505" s="28"/>
      <c r="O5505" s="20" t="s">
        <v>7530</v>
      </c>
      <c r="P5505" s="27" t="str">
        <f t="shared" si="256"/>
        <v>vermelho</v>
      </c>
    </row>
    <row r="5506" spans="1:16" ht="25.5">
      <c r="A5506" s="3" t="s">
        <v>4</v>
      </c>
      <c r="B5506" s="3" t="s">
        <v>4328</v>
      </c>
      <c r="C5506" s="4">
        <v>217</v>
      </c>
      <c r="D5506" s="3" t="s">
        <v>91</v>
      </c>
      <c r="E5506" s="3" t="s">
        <v>16</v>
      </c>
      <c r="F5506" s="5">
        <v>60</v>
      </c>
      <c r="G5506" s="5">
        <v>0</v>
      </c>
      <c r="H5506" s="6">
        <v>2878.44</v>
      </c>
      <c r="I5506" s="22">
        <v>0</v>
      </c>
      <c r="J5506" s="24">
        <f t="shared" si="255"/>
        <v>0</v>
      </c>
      <c r="K5506" s="25">
        <f t="shared" si="257"/>
        <v>1.0000000000000009</v>
      </c>
      <c r="L5506" s="27"/>
      <c r="M5506" s="28"/>
      <c r="N5506" s="28"/>
      <c r="O5506" s="20" t="s">
        <v>7530</v>
      </c>
      <c r="P5506" s="27" t="str">
        <f t="shared" si="256"/>
        <v>vermelho</v>
      </c>
    </row>
    <row r="5507" spans="1:16" ht="25.5">
      <c r="A5507" s="3" t="s">
        <v>4</v>
      </c>
      <c r="B5507" s="3" t="s">
        <v>4329</v>
      </c>
      <c r="C5507" s="4">
        <v>337</v>
      </c>
      <c r="D5507" s="3" t="s">
        <v>202</v>
      </c>
      <c r="E5507" s="3" t="s">
        <v>16</v>
      </c>
      <c r="F5507" s="5">
        <v>168</v>
      </c>
      <c r="G5507" s="5">
        <v>0</v>
      </c>
      <c r="H5507" s="6">
        <v>8048.4</v>
      </c>
      <c r="I5507" s="22">
        <v>0</v>
      </c>
      <c r="J5507" s="24">
        <f t="shared" ref="J5507:J5570" si="258">I5507/$I$6364</f>
        <v>0</v>
      </c>
      <c r="K5507" s="25">
        <f t="shared" si="257"/>
        <v>1.0000000000000009</v>
      </c>
      <c r="L5507" s="27"/>
      <c r="M5507" s="28"/>
      <c r="N5507" s="28"/>
      <c r="O5507" s="20" t="s">
        <v>7530</v>
      </c>
      <c r="P5507" s="27" t="str">
        <f t="shared" ref="P5507:P5570" si="259">IF(O5507&lt;=0,"vermelho",IFERROR(IF(O5507/I5507&lt;=0.5098,"amarelo",IF(O5507/I5507&lt;1,"laranja","verde")),"vermelho"))</f>
        <v>vermelho</v>
      </c>
    </row>
    <row r="5508" spans="1:16" ht="25.5">
      <c r="A5508" s="3" t="s">
        <v>4</v>
      </c>
      <c r="B5508" s="3" t="s">
        <v>4330</v>
      </c>
      <c r="C5508" s="4">
        <v>240</v>
      </c>
      <c r="D5508" s="3" t="s">
        <v>69</v>
      </c>
      <c r="E5508" s="3" t="s">
        <v>16</v>
      </c>
      <c r="F5508" s="5">
        <v>156</v>
      </c>
      <c r="G5508" s="5">
        <v>0</v>
      </c>
      <c r="H5508" s="6">
        <v>8626.68</v>
      </c>
      <c r="I5508" s="22">
        <v>0</v>
      </c>
      <c r="J5508" s="24">
        <f t="shared" si="258"/>
        <v>0</v>
      </c>
      <c r="K5508" s="25">
        <f t="shared" ref="K5508:K5571" si="260">J5508+K5507</f>
        <v>1.0000000000000009</v>
      </c>
      <c r="L5508" s="27"/>
      <c r="M5508" s="28"/>
      <c r="N5508" s="28"/>
      <c r="O5508" s="20" t="s">
        <v>7530</v>
      </c>
      <c r="P5508" s="27" t="str">
        <f t="shared" si="259"/>
        <v>vermelho</v>
      </c>
    </row>
    <row r="5509" spans="1:16">
      <c r="A5509" s="3" t="s">
        <v>4</v>
      </c>
      <c r="B5509" s="3" t="s">
        <v>4331</v>
      </c>
      <c r="C5509" s="4">
        <v>232</v>
      </c>
      <c r="D5509" s="3" t="s">
        <v>174</v>
      </c>
      <c r="E5509" s="3" t="s">
        <v>16</v>
      </c>
      <c r="F5509" s="5">
        <v>174</v>
      </c>
      <c r="G5509" s="5">
        <v>0</v>
      </c>
      <c r="H5509" s="6">
        <v>10734.18</v>
      </c>
      <c r="I5509" s="22">
        <v>0</v>
      </c>
      <c r="J5509" s="24">
        <f t="shared" si="258"/>
        <v>0</v>
      </c>
      <c r="K5509" s="25">
        <f t="shared" si="260"/>
        <v>1.0000000000000009</v>
      </c>
      <c r="L5509" s="27"/>
      <c r="M5509" s="28"/>
      <c r="N5509" s="28"/>
      <c r="O5509" s="20" t="s">
        <v>7530</v>
      </c>
      <c r="P5509" s="27" t="str">
        <f t="shared" si="259"/>
        <v>vermelho</v>
      </c>
    </row>
    <row r="5510" spans="1:16" ht="25.5">
      <c r="A5510" s="3" t="s">
        <v>4</v>
      </c>
      <c r="B5510" s="3" t="s">
        <v>4332</v>
      </c>
      <c r="C5510" s="4">
        <v>264</v>
      </c>
      <c r="D5510" s="3" t="s">
        <v>40</v>
      </c>
      <c r="E5510" s="3" t="s">
        <v>10</v>
      </c>
      <c r="F5510" s="5">
        <v>60</v>
      </c>
      <c r="G5510" s="5">
        <v>0</v>
      </c>
      <c r="H5510" s="6">
        <v>2715.24</v>
      </c>
      <c r="I5510" s="22">
        <v>0</v>
      </c>
      <c r="J5510" s="24">
        <f t="shared" si="258"/>
        <v>0</v>
      </c>
      <c r="K5510" s="25">
        <f t="shared" si="260"/>
        <v>1.0000000000000009</v>
      </c>
      <c r="L5510" s="27"/>
      <c r="M5510" s="28"/>
      <c r="N5510" s="28"/>
      <c r="O5510" s="20" t="s">
        <v>7530</v>
      </c>
      <c r="P5510" s="27" t="str">
        <f t="shared" si="259"/>
        <v>vermelho</v>
      </c>
    </row>
    <row r="5511" spans="1:16" ht="25.5">
      <c r="A5511" s="3" t="s">
        <v>4</v>
      </c>
      <c r="B5511" s="3" t="s">
        <v>4333</v>
      </c>
      <c r="C5511" s="4">
        <v>321</v>
      </c>
      <c r="D5511" s="3" t="s">
        <v>136</v>
      </c>
      <c r="E5511" s="3" t="s">
        <v>41</v>
      </c>
      <c r="F5511" s="5">
        <v>312</v>
      </c>
      <c r="G5511" s="5">
        <v>0</v>
      </c>
      <c r="H5511" s="6">
        <v>20612.64</v>
      </c>
      <c r="I5511" s="22">
        <v>0</v>
      </c>
      <c r="J5511" s="24">
        <f t="shared" si="258"/>
        <v>0</v>
      </c>
      <c r="K5511" s="25">
        <f t="shared" si="260"/>
        <v>1.0000000000000009</v>
      </c>
      <c r="L5511" s="27"/>
      <c r="M5511" s="28"/>
      <c r="N5511" s="28"/>
      <c r="O5511" s="20" t="s">
        <v>7530</v>
      </c>
      <c r="P5511" s="27" t="str">
        <f t="shared" si="259"/>
        <v>vermelho</v>
      </c>
    </row>
    <row r="5512" spans="1:16" ht="25.5">
      <c r="A5512" s="3" t="s">
        <v>4</v>
      </c>
      <c r="B5512" s="3" t="s">
        <v>4334</v>
      </c>
      <c r="C5512" s="4">
        <v>321</v>
      </c>
      <c r="D5512" s="3" t="s">
        <v>136</v>
      </c>
      <c r="E5512" s="3" t="s">
        <v>41</v>
      </c>
      <c r="F5512" s="5">
        <v>36</v>
      </c>
      <c r="G5512" s="5">
        <v>0</v>
      </c>
      <c r="H5512" s="6">
        <v>1958.04</v>
      </c>
      <c r="I5512" s="22">
        <v>0</v>
      </c>
      <c r="J5512" s="24">
        <f t="shared" si="258"/>
        <v>0</v>
      </c>
      <c r="K5512" s="25">
        <f t="shared" si="260"/>
        <v>1.0000000000000009</v>
      </c>
      <c r="L5512" s="27"/>
      <c r="M5512" s="28"/>
      <c r="N5512" s="28"/>
      <c r="O5512" s="20" t="s">
        <v>7530</v>
      </c>
      <c r="P5512" s="27" t="str">
        <f t="shared" si="259"/>
        <v>vermelho</v>
      </c>
    </row>
    <row r="5513" spans="1:16" ht="38.25">
      <c r="A5513" s="3" t="s">
        <v>4</v>
      </c>
      <c r="B5513" s="3" t="s">
        <v>4335</v>
      </c>
      <c r="C5513" s="4">
        <v>38</v>
      </c>
      <c r="D5513" s="3" t="s">
        <v>184</v>
      </c>
      <c r="E5513" s="3" t="s">
        <v>49</v>
      </c>
      <c r="F5513" s="5">
        <v>114</v>
      </c>
      <c r="G5513" s="5">
        <v>0</v>
      </c>
      <c r="H5513" s="6">
        <v>6491.94</v>
      </c>
      <c r="I5513" s="22">
        <v>0</v>
      </c>
      <c r="J5513" s="24">
        <f t="shared" si="258"/>
        <v>0</v>
      </c>
      <c r="K5513" s="25">
        <f t="shared" si="260"/>
        <v>1.0000000000000009</v>
      </c>
      <c r="L5513" s="27"/>
      <c r="M5513" s="28"/>
      <c r="N5513" s="28"/>
      <c r="O5513" s="20" t="s">
        <v>7530</v>
      </c>
      <c r="P5513" s="27" t="str">
        <f t="shared" si="259"/>
        <v>vermelho</v>
      </c>
    </row>
    <row r="5514" spans="1:16" ht="25.5">
      <c r="A5514" s="3" t="s">
        <v>4</v>
      </c>
      <c r="B5514" s="3" t="s">
        <v>4336</v>
      </c>
      <c r="C5514" s="4">
        <v>299</v>
      </c>
      <c r="D5514" s="3" t="s">
        <v>111</v>
      </c>
      <c r="E5514" s="3" t="s">
        <v>49</v>
      </c>
      <c r="F5514" s="5">
        <v>174</v>
      </c>
      <c r="G5514" s="5">
        <v>0</v>
      </c>
      <c r="H5514" s="6">
        <v>9628.2119999999995</v>
      </c>
      <c r="I5514" s="22">
        <v>0</v>
      </c>
      <c r="J5514" s="24">
        <f t="shared" si="258"/>
        <v>0</v>
      </c>
      <c r="K5514" s="25">
        <f t="shared" si="260"/>
        <v>1.0000000000000009</v>
      </c>
      <c r="L5514" s="27"/>
      <c r="M5514" s="28"/>
      <c r="N5514" s="28"/>
      <c r="O5514" s="20" t="s">
        <v>7530</v>
      </c>
      <c r="P5514" s="27" t="str">
        <f t="shared" si="259"/>
        <v>vermelho</v>
      </c>
    </row>
    <row r="5515" spans="1:16">
      <c r="A5515" s="3" t="s">
        <v>4</v>
      </c>
      <c r="B5515" s="3" t="s">
        <v>4337</v>
      </c>
      <c r="C5515" s="4">
        <v>334</v>
      </c>
      <c r="D5515" s="3" t="s">
        <v>531</v>
      </c>
      <c r="E5515" s="3" t="s">
        <v>7</v>
      </c>
      <c r="F5515" s="5">
        <v>15</v>
      </c>
      <c r="G5515" s="5">
        <v>0</v>
      </c>
      <c r="H5515" s="6">
        <v>405</v>
      </c>
      <c r="I5515" s="22">
        <v>0</v>
      </c>
      <c r="J5515" s="24">
        <f t="shared" si="258"/>
        <v>0</v>
      </c>
      <c r="K5515" s="25">
        <f t="shared" si="260"/>
        <v>1.0000000000000009</v>
      </c>
      <c r="L5515" s="27"/>
      <c r="M5515" s="28"/>
      <c r="N5515" s="28"/>
      <c r="O5515" s="20" t="s">
        <v>7530</v>
      </c>
      <c r="P5515" s="27" t="str">
        <f t="shared" si="259"/>
        <v>vermelho</v>
      </c>
    </row>
    <row r="5516" spans="1:16">
      <c r="A5516" s="3" t="s">
        <v>4</v>
      </c>
      <c r="B5516" s="3" t="s">
        <v>4338</v>
      </c>
      <c r="C5516" s="4">
        <v>217</v>
      </c>
      <c r="D5516" s="3" t="s">
        <v>91</v>
      </c>
      <c r="E5516" s="3" t="s">
        <v>16</v>
      </c>
      <c r="F5516" s="5">
        <v>240</v>
      </c>
      <c r="G5516" s="5">
        <v>0</v>
      </c>
      <c r="H5516" s="6">
        <v>15690</v>
      </c>
      <c r="I5516" s="22">
        <v>0</v>
      </c>
      <c r="J5516" s="24">
        <f t="shared" si="258"/>
        <v>0</v>
      </c>
      <c r="K5516" s="25">
        <f t="shared" si="260"/>
        <v>1.0000000000000009</v>
      </c>
      <c r="L5516" s="27"/>
      <c r="M5516" s="28"/>
      <c r="N5516" s="28"/>
      <c r="O5516" s="20" t="s">
        <v>7530</v>
      </c>
      <c r="P5516" s="27" t="str">
        <f t="shared" si="259"/>
        <v>vermelho</v>
      </c>
    </row>
    <row r="5517" spans="1:16" ht="38.25">
      <c r="A5517" s="3" t="s">
        <v>4</v>
      </c>
      <c r="B5517" s="3" t="s">
        <v>4339</v>
      </c>
      <c r="C5517" s="4">
        <v>292</v>
      </c>
      <c r="D5517" s="3" t="s">
        <v>57</v>
      </c>
      <c r="E5517" s="3" t="s">
        <v>49</v>
      </c>
      <c r="F5517" s="5">
        <v>156</v>
      </c>
      <c r="G5517" s="5">
        <v>0</v>
      </c>
      <c r="H5517" s="6">
        <v>7456.44</v>
      </c>
      <c r="I5517" s="22">
        <v>0</v>
      </c>
      <c r="J5517" s="24">
        <f t="shared" si="258"/>
        <v>0</v>
      </c>
      <c r="K5517" s="25">
        <f t="shared" si="260"/>
        <v>1.0000000000000009</v>
      </c>
      <c r="L5517" s="27"/>
      <c r="M5517" s="28"/>
      <c r="N5517" s="28"/>
      <c r="O5517" s="20" t="s">
        <v>7530</v>
      </c>
      <c r="P5517" s="27" t="str">
        <f t="shared" si="259"/>
        <v>vermelho</v>
      </c>
    </row>
    <row r="5518" spans="1:16" ht="25.5">
      <c r="A5518" s="3" t="s">
        <v>4</v>
      </c>
      <c r="B5518" s="3" t="s">
        <v>4340</v>
      </c>
      <c r="C5518" s="4">
        <v>194</v>
      </c>
      <c r="D5518" s="3" t="s">
        <v>145</v>
      </c>
      <c r="E5518" s="3" t="s">
        <v>16</v>
      </c>
      <c r="F5518" s="5">
        <v>72</v>
      </c>
      <c r="G5518" s="5">
        <v>0</v>
      </c>
      <c r="H5518" s="6">
        <v>3216.24</v>
      </c>
      <c r="I5518" s="22">
        <v>0</v>
      </c>
      <c r="J5518" s="24">
        <f t="shared" si="258"/>
        <v>0</v>
      </c>
      <c r="K5518" s="25">
        <f t="shared" si="260"/>
        <v>1.0000000000000009</v>
      </c>
      <c r="L5518" s="27"/>
      <c r="M5518" s="28"/>
      <c r="N5518" s="28"/>
      <c r="O5518" s="20" t="s">
        <v>7530</v>
      </c>
      <c r="P5518" s="27" t="str">
        <f t="shared" si="259"/>
        <v>vermelho</v>
      </c>
    </row>
    <row r="5519" spans="1:16" ht="38.25">
      <c r="A5519" s="3" t="s">
        <v>4</v>
      </c>
      <c r="B5519" s="3" t="s">
        <v>4341</v>
      </c>
      <c r="C5519" s="4">
        <v>45</v>
      </c>
      <c r="D5519" s="3" t="s">
        <v>23</v>
      </c>
      <c r="E5519" s="3" t="s">
        <v>7</v>
      </c>
      <c r="F5519" s="5">
        <v>108</v>
      </c>
      <c r="G5519" s="5">
        <v>0</v>
      </c>
      <c r="H5519" s="6">
        <v>6685.38</v>
      </c>
      <c r="I5519" s="22">
        <v>0</v>
      </c>
      <c r="J5519" s="24">
        <f t="shared" si="258"/>
        <v>0</v>
      </c>
      <c r="K5519" s="25">
        <f t="shared" si="260"/>
        <v>1.0000000000000009</v>
      </c>
      <c r="L5519" s="27"/>
      <c r="M5519" s="28"/>
      <c r="N5519" s="28"/>
      <c r="O5519" s="20" t="s">
        <v>7530</v>
      </c>
      <c r="P5519" s="27" t="str">
        <f t="shared" si="259"/>
        <v>vermelho</v>
      </c>
    </row>
    <row r="5520" spans="1:16" ht="25.5">
      <c r="A5520" s="3" t="s">
        <v>4</v>
      </c>
      <c r="B5520" s="3" t="s">
        <v>4342</v>
      </c>
      <c r="C5520" s="4">
        <v>53</v>
      </c>
      <c r="D5520" s="3" t="s">
        <v>34</v>
      </c>
      <c r="E5520" s="3" t="s">
        <v>16</v>
      </c>
      <c r="F5520" s="5">
        <v>144</v>
      </c>
      <c r="G5520" s="5">
        <v>0</v>
      </c>
      <c r="H5520" s="6">
        <v>7207.32</v>
      </c>
      <c r="I5520" s="22">
        <v>0</v>
      </c>
      <c r="J5520" s="24">
        <f t="shared" si="258"/>
        <v>0</v>
      </c>
      <c r="K5520" s="25">
        <f t="shared" si="260"/>
        <v>1.0000000000000009</v>
      </c>
      <c r="L5520" s="27"/>
      <c r="M5520" s="28"/>
      <c r="N5520" s="28"/>
      <c r="O5520" s="20" t="s">
        <v>7530</v>
      </c>
      <c r="P5520" s="27" t="str">
        <f t="shared" si="259"/>
        <v>vermelho</v>
      </c>
    </row>
    <row r="5521" spans="1:16" ht="25.5">
      <c r="A5521" s="3" t="s">
        <v>4</v>
      </c>
      <c r="B5521" s="3" t="s">
        <v>4343</v>
      </c>
      <c r="C5521" s="4">
        <v>320</v>
      </c>
      <c r="D5521" s="3" t="s">
        <v>218</v>
      </c>
      <c r="E5521" s="3" t="s">
        <v>49</v>
      </c>
      <c r="F5521" s="5">
        <v>234</v>
      </c>
      <c r="G5521" s="5">
        <v>0</v>
      </c>
      <c r="H5521" s="6">
        <v>10508.13</v>
      </c>
      <c r="I5521" s="22">
        <v>0</v>
      </c>
      <c r="J5521" s="24">
        <f t="shared" si="258"/>
        <v>0</v>
      </c>
      <c r="K5521" s="25">
        <f t="shared" si="260"/>
        <v>1.0000000000000009</v>
      </c>
      <c r="L5521" s="27"/>
      <c r="M5521" s="28"/>
      <c r="N5521" s="28"/>
      <c r="O5521" s="20" t="s">
        <v>7530</v>
      </c>
      <c r="P5521" s="27" t="str">
        <f t="shared" si="259"/>
        <v>vermelho</v>
      </c>
    </row>
    <row r="5522" spans="1:16" ht="25.5">
      <c r="A5522" s="3" t="s">
        <v>4</v>
      </c>
      <c r="B5522" s="3" t="s">
        <v>4344</v>
      </c>
      <c r="C5522" s="4">
        <v>296</v>
      </c>
      <c r="D5522" s="3" t="s">
        <v>282</v>
      </c>
      <c r="E5522" s="3" t="s">
        <v>10</v>
      </c>
      <c r="F5522" s="5">
        <v>84</v>
      </c>
      <c r="G5522" s="5">
        <v>0</v>
      </c>
      <c r="H5522" s="6">
        <v>2640</v>
      </c>
      <c r="I5522" s="22">
        <v>0</v>
      </c>
      <c r="J5522" s="24">
        <f t="shared" si="258"/>
        <v>0</v>
      </c>
      <c r="K5522" s="25">
        <f t="shared" si="260"/>
        <v>1.0000000000000009</v>
      </c>
      <c r="L5522" s="27"/>
      <c r="M5522" s="28"/>
      <c r="N5522" s="28"/>
      <c r="O5522" s="20" t="s">
        <v>7530</v>
      </c>
      <c r="P5522" s="27" t="str">
        <f t="shared" si="259"/>
        <v>vermelho</v>
      </c>
    </row>
    <row r="5523" spans="1:16" ht="25.5">
      <c r="A5523" s="3" t="s">
        <v>4</v>
      </c>
      <c r="B5523" s="3" t="s">
        <v>4345</v>
      </c>
      <c r="C5523" s="4">
        <v>217</v>
      </c>
      <c r="D5523" s="3" t="s">
        <v>91</v>
      </c>
      <c r="E5523" s="3" t="s">
        <v>16</v>
      </c>
      <c r="F5523" s="5">
        <v>63</v>
      </c>
      <c r="G5523" s="5">
        <v>0</v>
      </c>
      <c r="H5523" s="6">
        <v>3365.37</v>
      </c>
      <c r="I5523" s="22">
        <v>0</v>
      </c>
      <c r="J5523" s="24">
        <f t="shared" si="258"/>
        <v>0</v>
      </c>
      <c r="K5523" s="25">
        <f t="shared" si="260"/>
        <v>1.0000000000000009</v>
      </c>
      <c r="L5523" s="27"/>
      <c r="M5523" s="28"/>
      <c r="N5523" s="28"/>
      <c r="O5523" s="20" t="s">
        <v>7530</v>
      </c>
      <c r="P5523" s="27" t="str">
        <f t="shared" si="259"/>
        <v>vermelho</v>
      </c>
    </row>
    <row r="5524" spans="1:16" ht="25.5">
      <c r="A5524" s="3" t="s">
        <v>4</v>
      </c>
      <c r="B5524" s="3" t="s">
        <v>4346</v>
      </c>
      <c r="C5524" s="4">
        <v>320</v>
      </c>
      <c r="D5524" s="3" t="s">
        <v>218</v>
      </c>
      <c r="E5524" s="3" t="s">
        <v>49</v>
      </c>
      <c r="F5524" s="5">
        <v>309</v>
      </c>
      <c r="G5524" s="5">
        <v>0</v>
      </c>
      <c r="H5524" s="6">
        <v>16223.82</v>
      </c>
      <c r="I5524" s="22">
        <v>0</v>
      </c>
      <c r="J5524" s="24">
        <f t="shared" si="258"/>
        <v>0</v>
      </c>
      <c r="K5524" s="25">
        <f t="shared" si="260"/>
        <v>1.0000000000000009</v>
      </c>
      <c r="L5524" s="27"/>
      <c r="M5524" s="28"/>
      <c r="N5524" s="28"/>
      <c r="O5524" s="20" t="s">
        <v>7530</v>
      </c>
      <c r="P5524" s="27" t="str">
        <f t="shared" si="259"/>
        <v>vermelho</v>
      </c>
    </row>
    <row r="5525" spans="1:16" ht="25.5">
      <c r="A5525" s="3" t="s">
        <v>4</v>
      </c>
      <c r="B5525" s="3" t="s">
        <v>4347</v>
      </c>
      <c r="C5525" s="4">
        <v>218</v>
      </c>
      <c r="D5525" s="3" t="s">
        <v>104</v>
      </c>
      <c r="E5525" s="3" t="s">
        <v>16</v>
      </c>
      <c r="F5525" s="5">
        <v>288</v>
      </c>
      <c r="G5525" s="5">
        <v>0</v>
      </c>
      <c r="H5525" s="6">
        <v>13936.2</v>
      </c>
      <c r="I5525" s="22">
        <v>0</v>
      </c>
      <c r="J5525" s="24">
        <f t="shared" si="258"/>
        <v>0</v>
      </c>
      <c r="K5525" s="25">
        <f t="shared" si="260"/>
        <v>1.0000000000000009</v>
      </c>
      <c r="L5525" s="27"/>
      <c r="M5525" s="28"/>
      <c r="N5525" s="28"/>
      <c r="O5525" s="20">
        <v>9270.84</v>
      </c>
      <c r="P5525" s="27" t="str">
        <f t="shared" si="259"/>
        <v>vermelho</v>
      </c>
    </row>
    <row r="5526" spans="1:16" ht="25.5">
      <c r="A5526" s="3" t="s">
        <v>4</v>
      </c>
      <c r="B5526" s="3" t="s">
        <v>4348</v>
      </c>
      <c r="C5526" s="4">
        <v>197</v>
      </c>
      <c r="D5526" s="3" t="s">
        <v>66</v>
      </c>
      <c r="E5526" s="3" t="s">
        <v>41</v>
      </c>
      <c r="F5526" s="5">
        <v>36</v>
      </c>
      <c r="G5526" s="5">
        <v>0</v>
      </c>
      <c r="H5526" s="6">
        <v>1361.88</v>
      </c>
      <c r="I5526" s="22">
        <v>0</v>
      </c>
      <c r="J5526" s="24">
        <f t="shared" si="258"/>
        <v>0</v>
      </c>
      <c r="K5526" s="25">
        <f t="shared" si="260"/>
        <v>1.0000000000000009</v>
      </c>
      <c r="L5526" s="27"/>
      <c r="M5526" s="28"/>
      <c r="N5526" s="28"/>
      <c r="O5526" s="20" t="s">
        <v>7530</v>
      </c>
      <c r="P5526" s="27" t="str">
        <f t="shared" si="259"/>
        <v>vermelho</v>
      </c>
    </row>
    <row r="5527" spans="1:16" ht="25.5">
      <c r="A5527" s="3" t="s">
        <v>4</v>
      </c>
      <c r="B5527" s="3" t="s">
        <v>4349</v>
      </c>
      <c r="C5527" s="4">
        <v>74</v>
      </c>
      <c r="D5527" s="3" t="s">
        <v>6</v>
      </c>
      <c r="E5527" s="3" t="s">
        <v>7</v>
      </c>
      <c r="F5527" s="5">
        <v>156</v>
      </c>
      <c r="G5527" s="5">
        <v>0</v>
      </c>
      <c r="H5527" s="6">
        <v>7583.04</v>
      </c>
      <c r="I5527" s="22">
        <v>0</v>
      </c>
      <c r="J5527" s="24">
        <f t="shared" si="258"/>
        <v>0</v>
      </c>
      <c r="K5527" s="25">
        <f t="shared" si="260"/>
        <v>1.0000000000000009</v>
      </c>
      <c r="L5527" s="27"/>
      <c r="M5527" s="28"/>
      <c r="N5527" s="28"/>
      <c r="O5527" s="20" t="s">
        <v>7530</v>
      </c>
      <c r="P5527" s="27" t="str">
        <f t="shared" si="259"/>
        <v>vermelho</v>
      </c>
    </row>
    <row r="5528" spans="1:16" ht="25.5">
      <c r="A5528" s="3" t="s">
        <v>4</v>
      </c>
      <c r="B5528" s="3" t="s">
        <v>4350</v>
      </c>
      <c r="C5528" s="4">
        <v>194</v>
      </c>
      <c r="D5528" s="3" t="s">
        <v>145</v>
      </c>
      <c r="E5528" s="3" t="s">
        <v>16</v>
      </c>
      <c r="F5528" s="5">
        <v>174</v>
      </c>
      <c r="G5528" s="5">
        <v>0</v>
      </c>
      <c r="H5528" s="6">
        <v>10523.7</v>
      </c>
      <c r="I5528" s="22">
        <v>0</v>
      </c>
      <c r="J5528" s="24">
        <f t="shared" si="258"/>
        <v>0</v>
      </c>
      <c r="K5528" s="25">
        <f t="shared" si="260"/>
        <v>1.0000000000000009</v>
      </c>
      <c r="L5528" s="27"/>
      <c r="M5528" s="28"/>
      <c r="N5528" s="28"/>
      <c r="O5528" s="20" t="s">
        <v>7530</v>
      </c>
      <c r="P5528" s="27" t="str">
        <f t="shared" si="259"/>
        <v>vermelho</v>
      </c>
    </row>
    <row r="5529" spans="1:16" ht="38.25">
      <c r="A5529" s="3" t="s">
        <v>4</v>
      </c>
      <c r="B5529" s="3" t="s">
        <v>4351</v>
      </c>
      <c r="C5529" s="4">
        <v>34</v>
      </c>
      <c r="D5529" s="3" t="s">
        <v>54</v>
      </c>
      <c r="E5529" s="3" t="s">
        <v>49</v>
      </c>
      <c r="F5529" s="5">
        <v>156</v>
      </c>
      <c r="G5529" s="5">
        <v>0</v>
      </c>
      <c r="H5529" s="6">
        <v>9466.44</v>
      </c>
      <c r="I5529" s="22">
        <v>0</v>
      </c>
      <c r="J5529" s="24">
        <f t="shared" si="258"/>
        <v>0</v>
      </c>
      <c r="K5529" s="25">
        <f t="shared" si="260"/>
        <v>1.0000000000000009</v>
      </c>
      <c r="L5529" s="27"/>
      <c r="M5529" s="28"/>
      <c r="N5529" s="28"/>
      <c r="O5529" s="20" t="s">
        <v>7530</v>
      </c>
      <c r="P5529" s="27" t="str">
        <f t="shared" si="259"/>
        <v>vermelho</v>
      </c>
    </row>
    <row r="5530" spans="1:16">
      <c r="A5530" s="3" t="s">
        <v>4</v>
      </c>
      <c r="B5530" s="3" t="s">
        <v>4352</v>
      </c>
      <c r="C5530" s="4">
        <v>167</v>
      </c>
      <c r="D5530" s="3" t="s">
        <v>251</v>
      </c>
      <c r="E5530" s="3" t="s">
        <v>49</v>
      </c>
      <c r="F5530" s="5">
        <v>138</v>
      </c>
      <c r="G5530" s="5">
        <v>0</v>
      </c>
      <c r="H5530" s="6">
        <v>8557.6200000000008</v>
      </c>
      <c r="I5530" s="22">
        <v>0</v>
      </c>
      <c r="J5530" s="24">
        <f t="shared" si="258"/>
        <v>0</v>
      </c>
      <c r="K5530" s="25">
        <f t="shared" si="260"/>
        <v>1.0000000000000009</v>
      </c>
      <c r="L5530" s="27"/>
      <c r="M5530" s="28"/>
      <c r="N5530" s="28"/>
      <c r="O5530" s="20" t="s">
        <v>7530</v>
      </c>
      <c r="P5530" s="27" t="str">
        <f t="shared" si="259"/>
        <v>vermelho</v>
      </c>
    </row>
    <row r="5531" spans="1:16" ht="25.5">
      <c r="A5531" s="3" t="s">
        <v>4</v>
      </c>
      <c r="B5531" s="3" t="s">
        <v>4353</v>
      </c>
      <c r="C5531" s="4">
        <v>261</v>
      </c>
      <c r="D5531" s="3" t="s">
        <v>9</v>
      </c>
      <c r="E5531" s="3" t="s">
        <v>10</v>
      </c>
      <c r="F5531" s="5">
        <v>30</v>
      </c>
      <c r="G5531" s="5">
        <v>0</v>
      </c>
      <c r="H5531" s="6">
        <v>1748.1</v>
      </c>
      <c r="I5531" s="22">
        <v>0</v>
      </c>
      <c r="J5531" s="24">
        <f t="shared" si="258"/>
        <v>0</v>
      </c>
      <c r="K5531" s="25">
        <f t="shared" si="260"/>
        <v>1.0000000000000009</v>
      </c>
      <c r="L5531" s="27"/>
      <c r="M5531" s="28"/>
      <c r="N5531" s="28"/>
      <c r="O5531" s="20" t="s">
        <v>7530</v>
      </c>
      <c r="P5531" s="27" t="str">
        <f t="shared" si="259"/>
        <v>vermelho</v>
      </c>
    </row>
    <row r="5532" spans="1:16">
      <c r="A5532" s="3" t="s">
        <v>4</v>
      </c>
      <c r="B5532" s="3" t="s">
        <v>4354</v>
      </c>
      <c r="C5532" s="4">
        <v>167</v>
      </c>
      <c r="D5532" s="3" t="s">
        <v>251</v>
      </c>
      <c r="E5532" s="3" t="s">
        <v>49</v>
      </c>
      <c r="F5532" s="5">
        <v>126</v>
      </c>
      <c r="G5532" s="5">
        <v>0</v>
      </c>
      <c r="H5532" s="6">
        <v>7710.96</v>
      </c>
      <c r="I5532" s="22">
        <v>0</v>
      </c>
      <c r="J5532" s="24">
        <f t="shared" si="258"/>
        <v>0</v>
      </c>
      <c r="K5532" s="25">
        <f t="shared" si="260"/>
        <v>1.0000000000000009</v>
      </c>
      <c r="L5532" s="27"/>
      <c r="M5532" s="28"/>
      <c r="N5532" s="28"/>
      <c r="O5532" s="20" t="s">
        <v>7530</v>
      </c>
      <c r="P5532" s="27" t="str">
        <f t="shared" si="259"/>
        <v>vermelho</v>
      </c>
    </row>
    <row r="5533" spans="1:16" ht="38.25">
      <c r="A5533" s="3" t="s">
        <v>4</v>
      </c>
      <c r="B5533" s="3" t="s">
        <v>4355</v>
      </c>
      <c r="C5533" s="4">
        <v>371</v>
      </c>
      <c r="D5533" s="3" t="s">
        <v>82</v>
      </c>
      <c r="E5533" s="3" t="s">
        <v>49</v>
      </c>
      <c r="F5533" s="5">
        <v>168</v>
      </c>
      <c r="G5533" s="5">
        <v>0</v>
      </c>
      <c r="H5533" s="6">
        <v>7738.32</v>
      </c>
      <c r="I5533" s="22">
        <v>0</v>
      </c>
      <c r="J5533" s="24">
        <f t="shared" si="258"/>
        <v>0</v>
      </c>
      <c r="K5533" s="25">
        <f t="shared" si="260"/>
        <v>1.0000000000000009</v>
      </c>
      <c r="L5533" s="27"/>
      <c r="M5533" s="28"/>
      <c r="N5533" s="28"/>
      <c r="O5533" s="20" t="s">
        <v>7530</v>
      </c>
      <c r="P5533" s="27" t="str">
        <f t="shared" si="259"/>
        <v>vermelho</v>
      </c>
    </row>
    <row r="5534" spans="1:16" ht="38.25">
      <c r="A5534" s="3" t="s">
        <v>4</v>
      </c>
      <c r="B5534" s="3" t="s">
        <v>4356</v>
      </c>
      <c r="C5534" s="4">
        <v>301</v>
      </c>
      <c r="D5534" s="3" t="s">
        <v>519</v>
      </c>
      <c r="E5534" s="3" t="s">
        <v>16</v>
      </c>
      <c r="F5534" s="5">
        <v>216</v>
      </c>
      <c r="G5534" s="5">
        <v>0</v>
      </c>
      <c r="H5534" s="6">
        <v>9751.92</v>
      </c>
      <c r="I5534" s="22">
        <v>0</v>
      </c>
      <c r="J5534" s="24">
        <f t="shared" si="258"/>
        <v>0</v>
      </c>
      <c r="K5534" s="25">
        <f t="shared" si="260"/>
        <v>1.0000000000000009</v>
      </c>
      <c r="L5534" s="27"/>
      <c r="M5534" s="28"/>
      <c r="N5534" s="28"/>
      <c r="O5534" s="20" t="s">
        <v>7530</v>
      </c>
      <c r="P5534" s="27" t="str">
        <f t="shared" si="259"/>
        <v>vermelho</v>
      </c>
    </row>
    <row r="5535" spans="1:16" ht="25.5">
      <c r="A5535" s="3" t="s">
        <v>4</v>
      </c>
      <c r="B5535" s="3" t="s">
        <v>4357</v>
      </c>
      <c r="C5535" s="4">
        <v>317</v>
      </c>
      <c r="D5535" s="3" t="s">
        <v>78</v>
      </c>
      <c r="E5535" s="3" t="s">
        <v>10</v>
      </c>
      <c r="F5535" s="5">
        <v>94</v>
      </c>
      <c r="G5535" s="5">
        <v>0</v>
      </c>
      <c r="H5535" s="6">
        <v>5116.1000000000004</v>
      </c>
      <c r="I5535" s="22">
        <v>0</v>
      </c>
      <c r="J5535" s="24">
        <f t="shared" si="258"/>
        <v>0</v>
      </c>
      <c r="K5535" s="25">
        <f t="shared" si="260"/>
        <v>1.0000000000000009</v>
      </c>
      <c r="L5535" s="27"/>
      <c r="M5535" s="28"/>
      <c r="N5535" s="28"/>
      <c r="O5535" s="20" t="s">
        <v>7530</v>
      </c>
      <c r="P5535" s="27" t="str">
        <f t="shared" si="259"/>
        <v>vermelho</v>
      </c>
    </row>
    <row r="5536" spans="1:16" ht="25.5">
      <c r="A5536" s="3" t="s">
        <v>4</v>
      </c>
      <c r="B5536" s="3" t="s">
        <v>4358</v>
      </c>
      <c r="C5536" s="4">
        <v>317</v>
      </c>
      <c r="D5536" s="3" t="s">
        <v>78</v>
      </c>
      <c r="E5536" s="3" t="s">
        <v>10</v>
      </c>
      <c r="F5536" s="5">
        <v>216</v>
      </c>
      <c r="G5536" s="5">
        <v>0</v>
      </c>
      <c r="H5536" s="6">
        <v>12662.34</v>
      </c>
      <c r="I5536" s="22">
        <v>0</v>
      </c>
      <c r="J5536" s="24">
        <f t="shared" si="258"/>
        <v>0</v>
      </c>
      <c r="K5536" s="25">
        <f t="shared" si="260"/>
        <v>1.0000000000000009</v>
      </c>
      <c r="L5536" s="27"/>
      <c r="M5536" s="28"/>
      <c r="N5536" s="28"/>
      <c r="O5536" s="20" t="s">
        <v>7530</v>
      </c>
      <c r="P5536" s="27" t="str">
        <f t="shared" si="259"/>
        <v>vermelho</v>
      </c>
    </row>
    <row r="5537" spans="1:16" ht="25.5">
      <c r="A5537" s="3" t="s">
        <v>4</v>
      </c>
      <c r="B5537" s="3" t="s">
        <v>4359</v>
      </c>
      <c r="C5537" s="4">
        <v>232</v>
      </c>
      <c r="D5537" s="3" t="s">
        <v>174</v>
      </c>
      <c r="E5537" s="3" t="s">
        <v>16</v>
      </c>
      <c r="F5537" s="5">
        <v>60</v>
      </c>
      <c r="G5537" s="5">
        <v>0</v>
      </c>
      <c r="H5537" s="6">
        <v>2692.2</v>
      </c>
      <c r="I5537" s="22">
        <v>0</v>
      </c>
      <c r="J5537" s="24">
        <f t="shared" si="258"/>
        <v>0</v>
      </c>
      <c r="K5537" s="25">
        <f t="shared" si="260"/>
        <v>1.0000000000000009</v>
      </c>
      <c r="L5537" s="27"/>
      <c r="M5537" s="28"/>
      <c r="N5537" s="28"/>
      <c r="O5537" s="20">
        <v>4029.84</v>
      </c>
      <c r="P5537" s="27" t="str">
        <f t="shared" si="259"/>
        <v>vermelho</v>
      </c>
    </row>
    <row r="5538" spans="1:16" ht="25.5">
      <c r="A5538" s="3" t="s">
        <v>4</v>
      </c>
      <c r="B5538" s="3" t="s">
        <v>4360</v>
      </c>
      <c r="C5538" s="4">
        <v>273</v>
      </c>
      <c r="D5538" s="3" t="s">
        <v>149</v>
      </c>
      <c r="E5538" s="3" t="s">
        <v>16</v>
      </c>
      <c r="F5538" s="5">
        <v>243</v>
      </c>
      <c r="G5538" s="5">
        <v>0</v>
      </c>
      <c r="H5538" s="6">
        <v>13188.42</v>
      </c>
      <c r="I5538" s="22">
        <v>0</v>
      </c>
      <c r="J5538" s="24">
        <f t="shared" si="258"/>
        <v>0</v>
      </c>
      <c r="K5538" s="25">
        <f t="shared" si="260"/>
        <v>1.0000000000000009</v>
      </c>
      <c r="L5538" s="27"/>
      <c r="M5538" s="28"/>
      <c r="N5538" s="28"/>
      <c r="O5538" s="20" t="s">
        <v>7530</v>
      </c>
      <c r="P5538" s="27" t="str">
        <f t="shared" si="259"/>
        <v>vermelho</v>
      </c>
    </row>
    <row r="5539" spans="1:16" ht="25.5">
      <c r="A5539" s="3" t="s">
        <v>4</v>
      </c>
      <c r="B5539" s="3" t="s">
        <v>4361</v>
      </c>
      <c r="C5539" s="4">
        <v>232</v>
      </c>
      <c r="D5539" s="3" t="s">
        <v>174</v>
      </c>
      <c r="E5539" s="3" t="s">
        <v>16</v>
      </c>
      <c r="F5539" s="5">
        <v>204</v>
      </c>
      <c r="G5539" s="5">
        <v>0</v>
      </c>
      <c r="H5539" s="6">
        <v>11886.06</v>
      </c>
      <c r="I5539" s="22">
        <v>0</v>
      </c>
      <c r="J5539" s="24">
        <f t="shared" si="258"/>
        <v>0</v>
      </c>
      <c r="K5539" s="25">
        <f t="shared" si="260"/>
        <v>1.0000000000000009</v>
      </c>
      <c r="L5539" s="27"/>
      <c r="M5539" s="28"/>
      <c r="N5539" s="28"/>
      <c r="O5539" s="20" t="s">
        <v>7530</v>
      </c>
      <c r="P5539" s="27" t="str">
        <f t="shared" si="259"/>
        <v>vermelho</v>
      </c>
    </row>
    <row r="5540" spans="1:16" ht="25.5">
      <c r="A5540" s="3" t="s">
        <v>4</v>
      </c>
      <c r="B5540" s="3" t="s">
        <v>4362</v>
      </c>
      <c r="C5540" s="4">
        <v>194</v>
      </c>
      <c r="D5540" s="3" t="s">
        <v>145</v>
      </c>
      <c r="E5540" s="3" t="s">
        <v>16</v>
      </c>
      <c r="F5540" s="5">
        <v>72</v>
      </c>
      <c r="G5540" s="5">
        <v>0</v>
      </c>
      <c r="H5540" s="6">
        <v>3216.24</v>
      </c>
      <c r="I5540" s="22">
        <v>0</v>
      </c>
      <c r="J5540" s="24">
        <f t="shared" si="258"/>
        <v>0</v>
      </c>
      <c r="K5540" s="25">
        <f t="shared" si="260"/>
        <v>1.0000000000000009</v>
      </c>
      <c r="L5540" s="27"/>
      <c r="M5540" s="28"/>
      <c r="N5540" s="28"/>
      <c r="O5540" s="20" t="s">
        <v>7530</v>
      </c>
      <c r="P5540" s="27" t="str">
        <f t="shared" si="259"/>
        <v>vermelho</v>
      </c>
    </row>
    <row r="5541" spans="1:16" ht="25.5">
      <c r="A5541" s="3" t="s">
        <v>4</v>
      </c>
      <c r="B5541" s="3" t="s">
        <v>4363</v>
      </c>
      <c r="C5541" s="4">
        <v>337</v>
      </c>
      <c r="D5541" s="3" t="s">
        <v>202</v>
      </c>
      <c r="E5541" s="3" t="s">
        <v>16</v>
      </c>
      <c r="F5541" s="5">
        <v>63</v>
      </c>
      <c r="G5541" s="5">
        <v>0</v>
      </c>
      <c r="H5541" s="6">
        <v>3311.91</v>
      </c>
      <c r="I5541" s="22">
        <v>0</v>
      </c>
      <c r="J5541" s="24">
        <f t="shared" si="258"/>
        <v>0</v>
      </c>
      <c r="K5541" s="25">
        <f t="shared" si="260"/>
        <v>1.0000000000000009</v>
      </c>
      <c r="L5541" s="27"/>
      <c r="M5541" s="28"/>
      <c r="N5541" s="28"/>
      <c r="O5541" s="20" t="s">
        <v>7530</v>
      </c>
      <c r="P5541" s="27" t="str">
        <f t="shared" si="259"/>
        <v>vermelho</v>
      </c>
    </row>
    <row r="5542" spans="1:16">
      <c r="A5542" s="3" t="s">
        <v>4</v>
      </c>
      <c r="B5542" s="3" t="s">
        <v>4364</v>
      </c>
      <c r="C5542" s="4">
        <v>232</v>
      </c>
      <c r="D5542" s="3" t="s">
        <v>174</v>
      </c>
      <c r="E5542" s="3" t="s">
        <v>16</v>
      </c>
      <c r="F5542" s="5">
        <v>216</v>
      </c>
      <c r="G5542" s="5">
        <v>0</v>
      </c>
      <c r="H5542" s="6">
        <v>10811.88</v>
      </c>
      <c r="I5542" s="22">
        <v>0</v>
      </c>
      <c r="J5542" s="24">
        <f t="shared" si="258"/>
        <v>0</v>
      </c>
      <c r="K5542" s="25">
        <f t="shared" si="260"/>
        <v>1.0000000000000009</v>
      </c>
      <c r="L5542" s="27"/>
      <c r="M5542" s="28"/>
      <c r="N5542" s="28"/>
      <c r="O5542" s="20" t="s">
        <v>7530</v>
      </c>
      <c r="P5542" s="27" t="str">
        <f t="shared" si="259"/>
        <v>vermelho</v>
      </c>
    </row>
    <row r="5543" spans="1:16" ht="25.5">
      <c r="A5543" s="3" t="s">
        <v>4</v>
      </c>
      <c r="B5543" s="3" t="s">
        <v>4365</v>
      </c>
      <c r="C5543" s="4">
        <v>317</v>
      </c>
      <c r="D5543" s="3" t="s">
        <v>78</v>
      </c>
      <c r="E5543" s="3" t="s">
        <v>10</v>
      </c>
      <c r="F5543" s="5">
        <v>150</v>
      </c>
      <c r="G5543" s="5">
        <v>0</v>
      </c>
      <c r="H5543" s="6">
        <v>9628.83</v>
      </c>
      <c r="I5543" s="22">
        <v>0</v>
      </c>
      <c r="J5543" s="24">
        <f t="shared" si="258"/>
        <v>0</v>
      </c>
      <c r="K5543" s="25">
        <f t="shared" si="260"/>
        <v>1.0000000000000009</v>
      </c>
      <c r="L5543" s="27"/>
      <c r="M5543" s="28"/>
      <c r="N5543" s="28"/>
      <c r="O5543" s="20" t="s">
        <v>7530</v>
      </c>
      <c r="P5543" s="27" t="str">
        <f t="shared" si="259"/>
        <v>vermelho</v>
      </c>
    </row>
    <row r="5544" spans="1:16" ht="25.5">
      <c r="A5544" s="3" t="s">
        <v>4</v>
      </c>
      <c r="B5544" s="3" t="s">
        <v>4366</v>
      </c>
      <c r="C5544" s="4">
        <v>178</v>
      </c>
      <c r="D5544" s="3" t="s">
        <v>74</v>
      </c>
      <c r="E5544" s="3" t="s">
        <v>7</v>
      </c>
      <c r="F5544" s="5">
        <v>323</v>
      </c>
      <c r="G5544" s="5">
        <v>0</v>
      </c>
      <c r="H5544" s="6">
        <v>17229.77</v>
      </c>
      <c r="I5544" s="22">
        <v>0</v>
      </c>
      <c r="J5544" s="24">
        <f t="shared" si="258"/>
        <v>0</v>
      </c>
      <c r="K5544" s="25">
        <f t="shared" si="260"/>
        <v>1.0000000000000009</v>
      </c>
      <c r="L5544" s="27"/>
      <c r="M5544" s="28"/>
      <c r="N5544" s="28"/>
      <c r="O5544" s="20" t="s">
        <v>7530</v>
      </c>
      <c r="P5544" s="27" t="str">
        <f t="shared" si="259"/>
        <v>vermelho</v>
      </c>
    </row>
    <row r="5545" spans="1:16" ht="38.25">
      <c r="A5545" s="3" t="s">
        <v>4</v>
      </c>
      <c r="B5545" s="3" t="s">
        <v>4367</v>
      </c>
      <c r="C5545" s="4">
        <v>292</v>
      </c>
      <c r="D5545" s="3" t="s">
        <v>57</v>
      </c>
      <c r="E5545" s="3" t="s">
        <v>49</v>
      </c>
      <c r="F5545" s="5">
        <v>168</v>
      </c>
      <c r="G5545" s="5">
        <v>0</v>
      </c>
      <c r="H5545" s="6">
        <v>5947.8</v>
      </c>
      <c r="I5545" s="22">
        <v>0</v>
      </c>
      <c r="J5545" s="24">
        <f t="shared" si="258"/>
        <v>0</v>
      </c>
      <c r="K5545" s="25">
        <f t="shared" si="260"/>
        <v>1.0000000000000009</v>
      </c>
      <c r="L5545" s="27"/>
      <c r="M5545" s="28"/>
      <c r="N5545" s="28"/>
      <c r="O5545" s="20" t="s">
        <v>7530</v>
      </c>
      <c r="P5545" s="27" t="str">
        <f t="shared" si="259"/>
        <v>vermelho</v>
      </c>
    </row>
    <row r="5546" spans="1:16" ht="25.5">
      <c r="A5546" s="3" t="s">
        <v>4</v>
      </c>
      <c r="B5546" s="3" t="s">
        <v>4368</v>
      </c>
      <c r="C5546" s="4">
        <v>266</v>
      </c>
      <c r="D5546" s="3" t="s">
        <v>80</v>
      </c>
      <c r="E5546" s="3" t="s">
        <v>10</v>
      </c>
      <c r="F5546" s="5">
        <v>222</v>
      </c>
      <c r="G5546" s="5">
        <v>0</v>
      </c>
      <c r="H5546" s="6">
        <v>10418.879999999999</v>
      </c>
      <c r="I5546" s="22">
        <v>0</v>
      </c>
      <c r="J5546" s="24">
        <f t="shared" si="258"/>
        <v>0</v>
      </c>
      <c r="K5546" s="25">
        <f t="shared" si="260"/>
        <v>1.0000000000000009</v>
      </c>
      <c r="L5546" s="27"/>
      <c r="M5546" s="28"/>
      <c r="N5546" s="28"/>
      <c r="O5546" s="20" t="s">
        <v>7530</v>
      </c>
      <c r="P5546" s="27" t="str">
        <f t="shared" si="259"/>
        <v>vermelho</v>
      </c>
    </row>
    <row r="5547" spans="1:16" ht="25.5">
      <c r="A5547" s="3" t="s">
        <v>4</v>
      </c>
      <c r="B5547" s="3" t="s">
        <v>4369</v>
      </c>
      <c r="C5547" s="4">
        <v>273</v>
      </c>
      <c r="D5547" s="3" t="s">
        <v>149</v>
      </c>
      <c r="E5547" s="3" t="s">
        <v>10</v>
      </c>
      <c r="F5547" s="5">
        <v>120</v>
      </c>
      <c r="G5547" s="5">
        <v>0</v>
      </c>
      <c r="H5547" s="6">
        <v>6214.8</v>
      </c>
      <c r="I5547" s="22">
        <v>0</v>
      </c>
      <c r="J5547" s="24">
        <f t="shared" si="258"/>
        <v>0</v>
      </c>
      <c r="K5547" s="25">
        <f t="shared" si="260"/>
        <v>1.0000000000000009</v>
      </c>
      <c r="L5547" s="27"/>
      <c r="M5547" s="28"/>
      <c r="N5547" s="28"/>
      <c r="O5547" s="20" t="s">
        <v>7530</v>
      </c>
      <c r="P5547" s="27" t="str">
        <f t="shared" si="259"/>
        <v>vermelho</v>
      </c>
    </row>
    <row r="5548" spans="1:16" ht="25.5">
      <c r="A5548" s="3" t="s">
        <v>4</v>
      </c>
      <c r="B5548" s="3" t="s">
        <v>4370</v>
      </c>
      <c r="C5548" s="4">
        <v>273</v>
      </c>
      <c r="D5548" s="3" t="s">
        <v>149</v>
      </c>
      <c r="E5548" s="3" t="s">
        <v>10</v>
      </c>
      <c r="F5548" s="5">
        <v>90</v>
      </c>
      <c r="G5548" s="5">
        <v>0</v>
      </c>
      <c r="H5548" s="6">
        <v>5185.62</v>
      </c>
      <c r="I5548" s="22">
        <v>0</v>
      </c>
      <c r="J5548" s="24">
        <f t="shared" si="258"/>
        <v>0</v>
      </c>
      <c r="K5548" s="25">
        <f t="shared" si="260"/>
        <v>1.0000000000000009</v>
      </c>
      <c r="L5548" s="27"/>
      <c r="M5548" s="28"/>
      <c r="N5548" s="28"/>
      <c r="O5548" s="20" t="s">
        <v>7530</v>
      </c>
      <c r="P5548" s="27" t="str">
        <f t="shared" si="259"/>
        <v>vermelho</v>
      </c>
    </row>
    <row r="5549" spans="1:16" ht="38.25">
      <c r="A5549" s="3" t="s">
        <v>4</v>
      </c>
      <c r="B5549" s="3" t="s">
        <v>4371</v>
      </c>
      <c r="C5549" s="4">
        <v>301</v>
      </c>
      <c r="D5549" s="3" t="s">
        <v>519</v>
      </c>
      <c r="E5549" s="3" t="s">
        <v>16</v>
      </c>
      <c r="F5549" s="5">
        <v>360</v>
      </c>
      <c r="G5549" s="5">
        <v>0</v>
      </c>
      <c r="H5549" s="6">
        <v>18236.52</v>
      </c>
      <c r="I5549" s="22">
        <v>0</v>
      </c>
      <c r="J5549" s="24">
        <f t="shared" si="258"/>
        <v>0</v>
      </c>
      <c r="K5549" s="25">
        <f t="shared" si="260"/>
        <v>1.0000000000000009</v>
      </c>
      <c r="L5549" s="27"/>
      <c r="M5549" s="28"/>
      <c r="N5549" s="28"/>
      <c r="O5549" s="20" t="s">
        <v>7530</v>
      </c>
      <c r="P5549" s="27" t="str">
        <f t="shared" si="259"/>
        <v>vermelho</v>
      </c>
    </row>
    <row r="5550" spans="1:16" ht="38.25">
      <c r="A5550" s="3" t="s">
        <v>4</v>
      </c>
      <c r="B5550" s="3" t="s">
        <v>4372</v>
      </c>
      <c r="C5550" s="4">
        <v>11</v>
      </c>
      <c r="D5550" s="3" t="s">
        <v>61</v>
      </c>
      <c r="E5550" s="3" t="s">
        <v>10</v>
      </c>
      <c r="F5550" s="5">
        <v>150</v>
      </c>
      <c r="G5550" s="5">
        <v>0</v>
      </c>
      <c r="H5550" s="6">
        <v>7787.5</v>
      </c>
      <c r="I5550" s="22">
        <v>0</v>
      </c>
      <c r="J5550" s="24">
        <f t="shared" si="258"/>
        <v>0</v>
      </c>
      <c r="K5550" s="25">
        <f t="shared" si="260"/>
        <v>1.0000000000000009</v>
      </c>
      <c r="L5550" s="27"/>
      <c r="M5550" s="28"/>
      <c r="N5550" s="28"/>
      <c r="O5550" s="20" t="s">
        <v>7530</v>
      </c>
      <c r="P5550" s="27" t="str">
        <f t="shared" si="259"/>
        <v>vermelho</v>
      </c>
    </row>
    <row r="5551" spans="1:16" ht="25.5">
      <c r="A5551" s="3" t="s">
        <v>4</v>
      </c>
      <c r="B5551" s="3" t="s">
        <v>4373</v>
      </c>
      <c r="C5551" s="4">
        <v>23</v>
      </c>
      <c r="D5551" s="3" t="s">
        <v>87</v>
      </c>
      <c r="E5551" s="3" t="s">
        <v>7</v>
      </c>
      <c r="F5551" s="5">
        <v>471</v>
      </c>
      <c r="G5551" s="5">
        <v>0</v>
      </c>
      <c r="H5551" s="6">
        <v>25131.047999999999</v>
      </c>
      <c r="I5551" s="22">
        <v>0</v>
      </c>
      <c r="J5551" s="24">
        <f t="shared" si="258"/>
        <v>0</v>
      </c>
      <c r="K5551" s="25">
        <f t="shared" si="260"/>
        <v>1.0000000000000009</v>
      </c>
      <c r="L5551" s="27"/>
      <c r="M5551" s="28"/>
      <c r="N5551" s="28"/>
      <c r="O5551" s="20" t="s">
        <v>7530</v>
      </c>
      <c r="P5551" s="27" t="str">
        <f t="shared" si="259"/>
        <v>vermelho</v>
      </c>
    </row>
    <row r="5552" spans="1:16" ht="25.5">
      <c r="A5552" s="3" t="s">
        <v>4</v>
      </c>
      <c r="B5552" s="3" t="s">
        <v>4374</v>
      </c>
      <c r="C5552" s="4">
        <v>321</v>
      </c>
      <c r="D5552" s="3" t="s">
        <v>136</v>
      </c>
      <c r="E5552" s="3" t="s">
        <v>41</v>
      </c>
      <c r="F5552" s="5">
        <v>264</v>
      </c>
      <c r="G5552" s="5">
        <v>0</v>
      </c>
      <c r="H5552" s="6">
        <v>16668.240000000002</v>
      </c>
      <c r="I5552" s="22">
        <v>0</v>
      </c>
      <c r="J5552" s="24">
        <f t="shared" si="258"/>
        <v>0</v>
      </c>
      <c r="K5552" s="25">
        <f t="shared" si="260"/>
        <v>1.0000000000000009</v>
      </c>
      <c r="L5552" s="27"/>
      <c r="M5552" s="28"/>
      <c r="N5552" s="28"/>
      <c r="O5552" s="20" t="s">
        <v>7530</v>
      </c>
      <c r="P5552" s="27" t="str">
        <f t="shared" si="259"/>
        <v>vermelho</v>
      </c>
    </row>
    <row r="5553" spans="1:16" ht="25.5">
      <c r="A5553" s="3" t="s">
        <v>4</v>
      </c>
      <c r="B5553" s="3" t="s">
        <v>4375</v>
      </c>
      <c r="C5553" s="4">
        <v>328</v>
      </c>
      <c r="D5553" s="3" t="s">
        <v>215</v>
      </c>
      <c r="E5553" s="3" t="s">
        <v>41</v>
      </c>
      <c r="F5553" s="5">
        <v>156</v>
      </c>
      <c r="G5553" s="5">
        <v>0</v>
      </c>
      <c r="H5553" s="6">
        <v>10116.36</v>
      </c>
      <c r="I5553" s="22">
        <v>0</v>
      </c>
      <c r="J5553" s="24">
        <f t="shared" si="258"/>
        <v>0</v>
      </c>
      <c r="K5553" s="25">
        <f t="shared" si="260"/>
        <v>1.0000000000000009</v>
      </c>
      <c r="L5553" s="27"/>
      <c r="M5553" s="28"/>
      <c r="N5553" s="28"/>
      <c r="O5553" s="20" t="s">
        <v>7530</v>
      </c>
      <c r="P5553" s="27" t="str">
        <f t="shared" si="259"/>
        <v>vermelho</v>
      </c>
    </row>
    <row r="5554" spans="1:16" ht="38.25">
      <c r="A5554" s="3" t="s">
        <v>4</v>
      </c>
      <c r="B5554" s="3" t="s">
        <v>4376</v>
      </c>
      <c r="C5554" s="4">
        <v>34</v>
      </c>
      <c r="D5554" s="3" t="s">
        <v>54</v>
      </c>
      <c r="E5554" s="3" t="s">
        <v>49</v>
      </c>
      <c r="F5554" s="5">
        <v>192</v>
      </c>
      <c r="G5554" s="5">
        <v>0</v>
      </c>
      <c r="H5554" s="6">
        <v>9654.6</v>
      </c>
      <c r="I5554" s="22">
        <v>0</v>
      </c>
      <c r="J5554" s="24">
        <f t="shared" si="258"/>
        <v>0</v>
      </c>
      <c r="K5554" s="25">
        <f t="shared" si="260"/>
        <v>1.0000000000000009</v>
      </c>
      <c r="L5554" s="27"/>
      <c r="M5554" s="28"/>
      <c r="N5554" s="28"/>
      <c r="O5554" s="20" t="s">
        <v>7530</v>
      </c>
      <c r="P5554" s="27" t="str">
        <f t="shared" si="259"/>
        <v>vermelho</v>
      </c>
    </row>
    <row r="5555" spans="1:16" ht="25.5">
      <c r="A5555" s="3" t="s">
        <v>4</v>
      </c>
      <c r="B5555" s="3" t="s">
        <v>4377</v>
      </c>
      <c r="C5555" s="4">
        <v>270</v>
      </c>
      <c r="D5555" s="3" t="s">
        <v>266</v>
      </c>
      <c r="E5555" s="3" t="s">
        <v>49</v>
      </c>
      <c r="F5555" s="5">
        <v>96</v>
      </c>
      <c r="G5555" s="5">
        <v>0</v>
      </c>
      <c r="H5555" s="6">
        <v>4526.6040000000003</v>
      </c>
      <c r="I5555" s="22">
        <v>0</v>
      </c>
      <c r="J5555" s="24">
        <f t="shared" si="258"/>
        <v>0</v>
      </c>
      <c r="K5555" s="25">
        <f t="shared" si="260"/>
        <v>1.0000000000000009</v>
      </c>
      <c r="L5555" s="27"/>
      <c r="M5555" s="28"/>
      <c r="N5555" s="28"/>
      <c r="O5555" s="20" t="s">
        <v>7530</v>
      </c>
      <c r="P5555" s="27" t="str">
        <f t="shared" si="259"/>
        <v>vermelho</v>
      </c>
    </row>
    <row r="5556" spans="1:16" ht="25.5">
      <c r="A5556" s="3" t="s">
        <v>4</v>
      </c>
      <c r="B5556" s="3" t="s">
        <v>4378</v>
      </c>
      <c r="C5556" s="4">
        <v>328</v>
      </c>
      <c r="D5556" s="3" t="s">
        <v>215</v>
      </c>
      <c r="E5556" s="3" t="s">
        <v>41</v>
      </c>
      <c r="F5556" s="5">
        <v>192</v>
      </c>
      <c r="G5556" s="5">
        <v>0</v>
      </c>
      <c r="H5556" s="6">
        <v>9288.393</v>
      </c>
      <c r="I5556" s="22">
        <v>0</v>
      </c>
      <c r="J5556" s="24">
        <f t="shared" si="258"/>
        <v>0</v>
      </c>
      <c r="K5556" s="25">
        <f t="shared" si="260"/>
        <v>1.0000000000000009</v>
      </c>
      <c r="L5556" s="27"/>
      <c r="M5556" s="28"/>
      <c r="N5556" s="28"/>
      <c r="O5556" s="20" t="s">
        <v>7530</v>
      </c>
      <c r="P5556" s="27" t="str">
        <f t="shared" si="259"/>
        <v>vermelho</v>
      </c>
    </row>
    <row r="5557" spans="1:16" ht="25.5">
      <c r="A5557" s="3" t="s">
        <v>4</v>
      </c>
      <c r="B5557" s="3" t="s">
        <v>4379</v>
      </c>
      <c r="C5557" s="4">
        <v>197</v>
      </c>
      <c r="D5557" s="3" t="s">
        <v>66</v>
      </c>
      <c r="E5557" s="3" t="s">
        <v>41</v>
      </c>
      <c r="F5557" s="5">
        <v>252</v>
      </c>
      <c r="G5557" s="5">
        <v>0</v>
      </c>
      <c r="H5557" s="6">
        <v>13704.78</v>
      </c>
      <c r="I5557" s="22">
        <v>0</v>
      </c>
      <c r="J5557" s="24">
        <f t="shared" si="258"/>
        <v>0</v>
      </c>
      <c r="K5557" s="25">
        <f t="shared" si="260"/>
        <v>1.0000000000000009</v>
      </c>
      <c r="L5557" s="27"/>
      <c r="M5557" s="28"/>
      <c r="N5557" s="28"/>
      <c r="O5557" s="20" t="s">
        <v>7530</v>
      </c>
      <c r="P5557" s="27" t="str">
        <f t="shared" si="259"/>
        <v>vermelho</v>
      </c>
    </row>
    <row r="5558" spans="1:16" ht="25.5">
      <c r="A5558" s="3" t="s">
        <v>4</v>
      </c>
      <c r="B5558" s="3" t="s">
        <v>4380</v>
      </c>
      <c r="C5558" s="4">
        <v>270</v>
      </c>
      <c r="D5558" s="3" t="s">
        <v>266</v>
      </c>
      <c r="E5558" s="3" t="s">
        <v>49</v>
      </c>
      <c r="F5558" s="5">
        <v>84</v>
      </c>
      <c r="G5558" s="5">
        <v>0</v>
      </c>
      <c r="H5558" s="6">
        <v>3698.2440000000001</v>
      </c>
      <c r="I5558" s="22">
        <v>0</v>
      </c>
      <c r="J5558" s="24">
        <f t="shared" si="258"/>
        <v>0</v>
      </c>
      <c r="K5558" s="25">
        <f t="shared" si="260"/>
        <v>1.0000000000000009</v>
      </c>
      <c r="L5558" s="27"/>
      <c r="M5558" s="28"/>
      <c r="N5558" s="28"/>
      <c r="O5558" s="20" t="s">
        <v>7530</v>
      </c>
      <c r="P5558" s="27" t="str">
        <f t="shared" si="259"/>
        <v>vermelho</v>
      </c>
    </row>
    <row r="5559" spans="1:16" ht="25.5">
      <c r="A5559" s="3" t="s">
        <v>4</v>
      </c>
      <c r="B5559" s="3" t="s">
        <v>4381</v>
      </c>
      <c r="C5559" s="4">
        <v>296</v>
      </c>
      <c r="D5559" s="3" t="s">
        <v>282</v>
      </c>
      <c r="E5559" s="3" t="s">
        <v>49</v>
      </c>
      <c r="F5559" s="5">
        <v>192</v>
      </c>
      <c r="G5559" s="5">
        <v>0</v>
      </c>
      <c r="H5559" s="6">
        <v>12416.46</v>
      </c>
      <c r="I5559" s="22">
        <v>0</v>
      </c>
      <c r="J5559" s="24">
        <f t="shared" si="258"/>
        <v>0</v>
      </c>
      <c r="K5559" s="25">
        <f t="shared" si="260"/>
        <v>1.0000000000000009</v>
      </c>
      <c r="L5559" s="27"/>
      <c r="M5559" s="28"/>
      <c r="N5559" s="28"/>
      <c r="O5559" s="20" t="s">
        <v>7530</v>
      </c>
      <c r="P5559" s="27" t="str">
        <f t="shared" si="259"/>
        <v>vermelho</v>
      </c>
    </row>
    <row r="5560" spans="1:16" ht="38.25">
      <c r="A5560" s="3" t="s">
        <v>4</v>
      </c>
      <c r="B5560" s="3" t="s">
        <v>4382</v>
      </c>
      <c r="C5560" s="4">
        <v>301</v>
      </c>
      <c r="D5560" s="3" t="s">
        <v>519</v>
      </c>
      <c r="E5560" s="3" t="s">
        <v>16</v>
      </c>
      <c r="F5560" s="5">
        <v>252</v>
      </c>
      <c r="G5560" s="5">
        <v>0</v>
      </c>
      <c r="H5560" s="6">
        <v>14203.2</v>
      </c>
      <c r="I5560" s="22">
        <v>0</v>
      </c>
      <c r="J5560" s="24">
        <f t="shared" si="258"/>
        <v>0</v>
      </c>
      <c r="K5560" s="25">
        <f t="shared" si="260"/>
        <v>1.0000000000000009</v>
      </c>
      <c r="L5560" s="27"/>
      <c r="M5560" s="28"/>
      <c r="N5560" s="28"/>
      <c r="O5560" s="20" t="s">
        <v>7530</v>
      </c>
      <c r="P5560" s="27" t="str">
        <f t="shared" si="259"/>
        <v>vermelho</v>
      </c>
    </row>
    <row r="5561" spans="1:16" ht="38.25">
      <c r="A5561" s="3" t="s">
        <v>4</v>
      </c>
      <c r="B5561" s="3" t="s">
        <v>4383</v>
      </c>
      <c r="C5561" s="4">
        <v>38</v>
      </c>
      <c r="D5561" s="3" t="s">
        <v>184</v>
      </c>
      <c r="E5561" s="3" t="s">
        <v>49</v>
      </c>
      <c r="F5561" s="5">
        <v>72</v>
      </c>
      <c r="G5561" s="5">
        <v>0</v>
      </c>
      <c r="H5561" s="6">
        <v>3412.152</v>
      </c>
      <c r="I5561" s="22">
        <v>0</v>
      </c>
      <c r="J5561" s="24">
        <f t="shared" si="258"/>
        <v>0</v>
      </c>
      <c r="K5561" s="25">
        <f t="shared" si="260"/>
        <v>1.0000000000000009</v>
      </c>
      <c r="L5561" s="27"/>
      <c r="M5561" s="28"/>
      <c r="N5561" s="28"/>
      <c r="O5561" s="20">
        <v>7935.81</v>
      </c>
      <c r="P5561" s="27" t="str">
        <f t="shared" si="259"/>
        <v>vermelho</v>
      </c>
    </row>
    <row r="5562" spans="1:16" ht="25.5">
      <c r="A5562" s="3" t="s">
        <v>4</v>
      </c>
      <c r="B5562" s="3" t="s">
        <v>4384</v>
      </c>
      <c r="C5562" s="4">
        <v>316</v>
      </c>
      <c r="D5562" s="3" t="s">
        <v>247</v>
      </c>
      <c r="E5562" s="3" t="s">
        <v>10</v>
      </c>
      <c r="F5562" s="5">
        <v>51</v>
      </c>
      <c r="G5562" s="5">
        <v>0</v>
      </c>
      <c r="H5562" s="6">
        <v>2312.61</v>
      </c>
      <c r="I5562" s="22">
        <v>0</v>
      </c>
      <c r="J5562" s="24">
        <f t="shared" si="258"/>
        <v>0</v>
      </c>
      <c r="K5562" s="25">
        <f t="shared" si="260"/>
        <v>1.0000000000000009</v>
      </c>
      <c r="L5562" s="27"/>
      <c r="M5562" s="28"/>
      <c r="N5562" s="28"/>
      <c r="O5562" s="20" t="s">
        <v>7530</v>
      </c>
      <c r="P5562" s="27" t="str">
        <f t="shared" si="259"/>
        <v>vermelho</v>
      </c>
    </row>
    <row r="5563" spans="1:16" ht="25.5">
      <c r="A5563" s="3" t="s">
        <v>4</v>
      </c>
      <c r="B5563" s="3" t="s">
        <v>4385</v>
      </c>
      <c r="C5563" s="4">
        <v>328</v>
      </c>
      <c r="D5563" s="3" t="s">
        <v>215</v>
      </c>
      <c r="E5563" s="3" t="s">
        <v>41</v>
      </c>
      <c r="F5563" s="5">
        <v>192</v>
      </c>
      <c r="G5563" s="5">
        <v>0</v>
      </c>
      <c r="H5563" s="6">
        <v>10966.08</v>
      </c>
      <c r="I5563" s="22">
        <v>0</v>
      </c>
      <c r="J5563" s="24">
        <f t="shared" si="258"/>
        <v>0</v>
      </c>
      <c r="K5563" s="25">
        <f t="shared" si="260"/>
        <v>1.0000000000000009</v>
      </c>
      <c r="L5563" s="27"/>
      <c r="M5563" s="28"/>
      <c r="N5563" s="28"/>
      <c r="O5563" s="20" t="s">
        <v>7530</v>
      </c>
      <c r="P5563" s="27" t="str">
        <f t="shared" si="259"/>
        <v>vermelho</v>
      </c>
    </row>
    <row r="5564" spans="1:16" ht="25.5">
      <c r="A5564" s="3" t="s">
        <v>4</v>
      </c>
      <c r="B5564" s="3" t="s">
        <v>4386</v>
      </c>
      <c r="C5564" s="4">
        <v>93</v>
      </c>
      <c r="D5564" s="3" t="s">
        <v>20</v>
      </c>
      <c r="E5564" s="3" t="s">
        <v>7</v>
      </c>
      <c r="F5564" s="5">
        <v>552</v>
      </c>
      <c r="G5564" s="5">
        <v>0</v>
      </c>
      <c r="H5564" s="6">
        <v>31419.24</v>
      </c>
      <c r="I5564" s="22">
        <v>0</v>
      </c>
      <c r="J5564" s="24">
        <f t="shared" si="258"/>
        <v>0</v>
      </c>
      <c r="K5564" s="25">
        <f t="shared" si="260"/>
        <v>1.0000000000000009</v>
      </c>
      <c r="L5564" s="27"/>
      <c r="M5564" s="28"/>
      <c r="N5564" s="28"/>
      <c r="O5564" s="20" t="s">
        <v>7530</v>
      </c>
      <c r="P5564" s="27" t="str">
        <f t="shared" si="259"/>
        <v>vermelho</v>
      </c>
    </row>
    <row r="5565" spans="1:16" ht="25.5">
      <c r="A5565" s="3" t="s">
        <v>4</v>
      </c>
      <c r="B5565" s="3" t="s">
        <v>4387</v>
      </c>
      <c r="C5565" s="4">
        <v>273</v>
      </c>
      <c r="D5565" s="3" t="s">
        <v>149</v>
      </c>
      <c r="E5565" s="3" t="s">
        <v>16</v>
      </c>
      <c r="F5565" s="5">
        <v>132</v>
      </c>
      <c r="G5565" s="5">
        <v>0</v>
      </c>
      <c r="H5565" s="6">
        <v>6631.56</v>
      </c>
      <c r="I5565" s="22">
        <v>0</v>
      </c>
      <c r="J5565" s="24">
        <f t="shared" si="258"/>
        <v>0</v>
      </c>
      <c r="K5565" s="25">
        <f t="shared" si="260"/>
        <v>1.0000000000000009</v>
      </c>
      <c r="L5565" s="27"/>
      <c r="M5565" s="28"/>
      <c r="N5565" s="28"/>
      <c r="O5565" s="20" t="s">
        <v>7530</v>
      </c>
      <c r="P5565" s="27" t="str">
        <f t="shared" si="259"/>
        <v>vermelho</v>
      </c>
    </row>
    <row r="5566" spans="1:16" ht="25.5">
      <c r="A5566" s="3" t="s">
        <v>4</v>
      </c>
      <c r="B5566" s="3" t="s">
        <v>4388</v>
      </c>
      <c r="C5566" s="4">
        <v>53</v>
      </c>
      <c r="D5566" s="3" t="s">
        <v>34</v>
      </c>
      <c r="E5566" s="3" t="s">
        <v>16</v>
      </c>
      <c r="F5566" s="5">
        <v>90</v>
      </c>
      <c r="G5566" s="5">
        <v>0</v>
      </c>
      <c r="H5566" s="6">
        <v>4615.26</v>
      </c>
      <c r="I5566" s="22">
        <v>0</v>
      </c>
      <c r="J5566" s="24">
        <f t="shared" si="258"/>
        <v>0</v>
      </c>
      <c r="K5566" s="25">
        <f t="shared" si="260"/>
        <v>1.0000000000000009</v>
      </c>
      <c r="L5566" s="27"/>
      <c r="M5566" s="28"/>
      <c r="N5566" s="28"/>
      <c r="O5566" s="20" t="s">
        <v>7530</v>
      </c>
      <c r="P5566" s="27" t="str">
        <f t="shared" si="259"/>
        <v>vermelho</v>
      </c>
    </row>
    <row r="5567" spans="1:16" ht="51">
      <c r="A5567" s="3" t="s">
        <v>4</v>
      </c>
      <c r="B5567" s="3" t="s">
        <v>4389</v>
      </c>
      <c r="C5567" s="4">
        <v>282</v>
      </c>
      <c r="D5567" s="3" t="s">
        <v>12</v>
      </c>
      <c r="E5567" s="3" t="s">
        <v>13</v>
      </c>
      <c r="F5567" s="5">
        <v>240</v>
      </c>
      <c r="G5567" s="5">
        <v>0</v>
      </c>
      <c r="H5567" s="6">
        <v>11834.28</v>
      </c>
      <c r="I5567" s="22">
        <v>0</v>
      </c>
      <c r="J5567" s="24">
        <f t="shared" si="258"/>
        <v>0</v>
      </c>
      <c r="K5567" s="25">
        <f t="shared" si="260"/>
        <v>1.0000000000000009</v>
      </c>
      <c r="L5567" s="27"/>
      <c r="M5567" s="28"/>
      <c r="N5567" s="28"/>
      <c r="O5567" s="20" t="s">
        <v>7530</v>
      </c>
      <c r="P5567" s="27" t="str">
        <f t="shared" si="259"/>
        <v>vermelho</v>
      </c>
    </row>
    <row r="5568" spans="1:16" ht="25.5">
      <c r="A5568" s="3" t="s">
        <v>4</v>
      </c>
      <c r="B5568" s="3" t="s">
        <v>4390</v>
      </c>
      <c r="C5568" s="4">
        <v>337</v>
      </c>
      <c r="D5568" s="3" t="s">
        <v>202</v>
      </c>
      <c r="E5568" s="3" t="s">
        <v>16</v>
      </c>
      <c r="F5568" s="5">
        <v>114</v>
      </c>
      <c r="G5568" s="5">
        <v>0</v>
      </c>
      <c r="H5568" s="6">
        <v>6057.57</v>
      </c>
      <c r="I5568" s="22">
        <v>0</v>
      </c>
      <c r="J5568" s="24">
        <f t="shared" si="258"/>
        <v>0</v>
      </c>
      <c r="K5568" s="25">
        <f t="shared" si="260"/>
        <v>1.0000000000000009</v>
      </c>
      <c r="L5568" s="27"/>
      <c r="M5568" s="28"/>
      <c r="N5568" s="28"/>
      <c r="O5568" s="20" t="s">
        <v>7530</v>
      </c>
      <c r="P5568" s="27" t="str">
        <f t="shared" si="259"/>
        <v>vermelho</v>
      </c>
    </row>
    <row r="5569" spans="1:16" ht="25.5">
      <c r="A5569" s="3" t="s">
        <v>4</v>
      </c>
      <c r="B5569" s="3" t="s">
        <v>4391</v>
      </c>
      <c r="C5569" s="4">
        <v>266</v>
      </c>
      <c r="D5569" s="3" t="s">
        <v>80</v>
      </c>
      <c r="E5569" s="3" t="s">
        <v>10</v>
      </c>
      <c r="F5569" s="5">
        <v>156</v>
      </c>
      <c r="G5569" s="5">
        <v>0</v>
      </c>
      <c r="H5569" s="6">
        <v>8621.94</v>
      </c>
      <c r="I5569" s="22">
        <v>0</v>
      </c>
      <c r="J5569" s="24">
        <f t="shared" si="258"/>
        <v>0</v>
      </c>
      <c r="K5569" s="25">
        <f t="shared" si="260"/>
        <v>1.0000000000000009</v>
      </c>
      <c r="L5569" s="27"/>
      <c r="M5569" s="28"/>
      <c r="N5569" s="28"/>
      <c r="O5569" s="20" t="s">
        <v>7530</v>
      </c>
      <c r="P5569" s="27" t="str">
        <f t="shared" si="259"/>
        <v>vermelho</v>
      </c>
    </row>
    <row r="5570" spans="1:16" ht="25.5">
      <c r="A5570" s="3" t="s">
        <v>4</v>
      </c>
      <c r="B5570" s="3" t="s">
        <v>4392</v>
      </c>
      <c r="C5570" s="4">
        <v>65</v>
      </c>
      <c r="D5570" s="3" t="s">
        <v>3913</v>
      </c>
      <c r="E5570" s="3" t="s">
        <v>10</v>
      </c>
      <c r="F5570" s="5">
        <v>570</v>
      </c>
      <c r="G5570" s="5">
        <v>0</v>
      </c>
      <c r="H5570" s="6">
        <v>37653.96</v>
      </c>
      <c r="I5570" s="22">
        <v>0</v>
      </c>
      <c r="J5570" s="24">
        <f t="shared" si="258"/>
        <v>0</v>
      </c>
      <c r="K5570" s="25">
        <f t="shared" si="260"/>
        <v>1.0000000000000009</v>
      </c>
      <c r="L5570" s="27"/>
      <c r="M5570" s="28"/>
      <c r="N5570" s="28"/>
      <c r="O5570" s="20" t="s">
        <v>7530</v>
      </c>
      <c r="P5570" s="27" t="str">
        <f t="shared" si="259"/>
        <v>vermelho</v>
      </c>
    </row>
    <row r="5571" spans="1:16" ht="25.5">
      <c r="A5571" s="3" t="s">
        <v>4</v>
      </c>
      <c r="B5571" s="3" t="s">
        <v>4393</v>
      </c>
      <c r="C5571" s="4">
        <v>261</v>
      </c>
      <c r="D5571" s="3" t="s">
        <v>9</v>
      </c>
      <c r="E5571" s="3" t="s">
        <v>10</v>
      </c>
      <c r="F5571" s="5">
        <v>138</v>
      </c>
      <c r="G5571" s="5">
        <v>0</v>
      </c>
      <c r="H5571" s="6">
        <v>9145.98</v>
      </c>
      <c r="I5571" s="22">
        <v>0</v>
      </c>
      <c r="J5571" s="24">
        <f t="shared" ref="J5571:J5634" si="261">I5571/$I$6364</f>
        <v>0</v>
      </c>
      <c r="K5571" s="25">
        <f t="shared" si="260"/>
        <v>1.0000000000000009</v>
      </c>
      <c r="L5571" s="27"/>
      <c r="M5571" s="28"/>
      <c r="N5571" s="28"/>
      <c r="O5571" s="20" t="s">
        <v>7530</v>
      </c>
      <c r="P5571" s="27" t="str">
        <f t="shared" ref="P5571:P5634" si="262">IF(O5571&lt;=0,"vermelho",IFERROR(IF(O5571/I5571&lt;=0.5098,"amarelo",IF(O5571/I5571&lt;1,"laranja","verde")),"vermelho"))</f>
        <v>vermelho</v>
      </c>
    </row>
    <row r="5572" spans="1:16" ht="25.5">
      <c r="A5572" s="3" t="s">
        <v>4</v>
      </c>
      <c r="B5572" s="3" t="s">
        <v>4394</v>
      </c>
      <c r="C5572" s="4">
        <v>218</v>
      </c>
      <c r="D5572" s="3" t="s">
        <v>104</v>
      </c>
      <c r="E5572" s="3" t="s">
        <v>16</v>
      </c>
      <c r="F5572" s="5">
        <v>60</v>
      </c>
      <c r="G5572" s="5">
        <v>0</v>
      </c>
      <c r="H5572" s="6">
        <v>3978.48</v>
      </c>
      <c r="I5572" s="22">
        <v>0</v>
      </c>
      <c r="J5572" s="24">
        <f t="shared" si="261"/>
        <v>0</v>
      </c>
      <c r="K5572" s="25">
        <f t="shared" ref="K5572:K5635" si="263">J5572+K5571</f>
        <v>1.0000000000000009</v>
      </c>
      <c r="L5572" s="27"/>
      <c r="M5572" s="28"/>
      <c r="N5572" s="28"/>
      <c r="O5572" s="20" t="s">
        <v>7530</v>
      </c>
      <c r="P5572" s="27" t="str">
        <f t="shared" si="262"/>
        <v>vermelho</v>
      </c>
    </row>
    <row r="5573" spans="1:16" ht="38.25">
      <c r="A5573" s="3" t="s">
        <v>4</v>
      </c>
      <c r="B5573" s="3" t="s">
        <v>4395</v>
      </c>
      <c r="C5573" s="4">
        <v>45</v>
      </c>
      <c r="D5573" s="3" t="s">
        <v>23</v>
      </c>
      <c r="E5573" s="3" t="s">
        <v>7</v>
      </c>
      <c r="F5573" s="5">
        <v>819</v>
      </c>
      <c r="G5573" s="5">
        <v>0</v>
      </c>
      <c r="H5573" s="6">
        <v>46489.26</v>
      </c>
      <c r="I5573" s="22">
        <v>0</v>
      </c>
      <c r="J5573" s="24">
        <f t="shared" si="261"/>
        <v>0</v>
      </c>
      <c r="K5573" s="25">
        <f t="shared" si="263"/>
        <v>1.0000000000000009</v>
      </c>
      <c r="L5573" s="27"/>
      <c r="M5573" s="28"/>
      <c r="N5573" s="28">
        <v>3.522799802819139E-2</v>
      </c>
      <c r="O5573" s="20">
        <v>4526.82</v>
      </c>
      <c r="P5573" s="27" t="str">
        <f t="shared" si="262"/>
        <v>vermelho</v>
      </c>
    </row>
    <row r="5574" spans="1:16" ht="25.5">
      <c r="A5574" s="3" t="s">
        <v>4</v>
      </c>
      <c r="B5574" s="3" t="s">
        <v>4396</v>
      </c>
      <c r="C5574" s="4">
        <v>266</v>
      </c>
      <c r="D5574" s="3" t="s">
        <v>80</v>
      </c>
      <c r="E5574" s="3" t="s">
        <v>10</v>
      </c>
      <c r="F5574" s="5">
        <v>120</v>
      </c>
      <c r="G5574" s="5">
        <v>0</v>
      </c>
      <c r="H5574" s="6">
        <v>8447.4</v>
      </c>
      <c r="I5574" s="22">
        <v>0</v>
      </c>
      <c r="J5574" s="24">
        <f t="shared" si="261"/>
        <v>0</v>
      </c>
      <c r="K5574" s="25">
        <f t="shared" si="263"/>
        <v>1.0000000000000009</v>
      </c>
      <c r="L5574" s="27"/>
      <c r="M5574" s="28"/>
      <c r="N5574" s="28"/>
      <c r="O5574" s="20" t="s">
        <v>7530</v>
      </c>
      <c r="P5574" s="27" t="str">
        <f t="shared" si="262"/>
        <v>vermelho</v>
      </c>
    </row>
    <row r="5575" spans="1:16" ht="25.5">
      <c r="A5575" s="3" t="s">
        <v>4</v>
      </c>
      <c r="B5575" s="3" t="s">
        <v>4397</v>
      </c>
      <c r="C5575" s="4">
        <v>273</v>
      </c>
      <c r="D5575" s="3" t="s">
        <v>149</v>
      </c>
      <c r="E5575" s="3" t="s">
        <v>10</v>
      </c>
      <c r="F5575" s="5">
        <v>168</v>
      </c>
      <c r="G5575" s="5">
        <v>0</v>
      </c>
      <c r="H5575" s="6">
        <v>8852.31</v>
      </c>
      <c r="I5575" s="22">
        <v>0</v>
      </c>
      <c r="J5575" s="24">
        <f t="shared" si="261"/>
        <v>0</v>
      </c>
      <c r="K5575" s="25">
        <f t="shared" si="263"/>
        <v>1.0000000000000009</v>
      </c>
      <c r="L5575" s="27"/>
      <c r="M5575" s="28"/>
      <c r="N5575" s="28"/>
      <c r="O5575" s="20" t="s">
        <v>7530</v>
      </c>
      <c r="P5575" s="27" t="str">
        <f t="shared" si="262"/>
        <v>vermelho</v>
      </c>
    </row>
    <row r="5576" spans="1:16" ht="25.5">
      <c r="A5576" s="3" t="s">
        <v>4</v>
      </c>
      <c r="B5576" s="3" t="s">
        <v>4398</v>
      </c>
      <c r="C5576" s="4">
        <v>299</v>
      </c>
      <c r="D5576" s="3" t="s">
        <v>111</v>
      </c>
      <c r="E5576" s="3" t="s">
        <v>49</v>
      </c>
      <c r="F5576" s="5">
        <v>252</v>
      </c>
      <c r="G5576" s="5">
        <v>0</v>
      </c>
      <c r="H5576" s="6">
        <v>13620.48</v>
      </c>
      <c r="I5576" s="22">
        <v>0</v>
      </c>
      <c r="J5576" s="24">
        <f t="shared" si="261"/>
        <v>0</v>
      </c>
      <c r="K5576" s="25">
        <f t="shared" si="263"/>
        <v>1.0000000000000009</v>
      </c>
      <c r="L5576" s="27"/>
      <c r="M5576" s="28"/>
      <c r="N5576" s="28"/>
      <c r="O5576" s="20" t="s">
        <v>7530</v>
      </c>
      <c r="P5576" s="27" t="str">
        <f t="shared" si="262"/>
        <v>vermelho</v>
      </c>
    </row>
    <row r="5577" spans="1:16">
      <c r="A5577" s="3" t="s">
        <v>4</v>
      </c>
      <c r="B5577" s="3" t="s">
        <v>4399</v>
      </c>
      <c r="C5577" s="4">
        <v>264</v>
      </c>
      <c r="D5577" s="3" t="s">
        <v>40</v>
      </c>
      <c r="E5577" s="3" t="s">
        <v>10</v>
      </c>
      <c r="F5577" s="5">
        <v>66</v>
      </c>
      <c r="G5577" s="5">
        <v>0</v>
      </c>
      <c r="H5577" s="6">
        <v>3013.9540000000002</v>
      </c>
      <c r="I5577" s="22">
        <v>0</v>
      </c>
      <c r="J5577" s="24">
        <f t="shared" si="261"/>
        <v>0</v>
      </c>
      <c r="K5577" s="25">
        <f t="shared" si="263"/>
        <v>1.0000000000000009</v>
      </c>
      <c r="L5577" s="27"/>
      <c r="M5577" s="28"/>
      <c r="N5577" s="28"/>
      <c r="O5577" s="20" t="s">
        <v>7530</v>
      </c>
      <c r="P5577" s="27" t="str">
        <f t="shared" si="262"/>
        <v>vermelho</v>
      </c>
    </row>
    <row r="5578" spans="1:16">
      <c r="A5578" s="3" t="s">
        <v>4</v>
      </c>
      <c r="B5578" s="3" t="s">
        <v>4400</v>
      </c>
      <c r="C5578" s="4">
        <v>315</v>
      </c>
      <c r="D5578" s="3" t="s">
        <v>63</v>
      </c>
      <c r="E5578" s="3" t="s">
        <v>7</v>
      </c>
      <c r="F5578" s="5">
        <v>147</v>
      </c>
      <c r="G5578" s="5">
        <v>0</v>
      </c>
      <c r="H5578" s="6">
        <v>8966.7900000000009</v>
      </c>
      <c r="I5578" s="22">
        <v>0</v>
      </c>
      <c r="J5578" s="24">
        <f t="shared" si="261"/>
        <v>0</v>
      </c>
      <c r="K5578" s="25">
        <f t="shared" si="263"/>
        <v>1.0000000000000009</v>
      </c>
      <c r="L5578" s="27"/>
      <c r="M5578" s="28"/>
      <c r="N5578" s="28"/>
      <c r="O5578" s="20" t="s">
        <v>7530</v>
      </c>
      <c r="P5578" s="27" t="str">
        <f t="shared" si="262"/>
        <v>vermelho</v>
      </c>
    </row>
    <row r="5579" spans="1:16" ht="38.25">
      <c r="A5579" s="3" t="s">
        <v>4</v>
      </c>
      <c r="B5579" s="3" t="s">
        <v>4401</v>
      </c>
      <c r="C5579" s="4">
        <v>264</v>
      </c>
      <c r="D5579" s="3" t="s">
        <v>40</v>
      </c>
      <c r="E5579" s="3" t="s">
        <v>10</v>
      </c>
      <c r="F5579" s="5">
        <v>96</v>
      </c>
      <c r="G5579" s="5">
        <v>0</v>
      </c>
      <c r="H5579" s="6">
        <v>3469.2</v>
      </c>
      <c r="I5579" s="22">
        <v>0</v>
      </c>
      <c r="J5579" s="24">
        <f t="shared" si="261"/>
        <v>0</v>
      </c>
      <c r="K5579" s="25">
        <f t="shared" si="263"/>
        <v>1.0000000000000009</v>
      </c>
      <c r="L5579" s="27"/>
      <c r="M5579" s="28"/>
      <c r="N5579" s="28"/>
      <c r="O5579" s="20" t="s">
        <v>7530</v>
      </c>
      <c r="P5579" s="27" t="str">
        <f t="shared" si="262"/>
        <v>vermelho</v>
      </c>
    </row>
    <row r="5580" spans="1:16" ht="25.5">
      <c r="A5580" s="3" t="s">
        <v>4</v>
      </c>
      <c r="B5580" s="3" t="s">
        <v>4402</v>
      </c>
      <c r="C5580" s="4">
        <v>270</v>
      </c>
      <c r="D5580" s="3" t="s">
        <v>266</v>
      </c>
      <c r="E5580" s="3" t="s">
        <v>49</v>
      </c>
      <c r="F5580" s="5">
        <v>96</v>
      </c>
      <c r="G5580" s="5">
        <v>0</v>
      </c>
      <c r="H5580" s="6">
        <v>5567.04</v>
      </c>
      <c r="I5580" s="22">
        <v>0</v>
      </c>
      <c r="J5580" s="24">
        <f t="shared" si="261"/>
        <v>0</v>
      </c>
      <c r="K5580" s="25">
        <f t="shared" si="263"/>
        <v>1.0000000000000009</v>
      </c>
      <c r="L5580" s="27"/>
      <c r="M5580" s="28"/>
      <c r="N5580" s="28"/>
      <c r="O5580" s="20" t="s">
        <v>7530</v>
      </c>
      <c r="P5580" s="27" t="str">
        <f t="shared" si="262"/>
        <v>vermelho</v>
      </c>
    </row>
    <row r="5581" spans="1:16" ht="25.5">
      <c r="A5581" s="3" t="s">
        <v>4</v>
      </c>
      <c r="B5581" s="3" t="s">
        <v>4403</v>
      </c>
      <c r="C5581" s="4">
        <v>335</v>
      </c>
      <c r="D5581" s="3" t="s">
        <v>36</v>
      </c>
      <c r="E5581" s="3" t="s">
        <v>7</v>
      </c>
      <c r="F5581" s="5">
        <v>72</v>
      </c>
      <c r="G5581" s="5">
        <v>0</v>
      </c>
      <c r="H5581" s="6">
        <v>4147.29</v>
      </c>
      <c r="I5581" s="22">
        <v>0</v>
      </c>
      <c r="J5581" s="24">
        <f t="shared" si="261"/>
        <v>0</v>
      </c>
      <c r="K5581" s="25">
        <f t="shared" si="263"/>
        <v>1.0000000000000009</v>
      </c>
      <c r="L5581" s="27"/>
      <c r="M5581" s="28"/>
      <c r="N5581" s="28"/>
      <c r="O5581" s="20" t="s">
        <v>7530</v>
      </c>
      <c r="P5581" s="27" t="str">
        <f t="shared" si="262"/>
        <v>vermelho</v>
      </c>
    </row>
    <row r="5582" spans="1:16" ht="38.25">
      <c r="A5582" s="3" t="s">
        <v>4</v>
      </c>
      <c r="B5582" s="3" t="s">
        <v>4404</v>
      </c>
      <c r="C5582" s="4">
        <v>45</v>
      </c>
      <c r="D5582" s="3" t="s">
        <v>23</v>
      </c>
      <c r="E5582" s="3" t="s">
        <v>7</v>
      </c>
      <c r="F5582" s="5">
        <v>189</v>
      </c>
      <c r="G5582" s="5">
        <v>0</v>
      </c>
      <c r="H5582" s="6">
        <v>12203.79</v>
      </c>
      <c r="I5582" s="22">
        <v>0</v>
      </c>
      <c r="J5582" s="24">
        <f t="shared" si="261"/>
        <v>0</v>
      </c>
      <c r="K5582" s="25">
        <f t="shared" si="263"/>
        <v>1.0000000000000009</v>
      </c>
      <c r="L5582" s="27"/>
      <c r="M5582" s="28"/>
      <c r="N5582" s="28"/>
      <c r="O5582" s="20" t="s">
        <v>7530</v>
      </c>
      <c r="P5582" s="27" t="str">
        <f t="shared" si="262"/>
        <v>vermelho</v>
      </c>
    </row>
    <row r="5583" spans="1:16" ht="25.5">
      <c r="A5583" s="3" t="s">
        <v>4</v>
      </c>
      <c r="B5583" s="3" t="s">
        <v>4405</v>
      </c>
      <c r="C5583" s="4">
        <v>31</v>
      </c>
      <c r="D5583" s="3" t="s">
        <v>194</v>
      </c>
      <c r="E5583" s="3" t="s">
        <v>16</v>
      </c>
      <c r="F5583" s="5">
        <v>114</v>
      </c>
      <c r="G5583" s="5">
        <v>0</v>
      </c>
      <c r="H5583" s="6">
        <v>6281.04</v>
      </c>
      <c r="I5583" s="22">
        <v>0</v>
      </c>
      <c r="J5583" s="24">
        <f t="shared" si="261"/>
        <v>0</v>
      </c>
      <c r="K5583" s="25">
        <f t="shared" si="263"/>
        <v>1.0000000000000009</v>
      </c>
      <c r="L5583" s="27"/>
      <c r="M5583" s="28"/>
      <c r="N5583" s="28"/>
      <c r="O5583" s="20" t="s">
        <v>7530</v>
      </c>
      <c r="P5583" s="27" t="str">
        <f t="shared" si="262"/>
        <v>vermelho</v>
      </c>
    </row>
    <row r="5584" spans="1:16" ht="25.5">
      <c r="A5584" s="3" t="s">
        <v>4</v>
      </c>
      <c r="B5584" s="3" t="s">
        <v>4406</v>
      </c>
      <c r="C5584" s="4">
        <v>19</v>
      </c>
      <c r="D5584" s="3" t="s">
        <v>72</v>
      </c>
      <c r="E5584" s="3" t="s">
        <v>41</v>
      </c>
      <c r="F5584" s="5">
        <v>0</v>
      </c>
      <c r="G5584" s="5">
        <v>0</v>
      </c>
      <c r="H5584" s="6">
        <v>0</v>
      </c>
      <c r="I5584" s="22">
        <v>0</v>
      </c>
      <c r="J5584" s="24">
        <f t="shared" si="261"/>
        <v>0</v>
      </c>
      <c r="K5584" s="25">
        <f t="shared" si="263"/>
        <v>1.0000000000000009</v>
      </c>
      <c r="L5584" s="27"/>
      <c r="M5584" s="28">
        <v>-9.1669148625068281E-3</v>
      </c>
      <c r="N5584" s="28"/>
      <c r="O5584" s="20" t="s">
        <v>7530</v>
      </c>
      <c r="P5584" s="27" t="str">
        <f t="shared" si="262"/>
        <v>vermelho</v>
      </c>
    </row>
    <row r="5585" spans="1:16">
      <c r="A5585" s="3" t="s">
        <v>4</v>
      </c>
      <c r="B5585" s="3" t="s">
        <v>4407</v>
      </c>
      <c r="C5585" s="4">
        <v>217</v>
      </c>
      <c r="D5585" s="3" t="s">
        <v>91</v>
      </c>
      <c r="E5585" s="3" t="s">
        <v>16</v>
      </c>
      <c r="F5585" s="5">
        <v>225</v>
      </c>
      <c r="G5585" s="5">
        <v>0</v>
      </c>
      <c r="H5585" s="6">
        <v>11943.99</v>
      </c>
      <c r="I5585" s="22">
        <v>0</v>
      </c>
      <c r="J5585" s="24">
        <f t="shared" si="261"/>
        <v>0</v>
      </c>
      <c r="K5585" s="25">
        <f t="shared" si="263"/>
        <v>1.0000000000000009</v>
      </c>
      <c r="L5585" s="27"/>
      <c r="M5585" s="28"/>
      <c r="N5585" s="28"/>
      <c r="O5585" s="20" t="s">
        <v>7530</v>
      </c>
      <c r="P5585" s="27" t="str">
        <f t="shared" si="262"/>
        <v>vermelho</v>
      </c>
    </row>
    <row r="5586" spans="1:16" ht="25.5">
      <c r="A5586" s="3" t="s">
        <v>4</v>
      </c>
      <c r="B5586" s="3" t="s">
        <v>4408</v>
      </c>
      <c r="C5586" s="4">
        <v>187</v>
      </c>
      <c r="D5586" s="3" t="s">
        <v>96</v>
      </c>
      <c r="E5586" s="3" t="s">
        <v>7</v>
      </c>
      <c r="F5586" s="5">
        <v>60</v>
      </c>
      <c r="G5586" s="5">
        <v>0</v>
      </c>
      <c r="H5586" s="6">
        <v>3089.82</v>
      </c>
      <c r="I5586" s="22">
        <v>0</v>
      </c>
      <c r="J5586" s="24">
        <f t="shared" si="261"/>
        <v>0</v>
      </c>
      <c r="K5586" s="25">
        <f t="shared" si="263"/>
        <v>1.0000000000000009</v>
      </c>
      <c r="L5586" s="27"/>
      <c r="M5586" s="28"/>
      <c r="N5586" s="28"/>
      <c r="O5586" s="20" t="s">
        <v>7530</v>
      </c>
      <c r="P5586" s="27" t="str">
        <f t="shared" si="262"/>
        <v>vermelho</v>
      </c>
    </row>
    <row r="5587" spans="1:16" ht="38.25">
      <c r="A5587" s="3" t="s">
        <v>4</v>
      </c>
      <c r="B5587" s="3" t="s">
        <v>4409</v>
      </c>
      <c r="C5587" s="4">
        <v>292</v>
      </c>
      <c r="D5587" s="3" t="s">
        <v>57</v>
      </c>
      <c r="E5587" s="3" t="s">
        <v>49</v>
      </c>
      <c r="F5587" s="5">
        <v>231</v>
      </c>
      <c r="G5587" s="5">
        <v>0</v>
      </c>
      <c r="H5587" s="6">
        <v>11047.022999999999</v>
      </c>
      <c r="I5587" s="22">
        <v>0</v>
      </c>
      <c r="J5587" s="24">
        <f t="shared" si="261"/>
        <v>0</v>
      </c>
      <c r="K5587" s="25">
        <f t="shared" si="263"/>
        <v>1.0000000000000009</v>
      </c>
      <c r="L5587" s="27"/>
      <c r="M5587" s="28"/>
      <c r="N5587" s="28"/>
      <c r="O5587" s="20" t="s">
        <v>7530</v>
      </c>
      <c r="P5587" s="27" t="str">
        <f t="shared" si="262"/>
        <v>vermelho</v>
      </c>
    </row>
    <row r="5588" spans="1:16" ht="25.5">
      <c r="A5588" s="3" t="s">
        <v>4</v>
      </c>
      <c r="B5588" s="3" t="s">
        <v>4410</v>
      </c>
      <c r="C5588" s="4">
        <v>23</v>
      </c>
      <c r="D5588" s="3" t="s">
        <v>87</v>
      </c>
      <c r="E5588" s="3" t="s">
        <v>7</v>
      </c>
      <c r="F5588" s="5">
        <v>219</v>
      </c>
      <c r="G5588" s="5">
        <v>0</v>
      </c>
      <c r="H5588" s="6">
        <v>11595.81</v>
      </c>
      <c r="I5588" s="22">
        <v>0</v>
      </c>
      <c r="J5588" s="24">
        <f t="shared" si="261"/>
        <v>0</v>
      </c>
      <c r="K5588" s="25">
        <f t="shared" si="263"/>
        <v>1.0000000000000009</v>
      </c>
      <c r="L5588" s="27"/>
      <c r="M5588" s="28"/>
      <c r="N5588" s="28"/>
      <c r="O5588" s="20" t="s">
        <v>7530</v>
      </c>
      <c r="P5588" s="27" t="str">
        <f t="shared" si="262"/>
        <v>vermelho</v>
      </c>
    </row>
    <row r="5589" spans="1:16" ht="25.5">
      <c r="A5589" s="3" t="s">
        <v>4</v>
      </c>
      <c r="B5589" s="3" t="s">
        <v>4411</v>
      </c>
      <c r="C5589" s="4">
        <v>328</v>
      </c>
      <c r="D5589" s="3" t="s">
        <v>215</v>
      </c>
      <c r="E5589" s="3" t="s">
        <v>41</v>
      </c>
      <c r="F5589" s="5">
        <v>60</v>
      </c>
      <c r="G5589" s="5">
        <v>0</v>
      </c>
      <c r="H5589" s="6">
        <v>2629.8</v>
      </c>
      <c r="I5589" s="22">
        <v>0</v>
      </c>
      <c r="J5589" s="24">
        <f t="shared" si="261"/>
        <v>0</v>
      </c>
      <c r="K5589" s="25">
        <f t="shared" si="263"/>
        <v>1.0000000000000009</v>
      </c>
      <c r="L5589" s="27"/>
      <c r="M5589" s="28"/>
      <c r="N5589" s="28"/>
      <c r="O5589" s="20" t="s">
        <v>7530</v>
      </c>
      <c r="P5589" s="27" t="str">
        <f t="shared" si="262"/>
        <v>vermelho</v>
      </c>
    </row>
    <row r="5590" spans="1:16" ht="25.5">
      <c r="A5590" s="3" t="s">
        <v>4</v>
      </c>
      <c r="B5590" s="3" t="s">
        <v>4412</v>
      </c>
      <c r="C5590" s="4">
        <v>317</v>
      </c>
      <c r="D5590" s="3" t="s">
        <v>78</v>
      </c>
      <c r="E5590" s="3" t="s">
        <v>10</v>
      </c>
      <c r="F5590" s="5">
        <v>66</v>
      </c>
      <c r="G5590" s="5">
        <v>0</v>
      </c>
      <c r="H5590" s="6">
        <v>4376.1000000000004</v>
      </c>
      <c r="I5590" s="22">
        <v>0</v>
      </c>
      <c r="J5590" s="24">
        <f t="shared" si="261"/>
        <v>0</v>
      </c>
      <c r="K5590" s="25">
        <f t="shared" si="263"/>
        <v>1.0000000000000009</v>
      </c>
      <c r="L5590" s="27"/>
      <c r="M5590" s="28"/>
      <c r="N5590" s="28"/>
      <c r="O5590" s="20">
        <v>3744.36</v>
      </c>
      <c r="P5590" s="27" t="str">
        <f t="shared" si="262"/>
        <v>vermelho</v>
      </c>
    </row>
    <row r="5591" spans="1:16" ht="25.5">
      <c r="A5591" s="3" t="s">
        <v>4</v>
      </c>
      <c r="B5591" s="3" t="s">
        <v>4413</v>
      </c>
      <c r="C5591" s="4">
        <v>316</v>
      </c>
      <c r="D5591" s="3" t="s">
        <v>247</v>
      </c>
      <c r="E5591" s="3" t="s">
        <v>10</v>
      </c>
      <c r="F5591" s="5">
        <v>60</v>
      </c>
      <c r="G5591" s="5">
        <v>0</v>
      </c>
      <c r="H5591" s="6">
        <v>2421</v>
      </c>
      <c r="I5591" s="22">
        <v>0</v>
      </c>
      <c r="J5591" s="24">
        <f t="shared" si="261"/>
        <v>0</v>
      </c>
      <c r="K5591" s="25">
        <f t="shared" si="263"/>
        <v>1.0000000000000009</v>
      </c>
      <c r="L5591" s="27"/>
      <c r="M5591" s="28"/>
      <c r="N5591" s="28"/>
      <c r="O5591" s="20" t="s">
        <v>7530</v>
      </c>
      <c r="P5591" s="27" t="str">
        <f t="shared" si="262"/>
        <v>vermelho</v>
      </c>
    </row>
    <row r="5592" spans="1:16" ht="25.5">
      <c r="A5592" s="3" t="s">
        <v>4</v>
      </c>
      <c r="B5592" s="3" t="s">
        <v>4414</v>
      </c>
      <c r="C5592" s="4">
        <v>261</v>
      </c>
      <c r="D5592" s="3" t="s">
        <v>9</v>
      </c>
      <c r="E5592" s="3" t="s">
        <v>10</v>
      </c>
      <c r="F5592" s="5">
        <v>279</v>
      </c>
      <c r="G5592" s="5">
        <v>0</v>
      </c>
      <c r="H5592" s="6">
        <v>14463.21</v>
      </c>
      <c r="I5592" s="22">
        <v>0</v>
      </c>
      <c r="J5592" s="24">
        <f t="shared" si="261"/>
        <v>0</v>
      </c>
      <c r="K5592" s="25">
        <f t="shared" si="263"/>
        <v>1.0000000000000009</v>
      </c>
      <c r="L5592" s="27"/>
      <c r="M5592" s="28"/>
      <c r="N5592" s="28"/>
      <c r="O5592" s="20" t="s">
        <v>7530</v>
      </c>
      <c r="P5592" s="27" t="str">
        <f t="shared" si="262"/>
        <v>vermelho</v>
      </c>
    </row>
    <row r="5593" spans="1:16" ht="25.5">
      <c r="A5593" s="3" t="s">
        <v>4</v>
      </c>
      <c r="B5593" s="3" t="s">
        <v>4415</v>
      </c>
      <c r="C5593" s="4">
        <v>328</v>
      </c>
      <c r="D5593" s="3" t="s">
        <v>215</v>
      </c>
      <c r="E5593" s="3" t="s">
        <v>41</v>
      </c>
      <c r="F5593" s="5">
        <v>120</v>
      </c>
      <c r="G5593" s="5">
        <v>0</v>
      </c>
      <c r="H5593" s="6">
        <v>6958.8</v>
      </c>
      <c r="I5593" s="22">
        <v>0</v>
      </c>
      <c r="J5593" s="24">
        <f t="shared" si="261"/>
        <v>0</v>
      </c>
      <c r="K5593" s="25">
        <f t="shared" si="263"/>
        <v>1.0000000000000009</v>
      </c>
      <c r="L5593" s="27"/>
      <c r="M5593" s="28"/>
      <c r="N5593" s="28"/>
      <c r="O5593" s="20" t="s">
        <v>7530</v>
      </c>
      <c r="P5593" s="27" t="str">
        <f t="shared" si="262"/>
        <v>vermelho</v>
      </c>
    </row>
    <row r="5594" spans="1:16" ht="25.5">
      <c r="A5594" s="3" t="s">
        <v>4</v>
      </c>
      <c r="B5594" s="3" t="s">
        <v>4416</v>
      </c>
      <c r="C5594" s="4">
        <v>299</v>
      </c>
      <c r="D5594" s="3" t="s">
        <v>111</v>
      </c>
      <c r="E5594" s="3" t="s">
        <v>49</v>
      </c>
      <c r="F5594" s="5">
        <v>132</v>
      </c>
      <c r="G5594" s="5">
        <v>0</v>
      </c>
      <c r="H5594" s="6">
        <v>7126.68</v>
      </c>
      <c r="I5594" s="22">
        <v>0</v>
      </c>
      <c r="J5594" s="24">
        <f t="shared" si="261"/>
        <v>0</v>
      </c>
      <c r="K5594" s="25">
        <f t="shared" si="263"/>
        <v>1.0000000000000009</v>
      </c>
      <c r="L5594" s="27"/>
      <c r="M5594" s="28"/>
      <c r="N5594" s="28"/>
      <c r="O5594" s="20" t="s">
        <v>7530</v>
      </c>
      <c r="P5594" s="27" t="str">
        <f t="shared" si="262"/>
        <v>vermelho</v>
      </c>
    </row>
    <row r="5595" spans="1:16" ht="25.5">
      <c r="A5595" s="3" t="s">
        <v>4</v>
      </c>
      <c r="B5595" s="3" t="s">
        <v>4417</v>
      </c>
      <c r="C5595" s="4">
        <v>208</v>
      </c>
      <c r="D5595" s="3" t="s">
        <v>15</v>
      </c>
      <c r="E5595" s="3" t="s">
        <v>16</v>
      </c>
      <c r="F5595" s="5">
        <v>132</v>
      </c>
      <c r="G5595" s="5">
        <v>0</v>
      </c>
      <c r="H5595" s="6">
        <v>6938.76</v>
      </c>
      <c r="I5595" s="22">
        <v>0</v>
      </c>
      <c r="J5595" s="24">
        <f t="shared" si="261"/>
        <v>0</v>
      </c>
      <c r="K5595" s="25">
        <f t="shared" si="263"/>
        <v>1.0000000000000009</v>
      </c>
      <c r="L5595" s="27"/>
      <c r="M5595" s="28"/>
      <c r="N5595" s="28"/>
      <c r="O5595" s="20" t="s">
        <v>7530</v>
      </c>
      <c r="P5595" s="27" t="str">
        <f t="shared" si="262"/>
        <v>vermelho</v>
      </c>
    </row>
    <row r="5596" spans="1:16" ht="25.5">
      <c r="A5596" s="3" t="s">
        <v>4</v>
      </c>
      <c r="B5596" s="3" t="s">
        <v>4418</v>
      </c>
      <c r="C5596" s="4">
        <v>267</v>
      </c>
      <c r="D5596" s="3" t="s">
        <v>125</v>
      </c>
      <c r="E5596" s="3" t="s">
        <v>16</v>
      </c>
      <c r="F5596" s="5">
        <v>168</v>
      </c>
      <c r="G5596" s="5">
        <v>0</v>
      </c>
      <c r="H5596" s="6">
        <v>9606.7199999999993</v>
      </c>
      <c r="I5596" s="22">
        <v>0</v>
      </c>
      <c r="J5596" s="24">
        <f t="shared" si="261"/>
        <v>0</v>
      </c>
      <c r="K5596" s="25">
        <f t="shared" si="263"/>
        <v>1.0000000000000009</v>
      </c>
      <c r="L5596" s="27"/>
      <c r="M5596" s="28"/>
      <c r="N5596" s="28"/>
      <c r="O5596" s="20" t="s">
        <v>7530</v>
      </c>
      <c r="P5596" s="27" t="str">
        <f t="shared" si="262"/>
        <v>vermelho</v>
      </c>
    </row>
    <row r="5597" spans="1:16" ht="25.5">
      <c r="A5597" s="3" t="s">
        <v>4</v>
      </c>
      <c r="B5597" s="3" t="s">
        <v>4419</v>
      </c>
      <c r="C5597" s="4">
        <v>273</v>
      </c>
      <c r="D5597" s="3" t="s">
        <v>149</v>
      </c>
      <c r="E5597" s="3" t="s">
        <v>10</v>
      </c>
      <c r="F5597" s="5">
        <v>213</v>
      </c>
      <c r="G5597" s="5">
        <v>0</v>
      </c>
      <c r="H5597" s="6">
        <v>8626.41</v>
      </c>
      <c r="I5597" s="22">
        <v>0</v>
      </c>
      <c r="J5597" s="24">
        <f t="shared" si="261"/>
        <v>0</v>
      </c>
      <c r="K5597" s="25">
        <f t="shared" si="263"/>
        <v>1.0000000000000009</v>
      </c>
      <c r="L5597" s="27"/>
      <c r="M5597" s="28"/>
      <c r="N5597" s="28"/>
      <c r="O5597" s="20" t="s">
        <v>7530</v>
      </c>
      <c r="P5597" s="27" t="str">
        <f t="shared" si="262"/>
        <v>vermelho</v>
      </c>
    </row>
    <row r="5598" spans="1:16" ht="25.5">
      <c r="A5598" s="3" t="s">
        <v>4</v>
      </c>
      <c r="B5598" s="3" t="s">
        <v>4420</v>
      </c>
      <c r="C5598" s="4">
        <v>93</v>
      </c>
      <c r="D5598" s="3" t="s">
        <v>20</v>
      </c>
      <c r="E5598" s="3" t="s">
        <v>7</v>
      </c>
      <c r="F5598" s="5">
        <v>744</v>
      </c>
      <c r="G5598" s="5">
        <v>0</v>
      </c>
      <c r="H5598" s="6">
        <v>24979.200000000001</v>
      </c>
      <c r="I5598" s="22">
        <v>0</v>
      </c>
      <c r="J5598" s="24">
        <f t="shared" si="261"/>
        <v>0</v>
      </c>
      <c r="K5598" s="25">
        <f t="shared" si="263"/>
        <v>1.0000000000000009</v>
      </c>
      <c r="L5598" s="27"/>
      <c r="M5598" s="28"/>
      <c r="N5598" s="28"/>
      <c r="O5598" s="20" t="s">
        <v>7530</v>
      </c>
      <c r="P5598" s="27" t="str">
        <f t="shared" si="262"/>
        <v>vermelho</v>
      </c>
    </row>
    <row r="5599" spans="1:16" ht="38.25">
      <c r="A5599" s="3" t="s">
        <v>4</v>
      </c>
      <c r="B5599" s="3" t="s">
        <v>4421</v>
      </c>
      <c r="C5599" s="4">
        <v>292</v>
      </c>
      <c r="D5599" s="3" t="s">
        <v>57</v>
      </c>
      <c r="E5599" s="3" t="s">
        <v>49</v>
      </c>
      <c r="F5599" s="5">
        <v>114</v>
      </c>
      <c r="G5599" s="5">
        <v>0</v>
      </c>
      <c r="H5599" s="6">
        <v>4906.2</v>
      </c>
      <c r="I5599" s="22">
        <v>0</v>
      </c>
      <c r="J5599" s="24">
        <f t="shared" si="261"/>
        <v>0</v>
      </c>
      <c r="K5599" s="25">
        <f t="shared" si="263"/>
        <v>1.0000000000000009</v>
      </c>
      <c r="L5599" s="27"/>
      <c r="M5599" s="28"/>
      <c r="N5599" s="28"/>
      <c r="O5599" s="20" t="s">
        <v>7530</v>
      </c>
      <c r="P5599" s="27" t="str">
        <f t="shared" si="262"/>
        <v>vermelho</v>
      </c>
    </row>
    <row r="5600" spans="1:16" ht="25.5">
      <c r="A5600" s="3" t="s">
        <v>4</v>
      </c>
      <c r="B5600" s="3" t="s">
        <v>4422</v>
      </c>
      <c r="C5600" s="4">
        <v>194</v>
      </c>
      <c r="D5600" s="3" t="s">
        <v>145</v>
      </c>
      <c r="E5600" s="3" t="s">
        <v>16</v>
      </c>
      <c r="F5600" s="5">
        <v>168</v>
      </c>
      <c r="G5600" s="5">
        <v>0</v>
      </c>
      <c r="H5600" s="6">
        <v>8756.52</v>
      </c>
      <c r="I5600" s="22">
        <v>0</v>
      </c>
      <c r="J5600" s="24">
        <f t="shared" si="261"/>
        <v>0</v>
      </c>
      <c r="K5600" s="25">
        <f t="shared" si="263"/>
        <v>1.0000000000000009</v>
      </c>
      <c r="L5600" s="27"/>
      <c r="M5600" s="28"/>
      <c r="N5600" s="28"/>
      <c r="O5600" s="20" t="s">
        <v>7530</v>
      </c>
      <c r="P5600" s="27" t="str">
        <f t="shared" si="262"/>
        <v>vermelho</v>
      </c>
    </row>
    <row r="5601" spans="1:16" ht="25.5">
      <c r="A5601" s="3" t="s">
        <v>4</v>
      </c>
      <c r="B5601" s="3" t="s">
        <v>4423</v>
      </c>
      <c r="C5601" s="4">
        <v>317</v>
      </c>
      <c r="D5601" s="3" t="s">
        <v>78</v>
      </c>
      <c r="E5601" s="3" t="s">
        <v>10</v>
      </c>
      <c r="F5601" s="5">
        <v>108</v>
      </c>
      <c r="G5601" s="5">
        <v>0</v>
      </c>
      <c r="H5601" s="6">
        <v>6095.79</v>
      </c>
      <c r="I5601" s="22">
        <v>0</v>
      </c>
      <c r="J5601" s="24">
        <f t="shared" si="261"/>
        <v>0</v>
      </c>
      <c r="K5601" s="25">
        <f t="shared" si="263"/>
        <v>1.0000000000000009</v>
      </c>
      <c r="L5601" s="27"/>
      <c r="M5601" s="28"/>
      <c r="N5601" s="28"/>
      <c r="O5601" s="20" t="s">
        <v>7530</v>
      </c>
      <c r="P5601" s="27" t="str">
        <f t="shared" si="262"/>
        <v>vermelho</v>
      </c>
    </row>
    <row r="5602" spans="1:16" ht="38.25">
      <c r="A5602" s="3" t="s">
        <v>4</v>
      </c>
      <c r="B5602" s="3" t="s">
        <v>4424</v>
      </c>
      <c r="C5602" s="4">
        <v>45</v>
      </c>
      <c r="D5602" s="3" t="s">
        <v>23</v>
      </c>
      <c r="E5602" s="3" t="s">
        <v>7</v>
      </c>
      <c r="F5602" s="5">
        <v>288</v>
      </c>
      <c r="G5602" s="5">
        <v>0</v>
      </c>
      <c r="H5602" s="6">
        <v>13670.208000000001</v>
      </c>
      <c r="I5602" s="22">
        <v>0</v>
      </c>
      <c r="J5602" s="24">
        <f t="shared" si="261"/>
        <v>0</v>
      </c>
      <c r="K5602" s="25">
        <f t="shared" si="263"/>
        <v>1.0000000000000009</v>
      </c>
      <c r="L5602" s="27"/>
      <c r="M5602" s="28"/>
      <c r="N5602" s="28"/>
      <c r="O5602" s="20" t="s">
        <v>7530</v>
      </c>
      <c r="P5602" s="27" t="str">
        <f t="shared" si="262"/>
        <v>vermelho</v>
      </c>
    </row>
    <row r="5603" spans="1:16" ht="25.5">
      <c r="A5603" s="3" t="s">
        <v>4</v>
      </c>
      <c r="B5603" s="3" t="s">
        <v>4425</v>
      </c>
      <c r="C5603" s="4">
        <v>31</v>
      </c>
      <c r="D5603" s="3" t="s">
        <v>194</v>
      </c>
      <c r="E5603" s="3" t="s">
        <v>16</v>
      </c>
      <c r="F5603" s="5">
        <v>72</v>
      </c>
      <c r="G5603" s="5">
        <v>0</v>
      </c>
      <c r="H5603" s="6">
        <v>3362.4</v>
      </c>
      <c r="I5603" s="22">
        <v>0</v>
      </c>
      <c r="J5603" s="24">
        <f t="shared" si="261"/>
        <v>0</v>
      </c>
      <c r="K5603" s="25">
        <f t="shared" si="263"/>
        <v>1.0000000000000009</v>
      </c>
      <c r="L5603" s="27"/>
      <c r="M5603" s="28"/>
      <c r="N5603" s="28"/>
      <c r="O5603" s="20" t="s">
        <v>7530</v>
      </c>
      <c r="P5603" s="27" t="str">
        <f t="shared" si="262"/>
        <v>vermelho</v>
      </c>
    </row>
    <row r="5604" spans="1:16" ht="25.5">
      <c r="A5604" s="3" t="s">
        <v>4</v>
      </c>
      <c r="B5604" s="3" t="s">
        <v>4426</v>
      </c>
      <c r="C5604" s="4">
        <v>194</v>
      </c>
      <c r="D5604" s="3" t="s">
        <v>145</v>
      </c>
      <c r="E5604" s="3" t="s">
        <v>16</v>
      </c>
      <c r="F5604" s="5">
        <v>48</v>
      </c>
      <c r="G5604" s="5">
        <v>0</v>
      </c>
      <c r="H5604" s="6">
        <v>2891.76</v>
      </c>
      <c r="I5604" s="22">
        <v>0</v>
      </c>
      <c r="J5604" s="24">
        <f t="shared" si="261"/>
        <v>0</v>
      </c>
      <c r="K5604" s="25">
        <f t="shared" si="263"/>
        <v>1.0000000000000009</v>
      </c>
      <c r="L5604" s="27"/>
      <c r="M5604" s="28"/>
      <c r="N5604" s="28"/>
      <c r="O5604" s="20" t="s">
        <v>7530</v>
      </c>
      <c r="P5604" s="27" t="str">
        <f t="shared" si="262"/>
        <v>vermelho</v>
      </c>
    </row>
    <row r="5605" spans="1:16">
      <c r="A5605" s="3" t="s">
        <v>4</v>
      </c>
      <c r="B5605" s="3" t="s">
        <v>4427</v>
      </c>
      <c r="C5605" s="4">
        <v>334</v>
      </c>
      <c r="D5605" s="3" t="s">
        <v>531</v>
      </c>
      <c r="E5605" s="3" t="s">
        <v>7</v>
      </c>
      <c r="F5605" s="5">
        <v>99</v>
      </c>
      <c r="G5605" s="5">
        <v>0</v>
      </c>
      <c r="H5605" s="6">
        <v>5075.01</v>
      </c>
      <c r="I5605" s="22">
        <v>0</v>
      </c>
      <c r="J5605" s="24">
        <f t="shared" si="261"/>
        <v>0</v>
      </c>
      <c r="K5605" s="25">
        <f t="shared" si="263"/>
        <v>1.0000000000000009</v>
      </c>
      <c r="L5605" s="27"/>
      <c r="M5605" s="28"/>
      <c r="N5605" s="28"/>
      <c r="O5605" s="20" t="s">
        <v>7530</v>
      </c>
      <c r="P5605" s="27" t="str">
        <f t="shared" si="262"/>
        <v>vermelho</v>
      </c>
    </row>
    <row r="5606" spans="1:16" ht="25.5">
      <c r="A5606" s="3" t="s">
        <v>4</v>
      </c>
      <c r="B5606" s="3" t="s">
        <v>4428</v>
      </c>
      <c r="C5606" s="4">
        <v>208</v>
      </c>
      <c r="D5606" s="3" t="s">
        <v>15</v>
      </c>
      <c r="E5606" s="3" t="s">
        <v>16</v>
      </c>
      <c r="F5606" s="5">
        <v>60</v>
      </c>
      <c r="G5606" s="5">
        <v>0</v>
      </c>
      <c r="H5606" s="6">
        <v>4211.3999999999996</v>
      </c>
      <c r="I5606" s="22">
        <v>0</v>
      </c>
      <c r="J5606" s="24">
        <f t="shared" si="261"/>
        <v>0</v>
      </c>
      <c r="K5606" s="25">
        <f t="shared" si="263"/>
        <v>1.0000000000000009</v>
      </c>
      <c r="L5606" s="27"/>
      <c r="M5606" s="28"/>
      <c r="N5606" s="28"/>
      <c r="O5606" s="20" t="s">
        <v>7530</v>
      </c>
      <c r="P5606" s="27" t="str">
        <f t="shared" si="262"/>
        <v>vermelho</v>
      </c>
    </row>
    <row r="5607" spans="1:16" ht="25.5">
      <c r="A5607" s="3" t="s">
        <v>4</v>
      </c>
      <c r="B5607" s="3" t="s">
        <v>4429</v>
      </c>
      <c r="C5607" s="4">
        <v>39</v>
      </c>
      <c r="D5607" s="3" t="s">
        <v>26</v>
      </c>
      <c r="E5607" s="3" t="s">
        <v>13</v>
      </c>
      <c r="F5607" s="5">
        <v>0</v>
      </c>
      <c r="G5607" s="5">
        <v>0</v>
      </c>
      <c r="H5607" s="6">
        <v>0</v>
      </c>
      <c r="I5607" s="22">
        <v>0</v>
      </c>
      <c r="J5607" s="24">
        <f t="shared" si="261"/>
        <v>0</v>
      </c>
      <c r="K5607" s="25">
        <f t="shared" si="263"/>
        <v>1.0000000000000009</v>
      </c>
      <c r="L5607" s="27"/>
      <c r="M5607" s="28"/>
      <c r="N5607" s="28"/>
      <c r="O5607" s="20" t="s">
        <v>7530</v>
      </c>
      <c r="P5607" s="27" t="str">
        <f t="shared" si="262"/>
        <v>vermelho</v>
      </c>
    </row>
    <row r="5608" spans="1:16" ht="51">
      <c r="A5608" s="3" t="s">
        <v>4</v>
      </c>
      <c r="B5608" s="3" t="s">
        <v>4430</v>
      </c>
      <c r="C5608" s="4">
        <v>282</v>
      </c>
      <c r="D5608" s="3" t="s">
        <v>12</v>
      </c>
      <c r="E5608" s="3" t="s">
        <v>13</v>
      </c>
      <c r="F5608" s="5">
        <v>138</v>
      </c>
      <c r="G5608" s="5">
        <v>0</v>
      </c>
      <c r="H5608" s="6">
        <v>7737.6</v>
      </c>
      <c r="I5608" s="22">
        <v>0</v>
      </c>
      <c r="J5608" s="24">
        <f t="shared" si="261"/>
        <v>0</v>
      </c>
      <c r="K5608" s="25">
        <f t="shared" si="263"/>
        <v>1.0000000000000009</v>
      </c>
      <c r="L5608" s="27"/>
      <c r="M5608" s="28"/>
      <c r="N5608" s="28"/>
      <c r="O5608" s="20" t="s">
        <v>7530</v>
      </c>
      <c r="P5608" s="27" t="str">
        <f t="shared" si="262"/>
        <v>vermelho</v>
      </c>
    </row>
    <row r="5609" spans="1:16" ht="25.5">
      <c r="A5609" s="3" t="s">
        <v>4</v>
      </c>
      <c r="B5609" s="3" t="s">
        <v>4431</v>
      </c>
      <c r="C5609" s="4">
        <v>194</v>
      </c>
      <c r="D5609" s="3" t="s">
        <v>145</v>
      </c>
      <c r="E5609" s="3" t="s">
        <v>16</v>
      </c>
      <c r="F5609" s="5">
        <v>84</v>
      </c>
      <c r="G5609" s="5">
        <v>0</v>
      </c>
      <c r="H5609" s="6">
        <v>4745.3999999999996</v>
      </c>
      <c r="I5609" s="22">
        <v>0</v>
      </c>
      <c r="J5609" s="24">
        <f t="shared" si="261"/>
        <v>0</v>
      </c>
      <c r="K5609" s="25">
        <f t="shared" si="263"/>
        <v>1.0000000000000009</v>
      </c>
      <c r="L5609" s="27"/>
      <c r="M5609" s="28"/>
      <c r="N5609" s="28"/>
      <c r="O5609" s="20" t="s">
        <v>7530</v>
      </c>
      <c r="P5609" s="27" t="str">
        <f t="shared" si="262"/>
        <v>vermelho</v>
      </c>
    </row>
    <row r="5610" spans="1:16">
      <c r="A5610" s="3" t="s">
        <v>4</v>
      </c>
      <c r="B5610" s="3" t="s">
        <v>4432</v>
      </c>
      <c r="C5610" s="4">
        <v>232</v>
      </c>
      <c r="D5610" s="3" t="s">
        <v>174</v>
      </c>
      <c r="E5610" s="3" t="s">
        <v>16</v>
      </c>
      <c r="F5610" s="5">
        <v>198</v>
      </c>
      <c r="G5610" s="5">
        <v>0</v>
      </c>
      <c r="H5610" s="6">
        <v>10867.14</v>
      </c>
      <c r="I5610" s="22">
        <v>0</v>
      </c>
      <c r="J5610" s="24">
        <f t="shared" si="261"/>
        <v>0</v>
      </c>
      <c r="K5610" s="25">
        <f t="shared" si="263"/>
        <v>1.0000000000000009</v>
      </c>
      <c r="L5610" s="27"/>
      <c r="M5610" s="28"/>
      <c r="N5610" s="28"/>
      <c r="O5610" s="20" t="s">
        <v>7530</v>
      </c>
      <c r="P5610" s="27" t="str">
        <f t="shared" si="262"/>
        <v>vermelho</v>
      </c>
    </row>
    <row r="5611" spans="1:16" ht="25.5">
      <c r="A5611" s="3" t="s">
        <v>4</v>
      </c>
      <c r="B5611" s="3" t="s">
        <v>4433</v>
      </c>
      <c r="C5611" s="4">
        <v>194</v>
      </c>
      <c r="D5611" s="3" t="s">
        <v>145</v>
      </c>
      <c r="E5611" s="3" t="s">
        <v>16</v>
      </c>
      <c r="F5611" s="5">
        <v>174</v>
      </c>
      <c r="G5611" s="5">
        <v>0</v>
      </c>
      <c r="H5611" s="6">
        <v>10010.52</v>
      </c>
      <c r="I5611" s="22">
        <v>0</v>
      </c>
      <c r="J5611" s="24">
        <f t="shared" si="261"/>
        <v>0</v>
      </c>
      <c r="K5611" s="25">
        <f t="shared" si="263"/>
        <v>1.0000000000000009</v>
      </c>
      <c r="L5611" s="27"/>
      <c r="M5611" s="28"/>
      <c r="N5611" s="28"/>
      <c r="O5611" s="20" t="s">
        <v>7530</v>
      </c>
      <c r="P5611" s="27" t="str">
        <f t="shared" si="262"/>
        <v>vermelho</v>
      </c>
    </row>
    <row r="5612" spans="1:16" ht="25.5">
      <c r="A5612" s="3" t="s">
        <v>4</v>
      </c>
      <c r="B5612" s="3" t="s">
        <v>4434</v>
      </c>
      <c r="C5612" s="4">
        <v>261</v>
      </c>
      <c r="D5612" s="3" t="s">
        <v>9</v>
      </c>
      <c r="E5612" s="3" t="s">
        <v>10</v>
      </c>
      <c r="F5612" s="5">
        <v>138</v>
      </c>
      <c r="G5612" s="5">
        <v>0</v>
      </c>
      <c r="H5612" s="6">
        <v>6955.8</v>
      </c>
      <c r="I5612" s="22">
        <v>0</v>
      </c>
      <c r="J5612" s="24">
        <f t="shared" si="261"/>
        <v>0</v>
      </c>
      <c r="K5612" s="25">
        <f t="shared" si="263"/>
        <v>1.0000000000000009</v>
      </c>
      <c r="L5612" s="27"/>
      <c r="M5612" s="28"/>
      <c r="N5612" s="28"/>
      <c r="O5612" s="20" t="s">
        <v>7530</v>
      </c>
      <c r="P5612" s="27" t="str">
        <f t="shared" si="262"/>
        <v>vermelho</v>
      </c>
    </row>
    <row r="5613" spans="1:16" ht="38.25">
      <c r="A5613" s="3" t="s">
        <v>4</v>
      </c>
      <c r="B5613" s="3" t="s">
        <v>4435</v>
      </c>
      <c r="C5613" s="4">
        <v>34</v>
      </c>
      <c r="D5613" s="3" t="s">
        <v>54</v>
      </c>
      <c r="E5613" s="3" t="s">
        <v>49</v>
      </c>
      <c r="F5613" s="5">
        <v>228</v>
      </c>
      <c r="G5613" s="5">
        <v>0</v>
      </c>
      <c r="H5613" s="6">
        <v>13801.32</v>
      </c>
      <c r="I5613" s="22">
        <v>0</v>
      </c>
      <c r="J5613" s="24">
        <f t="shared" si="261"/>
        <v>0</v>
      </c>
      <c r="K5613" s="25">
        <f t="shared" si="263"/>
        <v>1.0000000000000009</v>
      </c>
      <c r="L5613" s="27"/>
      <c r="M5613" s="28"/>
      <c r="N5613" s="28"/>
      <c r="O5613" s="20" t="s">
        <v>7530</v>
      </c>
      <c r="P5613" s="27" t="str">
        <f t="shared" si="262"/>
        <v>vermelho</v>
      </c>
    </row>
    <row r="5614" spans="1:16">
      <c r="A5614" s="3" t="s">
        <v>4</v>
      </c>
      <c r="B5614" s="3" t="s">
        <v>4436</v>
      </c>
      <c r="C5614" s="4">
        <v>232</v>
      </c>
      <c r="D5614" s="3" t="s">
        <v>174</v>
      </c>
      <c r="E5614" s="3" t="s">
        <v>16</v>
      </c>
      <c r="F5614" s="5">
        <v>222</v>
      </c>
      <c r="G5614" s="5">
        <v>0</v>
      </c>
      <c r="H5614" s="6">
        <v>12895.32</v>
      </c>
      <c r="I5614" s="22">
        <v>0</v>
      </c>
      <c r="J5614" s="24">
        <f t="shared" si="261"/>
        <v>0</v>
      </c>
      <c r="K5614" s="25">
        <f t="shared" si="263"/>
        <v>1.0000000000000009</v>
      </c>
      <c r="L5614" s="27"/>
      <c r="M5614" s="28"/>
      <c r="N5614" s="28"/>
      <c r="O5614" s="20" t="s">
        <v>7530</v>
      </c>
      <c r="P5614" s="27" t="str">
        <f t="shared" si="262"/>
        <v>vermelho</v>
      </c>
    </row>
    <row r="5615" spans="1:16" ht="25.5">
      <c r="A5615" s="3" t="s">
        <v>4</v>
      </c>
      <c r="B5615" s="3" t="s">
        <v>4437</v>
      </c>
      <c r="C5615" s="4">
        <v>197</v>
      </c>
      <c r="D5615" s="3" t="s">
        <v>66</v>
      </c>
      <c r="E5615" s="3" t="s">
        <v>41</v>
      </c>
      <c r="F5615" s="5">
        <v>36</v>
      </c>
      <c r="G5615" s="5">
        <v>0</v>
      </c>
      <c r="H5615" s="6">
        <v>2159.64</v>
      </c>
      <c r="I5615" s="22">
        <v>0</v>
      </c>
      <c r="J5615" s="24">
        <f t="shared" si="261"/>
        <v>0</v>
      </c>
      <c r="K5615" s="25">
        <f t="shared" si="263"/>
        <v>1.0000000000000009</v>
      </c>
      <c r="L5615" s="27"/>
      <c r="M5615" s="28"/>
      <c r="N5615" s="28"/>
      <c r="O5615" s="20" t="s">
        <v>7530</v>
      </c>
      <c r="P5615" s="27" t="str">
        <f t="shared" si="262"/>
        <v>vermelho</v>
      </c>
    </row>
    <row r="5616" spans="1:16" ht="25.5">
      <c r="A5616" s="3" t="s">
        <v>4</v>
      </c>
      <c r="B5616" s="3" t="s">
        <v>4438</v>
      </c>
      <c r="C5616" s="4">
        <v>197</v>
      </c>
      <c r="D5616" s="3" t="s">
        <v>66</v>
      </c>
      <c r="E5616" s="3" t="s">
        <v>41</v>
      </c>
      <c r="F5616" s="5">
        <v>243</v>
      </c>
      <c r="G5616" s="5">
        <v>0</v>
      </c>
      <c r="H5616" s="6">
        <v>11912.13</v>
      </c>
      <c r="I5616" s="22">
        <v>0</v>
      </c>
      <c r="J5616" s="24">
        <f t="shared" si="261"/>
        <v>0</v>
      </c>
      <c r="K5616" s="25">
        <f t="shared" si="263"/>
        <v>1.0000000000000009</v>
      </c>
      <c r="L5616" s="27"/>
      <c r="M5616" s="28"/>
      <c r="N5616" s="28"/>
      <c r="O5616" s="20" t="s">
        <v>7530</v>
      </c>
      <c r="P5616" s="27" t="str">
        <f t="shared" si="262"/>
        <v>vermelho</v>
      </c>
    </row>
    <row r="5617" spans="1:16" ht="25.5">
      <c r="A5617" s="3" t="s">
        <v>4</v>
      </c>
      <c r="B5617" s="3" t="s">
        <v>4439</v>
      </c>
      <c r="C5617" s="4">
        <v>267</v>
      </c>
      <c r="D5617" s="3" t="s">
        <v>125</v>
      </c>
      <c r="E5617" s="3" t="s">
        <v>16</v>
      </c>
      <c r="F5617" s="5">
        <v>468</v>
      </c>
      <c r="G5617" s="5">
        <v>0</v>
      </c>
      <c r="H5617" s="6">
        <v>20227.32</v>
      </c>
      <c r="I5617" s="22">
        <v>0</v>
      </c>
      <c r="J5617" s="24">
        <f t="shared" si="261"/>
        <v>0</v>
      </c>
      <c r="K5617" s="25">
        <f t="shared" si="263"/>
        <v>1.0000000000000009</v>
      </c>
      <c r="L5617" s="27"/>
      <c r="M5617" s="28"/>
      <c r="N5617" s="28"/>
      <c r="O5617" s="20" t="s">
        <v>7530</v>
      </c>
      <c r="P5617" s="27" t="str">
        <f t="shared" si="262"/>
        <v>vermelho</v>
      </c>
    </row>
    <row r="5618" spans="1:16" ht="25.5">
      <c r="A5618" s="3" t="s">
        <v>4</v>
      </c>
      <c r="B5618" s="3" t="s">
        <v>4440</v>
      </c>
      <c r="C5618" s="4">
        <v>74</v>
      </c>
      <c r="D5618" s="3" t="s">
        <v>6</v>
      </c>
      <c r="E5618" s="3" t="s">
        <v>7</v>
      </c>
      <c r="F5618" s="5">
        <v>108</v>
      </c>
      <c r="G5618" s="5">
        <v>0</v>
      </c>
      <c r="H5618" s="6">
        <v>6303.78</v>
      </c>
      <c r="I5618" s="22">
        <v>0</v>
      </c>
      <c r="J5618" s="24">
        <f t="shared" si="261"/>
        <v>0</v>
      </c>
      <c r="K5618" s="25">
        <f t="shared" si="263"/>
        <v>1.0000000000000009</v>
      </c>
      <c r="L5618" s="27"/>
      <c r="M5618" s="28"/>
      <c r="N5618" s="28"/>
      <c r="O5618" s="20" t="s">
        <v>7530</v>
      </c>
      <c r="P5618" s="27" t="str">
        <f t="shared" si="262"/>
        <v>vermelho</v>
      </c>
    </row>
    <row r="5619" spans="1:16">
      <c r="A5619" s="3" t="s">
        <v>4</v>
      </c>
      <c r="B5619" s="3" t="s">
        <v>4441</v>
      </c>
      <c r="C5619" s="4">
        <v>231</v>
      </c>
      <c r="D5619" s="3" t="s">
        <v>52</v>
      </c>
      <c r="E5619" s="3" t="s">
        <v>7</v>
      </c>
      <c r="F5619" s="5">
        <v>444</v>
      </c>
      <c r="G5619" s="5">
        <v>0</v>
      </c>
      <c r="H5619" s="6">
        <v>25825.68</v>
      </c>
      <c r="I5619" s="22">
        <v>0</v>
      </c>
      <c r="J5619" s="24">
        <f t="shared" si="261"/>
        <v>0</v>
      </c>
      <c r="K5619" s="25">
        <f t="shared" si="263"/>
        <v>1.0000000000000009</v>
      </c>
      <c r="L5619" s="27"/>
      <c r="M5619" s="28"/>
      <c r="N5619" s="28"/>
      <c r="O5619" s="20" t="s">
        <v>7530</v>
      </c>
      <c r="P5619" s="27" t="str">
        <f t="shared" si="262"/>
        <v>vermelho</v>
      </c>
    </row>
    <row r="5620" spans="1:16" ht="25.5">
      <c r="A5620" s="3" t="s">
        <v>4</v>
      </c>
      <c r="B5620" s="3" t="s">
        <v>4442</v>
      </c>
      <c r="C5620" s="4">
        <v>178</v>
      </c>
      <c r="D5620" s="3" t="s">
        <v>74</v>
      </c>
      <c r="E5620" s="3" t="s">
        <v>7</v>
      </c>
      <c r="F5620" s="5">
        <v>174</v>
      </c>
      <c r="G5620" s="5">
        <v>0</v>
      </c>
      <c r="H5620" s="6">
        <v>11524.26</v>
      </c>
      <c r="I5620" s="22">
        <v>0</v>
      </c>
      <c r="J5620" s="24">
        <f t="shared" si="261"/>
        <v>0</v>
      </c>
      <c r="K5620" s="25">
        <f t="shared" si="263"/>
        <v>1.0000000000000009</v>
      </c>
      <c r="L5620" s="27"/>
      <c r="M5620" s="28"/>
      <c r="N5620" s="28"/>
      <c r="O5620" s="20" t="s">
        <v>7530</v>
      </c>
      <c r="P5620" s="27" t="str">
        <f t="shared" si="262"/>
        <v>vermelho</v>
      </c>
    </row>
    <row r="5621" spans="1:16" ht="25.5">
      <c r="A5621" s="3" t="s">
        <v>4</v>
      </c>
      <c r="B5621" s="3" t="s">
        <v>4443</v>
      </c>
      <c r="C5621" s="4">
        <v>270</v>
      </c>
      <c r="D5621" s="3" t="s">
        <v>266</v>
      </c>
      <c r="E5621" s="3" t="s">
        <v>49</v>
      </c>
      <c r="F5621" s="5">
        <v>90</v>
      </c>
      <c r="G5621" s="5">
        <v>0</v>
      </c>
      <c r="H5621" s="6">
        <v>5691.54</v>
      </c>
      <c r="I5621" s="22">
        <v>0</v>
      </c>
      <c r="J5621" s="24">
        <f t="shared" si="261"/>
        <v>0</v>
      </c>
      <c r="K5621" s="25">
        <f t="shared" si="263"/>
        <v>1.0000000000000009</v>
      </c>
      <c r="L5621" s="27"/>
      <c r="M5621" s="28"/>
      <c r="N5621" s="28"/>
      <c r="O5621" s="20" t="s">
        <v>7530</v>
      </c>
      <c r="P5621" s="27" t="str">
        <f t="shared" si="262"/>
        <v>vermelho</v>
      </c>
    </row>
    <row r="5622" spans="1:16" ht="25.5">
      <c r="A5622" s="3" t="s">
        <v>4</v>
      </c>
      <c r="B5622" s="3" t="s">
        <v>4444</v>
      </c>
      <c r="C5622" s="4">
        <v>273</v>
      </c>
      <c r="D5622" s="3" t="s">
        <v>149</v>
      </c>
      <c r="E5622" s="3" t="s">
        <v>10</v>
      </c>
      <c r="F5622" s="5">
        <v>81</v>
      </c>
      <c r="G5622" s="5">
        <v>0</v>
      </c>
      <c r="H5622" s="6">
        <v>2955.15</v>
      </c>
      <c r="I5622" s="22">
        <v>0</v>
      </c>
      <c r="J5622" s="24">
        <f t="shared" si="261"/>
        <v>0</v>
      </c>
      <c r="K5622" s="25">
        <f t="shared" si="263"/>
        <v>1.0000000000000009</v>
      </c>
      <c r="L5622" s="27"/>
      <c r="M5622" s="28"/>
      <c r="N5622" s="28"/>
      <c r="O5622" s="20" t="s">
        <v>7530</v>
      </c>
      <c r="P5622" s="27" t="str">
        <f t="shared" si="262"/>
        <v>vermelho</v>
      </c>
    </row>
    <row r="5623" spans="1:16" ht="25.5">
      <c r="A5623" s="3" t="s">
        <v>4</v>
      </c>
      <c r="B5623" s="3" t="s">
        <v>4444</v>
      </c>
      <c r="C5623" s="4">
        <v>273</v>
      </c>
      <c r="D5623" s="3" t="s">
        <v>149</v>
      </c>
      <c r="E5623" s="3" t="s">
        <v>41</v>
      </c>
      <c r="F5623" s="5">
        <v>60</v>
      </c>
      <c r="G5623" s="5">
        <v>0</v>
      </c>
      <c r="H5623" s="6">
        <v>3431.16</v>
      </c>
      <c r="I5623" s="22">
        <v>0</v>
      </c>
      <c r="J5623" s="24">
        <f t="shared" si="261"/>
        <v>0</v>
      </c>
      <c r="K5623" s="25">
        <f t="shared" si="263"/>
        <v>1.0000000000000009</v>
      </c>
      <c r="L5623" s="27"/>
      <c r="M5623" s="28"/>
      <c r="N5623" s="28"/>
      <c r="O5623" s="20" t="s">
        <v>7530</v>
      </c>
      <c r="P5623" s="27" t="str">
        <f t="shared" si="262"/>
        <v>vermelho</v>
      </c>
    </row>
    <row r="5624" spans="1:16" ht="25.5">
      <c r="A5624" s="3" t="s">
        <v>4</v>
      </c>
      <c r="B5624" s="3" t="s">
        <v>4445</v>
      </c>
      <c r="C5624" s="4">
        <v>41</v>
      </c>
      <c r="D5624" s="3" t="s">
        <v>178</v>
      </c>
      <c r="E5624" s="3" t="s">
        <v>41</v>
      </c>
      <c r="F5624" s="5">
        <v>108</v>
      </c>
      <c r="G5624" s="5">
        <v>0</v>
      </c>
      <c r="H5624" s="6">
        <v>6658.92</v>
      </c>
      <c r="I5624" s="22">
        <v>0</v>
      </c>
      <c r="J5624" s="24">
        <f t="shared" si="261"/>
        <v>0</v>
      </c>
      <c r="K5624" s="25">
        <f t="shared" si="263"/>
        <v>1.0000000000000009</v>
      </c>
      <c r="L5624" s="27"/>
      <c r="M5624" s="28"/>
      <c r="N5624" s="28"/>
      <c r="O5624" s="20" t="s">
        <v>7530</v>
      </c>
      <c r="P5624" s="27" t="str">
        <f t="shared" si="262"/>
        <v>vermelho</v>
      </c>
    </row>
    <row r="5625" spans="1:16" ht="25.5">
      <c r="A5625" s="3" t="s">
        <v>4</v>
      </c>
      <c r="B5625" s="3" t="s">
        <v>4446</v>
      </c>
      <c r="C5625" s="4">
        <v>266</v>
      </c>
      <c r="D5625" s="3" t="s">
        <v>80</v>
      </c>
      <c r="E5625" s="3" t="s">
        <v>10</v>
      </c>
      <c r="F5625" s="5">
        <v>213</v>
      </c>
      <c r="G5625" s="5">
        <v>0</v>
      </c>
      <c r="H5625" s="6">
        <v>11064.81</v>
      </c>
      <c r="I5625" s="22">
        <v>0</v>
      </c>
      <c r="J5625" s="24">
        <f t="shared" si="261"/>
        <v>0</v>
      </c>
      <c r="K5625" s="25">
        <f t="shared" si="263"/>
        <v>1.0000000000000009</v>
      </c>
      <c r="L5625" s="27"/>
      <c r="M5625" s="28"/>
      <c r="N5625" s="28"/>
      <c r="O5625" s="20" t="s">
        <v>7530</v>
      </c>
      <c r="P5625" s="27" t="str">
        <f t="shared" si="262"/>
        <v>vermelho</v>
      </c>
    </row>
    <row r="5626" spans="1:16" ht="25.5">
      <c r="A5626" s="3" t="s">
        <v>4</v>
      </c>
      <c r="B5626" s="3" t="s">
        <v>4447</v>
      </c>
      <c r="C5626" s="4">
        <v>178</v>
      </c>
      <c r="D5626" s="3" t="s">
        <v>74</v>
      </c>
      <c r="E5626" s="3" t="s">
        <v>7</v>
      </c>
      <c r="F5626" s="5">
        <v>351</v>
      </c>
      <c r="G5626" s="5">
        <v>0</v>
      </c>
      <c r="H5626" s="6">
        <v>15912.177</v>
      </c>
      <c r="I5626" s="22">
        <v>0</v>
      </c>
      <c r="J5626" s="24">
        <f t="shared" si="261"/>
        <v>0</v>
      </c>
      <c r="K5626" s="25">
        <f t="shared" si="263"/>
        <v>1.0000000000000009</v>
      </c>
      <c r="L5626" s="27"/>
      <c r="M5626" s="28"/>
      <c r="N5626" s="28"/>
      <c r="O5626" s="20" t="s">
        <v>7530</v>
      </c>
      <c r="P5626" s="27" t="str">
        <f t="shared" si="262"/>
        <v>vermelho</v>
      </c>
    </row>
    <row r="5627" spans="1:16" ht="25.5">
      <c r="A5627" s="3" t="s">
        <v>4</v>
      </c>
      <c r="B5627" s="3" t="s">
        <v>4448</v>
      </c>
      <c r="C5627" s="4">
        <v>337</v>
      </c>
      <c r="D5627" s="3" t="s">
        <v>202</v>
      </c>
      <c r="E5627" s="3" t="s">
        <v>16</v>
      </c>
      <c r="F5627" s="5">
        <v>72</v>
      </c>
      <c r="G5627" s="5">
        <v>0</v>
      </c>
      <c r="H5627" s="6">
        <v>3635.28</v>
      </c>
      <c r="I5627" s="22">
        <v>0</v>
      </c>
      <c r="J5627" s="24">
        <f t="shared" si="261"/>
        <v>0</v>
      </c>
      <c r="K5627" s="25">
        <f t="shared" si="263"/>
        <v>1.0000000000000009</v>
      </c>
      <c r="L5627" s="27"/>
      <c r="M5627" s="28"/>
      <c r="N5627" s="28"/>
      <c r="O5627" s="20" t="s">
        <v>7530</v>
      </c>
      <c r="P5627" s="27" t="str">
        <f t="shared" si="262"/>
        <v>vermelho</v>
      </c>
    </row>
    <row r="5628" spans="1:16">
      <c r="A5628" s="3" t="s">
        <v>4</v>
      </c>
      <c r="B5628" s="3" t="s">
        <v>4449</v>
      </c>
      <c r="C5628" s="4">
        <v>232</v>
      </c>
      <c r="D5628" s="3" t="s">
        <v>174</v>
      </c>
      <c r="E5628" s="3" t="s">
        <v>16</v>
      </c>
      <c r="F5628" s="5">
        <v>492</v>
      </c>
      <c r="G5628" s="5">
        <v>0</v>
      </c>
      <c r="H5628" s="6">
        <v>26916.36</v>
      </c>
      <c r="I5628" s="22">
        <v>0</v>
      </c>
      <c r="J5628" s="24">
        <f t="shared" si="261"/>
        <v>0</v>
      </c>
      <c r="K5628" s="25">
        <f t="shared" si="263"/>
        <v>1.0000000000000009</v>
      </c>
      <c r="L5628" s="27"/>
      <c r="M5628" s="28"/>
      <c r="N5628" s="28"/>
      <c r="O5628" s="20" t="s">
        <v>7530</v>
      </c>
      <c r="P5628" s="27" t="str">
        <f t="shared" si="262"/>
        <v>vermelho</v>
      </c>
    </row>
    <row r="5629" spans="1:16" ht="25.5">
      <c r="A5629" s="3" t="s">
        <v>4</v>
      </c>
      <c r="B5629" s="3" t="s">
        <v>4450</v>
      </c>
      <c r="C5629" s="4">
        <v>197</v>
      </c>
      <c r="D5629" s="3" t="s">
        <v>66</v>
      </c>
      <c r="E5629" s="3" t="s">
        <v>41</v>
      </c>
      <c r="F5629" s="5">
        <v>336</v>
      </c>
      <c r="G5629" s="5">
        <v>0</v>
      </c>
      <c r="H5629" s="6">
        <v>19546.64</v>
      </c>
      <c r="I5629" s="22">
        <v>0</v>
      </c>
      <c r="J5629" s="24">
        <f t="shared" si="261"/>
        <v>0</v>
      </c>
      <c r="K5629" s="25">
        <f t="shared" si="263"/>
        <v>1.0000000000000009</v>
      </c>
      <c r="L5629" s="27"/>
      <c r="M5629" s="28"/>
      <c r="N5629" s="28"/>
      <c r="O5629" s="20" t="s">
        <v>7530</v>
      </c>
      <c r="P5629" s="27" t="str">
        <f t="shared" si="262"/>
        <v>vermelho</v>
      </c>
    </row>
    <row r="5630" spans="1:16" ht="25.5">
      <c r="A5630" s="3" t="s">
        <v>4</v>
      </c>
      <c r="B5630" s="3" t="s">
        <v>4451</v>
      </c>
      <c r="C5630" s="4">
        <v>53</v>
      </c>
      <c r="D5630" s="3" t="s">
        <v>34</v>
      </c>
      <c r="E5630" s="3" t="s">
        <v>16</v>
      </c>
      <c r="F5630" s="5">
        <v>120</v>
      </c>
      <c r="G5630" s="5">
        <v>0</v>
      </c>
      <c r="H5630" s="6">
        <v>4543.2</v>
      </c>
      <c r="I5630" s="22">
        <v>0</v>
      </c>
      <c r="J5630" s="24">
        <f t="shared" si="261"/>
        <v>0</v>
      </c>
      <c r="K5630" s="25">
        <f t="shared" si="263"/>
        <v>1.0000000000000009</v>
      </c>
      <c r="L5630" s="27"/>
      <c r="M5630" s="28"/>
      <c r="N5630" s="28"/>
      <c r="O5630" s="20" t="s">
        <v>7530</v>
      </c>
      <c r="P5630" s="27" t="str">
        <f t="shared" si="262"/>
        <v>vermelho</v>
      </c>
    </row>
    <row r="5631" spans="1:16" ht="25.5">
      <c r="A5631" s="3" t="s">
        <v>4</v>
      </c>
      <c r="B5631" s="3" t="s">
        <v>4452</v>
      </c>
      <c r="C5631" s="4">
        <v>240</v>
      </c>
      <c r="D5631" s="3" t="s">
        <v>69</v>
      </c>
      <c r="E5631" s="3" t="s">
        <v>16</v>
      </c>
      <c r="F5631" s="5">
        <v>120</v>
      </c>
      <c r="G5631" s="5">
        <v>0</v>
      </c>
      <c r="H5631" s="6">
        <v>6731.52</v>
      </c>
      <c r="I5631" s="22">
        <v>0</v>
      </c>
      <c r="J5631" s="24">
        <f t="shared" si="261"/>
        <v>0</v>
      </c>
      <c r="K5631" s="25">
        <f t="shared" si="263"/>
        <v>1.0000000000000009</v>
      </c>
      <c r="L5631" s="27"/>
      <c r="M5631" s="28"/>
      <c r="N5631" s="28"/>
      <c r="O5631" s="20" t="s">
        <v>7530</v>
      </c>
      <c r="P5631" s="27" t="str">
        <f t="shared" si="262"/>
        <v>vermelho</v>
      </c>
    </row>
    <row r="5632" spans="1:16" ht="25.5">
      <c r="A5632" s="3" t="s">
        <v>4</v>
      </c>
      <c r="B5632" s="3" t="s">
        <v>4453</v>
      </c>
      <c r="C5632" s="4">
        <v>296</v>
      </c>
      <c r="D5632" s="3" t="s">
        <v>282</v>
      </c>
      <c r="E5632" s="3" t="s">
        <v>10</v>
      </c>
      <c r="F5632" s="5">
        <v>207</v>
      </c>
      <c r="G5632" s="5">
        <v>0</v>
      </c>
      <c r="H5632" s="6">
        <v>9571.11</v>
      </c>
      <c r="I5632" s="22">
        <v>0</v>
      </c>
      <c r="J5632" s="24">
        <f t="shared" si="261"/>
        <v>0</v>
      </c>
      <c r="K5632" s="25">
        <f t="shared" si="263"/>
        <v>1.0000000000000009</v>
      </c>
      <c r="L5632" s="27"/>
      <c r="M5632" s="28"/>
      <c r="N5632" s="28"/>
      <c r="O5632" s="20" t="s">
        <v>7530</v>
      </c>
      <c r="P5632" s="27" t="str">
        <f t="shared" si="262"/>
        <v>vermelho</v>
      </c>
    </row>
    <row r="5633" spans="1:16" ht="25.5">
      <c r="A5633" s="3" t="s">
        <v>4</v>
      </c>
      <c r="B5633" s="3" t="s">
        <v>4454</v>
      </c>
      <c r="C5633" s="4">
        <v>19</v>
      </c>
      <c r="D5633" s="3" t="s">
        <v>72</v>
      </c>
      <c r="E5633" s="3" t="s">
        <v>41</v>
      </c>
      <c r="F5633" s="5">
        <v>720</v>
      </c>
      <c r="G5633" s="5">
        <v>0</v>
      </c>
      <c r="H5633" s="6">
        <v>40977.120000000003</v>
      </c>
      <c r="I5633" s="22">
        <v>0</v>
      </c>
      <c r="J5633" s="24">
        <f t="shared" si="261"/>
        <v>0</v>
      </c>
      <c r="K5633" s="25">
        <f t="shared" si="263"/>
        <v>1.0000000000000009</v>
      </c>
      <c r="L5633" s="27"/>
      <c r="M5633" s="28"/>
      <c r="N5633" s="28"/>
      <c r="O5633" s="20" t="s">
        <v>7530</v>
      </c>
      <c r="P5633" s="27" t="str">
        <f t="shared" si="262"/>
        <v>vermelho</v>
      </c>
    </row>
    <row r="5634" spans="1:16">
      <c r="A5634" s="3" t="s">
        <v>4</v>
      </c>
      <c r="B5634" s="3" t="s">
        <v>4455</v>
      </c>
      <c r="C5634" s="4">
        <v>15</v>
      </c>
      <c r="D5634" s="3" t="s">
        <v>18</v>
      </c>
      <c r="E5634" s="3" t="s">
        <v>16</v>
      </c>
      <c r="F5634" s="5">
        <v>72</v>
      </c>
      <c r="G5634" s="5">
        <v>0</v>
      </c>
      <c r="H5634" s="6">
        <v>3797.28</v>
      </c>
      <c r="I5634" s="22">
        <v>0</v>
      </c>
      <c r="J5634" s="24">
        <f t="shared" si="261"/>
        <v>0</v>
      </c>
      <c r="K5634" s="25">
        <f t="shared" si="263"/>
        <v>1.0000000000000009</v>
      </c>
      <c r="L5634" s="27"/>
      <c r="M5634" s="28"/>
      <c r="N5634" s="28"/>
      <c r="O5634" s="20" t="s">
        <v>7530</v>
      </c>
      <c r="P5634" s="27" t="str">
        <f t="shared" si="262"/>
        <v>vermelho</v>
      </c>
    </row>
    <row r="5635" spans="1:16" ht="25.5">
      <c r="A5635" s="3" t="s">
        <v>4</v>
      </c>
      <c r="B5635" s="3" t="s">
        <v>4456</v>
      </c>
      <c r="C5635" s="4">
        <v>53</v>
      </c>
      <c r="D5635" s="3" t="s">
        <v>34</v>
      </c>
      <c r="E5635" s="3" t="s">
        <v>16</v>
      </c>
      <c r="F5635" s="5">
        <v>186</v>
      </c>
      <c r="G5635" s="5">
        <v>0</v>
      </c>
      <c r="H5635" s="6">
        <v>9692.2199999999993</v>
      </c>
      <c r="I5635" s="22">
        <v>0</v>
      </c>
      <c r="J5635" s="24">
        <f t="shared" ref="J5635:J5698" si="264">I5635/$I$6364</f>
        <v>0</v>
      </c>
      <c r="K5635" s="25">
        <f t="shared" si="263"/>
        <v>1.0000000000000009</v>
      </c>
      <c r="L5635" s="27"/>
      <c r="M5635" s="28"/>
      <c r="N5635" s="28"/>
      <c r="O5635" s="20" t="s">
        <v>7530</v>
      </c>
      <c r="P5635" s="27" t="str">
        <f t="shared" ref="P5635:P5698" si="265">IF(O5635&lt;=0,"vermelho",IFERROR(IF(O5635/I5635&lt;=0.5098,"amarelo",IF(O5635/I5635&lt;1,"laranja","verde")),"vermelho"))</f>
        <v>vermelho</v>
      </c>
    </row>
    <row r="5636" spans="1:16" ht="25.5">
      <c r="A5636" s="3" t="s">
        <v>4</v>
      </c>
      <c r="B5636" s="3" t="s">
        <v>4457</v>
      </c>
      <c r="C5636" s="4">
        <v>194</v>
      </c>
      <c r="D5636" s="3" t="s">
        <v>145</v>
      </c>
      <c r="E5636" s="3" t="s">
        <v>16</v>
      </c>
      <c r="F5636" s="5">
        <v>168</v>
      </c>
      <c r="G5636" s="5">
        <v>0</v>
      </c>
      <c r="H5636" s="6">
        <v>7834.32</v>
      </c>
      <c r="I5636" s="22">
        <v>0</v>
      </c>
      <c r="J5636" s="24">
        <f t="shared" si="264"/>
        <v>0</v>
      </c>
      <c r="K5636" s="25">
        <f t="shared" ref="K5636:K5699" si="266">J5636+K5635</f>
        <v>1.0000000000000009</v>
      </c>
      <c r="L5636" s="27"/>
      <c r="M5636" s="28"/>
      <c r="N5636" s="28"/>
      <c r="O5636" s="20">
        <v>12005.73</v>
      </c>
      <c r="P5636" s="27" t="str">
        <f t="shared" si="265"/>
        <v>vermelho</v>
      </c>
    </row>
    <row r="5637" spans="1:16" ht="25.5">
      <c r="A5637" s="3" t="s">
        <v>4</v>
      </c>
      <c r="B5637" s="3" t="s">
        <v>4458</v>
      </c>
      <c r="C5637" s="4">
        <v>208</v>
      </c>
      <c r="D5637" s="3" t="s">
        <v>15</v>
      </c>
      <c r="E5637" s="3" t="s">
        <v>16</v>
      </c>
      <c r="F5637" s="5">
        <v>138</v>
      </c>
      <c r="G5637" s="5">
        <v>0</v>
      </c>
      <c r="H5637" s="6">
        <v>7068.03</v>
      </c>
      <c r="I5637" s="22">
        <v>0</v>
      </c>
      <c r="J5637" s="24">
        <f t="shared" si="264"/>
        <v>0</v>
      </c>
      <c r="K5637" s="25">
        <f t="shared" si="266"/>
        <v>1.0000000000000009</v>
      </c>
      <c r="L5637" s="27"/>
      <c r="M5637" s="28"/>
      <c r="N5637" s="28"/>
      <c r="O5637" s="20" t="s">
        <v>7530</v>
      </c>
      <c r="P5637" s="27" t="str">
        <f t="shared" si="265"/>
        <v>vermelho</v>
      </c>
    </row>
    <row r="5638" spans="1:16" ht="38.25">
      <c r="A5638" s="3" t="s">
        <v>4</v>
      </c>
      <c r="B5638" s="3" t="s">
        <v>4459</v>
      </c>
      <c r="C5638" s="4">
        <v>11</v>
      </c>
      <c r="D5638" s="3" t="s">
        <v>61</v>
      </c>
      <c r="E5638" s="3" t="s">
        <v>10</v>
      </c>
      <c r="F5638" s="5">
        <v>84</v>
      </c>
      <c r="G5638" s="5">
        <v>0</v>
      </c>
      <c r="H5638" s="6">
        <v>4211.16</v>
      </c>
      <c r="I5638" s="22">
        <v>0</v>
      </c>
      <c r="J5638" s="24">
        <f t="shared" si="264"/>
        <v>0</v>
      </c>
      <c r="K5638" s="25">
        <f t="shared" si="266"/>
        <v>1.0000000000000009</v>
      </c>
      <c r="L5638" s="27"/>
      <c r="M5638" s="28"/>
      <c r="N5638" s="28"/>
      <c r="O5638" s="20" t="s">
        <v>7530</v>
      </c>
      <c r="P5638" s="27" t="str">
        <f t="shared" si="265"/>
        <v>vermelho</v>
      </c>
    </row>
    <row r="5639" spans="1:16" ht="25.5">
      <c r="A5639" s="3" t="s">
        <v>4</v>
      </c>
      <c r="B5639" s="3" t="s">
        <v>4460</v>
      </c>
      <c r="C5639" s="4">
        <v>296</v>
      </c>
      <c r="D5639" s="3" t="s">
        <v>282</v>
      </c>
      <c r="E5639" s="3" t="s">
        <v>10</v>
      </c>
      <c r="F5639" s="5">
        <v>108</v>
      </c>
      <c r="G5639" s="5">
        <v>0</v>
      </c>
      <c r="H5639" s="6">
        <v>3482.88</v>
      </c>
      <c r="I5639" s="22">
        <v>0</v>
      </c>
      <c r="J5639" s="24">
        <f t="shared" si="264"/>
        <v>0</v>
      </c>
      <c r="K5639" s="25">
        <f t="shared" si="266"/>
        <v>1.0000000000000009</v>
      </c>
      <c r="L5639" s="27"/>
      <c r="M5639" s="28"/>
      <c r="N5639" s="28"/>
      <c r="O5639" s="20" t="s">
        <v>7530</v>
      </c>
      <c r="P5639" s="27" t="str">
        <f t="shared" si="265"/>
        <v>vermelho</v>
      </c>
    </row>
    <row r="5640" spans="1:16" ht="25.5">
      <c r="A5640" s="3" t="s">
        <v>4</v>
      </c>
      <c r="B5640" s="3" t="s">
        <v>4460</v>
      </c>
      <c r="C5640" s="4">
        <v>296</v>
      </c>
      <c r="D5640" s="3" t="s">
        <v>282</v>
      </c>
      <c r="E5640" s="3" t="s">
        <v>7</v>
      </c>
      <c r="F5640" s="5">
        <v>132</v>
      </c>
      <c r="G5640" s="5">
        <v>0</v>
      </c>
      <c r="H5640" s="6">
        <v>6706.56</v>
      </c>
      <c r="I5640" s="22">
        <v>0</v>
      </c>
      <c r="J5640" s="24">
        <f t="shared" si="264"/>
        <v>0</v>
      </c>
      <c r="K5640" s="25">
        <f t="shared" si="266"/>
        <v>1.0000000000000009</v>
      </c>
      <c r="L5640" s="27"/>
      <c r="M5640" s="28"/>
      <c r="N5640" s="28"/>
      <c r="O5640" s="20" t="s">
        <v>7530</v>
      </c>
      <c r="P5640" s="27" t="str">
        <f t="shared" si="265"/>
        <v>vermelho</v>
      </c>
    </row>
    <row r="5641" spans="1:16" ht="25.5">
      <c r="A5641" s="3" t="s">
        <v>4</v>
      </c>
      <c r="B5641" s="3" t="s">
        <v>4461</v>
      </c>
      <c r="C5641" s="4">
        <v>266</v>
      </c>
      <c r="D5641" s="3" t="s">
        <v>80</v>
      </c>
      <c r="E5641" s="3" t="s">
        <v>10</v>
      </c>
      <c r="F5641" s="5">
        <v>126</v>
      </c>
      <c r="G5641" s="5">
        <v>0</v>
      </c>
      <c r="H5641" s="6">
        <v>8970.24</v>
      </c>
      <c r="I5641" s="22">
        <v>0</v>
      </c>
      <c r="J5641" s="24">
        <f t="shared" si="264"/>
        <v>0</v>
      </c>
      <c r="K5641" s="25">
        <f t="shared" si="266"/>
        <v>1.0000000000000009</v>
      </c>
      <c r="L5641" s="27"/>
      <c r="M5641" s="28"/>
      <c r="N5641" s="28"/>
      <c r="O5641" s="20" t="s">
        <v>7530</v>
      </c>
      <c r="P5641" s="27" t="str">
        <f t="shared" si="265"/>
        <v>vermelho</v>
      </c>
    </row>
    <row r="5642" spans="1:16" ht="25.5">
      <c r="A5642" s="3" t="s">
        <v>4</v>
      </c>
      <c r="B5642" s="3" t="s">
        <v>4462</v>
      </c>
      <c r="C5642" s="4">
        <v>31</v>
      </c>
      <c r="D5642" s="3" t="s">
        <v>194</v>
      </c>
      <c r="E5642" s="3" t="s">
        <v>16</v>
      </c>
      <c r="F5642" s="5">
        <v>54</v>
      </c>
      <c r="G5642" s="5">
        <v>0</v>
      </c>
      <c r="H5642" s="6">
        <v>3473.46</v>
      </c>
      <c r="I5642" s="22">
        <v>0</v>
      </c>
      <c r="J5642" s="24">
        <f t="shared" si="264"/>
        <v>0</v>
      </c>
      <c r="K5642" s="25">
        <f t="shared" si="266"/>
        <v>1.0000000000000009</v>
      </c>
      <c r="L5642" s="27"/>
      <c r="M5642" s="28"/>
      <c r="N5642" s="28"/>
      <c r="O5642" s="20" t="s">
        <v>7530</v>
      </c>
      <c r="P5642" s="27" t="str">
        <f t="shared" si="265"/>
        <v>vermelho</v>
      </c>
    </row>
    <row r="5643" spans="1:16">
      <c r="A5643" s="3" t="s">
        <v>4</v>
      </c>
      <c r="B5643" s="3" t="s">
        <v>4463</v>
      </c>
      <c r="C5643" s="4">
        <v>240</v>
      </c>
      <c r="D5643" s="3" t="s">
        <v>69</v>
      </c>
      <c r="E5643" s="3" t="s">
        <v>16</v>
      </c>
      <c r="F5643" s="5">
        <v>84</v>
      </c>
      <c r="G5643" s="5">
        <v>0</v>
      </c>
      <c r="H5643" s="6">
        <v>5470.44</v>
      </c>
      <c r="I5643" s="22">
        <v>0</v>
      </c>
      <c r="J5643" s="24">
        <f t="shared" si="264"/>
        <v>0</v>
      </c>
      <c r="K5643" s="25">
        <f t="shared" si="266"/>
        <v>1.0000000000000009</v>
      </c>
      <c r="L5643" s="27"/>
      <c r="M5643" s="28"/>
      <c r="N5643" s="28"/>
      <c r="O5643" s="20" t="s">
        <v>7530</v>
      </c>
      <c r="P5643" s="27" t="str">
        <f t="shared" si="265"/>
        <v>vermelho</v>
      </c>
    </row>
    <row r="5644" spans="1:16">
      <c r="A5644" s="3" t="s">
        <v>4</v>
      </c>
      <c r="B5644" s="3" t="s">
        <v>4464</v>
      </c>
      <c r="C5644" s="4">
        <v>217</v>
      </c>
      <c r="D5644" s="3" t="s">
        <v>91</v>
      </c>
      <c r="E5644" s="3" t="s">
        <v>16</v>
      </c>
      <c r="F5644" s="5">
        <v>183</v>
      </c>
      <c r="G5644" s="5">
        <v>0</v>
      </c>
      <c r="H5644" s="6">
        <v>8325.81</v>
      </c>
      <c r="I5644" s="22">
        <v>0</v>
      </c>
      <c r="J5644" s="24">
        <f t="shared" si="264"/>
        <v>0</v>
      </c>
      <c r="K5644" s="25">
        <f t="shared" si="266"/>
        <v>1.0000000000000009</v>
      </c>
      <c r="L5644" s="27"/>
      <c r="M5644" s="28"/>
      <c r="N5644" s="28"/>
      <c r="O5644" s="20" t="s">
        <v>7530</v>
      </c>
      <c r="P5644" s="27" t="str">
        <f t="shared" si="265"/>
        <v>vermelho</v>
      </c>
    </row>
    <row r="5645" spans="1:16">
      <c r="A5645" s="3" t="s">
        <v>4</v>
      </c>
      <c r="B5645" s="3" t="s">
        <v>4465</v>
      </c>
      <c r="C5645" s="4">
        <v>232</v>
      </c>
      <c r="D5645" s="3" t="s">
        <v>174</v>
      </c>
      <c r="E5645" s="3" t="s">
        <v>16</v>
      </c>
      <c r="F5645" s="5">
        <v>84</v>
      </c>
      <c r="G5645" s="5">
        <v>0</v>
      </c>
      <c r="H5645" s="6">
        <v>4136.28</v>
      </c>
      <c r="I5645" s="22">
        <v>0</v>
      </c>
      <c r="J5645" s="24">
        <f t="shared" si="264"/>
        <v>0</v>
      </c>
      <c r="K5645" s="25">
        <f t="shared" si="266"/>
        <v>1.0000000000000009</v>
      </c>
      <c r="L5645" s="27"/>
      <c r="M5645" s="28"/>
      <c r="N5645" s="28"/>
      <c r="O5645" s="20" t="s">
        <v>7530</v>
      </c>
      <c r="P5645" s="27" t="str">
        <f t="shared" si="265"/>
        <v>vermelho</v>
      </c>
    </row>
    <row r="5646" spans="1:16" ht="25.5">
      <c r="A5646" s="3" t="s">
        <v>4</v>
      </c>
      <c r="B5646" s="3" t="s">
        <v>4466</v>
      </c>
      <c r="C5646" s="4">
        <v>337</v>
      </c>
      <c r="D5646" s="3" t="s">
        <v>202</v>
      </c>
      <c r="E5646" s="3" t="s">
        <v>16</v>
      </c>
      <c r="F5646" s="5">
        <v>186</v>
      </c>
      <c r="G5646" s="5">
        <v>0</v>
      </c>
      <c r="H5646" s="6">
        <v>12269.4</v>
      </c>
      <c r="I5646" s="22">
        <v>0</v>
      </c>
      <c r="J5646" s="24">
        <f t="shared" si="264"/>
        <v>0</v>
      </c>
      <c r="K5646" s="25">
        <f t="shared" si="266"/>
        <v>1.0000000000000009</v>
      </c>
      <c r="L5646" s="27"/>
      <c r="M5646" s="28"/>
      <c r="N5646" s="28"/>
      <c r="O5646" s="20">
        <v>8229</v>
      </c>
      <c r="P5646" s="27" t="str">
        <f t="shared" si="265"/>
        <v>vermelho</v>
      </c>
    </row>
    <row r="5647" spans="1:16" ht="25.5">
      <c r="A5647" s="3" t="s">
        <v>4</v>
      </c>
      <c r="B5647" s="3" t="s">
        <v>4467</v>
      </c>
      <c r="C5647" s="4">
        <v>266</v>
      </c>
      <c r="D5647" s="3" t="s">
        <v>80</v>
      </c>
      <c r="E5647" s="3" t="s">
        <v>10</v>
      </c>
      <c r="F5647" s="5">
        <v>123</v>
      </c>
      <c r="G5647" s="5">
        <v>0</v>
      </c>
      <c r="H5647" s="6">
        <v>6054.36</v>
      </c>
      <c r="I5647" s="22">
        <v>0</v>
      </c>
      <c r="J5647" s="24">
        <f t="shared" si="264"/>
        <v>0</v>
      </c>
      <c r="K5647" s="25">
        <f t="shared" si="266"/>
        <v>1.0000000000000009</v>
      </c>
      <c r="L5647" s="27"/>
      <c r="M5647" s="28"/>
      <c r="N5647" s="28"/>
      <c r="O5647" s="20" t="s">
        <v>7530</v>
      </c>
      <c r="P5647" s="27" t="str">
        <f t="shared" si="265"/>
        <v>vermelho</v>
      </c>
    </row>
    <row r="5648" spans="1:16" ht="38.25">
      <c r="A5648" s="3" t="s">
        <v>4</v>
      </c>
      <c r="B5648" s="3" t="s">
        <v>4468</v>
      </c>
      <c r="C5648" s="4">
        <v>371</v>
      </c>
      <c r="D5648" s="3" t="s">
        <v>82</v>
      </c>
      <c r="E5648" s="3" t="s">
        <v>49</v>
      </c>
      <c r="F5648" s="5">
        <v>60</v>
      </c>
      <c r="G5648" s="5">
        <v>0</v>
      </c>
      <c r="H5648" s="6">
        <v>2608.1999999999998</v>
      </c>
      <c r="I5648" s="22">
        <v>0</v>
      </c>
      <c r="J5648" s="24">
        <f t="shared" si="264"/>
        <v>0</v>
      </c>
      <c r="K5648" s="25">
        <f t="shared" si="266"/>
        <v>1.0000000000000009</v>
      </c>
      <c r="L5648" s="27"/>
      <c r="M5648" s="28"/>
      <c r="N5648" s="28"/>
      <c r="O5648" s="20" t="s">
        <v>7530</v>
      </c>
      <c r="P5648" s="27" t="str">
        <f t="shared" si="265"/>
        <v>vermelho</v>
      </c>
    </row>
    <row r="5649" spans="1:16" ht="25.5">
      <c r="A5649" s="3" t="s">
        <v>4</v>
      </c>
      <c r="B5649" s="3" t="s">
        <v>4469</v>
      </c>
      <c r="C5649" s="4">
        <v>337</v>
      </c>
      <c r="D5649" s="3" t="s">
        <v>202</v>
      </c>
      <c r="E5649" s="3" t="s">
        <v>16</v>
      </c>
      <c r="F5649" s="5">
        <v>336</v>
      </c>
      <c r="G5649" s="5">
        <v>0</v>
      </c>
      <c r="H5649" s="6">
        <v>14868.36</v>
      </c>
      <c r="I5649" s="22">
        <v>0</v>
      </c>
      <c r="J5649" s="24">
        <f t="shared" si="264"/>
        <v>0</v>
      </c>
      <c r="K5649" s="25">
        <f t="shared" si="266"/>
        <v>1.0000000000000009</v>
      </c>
      <c r="L5649" s="27"/>
      <c r="M5649" s="28"/>
      <c r="N5649" s="28"/>
      <c r="O5649" s="20" t="s">
        <v>7530</v>
      </c>
      <c r="P5649" s="27" t="str">
        <f t="shared" si="265"/>
        <v>vermelho</v>
      </c>
    </row>
    <row r="5650" spans="1:16" ht="25.5">
      <c r="A5650" s="3" t="s">
        <v>4</v>
      </c>
      <c r="B5650" s="3" t="s">
        <v>4470</v>
      </c>
      <c r="C5650" s="4">
        <v>218</v>
      </c>
      <c r="D5650" s="3" t="s">
        <v>104</v>
      </c>
      <c r="E5650" s="3" t="s">
        <v>16</v>
      </c>
      <c r="F5650" s="5">
        <v>108</v>
      </c>
      <c r="G5650" s="5">
        <v>0</v>
      </c>
      <c r="H5650" s="6">
        <v>5680.2</v>
      </c>
      <c r="I5650" s="22">
        <v>0</v>
      </c>
      <c r="J5650" s="24">
        <f t="shared" si="264"/>
        <v>0</v>
      </c>
      <c r="K5650" s="25">
        <f t="shared" si="266"/>
        <v>1.0000000000000009</v>
      </c>
      <c r="L5650" s="27"/>
      <c r="M5650" s="28"/>
      <c r="N5650" s="28"/>
      <c r="O5650" s="20" t="s">
        <v>7530</v>
      </c>
      <c r="P5650" s="27" t="str">
        <f t="shared" si="265"/>
        <v>vermelho</v>
      </c>
    </row>
    <row r="5651" spans="1:16" ht="25.5">
      <c r="A5651" s="3" t="s">
        <v>4</v>
      </c>
      <c r="B5651" s="3" t="s">
        <v>4471</v>
      </c>
      <c r="C5651" s="4">
        <v>194</v>
      </c>
      <c r="D5651" s="3" t="s">
        <v>145</v>
      </c>
      <c r="E5651" s="3" t="s">
        <v>16</v>
      </c>
      <c r="F5651" s="5">
        <v>63</v>
      </c>
      <c r="G5651" s="5">
        <v>0</v>
      </c>
      <c r="H5651" s="6">
        <v>2973.69</v>
      </c>
      <c r="I5651" s="22">
        <v>0</v>
      </c>
      <c r="J5651" s="24">
        <f t="shared" si="264"/>
        <v>0</v>
      </c>
      <c r="K5651" s="25">
        <f t="shared" si="266"/>
        <v>1.0000000000000009</v>
      </c>
      <c r="L5651" s="27"/>
      <c r="M5651" s="28"/>
      <c r="N5651" s="28"/>
      <c r="O5651" s="20" t="s">
        <v>7530</v>
      </c>
      <c r="P5651" s="27" t="str">
        <f t="shared" si="265"/>
        <v>vermelho</v>
      </c>
    </row>
    <row r="5652" spans="1:16" ht="25.5">
      <c r="A5652" s="3" t="s">
        <v>4</v>
      </c>
      <c r="B5652" s="3" t="s">
        <v>4472</v>
      </c>
      <c r="C5652" s="4">
        <v>194</v>
      </c>
      <c r="D5652" s="3" t="s">
        <v>145</v>
      </c>
      <c r="E5652" s="3" t="s">
        <v>16</v>
      </c>
      <c r="F5652" s="5">
        <v>96</v>
      </c>
      <c r="G5652" s="5">
        <v>0</v>
      </c>
      <c r="H5652" s="6">
        <v>6472.08</v>
      </c>
      <c r="I5652" s="22">
        <v>0</v>
      </c>
      <c r="J5652" s="24">
        <f t="shared" si="264"/>
        <v>0</v>
      </c>
      <c r="K5652" s="25">
        <f t="shared" si="266"/>
        <v>1.0000000000000009</v>
      </c>
      <c r="L5652" s="27"/>
      <c r="M5652" s="28"/>
      <c r="N5652" s="28"/>
      <c r="O5652" s="20" t="s">
        <v>7530</v>
      </c>
      <c r="P5652" s="27" t="str">
        <f t="shared" si="265"/>
        <v>vermelho</v>
      </c>
    </row>
    <row r="5653" spans="1:16" ht="25.5">
      <c r="A5653" s="3" t="s">
        <v>4</v>
      </c>
      <c r="B5653" s="3" t="s">
        <v>4473</v>
      </c>
      <c r="C5653" s="4">
        <v>93</v>
      </c>
      <c r="D5653" s="3" t="s">
        <v>20</v>
      </c>
      <c r="E5653" s="3" t="s">
        <v>7</v>
      </c>
      <c r="F5653" s="5">
        <v>480</v>
      </c>
      <c r="G5653" s="5">
        <v>0</v>
      </c>
      <c r="H5653" s="6">
        <v>14023.2</v>
      </c>
      <c r="I5653" s="22">
        <v>0</v>
      </c>
      <c r="J5653" s="24">
        <f t="shared" si="264"/>
        <v>0</v>
      </c>
      <c r="K5653" s="25">
        <f t="shared" si="266"/>
        <v>1.0000000000000009</v>
      </c>
      <c r="L5653" s="27"/>
      <c r="M5653" s="28"/>
      <c r="N5653" s="28"/>
      <c r="O5653" s="20" t="s">
        <v>7530</v>
      </c>
      <c r="P5653" s="27" t="str">
        <f t="shared" si="265"/>
        <v>vermelho</v>
      </c>
    </row>
    <row r="5654" spans="1:16" ht="38.25">
      <c r="A5654" s="3" t="s">
        <v>4</v>
      </c>
      <c r="B5654" s="3" t="s">
        <v>4474</v>
      </c>
      <c r="C5654" s="4">
        <v>292</v>
      </c>
      <c r="D5654" s="3" t="s">
        <v>57</v>
      </c>
      <c r="E5654" s="3" t="s">
        <v>49</v>
      </c>
      <c r="F5654" s="5">
        <v>60</v>
      </c>
      <c r="G5654" s="5">
        <v>0</v>
      </c>
      <c r="H5654" s="6">
        <v>2680.2</v>
      </c>
      <c r="I5654" s="22">
        <v>0</v>
      </c>
      <c r="J5654" s="24">
        <f t="shared" si="264"/>
        <v>0</v>
      </c>
      <c r="K5654" s="25">
        <f t="shared" si="266"/>
        <v>1.0000000000000009</v>
      </c>
      <c r="L5654" s="27"/>
      <c r="M5654" s="28"/>
      <c r="N5654" s="28"/>
      <c r="O5654" s="20" t="s">
        <v>7530</v>
      </c>
      <c r="P5654" s="27" t="str">
        <f t="shared" si="265"/>
        <v>vermelho</v>
      </c>
    </row>
    <row r="5655" spans="1:16" ht="25.5">
      <c r="A5655" s="3" t="s">
        <v>4</v>
      </c>
      <c r="B5655" s="3" t="s">
        <v>4475</v>
      </c>
      <c r="C5655" s="4">
        <v>39</v>
      </c>
      <c r="D5655" s="3" t="s">
        <v>26</v>
      </c>
      <c r="E5655" s="3" t="s">
        <v>13</v>
      </c>
      <c r="F5655" s="5">
        <v>96</v>
      </c>
      <c r="G5655" s="5">
        <v>0</v>
      </c>
      <c r="H5655" s="6">
        <v>5161.32</v>
      </c>
      <c r="I5655" s="22">
        <v>0</v>
      </c>
      <c r="J5655" s="24">
        <f t="shared" si="264"/>
        <v>0</v>
      </c>
      <c r="K5655" s="25">
        <f t="shared" si="266"/>
        <v>1.0000000000000009</v>
      </c>
      <c r="L5655" s="27"/>
      <c r="M5655" s="28"/>
      <c r="N5655" s="28"/>
      <c r="O5655" s="20" t="s">
        <v>7530</v>
      </c>
      <c r="P5655" s="27" t="str">
        <f t="shared" si="265"/>
        <v>vermelho</v>
      </c>
    </row>
    <row r="5656" spans="1:16" ht="25.5">
      <c r="A5656" s="3" t="s">
        <v>4</v>
      </c>
      <c r="B5656" s="3" t="s">
        <v>4476</v>
      </c>
      <c r="C5656" s="4">
        <v>302</v>
      </c>
      <c r="D5656" s="3" t="s">
        <v>293</v>
      </c>
      <c r="E5656" s="3" t="s">
        <v>49</v>
      </c>
      <c r="F5656" s="5">
        <v>120</v>
      </c>
      <c r="G5656" s="5">
        <v>0</v>
      </c>
      <c r="H5656" s="6">
        <v>6826.8</v>
      </c>
      <c r="I5656" s="22">
        <v>0</v>
      </c>
      <c r="J5656" s="24">
        <f t="shared" si="264"/>
        <v>0</v>
      </c>
      <c r="K5656" s="25">
        <f t="shared" si="266"/>
        <v>1.0000000000000009</v>
      </c>
      <c r="L5656" s="27"/>
      <c r="M5656" s="28"/>
      <c r="N5656" s="28"/>
      <c r="O5656" s="20" t="s">
        <v>7530</v>
      </c>
      <c r="P5656" s="27" t="str">
        <f t="shared" si="265"/>
        <v>vermelho</v>
      </c>
    </row>
    <row r="5657" spans="1:16" ht="25.5">
      <c r="A5657" s="3" t="s">
        <v>4</v>
      </c>
      <c r="B5657" s="3" t="s">
        <v>4477</v>
      </c>
      <c r="C5657" s="4">
        <v>39</v>
      </c>
      <c r="D5657" s="3" t="s">
        <v>26</v>
      </c>
      <c r="E5657" s="3" t="s">
        <v>13</v>
      </c>
      <c r="F5657" s="5">
        <v>45</v>
      </c>
      <c r="G5657" s="5">
        <v>0</v>
      </c>
      <c r="H5657" s="6">
        <v>2762.55</v>
      </c>
      <c r="I5657" s="22">
        <v>0</v>
      </c>
      <c r="J5657" s="24">
        <f t="shared" si="264"/>
        <v>0</v>
      </c>
      <c r="K5657" s="25">
        <f t="shared" si="266"/>
        <v>1.0000000000000009</v>
      </c>
      <c r="L5657" s="27"/>
      <c r="M5657" s="28"/>
      <c r="N5657" s="28"/>
      <c r="O5657" s="20" t="s">
        <v>7530</v>
      </c>
      <c r="P5657" s="27" t="str">
        <f t="shared" si="265"/>
        <v>vermelho</v>
      </c>
    </row>
    <row r="5658" spans="1:16" ht="25.5">
      <c r="A5658" s="3" t="s">
        <v>4</v>
      </c>
      <c r="B5658" s="3" t="s">
        <v>4478</v>
      </c>
      <c r="C5658" s="4">
        <v>270</v>
      </c>
      <c r="D5658" s="3" t="s">
        <v>266</v>
      </c>
      <c r="E5658" s="3" t="s">
        <v>49</v>
      </c>
      <c r="F5658" s="5">
        <v>147</v>
      </c>
      <c r="G5658" s="5">
        <v>0</v>
      </c>
      <c r="H5658" s="6">
        <v>10226.58</v>
      </c>
      <c r="I5658" s="22">
        <v>0</v>
      </c>
      <c r="J5658" s="24">
        <f t="shared" si="264"/>
        <v>0</v>
      </c>
      <c r="K5658" s="25">
        <f t="shared" si="266"/>
        <v>1.0000000000000009</v>
      </c>
      <c r="L5658" s="27"/>
      <c r="M5658" s="28"/>
      <c r="N5658" s="28"/>
      <c r="O5658" s="20" t="s">
        <v>7530</v>
      </c>
      <c r="P5658" s="27" t="str">
        <f t="shared" si="265"/>
        <v>vermelho</v>
      </c>
    </row>
    <row r="5659" spans="1:16" ht="25.5">
      <c r="A5659" s="3" t="s">
        <v>4</v>
      </c>
      <c r="B5659" s="3" t="s">
        <v>4479</v>
      </c>
      <c r="C5659" s="4">
        <v>194</v>
      </c>
      <c r="D5659" s="3" t="s">
        <v>145</v>
      </c>
      <c r="E5659" s="3" t="s">
        <v>16</v>
      </c>
      <c r="F5659" s="5">
        <v>108</v>
      </c>
      <c r="G5659" s="5">
        <v>0</v>
      </c>
      <c r="H5659" s="6">
        <v>6882.03</v>
      </c>
      <c r="I5659" s="22">
        <v>0</v>
      </c>
      <c r="J5659" s="24">
        <f t="shared" si="264"/>
        <v>0</v>
      </c>
      <c r="K5659" s="25">
        <f t="shared" si="266"/>
        <v>1.0000000000000009</v>
      </c>
      <c r="L5659" s="27"/>
      <c r="M5659" s="28"/>
      <c r="N5659" s="28"/>
      <c r="O5659" s="20" t="s">
        <v>7530</v>
      </c>
      <c r="P5659" s="27" t="str">
        <f t="shared" si="265"/>
        <v>vermelho</v>
      </c>
    </row>
    <row r="5660" spans="1:16" ht="25.5">
      <c r="A5660" s="3" t="s">
        <v>4</v>
      </c>
      <c r="B5660" s="3" t="s">
        <v>4480</v>
      </c>
      <c r="C5660" s="4">
        <v>334</v>
      </c>
      <c r="D5660" s="3" t="s">
        <v>531</v>
      </c>
      <c r="E5660" s="3" t="s">
        <v>7</v>
      </c>
      <c r="F5660" s="5">
        <v>314</v>
      </c>
      <c r="G5660" s="5">
        <v>0</v>
      </c>
      <c r="H5660" s="6">
        <v>15452.07</v>
      </c>
      <c r="I5660" s="22">
        <v>0</v>
      </c>
      <c r="J5660" s="24">
        <f t="shared" si="264"/>
        <v>0</v>
      </c>
      <c r="K5660" s="25">
        <f t="shared" si="266"/>
        <v>1.0000000000000009</v>
      </c>
      <c r="L5660" s="27"/>
      <c r="M5660" s="28"/>
      <c r="N5660" s="28"/>
      <c r="O5660" s="20" t="s">
        <v>7530</v>
      </c>
      <c r="P5660" s="27" t="str">
        <f t="shared" si="265"/>
        <v>vermelho</v>
      </c>
    </row>
    <row r="5661" spans="1:16" ht="25.5">
      <c r="A5661" s="3" t="s">
        <v>4</v>
      </c>
      <c r="B5661" s="3" t="s">
        <v>4481</v>
      </c>
      <c r="C5661" s="4">
        <v>266</v>
      </c>
      <c r="D5661" s="3" t="s">
        <v>80</v>
      </c>
      <c r="E5661" s="3" t="s">
        <v>10</v>
      </c>
      <c r="F5661" s="5">
        <v>48</v>
      </c>
      <c r="G5661" s="5">
        <v>0</v>
      </c>
      <c r="H5661" s="6">
        <v>2118.96</v>
      </c>
      <c r="I5661" s="22">
        <v>0</v>
      </c>
      <c r="J5661" s="24">
        <f t="shared" si="264"/>
        <v>0</v>
      </c>
      <c r="K5661" s="25">
        <f t="shared" si="266"/>
        <v>1.0000000000000009</v>
      </c>
      <c r="L5661" s="27"/>
      <c r="M5661" s="28"/>
      <c r="N5661" s="28"/>
      <c r="O5661" s="20" t="s">
        <v>7530</v>
      </c>
      <c r="P5661" s="27" t="str">
        <f t="shared" si="265"/>
        <v>vermelho</v>
      </c>
    </row>
    <row r="5662" spans="1:16" ht="25.5">
      <c r="A5662" s="3" t="s">
        <v>4</v>
      </c>
      <c r="B5662" s="3" t="s">
        <v>4482</v>
      </c>
      <c r="C5662" s="4">
        <v>334</v>
      </c>
      <c r="D5662" s="3" t="s">
        <v>531</v>
      </c>
      <c r="E5662" s="3" t="s">
        <v>7</v>
      </c>
      <c r="F5662" s="5">
        <v>78</v>
      </c>
      <c r="G5662" s="5">
        <v>0</v>
      </c>
      <c r="H5662" s="6">
        <v>4090.98</v>
      </c>
      <c r="I5662" s="22">
        <v>0</v>
      </c>
      <c r="J5662" s="24">
        <f t="shared" si="264"/>
        <v>0</v>
      </c>
      <c r="K5662" s="25">
        <f t="shared" si="266"/>
        <v>1.0000000000000009</v>
      </c>
      <c r="L5662" s="27"/>
      <c r="M5662" s="28"/>
      <c r="N5662" s="28"/>
      <c r="O5662" s="20" t="s">
        <v>7530</v>
      </c>
      <c r="P5662" s="27" t="str">
        <f t="shared" si="265"/>
        <v>vermelho</v>
      </c>
    </row>
    <row r="5663" spans="1:16" ht="38.25">
      <c r="A5663" s="3" t="s">
        <v>4</v>
      </c>
      <c r="B5663" s="3" t="s">
        <v>4483</v>
      </c>
      <c r="C5663" s="4">
        <v>45</v>
      </c>
      <c r="D5663" s="3" t="s">
        <v>23</v>
      </c>
      <c r="E5663" s="3" t="s">
        <v>7</v>
      </c>
      <c r="F5663" s="5">
        <v>402</v>
      </c>
      <c r="G5663" s="5">
        <v>0</v>
      </c>
      <c r="H5663" s="6">
        <v>22879.74</v>
      </c>
      <c r="I5663" s="22">
        <v>0</v>
      </c>
      <c r="J5663" s="24">
        <f t="shared" si="264"/>
        <v>0</v>
      </c>
      <c r="K5663" s="25">
        <f t="shared" si="266"/>
        <v>1.0000000000000009</v>
      </c>
      <c r="L5663" s="27"/>
      <c r="M5663" s="28"/>
      <c r="N5663" s="28"/>
      <c r="O5663" s="20" t="s">
        <v>7530</v>
      </c>
      <c r="P5663" s="27" t="str">
        <f t="shared" si="265"/>
        <v>vermelho</v>
      </c>
    </row>
    <row r="5664" spans="1:16" ht="25.5">
      <c r="A5664" s="3" t="s">
        <v>4</v>
      </c>
      <c r="B5664" s="3" t="s">
        <v>4484</v>
      </c>
      <c r="C5664" s="4">
        <v>23</v>
      </c>
      <c r="D5664" s="3" t="s">
        <v>87</v>
      </c>
      <c r="E5664" s="3" t="s">
        <v>7</v>
      </c>
      <c r="F5664" s="5">
        <v>60</v>
      </c>
      <c r="G5664" s="5">
        <v>0</v>
      </c>
      <c r="H5664" s="6">
        <v>3312.54</v>
      </c>
      <c r="I5664" s="22">
        <v>0</v>
      </c>
      <c r="J5664" s="24">
        <f t="shared" si="264"/>
        <v>0</v>
      </c>
      <c r="K5664" s="25">
        <f t="shared" si="266"/>
        <v>1.0000000000000009</v>
      </c>
      <c r="L5664" s="27"/>
      <c r="M5664" s="28"/>
      <c r="N5664" s="28"/>
      <c r="O5664" s="20" t="s">
        <v>7530</v>
      </c>
      <c r="P5664" s="27" t="str">
        <f t="shared" si="265"/>
        <v>vermelho</v>
      </c>
    </row>
    <row r="5665" spans="1:16" ht="25.5">
      <c r="A5665" s="3" t="s">
        <v>4</v>
      </c>
      <c r="B5665" s="3" t="s">
        <v>4485</v>
      </c>
      <c r="C5665" s="4">
        <v>296</v>
      </c>
      <c r="D5665" s="3" t="s">
        <v>282</v>
      </c>
      <c r="E5665" s="3" t="s">
        <v>16</v>
      </c>
      <c r="F5665" s="5">
        <v>81</v>
      </c>
      <c r="G5665" s="5">
        <v>0</v>
      </c>
      <c r="H5665" s="6">
        <v>2913.09</v>
      </c>
      <c r="I5665" s="22">
        <v>0</v>
      </c>
      <c r="J5665" s="24">
        <f t="shared" si="264"/>
        <v>0</v>
      </c>
      <c r="K5665" s="25">
        <f t="shared" si="266"/>
        <v>1.0000000000000009</v>
      </c>
      <c r="L5665" s="27"/>
      <c r="M5665" s="28"/>
      <c r="N5665" s="28"/>
      <c r="O5665" s="20" t="s">
        <v>7530</v>
      </c>
      <c r="P5665" s="27" t="str">
        <f t="shared" si="265"/>
        <v>vermelho</v>
      </c>
    </row>
    <row r="5666" spans="1:16" ht="25.5">
      <c r="A5666" s="3" t="s">
        <v>4</v>
      </c>
      <c r="B5666" s="3" t="s">
        <v>4486</v>
      </c>
      <c r="C5666" s="4">
        <v>266</v>
      </c>
      <c r="D5666" s="3" t="s">
        <v>80</v>
      </c>
      <c r="E5666" s="3" t="s">
        <v>10</v>
      </c>
      <c r="F5666" s="5">
        <v>261</v>
      </c>
      <c r="G5666" s="5">
        <v>0</v>
      </c>
      <c r="H5666" s="6">
        <v>15867.33</v>
      </c>
      <c r="I5666" s="22">
        <v>0</v>
      </c>
      <c r="J5666" s="24">
        <f t="shared" si="264"/>
        <v>0</v>
      </c>
      <c r="K5666" s="25">
        <f t="shared" si="266"/>
        <v>1.0000000000000009</v>
      </c>
      <c r="L5666" s="27"/>
      <c r="M5666" s="28"/>
      <c r="N5666" s="28"/>
      <c r="O5666" s="20" t="s">
        <v>7530</v>
      </c>
      <c r="P5666" s="27" t="str">
        <f t="shared" si="265"/>
        <v>vermelho</v>
      </c>
    </row>
    <row r="5667" spans="1:16" ht="25.5">
      <c r="A5667" s="3" t="s">
        <v>4</v>
      </c>
      <c r="B5667" s="3" t="s">
        <v>4487</v>
      </c>
      <c r="C5667" s="4">
        <v>232</v>
      </c>
      <c r="D5667" s="3" t="s">
        <v>174</v>
      </c>
      <c r="E5667" s="3" t="s">
        <v>16</v>
      </c>
      <c r="F5667" s="5">
        <v>216</v>
      </c>
      <c r="G5667" s="5">
        <v>0</v>
      </c>
      <c r="H5667" s="6">
        <v>9523.2000000000007</v>
      </c>
      <c r="I5667" s="22">
        <v>0</v>
      </c>
      <c r="J5667" s="24">
        <f t="shared" si="264"/>
        <v>0</v>
      </c>
      <c r="K5667" s="25">
        <f t="shared" si="266"/>
        <v>1.0000000000000009</v>
      </c>
      <c r="L5667" s="27"/>
      <c r="M5667" s="28"/>
      <c r="N5667" s="28"/>
      <c r="O5667" s="20" t="s">
        <v>7530</v>
      </c>
      <c r="P5667" s="27" t="str">
        <f t="shared" si="265"/>
        <v>vermelho</v>
      </c>
    </row>
    <row r="5668" spans="1:16" ht="38.25">
      <c r="A5668" s="3" t="s">
        <v>4</v>
      </c>
      <c r="B5668" s="3" t="s">
        <v>4488</v>
      </c>
      <c r="C5668" s="4">
        <v>292</v>
      </c>
      <c r="D5668" s="3" t="s">
        <v>57</v>
      </c>
      <c r="E5668" s="3" t="s">
        <v>49</v>
      </c>
      <c r="F5668" s="5">
        <v>66</v>
      </c>
      <c r="G5668" s="5">
        <v>0</v>
      </c>
      <c r="H5668" s="6">
        <v>2937.0059999999999</v>
      </c>
      <c r="I5668" s="22">
        <v>0</v>
      </c>
      <c r="J5668" s="24">
        <f t="shared" si="264"/>
        <v>0</v>
      </c>
      <c r="K5668" s="25">
        <f t="shared" si="266"/>
        <v>1.0000000000000009</v>
      </c>
      <c r="L5668" s="27"/>
      <c r="M5668" s="28"/>
      <c r="N5668" s="28"/>
      <c r="O5668" s="20" t="s">
        <v>7530</v>
      </c>
      <c r="P5668" s="27" t="str">
        <f t="shared" si="265"/>
        <v>vermelho</v>
      </c>
    </row>
    <row r="5669" spans="1:16" ht="25.5">
      <c r="A5669" s="3" t="s">
        <v>4</v>
      </c>
      <c r="B5669" s="3" t="s">
        <v>4489</v>
      </c>
      <c r="C5669" s="4">
        <v>53</v>
      </c>
      <c r="D5669" s="3" t="s">
        <v>34</v>
      </c>
      <c r="E5669" s="3" t="s">
        <v>16</v>
      </c>
      <c r="F5669" s="5">
        <v>300</v>
      </c>
      <c r="G5669" s="5">
        <v>0</v>
      </c>
      <c r="H5669" s="6">
        <v>15628.44</v>
      </c>
      <c r="I5669" s="22">
        <v>0</v>
      </c>
      <c r="J5669" s="24">
        <f t="shared" si="264"/>
        <v>0</v>
      </c>
      <c r="K5669" s="25">
        <f t="shared" si="266"/>
        <v>1.0000000000000009</v>
      </c>
      <c r="L5669" s="27"/>
      <c r="M5669" s="28"/>
      <c r="N5669" s="28"/>
      <c r="O5669" s="20" t="s">
        <v>7530</v>
      </c>
      <c r="P5669" s="27" t="str">
        <f t="shared" si="265"/>
        <v>vermelho</v>
      </c>
    </row>
    <row r="5670" spans="1:16" ht="25.5">
      <c r="A5670" s="3" t="s">
        <v>4</v>
      </c>
      <c r="B5670" s="3" t="s">
        <v>4490</v>
      </c>
      <c r="C5670" s="4">
        <v>299</v>
      </c>
      <c r="D5670" s="3" t="s">
        <v>111</v>
      </c>
      <c r="E5670" s="3" t="s">
        <v>49</v>
      </c>
      <c r="F5670" s="5">
        <v>249</v>
      </c>
      <c r="G5670" s="5">
        <v>0</v>
      </c>
      <c r="H5670" s="6">
        <v>13708.56</v>
      </c>
      <c r="I5670" s="22">
        <v>0</v>
      </c>
      <c r="J5670" s="24">
        <f t="shared" si="264"/>
        <v>0</v>
      </c>
      <c r="K5670" s="25">
        <f t="shared" si="266"/>
        <v>1.0000000000000009</v>
      </c>
      <c r="L5670" s="27"/>
      <c r="M5670" s="28"/>
      <c r="N5670" s="28"/>
      <c r="O5670" s="20" t="s">
        <v>7530</v>
      </c>
      <c r="P5670" s="27" t="str">
        <f t="shared" si="265"/>
        <v>vermelho</v>
      </c>
    </row>
    <row r="5671" spans="1:16" ht="25.5">
      <c r="A5671" s="3" t="s">
        <v>4</v>
      </c>
      <c r="B5671" s="3" t="s">
        <v>4491</v>
      </c>
      <c r="C5671" s="4">
        <v>264</v>
      </c>
      <c r="D5671" s="3" t="s">
        <v>40</v>
      </c>
      <c r="E5671" s="3" t="s">
        <v>10</v>
      </c>
      <c r="F5671" s="5">
        <v>0</v>
      </c>
      <c r="G5671" s="5">
        <v>0</v>
      </c>
      <c r="H5671" s="6">
        <v>0</v>
      </c>
      <c r="I5671" s="22">
        <v>0</v>
      </c>
      <c r="J5671" s="24">
        <f t="shared" si="264"/>
        <v>0</v>
      </c>
      <c r="K5671" s="25">
        <f t="shared" si="266"/>
        <v>1.0000000000000009</v>
      </c>
      <c r="L5671" s="27"/>
      <c r="M5671" s="28"/>
      <c r="N5671" s="28"/>
      <c r="O5671" s="20" t="s">
        <v>7530</v>
      </c>
      <c r="P5671" s="27" t="str">
        <f t="shared" si="265"/>
        <v>vermelho</v>
      </c>
    </row>
    <row r="5672" spans="1:16" ht="25.5">
      <c r="A5672" s="3" t="s">
        <v>4</v>
      </c>
      <c r="B5672" s="3" t="s">
        <v>4492</v>
      </c>
      <c r="C5672" s="4">
        <v>266</v>
      </c>
      <c r="D5672" s="3" t="s">
        <v>80</v>
      </c>
      <c r="E5672" s="3" t="s">
        <v>10</v>
      </c>
      <c r="F5672" s="5">
        <v>96</v>
      </c>
      <c r="G5672" s="5">
        <v>0</v>
      </c>
      <c r="H5672" s="6">
        <v>5633.25</v>
      </c>
      <c r="I5672" s="22">
        <v>0</v>
      </c>
      <c r="J5672" s="24">
        <f t="shared" si="264"/>
        <v>0</v>
      </c>
      <c r="K5672" s="25">
        <f t="shared" si="266"/>
        <v>1.0000000000000009</v>
      </c>
      <c r="L5672" s="27"/>
      <c r="M5672" s="28"/>
      <c r="N5672" s="28"/>
      <c r="O5672" s="20" t="s">
        <v>7530</v>
      </c>
      <c r="P5672" s="27" t="str">
        <f t="shared" si="265"/>
        <v>vermelho</v>
      </c>
    </row>
    <row r="5673" spans="1:16">
      <c r="A5673" s="3" t="s">
        <v>4</v>
      </c>
      <c r="B5673" s="3" t="s">
        <v>4493</v>
      </c>
      <c r="C5673" s="4">
        <v>264</v>
      </c>
      <c r="D5673" s="3" t="s">
        <v>40</v>
      </c>
      <c r="E5673" s="3" t="s">
        <v>10</v>
      </c>
      <c r="F5673" s="5">
        <v>216</v>
      </c>
      <c r="G5673" s="5">
        <v>0</v>
      </c>
      <c r="H5673" s="6">
        <v>7768.7640000000001</v>
      </c>
      <c r="I5673" s="22">
        <v>0</v>
      </c>
      <c r="J5673" s="24">
        <f t="shared" si="264"/>
        <v>0</v>
      </c>
      <c r="K5673" s="25">
        <f t="shared" si="266"/>
        <v>1.0000000000000009</v>
      </c>
      <c r="L5673" s="27"/>
      <c r="M5673" s="28"/>
      <c r="N5673" s="28"/>
      <c r="O5673" s="20">
        <v>3565.2</v>
      </c>
      <c r="P5673" s="27" t="str">
        <f t="shared" si="265"/>
        <v>vermelho</v>
      </c>
    </row>
    <row r="5674" spans="1:16" ht="25.5">
      <c r="A5674" s="3" t="s">
        <v>4</v>
      </c>
      <c r="B5674" s="3" t="s">
        <v>4494</v>
      </c>
      <c r="C5674" s="4">
        <v>178</v>
      </c>
      <c r="D5674" s="3" t="s">
        <v>74</v>
      </c>
      <c r="E5674" s="3" t="s">
        <v>7</v>
      </c>
      <c r="F5674" s="5">
        <v>48</v>
      </c>
      <c r="G5674" s="5">
        <v>0</v>
      </c>
      <c r="H5674" s="6">
        <v>3402.48</v>
      </c>
      <c r="I5674" s="22">
        <v>0</v>
      </c>
      <c r="J5674" s="24">
        <f t="shared" si="264"/>
        <v>0</v>
      </c>
      <c r="K5674" s="25">
        <f t="shared" si="266"/>
        <v>1.0000000000000009</v>
      </c>
      <c r="L5674" s="27"/>
      <c r="M5674" s="28"/>
      <c r="N5674" s="28"/>
      <c r="O5674" s="20" t="s">
        <v>7530</v>
      </c>
      <c r="P5674" s="27" t="str">
        <f t="shared" si="265"/>
        <v>vermelho</v>
      </c>
    </row>
    <row r="5675" spans="1:16" ht="25.5">
      <c r="A5675" s="3" t="s">
        <v>4</v>
      </c>
      <c r="B5675" s="3" t="s">
        <v>4495</v>
      </c>
      <c r="C5675" s="4">
        <v>299</v>
      </c>
      <c r="D5675" s="3" t="s">
        <v>111</v>
      </c>
      <c r="E5675" s="3" t="s">
        <v>49</v>
      </c>
      <c r="F5675" s="5">
        <v>156</v>
      </c>
      <c r="G5675" s="5">
        <v>0</v>
      </c>
      <c r="H5675" s="6">
        <v>8928.7199999999993</v>
      </c>
      <c r="I5675" s="22">
        <v>0</v>
      </c>
      <c r="J5675" s="24">
        <f t="shared" si="264"/>
        <v>0</v>
      </c>
      <c r="K5675" s="25">
        <f t="shared" si="266"/>
        <v>1.0000000000000009</v>
      </c>
      <c r="L5675" s="27"/>
      <c r="M5675" s="28"/>
      <c r="N5675" s="28"/>
      <c r="O5675" s="20">
        <v>4308.72</v>
      </c>
      <c r="P5675" s="27" t="str">
        <f t="shared" si="265"/>
        <v>vermelho</v>
      </c>
    </row>
    <row r="5676" spans="1:16" ht="25.5">
      <c r="A5676" s="3" t="s">
        <v>4</v>
      </c>
      <c r="B5676" s="3" t="s">
        <v>4496</v>
      </c>
      <c r="C5676" s="4">
        <v>93</v>
      </c>
      <c r="D5676" s="3" t="s">
        <v>20</v>
      </c>
      <c r="E5676" s="3" t="s">
        <v>7</v>
      </c>
      <c r="F5676" s="5">
        <v>60</v>
      </c>
      <c r="G5676" s="5">
        <v>0</v>
      </c>
      <c r="H5676" s="6">
        <v>3593.46</v>
      </c>
      <c r="I5676" s="22">
        <v>0</v>
      </c>
      <c r="J5676" s="24">
        <f t="shared" si="264"/>
        <v>0</v>
      </c>
      <c r="K5676" s="25">
        <f t="shared" si="266"/>
        <v>1.0000000000000009</v>
      </c>
      <c r="L5676" s="27"/>
      <c r="M5676" s="28"/>
      <c r="N5676" s="28"/>
      <c r="O5676" s="20" t="s">
        <v>7530</v>
      </c>
      <c r="P5676" s="27" t="str">
        <f t="shared" si="265"/>
        <v>vermelho</v>
      </c>
    </row>
    <row r="5677" spans="1:16" ht="25.5">
      <c r="A5677" s="3" t="s">
        <v>4</v>
      </c>
      <c r="B5677" s="3" t="s">
        <v>4497</v>
      </c>
      <c r="C5677" s="4">
        <v>273</v>
      </c>
      <c r="D5677" s="3" t="s">
        <v>149</v>
      </c>
      <c r="E5677" s="3" t="s">
        <v>16</v>
      </c>
      <c r="F5677" s="5">
        <v>132</v>
      </c>
      <c r="G5677" s="5">
        <v>0</v>
      </c>
      <c r="H5677" s="6">
        <v>8872.08</v>
      </c>
      <c r="I5677" s="22">
        <v>0</v>
      </c>
      <c r="J5677" s="24">
        <f t="shared" si="264"/>
        <v>0</v>
      </c>
      <c r="K5677" s="25">
        <f t="shared" si="266"/>
        <v>1.0000000000000009</v>
      </c>
      <c r="L5677" s="27"/>
      <c r="M5677" s="28"/>
      <c r="N5677" s="28"/>
      <c r="O5677" s="20" t="s">
        <v>7530</v>
      </c>
      <c r="P5677" s="27" t="str">
        <f t="shared" si="265"/>
        <v>vermelho</v>
      </c>
    </row>
    <row r="5678" spans="1:16" ht="25.5">
      <c r="A5678" s="3" t="s">
        <v>4</v>
      </c>
      <c r="B5678" s="3" t="s">
        <v>4498</v>
      </c>
      <c r="C5678" s="4">
        <v>19</v>
      </c>
      <c r="D5678" s="3" t="s">
        <v>72</v>
      </c>
      <c r="E5678" s="3" t="s">
        <v>41</v>
      </c>
      <c r="F5678" s="5">
        <v>156</v>
      </c>
      <c r="G5678" s="5">
        <v>0</v>
      </c>
      <c r="H5678" s="6">
        <v>9676.92</v>
      </c>
      <c r="I5678" s="22">
        <v>0</v>
      </c>
      <c r="J5678" s="24">
        <f t="shared" si="264"/>
        <v>0</v>
      </c>
      <c r="K5678" s="25">
        <f t="shared" si="266"/>
        <v>1.0000000000000009</v>
      </c>
      <c r="L5678" s="27"/>
      <c r="M5678" s="28"/>
      <c r="N5678" s="28"/>
      <c r="O5678" s="20">
        <v>10155.780000000001</v>
      </c>
      <c r="P5678" s="27" t="str">
        <f t="shared" si="265"/>
        <v>vermelho</v>
      </c>
    </row>
    <row r="5679" spans="1:16" ht="25.5">
      <c r="A5679" s="3" t="s">
        <v>4</v>
      </c>
      <c r="B5679" s="3" t="s">
        <v>4499</v>
      </c>
      <c r="C5679" s="4">
        <v>321</v>
      </c>
      <c r="D5679" s="3" t="s">
        <v>136</v>
      </c>
      <c r="E5679" s="3" t="s">
        <v>41</v>
      </c>
      <c r="F5679" s="5">
        <v>60</v>
      </c>
      <c r="G5679" s="5">
        <v>0</v>
      </c>
      <c r="H5679" s="6">
        <v>3719.4</v>
      </c>
      <c r="I5679" s="22">
        <v>0</v>
      </c>
      <c r="J5679" s="24">
        <f t="shared" si="264"/>
        <v>0</v>
      </c>
      <c r="K5679" s="25">
        <f t="shared" si="266"/>
        <v>1.0000000000000009</v>
      </c>
      <c r="L5679" s="27"/>
      <c r="M5679" s="28"/>
      <c r="N5679" s="28"/>
      <c r="O5679" s="20" t="s">
        <v>7530</v>
      </c>
      <c r="P5679" s="27" t="str">
        <f t="shared" si="265"/>
        <v>vermelho</v>
      </c>
    </row>
    <row r="5680" spans="1:16" ht="38.25">
      <c r="A5680" s="3" t="s">
        <v>4</v>
      </c>
      <c r="B5680" s="3" t="s">
        <v>4500</v>
      </c>
      <c r="C5680" s="4">
        <v>371</v>
      </c>
      <c r="D5680" s="3" t="s">
        <v>82</v>
      </c>
      <c r="E5680" s="3" t="s">
        <v>49</v>
      </c>
      <c r="F5680" s="5">
        <v>165</v>
      </c>
      <c r="G5680" s="5">
        <v>0</v>
      </c>
      <c r="H5680" s="6">
        <v>9529.7849999999999</v>
      </c>
      <c r="I5680" s="22">
        <v>0</v>
      </c>
      <c r="J5680" s="24">
        <f t="shared" si="264"/>
        <v>0</v>
      </c>
      <c r="K5680" s="25">
        <f t="shared" si="266"/>
        <v>1.0000000000000009</v>
      </c>
      <c r="L5680" s="27"/>
      <c r="M5680" s="28"/>
      <c r="N5680" s="28"/>
      <c r="O5680" s="20" t="s">
        <v>7530</v>
      </c>
      <c r="P5680" s="27" t="str">
        <f t="shared" si="265"/>
        <v>vermelho</v>
      </c>
    </row>
    <row r="5681" spans="1:16" ht="25.5">
      <c r="A5681" s="3" t="s">
        <v>4</v>
      </c>
      <c r="B5681" s="3" t="s">
        <v>4501</v>
      </c>
      <c r="C5681" s="4">
        <v>231</v>
      </c>
      <c r="D5681" s="3" t="s">
        <v>52</v>
      </c>
      <c r="E5681" s="3" t="s">
        <v>7</v>
      </c>
      <c r="F5681" s="5">
        <v>684</v>
      </c>
      <c r="G5681" s="5">
        <v>0</v>
      </c>
      <c r="H5681" s="6">
        <v>41056.92</v>
      </c>
      <c r="I5681" s="22">
        <v>0</v>
      </c>
      <c r="J5681" s="24">
        <f t="shared" si="264"/>
        <v>0</v>
      </c>
      <c r="K5681" s="25">
        <f t="shared" si="266"/>
        <v>1.0000000000000009</v>
      </c>
      <c r="L5681" s="27"/>
      <c r="M5681" s="28"/>
      <c r="N5681" s="28"/>
      <c r="O5681" s="20" t="s">
        <v>7530</v>
      </c>
      <c r="P5681" s="27" t="str">
        <f t="shared" si="265"/>
        <v>vermelho</v>
      </c>
    </row>
    <row r="5682" spans="1:16" ht="25.5">
      <c r="A5682" s="3" t="s">
        <v>4</v>
      </c>
      <c r="B5682" s="3" t="s">
        <v>4502</v>
      </c>
      <c r="C5682" s="4">
        <v>218</v>
      </c>
      <c r="D5682" s="3" t="s">
        <v>104</v>
      </c>
      <c r="E5682" s="3" t="s">
        <v>16</v>
      </c>
      <c r="F5682" s="5">
        <v>60</v>
      </c>
      <c r="G5682" s="5">
        <v>0</v>
      </c>
      <c r="H5682" s="6">
        <v>2903.4</v>
      </c>
      <c r="I5682" s="22">
        <v>0</v>
      </c>
      <c r="J5682" s="24">
        <f t="shared" si="264"/>
        <v>0</v>
      </c>
      <c r="K5682" s="25">
        <f t="shared" si="266"/>
        <v>1.0000000000000009</v>
      </c>
      <c r="L5682" s="27"/>
      <c r="M5682" s="28"/>
      <c r="N5682" s="28"/>
      <c r="O5682" s="20" t="s">
        <v>7530</v>
      </c>
      <c r="P5682" s="27" t="str">
        <f t="shared" si="265"/>
        <v>vermelho</v>
      </c>
    </row>
    <row r="5683" spans="1:16" ht="38.25">
      <c r="A5683" s="3" t="s">
        <v>4</v>
      </c>
      <c r="B5683" s="3" t="s">
        <v>4503</v>
      </c>
      <c r="C5683" s="4">
        <v>38</v>
      </c>
      <c r="D5683" s="3" t="s">
        <v>184</v>
      </c>
      <c r="E5683" s="3" t="s">
        <v>49</v>
      </c>
      <c r="F5683" s="5">
        <v>60</v>
      </c>
      <c r="G5683" s="5">
        <v>0</v>
      </c>
      <c r="H5683" s="6">
        <v>2371.65</v>
      </c>
      <c r="I5683" s="22">
        <v>0</v>
      </c>
      <c r="J5683" s="24">
        <f t="shared" si="264"/>
        <v>0</v>
      </c>
      <c r="K5683" s="25">
        <f t="shared" si="266"/>
        <v>1.0000000000000009</v>
      </c>
      <c r="L5683" s="27"/>
      <c r="M5683" s="28"/>
      <c r="N5683" s="28"/>
      <c r="O5683" s="20" t="s">
        <v>7530</v>
      </c>
      <c r="P5683" s="27" t="str">
        <f t="shared" si="265"/>
        <v>vermelho</v>
      </c>
    </row>
    <row r="5684" spans="1:16" ht="25.5">
      <c r="A5684" s="3" t="s">
        <v>4</v>
      </c>
      <c r="B5684" s="3" t="s">
        <v>4504</v>
      </c>
      <c r="C5684" s="4">
        <v>296</v>
      </c>
      <c r="D5684" s="3" t="s">
        <v>282</v>
      </c>
      <c r="E5684" s="3" t="s">
        <v>41</v>
      </c>
      <c r="F5684" s="5">
        <v>72</v>
      </c>
      <c r="G5684" s="5">
        <v>0</v>
      </c>
      <c r="H5684" s="6">
        <v>3530.88</v>
      </c>
      <c r="I5684" s="22">
        <v>0</v>
      </c>
      <c r="J5684" s="24">
        <f t="shared" si="264"/>
        <v>0</v>
      </c>
      <c r="K5684" s="25">
        <f t="shared" si="266"/>
        <v>1.0000000000000009</v>
      </c>
      <c r="L5684" s="27"/>
      <c r="M5684" s="28"/>
      <c r="N5684" s="28"/>
      <c r="O5684" s="20" t="s">
        <v>7530</v>
      </c>
      <c r="P5684" s="27" t="str">
        <f t="shared" si="265"/>
        <v>vermelho</v>
      </c>
    </row>
    <row r="5685" spans="1:16" ht="25.5">
      <c r="A5685" s="3" t="s">
        <v>4</v>
      </c>
      <c r="B5685" s="3" t="s">
        <v>4505</v>
      </c>
      <c r="C5685" s="4">
        <v>217</v>
      </c>
      <c r="D5685" s="3" t="s">
        <v>91</v>
      </c>
      <c r="E5685" s="3" t="s">
        <v>16</v>
      </c>
      <c r="F5685" s="5">
        <v>84</v>
      </c>
      <c r="G5685" s="5">
        <v>0</v>
      </c>
      <c r="H5685" s="6">
        <v>5360.28</v>
      </c>
      <c r="I5685" s="22">
        <v>0</v>
      </c>
      <c r="J5685" s="24">
        <f t="shared" si="264"/>
        <v>0</v>
      </c>
      <c r="K5685" s="25">
        <f t="shared" si="266"/>
        <v>1.0000000000000009</v>
      </c>
      <c r="L5685" s="27"/>
      <c r="M5685" s="28"/>
      <c r="N5685" s="28"/>
      <c r="O5685" s="20" t="s">
        <v>7530</v>
      </c>
      <c r="P5685" s="27" t="str">
        <f t="shared" si="265"/>
        <v>vermelho</v>
      </c>
    </row>
    <row r="5686" spans="1:16" ht="38.25">
      <c r="A5686" s="3" t="s">
        <v>4</v>
      </c>
      <c r="B5686" s="3" t="s">
        <v>4506</v>
      </c>
      <c r="C5686" s="4">
        <v>11</v>
      </c>
      <c r="D5686" s="3" t="s">
        <v>61</v>
      </c>
      <c r="E5686" s="3" t="s">
        <v>10</v>
      </c>
      <c r="F5686" s="5">
        <v>60</v>
      </c>
      <c r="G5686" s="5">
        <v>0</v>
      </c>
      <c r="H5686" s="6">
        <v>3719.4</v>
      </c>
      <c r="I5686" s="22">
        <v>0</v>
      </c>
      <c r="J5686" s="24">
        <f t="shared" si="264"/>
        <v>0</v>
      </c>
      <c r="K5686" s="25">
        <f t="shared" si="266"/>
        <v>1.0000000000000009</v>
      </c>
      <c r="L5686" s="27"/>
      <c r="M5686" s="28"/>
      <c r="N5686" s="28"/>
      <c r="O5686" s="20" t="s">
        <v>7530</v>
      </c>
      <c r="P5686" s="27" t="str">
        <f t="shared" si="265"/>
        <v>vermelho</v>
      </c>
    </row>
    <row r="5687" spans="1:16" ht="25.5">
      <c r="A5687" s="3" t="s">
        <v>4</v>
      </c>
      <c r="B5687" s="3" t="s">
        <v>4507</v>
      </c>
      <c r="C5687" s="4">
        <v>321</v>
      </c>
      <c r="D5687" s="3" t="s">
        <v>136</v>
      </c>
      <c r="E5687" s="3" t="s">
        <v>41</v>
      </c>
      <c r="F5687" s="5">
        <v>60</v>
      </c>
      <c r="G5687" s="5">
        <v>0</v>
      </c>
      <c r="H5687" s="6">
        <v>3534.84</v>
      </c>
      <c r="I5687" s="22">
        <v>0</v>
      </c>
      <c r="J5687" s="24">
        <f t="shared" si="264"/>
        <v>0</v>
      </c>
      <c r="K5687" s="25">
        <f t="shared" si="266"/>
        <v>1.0000000000000009</v>
      </c>
      <c r="L5687" s="27"/>
      <c r="M5687" s="28"/>
      <c r="N5687" s="28"/>
      <c r="O5687" s="20" t="s">
        <v>7530</v>
      </c>
      <c r="P5687" s="27" t="str">
        <f t="shared" si="265"/>
        <v>vermelho</v>
      </c>
    </row>
    <row r="5688" spans="1:16" ht="25.5">
      <c r="A5688" s="3" t="s">
        <v>4</v>
      </c>
      <c r="B5688" s="3" t="s">
        <v>4508</v>
      </c>
      <c r="C5688" s="4">
        <v>194</v>
      </c>
      <c r="D5688" s="3" t="s">
        <v>145</v>
      </c>
      <c r="E5688" s="3" t="s">
        <v>16</v>
      </c>
      <c r="F5688" s="5">
        <v>156</v>
      </c>
      <c r="G5688" s="5">
        <v>0</v>
      </c>
      <c r="H5688" s="6">
        <v>9027.99</v>
      </c>
      <c r="I5688" s="22">
        <v>0</v>
      </c>
      <c r="J5688" s="24">
        <f t="shared" si="264"/>
        <v>0</v>
      </c>
      <c r="K5688" s="25">
        <f t="shared" si="266"/>
        <v>1.0000000000000009</v>
      </c>
      <c r="L5688" s="27"/>
      <c r="M5688" s="28"/>
      <c r="N5688" s="28"/>
      <c r="O5688" s="20" t="s">
        <v>7530</v>
      </c>
      <c r="P5688" s="27" t="str">
        <f t="shared" si="265"/>
        <v>vermelho</v>
      </c>
    </row>
    <row r="5689" spans="1:16" ht="25.5">
      <c r="A5689" s="3" t="s">
        <v>4</v>
      </c>
      <c r="B5689" s="3" t="s">
        <v>4509</v>
      </c>
      <c r="C5689" s="4">
        <v>74</v>
      </c>
      <c r="D5689" s="3" t="s">
        <v>6</v>
      </c>
      <c r="E5689" s="3" t="s">
        <v>7</v>
      </c>
      <c r="F5689" s="5">
        <v>576</v>
      </c>
      <c r="G5689" s="5">
        <v>0</v>
      </c>
      <c r="H5689" s="6">
        <v>30572.52</v>
      </c>
      <c r="I5689" s="22">
        <v>0</v>
      </c>
      <c r="J5689" s="24">
        <f t="shared" si="264"/>
        <v>0</v>
      </c>
      <c r="K5689" s="25">
        <f t="shared" si="266"/>
        <v>1.0000000000000009</v>
      </c>
      <c r="L5689" s="27"/>
      <c r="M5689" s="28"/>
      <c r="N5689" s="28"/>
      <c r="O5689" s="20" t="s">
        <v>7530</v>
      </c>
      <c r="P5689" s="27" t="str">
        <f t="shared" si="265"/>
        <v>vermelho</v>
      </c>
    </row>
    <row r="5690" spans="1:16" ht="25.5">
      <c r="A5690" s="3" t="s">
        <v>4</v>
      </c>
      <c r="B5690" s="3" t="s">
        <v>4510</v>
      </c>
      <c r="C5690" s="4">
        <v>270</v>
      </c>
      <c r="D5690" s="3" t="s">
        <v>266</v>
      </c>
      <c r="E5690" s="3" t="s">
        <v>49</v>
      </c>
      <c r="F5690" s="5">
        <v>60</v>
      </c>
      <c r="G5690" s="5">
        <v>0</v>
      </c>
      <c r="H5690" s="6">
        <v>2358.84</v>
      </c>
      <c r="I5690" s="22">
        <v>0</v>
      </c>
      <c r="J5690" s="24">
        <f t="shared" si="264"/>
        <v>0</v>
      </c>
      <c r="K5690" s="25">
        <f t="shared" si="266"/>
        <v>1.0000000000000009</v>
      </c>
      <c r="L5690" s="27"/>
      <c r="M5690" s="28"/>
      <c r="N5690" s="28"/>
      <c r="O5690" s="20" t="s">
        <v>7530</v>
      </c>
      <c r="P5690" s="27" t="str">
        <f t="shared" si="265"/>
        <v>vermelho</v>
      </c>
    </row>
    <row r="5691" spans="1:16" ht="25.5">
      <c r="A5691" s="3" t="s">
        <v>4</v>
      </c>
      <c r="B5691" s="3" t="s">
        <v>4511</v>
      </c>
      <c r="C5691" s="4">
        <v>273</v>
      </c>
      <c r="D5691" s="3" t="s">
        <v>149</v>
      </c>
      <c r="E5691" s="3" t="s">
        <v>16</v>
      </c>
      <c r="F5691" s="5">
        <v>411</v>
      </c>
      <c r="G5691" s="5">
        <v>0</v>
      </c>
      <c r="H5691" s="6">
        <v>18956.25</v>
      </c>
      <c r="I5691" s="22">
        <v>0</v>
      </c>
      <c r="J5691" s="24">
        <f t="shared" si="264"/>
        <v>0</v>
      </c>
      <c r="K5691" s="25">
        <f t="shared" si="266"/>
        <v>1.0000000000000009</v>
      </c>
      <c r="L5691" s="27"/>
      <c r="M5691" s="28"/>
      <c r="N5691" s="28"/>
      <c r="O5691" s="20" t="s">
        <v>7530</v>
      </c>
      <c r="P5691" s="27" t="str">
        <f t="shared" si="265"/>
        <v>vermelho</v>
      </c>
    </row>
    <row r="5692" spans="1:16" ht="25.5">
      <c r="A5692" s="3" t="s">
        <v>4</v>
      </c>
      <c r="B5692" s="3" t="s">
        <v>4512</v>
      </c>
      <c r="C5692" s="4">
        <v>31</v>
      </c>
      <c r="D5692" s="3" t="s">
        <v>194</v>
      </c>
      <c r="E5692" s="3" t="s">
        <v>16</v>
      </c>
      <c r="F5692" s="5">
        <v>246</v>
      </c>
      <c r="G5692" s="5">
        <v>0</v>
      </c>
      <c r="H5692" s="6">
        <v>13587.54</v>
      </c>
      <c r="I5692" s="22">
        <v>0</v>
      </c>
      <c r="J5692" s="24">
        <f t="shared" si="264"/>
        <v>0</v>
      </c>
      <c r="K5692" s="25">
        <f t="shared" si="266"/>
        <v>1.0000000000000009</v>
      </c>
      <c r="L5692" s="27"/>
      <c r="M5692" s="28"/>
      <c r="N5692" s="28"/>
      <c r="O5692" s="20">
        <v>26831.88</v>
      </c>
      <c r="P5692" s="27" t="str">
        <f t="shared" si="265"/>
        <v>vermelho</v>
      </c>
    </row>
    <row r="5693" spans="1:16" ht="25.5">
      <c r="A5693" s="3" t="s">
        <v>4</v>
      </c>
      <c r="B5693" s="3" t="s">
        <v>4513</v>
      </c>
      <c r="C5693" s="4">
        <v>31</v>
      </c>
      <c r="D5693" s="3" t="s">
        <v>194</v>
      </c>
      <c r="E5693" s="3" t="s">
        <v>16</v>
      </c>
      <c r="F5693" s="5">
        <v>168</v>
      </c>
      <c r="G5693" s="5">
        <v>0</v>
      </c>
      <c r="H5693" s="6">
        <v>8074.32</v>
      </c>
      <c r="I5693" s="22">
        <v>0</v>
      </c>
      <c r="J5693" s="24">
        <f t="shared" si="264"/>
        <v>0</v>
      </c>
      <c r="K5693" s="25">
        <f t="shared" si="266"/>
        <v>1.0000000000000009</v>
      </c>
      <c r="L5693" s="27"/>
      <c r="M5693" s="28"/>
      <c r="N5693" s="28"/>
      <c r="O5693" s="20" t="s">
        <v>7530</v>
      </c>
      <c r="P5693" s="27" t="str">
        <f t="shared" si="265"/>
        <v>vermelho</v>
      </c>
    </row>
    <row r="5694" spans="1:16">
      <c r="A5694" s="3" t="s">
        <v>4</v>
      </c>
      <c r="B5694" s="3" t="s">
        <v>4514</v>
      </c>
      <c r="C5694" s="4">
        <v>240</v>
      </c>
      <c r="D5694" s="3" t="s">
        <v>69</v>
      </c>
      <c r="E5694" s="3" t="s">
        <v>16</v>
      </c>
      <c r="F5694" s="5">
        <v>111</v>
      </c>
      <c r="G5694" s="5">
        <v>0</v>
      </c>
      <c r="H5694" s="6">
        <v>5412.03</v>
      </c>
      <c r="I5694" s="22">
        <v>0</v>
      </c>
      <c r="J5694" s="24">
        <f t="shared" si="264"/>
        <v>0</v>
      </c>
      <c r="K5694" s="25">
        <f t="shared" si="266"/>
        <v>1.0000000000000009</v>
      </c>
      <c r="L5694" s="27"/>
      <c r="M5694" s="28"/>
      <c r="N5694" s="28"/>
      <c r="O5694" s="20" t="s">
        <v>7530</v>
      </c>
      <c r="P5694" s="27" t="str">
        <f t="shared" si="265"/>
        <v>vermelho</v>
      </c>
    </row>
    <row r="5695" spans="1:16" ht="38.25">
      <c r="A5695" s="3" t="s">
        <v>4</v>
      </c>
      <c r="B5695" s="3" t="s">
        <v>4515</v>
      </c>
      <c r="C5695" s="4">
        <v>143</v>
      </c>
      <c r="D5695" s="3" t="s">
        <v>44</v>
      </c>
      <c r="E5695" s="3" t="s">
        <v>41</v>
      </c>
      <c r="F5695" s="5">
        <v>108</v>
      </c>
      <c r="G5695" s="5">
        <v>0</v>
      </c>
      <c r="H5695" s="6">
        <v>6051.2340000000004</v>
      </c>
      <c r="I5695" s="22">
        <v>0</v>
      </c>
      <c r="J5695" s="24">
        <f t="shared" si="264"/>
        <v>0</v>
      </c>
      <c r="K5695" s="25">
        <f t="shared" si="266"/>
        <v>1.0000000000000009</v>
      </c>
      <c r="L5695" s="27"/>
      <c r="M5695" s="28"/>
      <c r="N5695" s="28"/>
      <c r="O5695" s="20" t="s">
        <v>7530</v>
      </c>
      <c r="P5695" s="27" t="str">
        <f t="shared" si="265"/>
        <v>vermelho</v>
      </c>
    </row>
    <row r="5696" spans="1:16" ht="25.5">
      <c r="A5696" s="3" t="s">
        <v>4</v>
      </c>
      <c r="B5696" s="3" t="s">
        <v>4516</v>
      </c>
      <c r="C5696" s="4">
        <v>273</v>
      </c>
      <c r="D5696" s="3" t="s">
        <v>149</v>
      </c>
      <c r="E5696" s="3" t="s">
        <v>16</v>
      </c>
      <c r="F5696" s="5">
        <v>231</v>
      </c>
      <c r="G5696" s="5">
        <v>0</v>
      </c>
      <c r="H5696" s="6">
        <v>11062.83</v>
      </c>
      <c r="I5696" s="22">
        <v>0</v>
      </c>
      <c r="J5696" s="24">
        <f t="shared" si="264"/>
        <v>0</v>
      </c>
      <c r="K5696" s="25">
        <f t="shared" si="266"/>
        <v>1.0000000000000009</v>
      </c>
      <c r="L5696" s="27"/>
      <c r="M5696" s="28"/>
      <c r="N5696" s="28"/>
      <c r="O5696" s="20" t="s">
        <v>7530</v>
      </c>
      <c r="P5696" s="27" t="str">
        <f t="shared" si="265"/>
        <v>vermelho</v>
      </c>
    </row>
    <row r="5697" spans="1:16" ht="25.5">
      <c r="A5697" s="3" t="s">
        <v>4</v>
      </c>
      <c r="B5697" s="3" t="s">
        <v>4517</v>
      </c>
      <c r="C5697" s="4">
        <v>267</v>
      </c>
      <c r="D5697" s="3" t="s">
        <v>125</v>
      </c>
      <c r="E5697" s="3" t="s">
        <v>16</v>
      </c>
      <c r="F5697" s="5">
        <v>294</v>
      </c>
      <c r="G5697" s="5">
        <v>0</v>
      </c>
      <c r="H5697" s="6">
        <v>15290.94</v>
      </c>
      <c r="I5697" s="22">
        <v>0</v>
      </c>
      <c r="J5697" s="24">
        <f t="shared" si="264"/>
        <v>0</v>
      </c>
      <c r="K5697" s="25">
        <f t="shared" si="266"/>
        <v>1.0000000000000009</v>
      </c>
      <c r="L5697" s="27"/>
      <c r="M5697" s="28"/>
      <c r="N5697" s="28"/>
      <c r="O5697" s="20" t="s">
        <v>7530</v>
      </c>
      <c r="P5697" s="27" t="str">
        <f t="shared" si="265"/>
        <v>vermelho</v>
      </c>
    </row>
    <row r="5698" spans="1:16" ht="25.5">
      <c r="A5698" s="3" t="s">
        <v>4</v>
      </c>
      <c r="B5698" s="3" t="s">
        <v>4518</v>
      </c>
      <c r="C5698" s="4">
        <v>23</v>
      </c>
      <c r="D5698" s="3" t="s">
        <v>87</v>
      </c>
      <c r="E5698" s="3" t="s">
        <v>7</v>
      </c>
      <c r="F5698" s="5">
        <v>294</v>
      </c>
      <c r="G5698" s="5">
        <v>0</v>
      </c>
      <c r="H5698" s="6">
        <v>16161.828</v>
      </c>
      <c r="I5698" s="22">
        <v>0</v>
      </c>
      <c r="J5698" s="24">
        <f t="shared" si="264"/>
        <v>0</v>
      </c>
      <c r="K5698" s="25">
        <f t="shared" si="266"/>
        <v>1.0000000000000009</v>
      </c>
      <c r="L5698" s="27"/>
      <c r="M5698" s="28"/>
      <c r="N5698" s="28"/>
      <c r="O5698" s="20" t="s">
        <v>7530</v>
      </c>
      <c r="P5698" s="27" t="str">
        <f t="shared" si="265"/>
        <v>vermelho</v>
      </c>
    </row>
    <row r="5699" spans="1:16" ht="25.5">
      <c r="A5699" s="3" t="s">
        <v>4</v>
      </c>
      <c r="B5699" s="3" t="s">
        <v>4519</v>
      </c>
      <c r="C5699" s="4">
        <v>39</v>
      </c>
      <c r="D5699" s="3" t="s">
        <v>26</v>
      </c>
      <c r="E5699" s="3" t="s">
        <v>13</v>
      </c>
      <c r="F5699" s="5">
        <v>90</v>
      </c>
      <c r="G5699" s="5">
        <v>0</v>
      </c>
      <c r="H5699" s="6">
        <v>5757.12</v>
      </c>
      <c r="I5699" s="22">
        <v>0</v>
      </c>
      <c r="J5699" s="24">
        <f t="shared" ref="J5699:J5762" si="267">I5699/$I$6364</f>
        <v>0</v>
      </c>
      <c r="K5699" s="25">
        <f t="shared" si="266"/>
        <v>1.0000000000000009</v>
      </c>
      <c r="L5699" s="27"/>
      <c r="M5699" s="28"/>
      <c r="N5699" s="28"/>
      <c r="O5699" s="20" t="s">
        <v>7530</v>
      </c>
      <c r="P5699" s="27" t="str">
        <f t="shared" ref="P5699:P5762" si="268">IF(O5699&lt;=0,"vermelho",IFERROR(IF(O5699/I5699&lt;=0.5098,"amarelo",IF(O5699/I5699&lt;1,"laranja","verde")),"vermelho"))</f>
        <v>vermelho</v>
      </c>
    </row>
    <row r="5700" spans="1:16">
      <c r="A5700" s="3" t="s">
        <v>4</v>
      </c>
      <c r="B5700" s="3" t="s">
        <v>4520</v>
      </c>
      <c r="C5700" s="4">
        <v>232</v>
      </c>
      <c r="D5700" s="3" t="s">
        <v>174</v>
      </c>
      <c r="E5700" s="3" t="s">
        <v>16</v>
      </c>
      <c r="F5700" s="5">
        <v>96</v>
      </c>
      <c r="G5700" s="5">
        <v>0</v>
      </c>
      <c r="H5700" s="6">
        <v>5917.08</v>
      </c>
      <c r="I5700" s="22">
        <v>0</v>
      </c>
      <c r="J5700" s="24">
        <f t="shared" si="267"/>
        <v>0</v>
      </c>
      <c r="K5700" s="25">
        <f t="shared" ref="K5700:K5763" si="269">J5700+K5699</f>
        <v>1.0000000000000009</v>
      </c>
      <c r="L5700" s="27"/>
      <c r="M5700" s="28"/>
      <c r="N5700" s="28"/>
      <c r="O5700" s="20" t="s">
        <v>7530</v>
      </c>
      <c r="P5700" s="27" t="str">
        <f t="shared" si="268"/>
        <v>vermelho</v>
      </c>
    </row>
    <row r="5701" spans="1:16" ht="38.25">
      <c r="A5701" s="3" t="s">
        <v>4</v>
      </c>
      <c r="B5701" s="3" t="s">
        <v>4521</v>
      </c>
      <c r="C5701" s="4">
        <v>301</v>
      </c>
      <c r="D5701" s="3" t="s">
        <v>519</v>
      </c>
      <c r="E5701" s="3" t="s">
        <v>16</v>
      </c>
      <c r="F5701" s="5">
        <v>180</v>
      </c>
      <c r="G5701" s="5">
        <v>0</v>
      </c>
      <c r="H5701" s="6">
        <v>5152.68</v>
      </c>
      <c r="I5701" s="22">
        <v>0</v>
      </c>
      <c r="J5701" s="24">
        <f t="shared" si="267"/>
        <v>0</v>
      </c>
      <c r="K5701" s="25">
        <f t="shared" si="269"/>
        <v>1.0000000000000009</v>
      </c>
      <c r="L5701" s="27"/>
      <c r="M5701" s="28"/>
      <c r="N5701" s="28"/>
      <c r="O5701" s="20" t="s">
        <v>7530</v>
      </c>
      <c r="P5701" s="27" t="str">
        <f t="shared" si="268"/>
        <v>vermelho</v>
      </c>
    </row>
    <row r="5702" spans="1:16" ht="51">
      <c r="A5702" s="3" t="s">
        <v>4</v>
      </c>
      <c r="B5702" s="3" t="s">
        <v>4522</v>
      </c>
      <c r="C5702" s="4">
        <v>282</v>
      </c>
      <c r="D5702" s="3" t="s">
        <v>12</v>
      </c>
      <c r="E5702" s="3" t="s">
        <v>13</v>
      </c>
      <c r="F5702" s="5">
        <v>138</v>
      </c>
      <c r="G5702" s="5">
        <v>0</v>
      </c>
      <c r="H5702" s="6">
        <v>5098.5119999999997</v>
      </c>
      <c r="I5702" s="22">
        <v>0</v>
      </c>
      <c r="J5702" s="24">
        <f t="shared" si="267"/>
        <v>0</v>
      </c>
      <c r="K5702" s="25">
        <f t="shared" si="269"/>
        <v>1.0000000000000009</v>
      </c>
      <c r="L5702" s="27"/>
      <c r="M5702" s="28"/>
      <c r="N5702" s="28"/>
      <c r="O5702" s="20" t="s">
        <v>7530</v>
      </c>
      <c r="P5702" s="27" t="str">
        <f t="shared" si="268"/>
        <v>vermelho</v>
      </c>
    </row>
    <row r="5703" spans="1:16">
      <c r="A5703" s="3" t="s">
        <v>4</v>
      </c>
      <c r="B5703" s="3" t="s">
        <v>4523</v>
      </c>
      <c r="C5703" s="4">
        <v>240</v>
      </c>
      <c r="D5703" s="3" t="s">
        <v>69</v>
      </c>
      <c r="E5703" s="3" t="s">
        <v>16</v>
      </c>
      <c r="F5703" s="5">
        <v>48</v>
      </c>
      <c r="G5703" s="5">
        <v>0</v>
      </c>
      <c r="H5703" s="6">
        <v>3221.52</v>
      </c>
      <c r="I5703" s="22">
        <v>0</v>
      </c>
      <c r="J5703" s="24">
        <f t="shared" si="267"/>
        <v>0</v>
      </c>
      <c r="K5703" s="25">
        <f t="shared" si="269"/>
        <v>1.0000000000000009</v>
      </c>
      <c r="L5703" s="27"/>
      <c r="M5703" s="28"/>
      <c r="N5703" s="28"/>
      <c r="O5703" s="20" t="s">
        <v>7530</v>
      </c>
      <c r="P5703" s="27" t="str">
        <f t="shared" si="268"/>
        <v>vermelho</v>
      </c>
    </row>
    <row r="5704" spans="1:16" ht="25.5">
      <c r="A5704" s="3" t="s">
        <v>4</v>
      </c>
      <c r="B5704" s="3" t="s">
        <v>4524</v>
      </c>
      <c r="C5704" s="4">
        <v>302</v>
      </c>
      <c r="D5704" s="3" t="s">
        <v>293</v>
      </c>
      <c r="E5704" s="3" t="s">
        <v>49</v>
      </c>
      <c r="F5704" s="5">
        <v>108</v>
      </c>
      <c r="G5704" s="5">
        <v>0</v>
      </c>
      <c r="H5704" s="6">
        <v>4955.88</v>
      </c>
      <c r="I5704" s="22">
        <v>0</v>
      </c>
      <c r="J5704" s="24">
        <f t="shared" si="267"/>
        <v>0</v>
      </c>
      <c r="K5704" s="25">
        <f t="shared" si="269"/>
        <v>1.0000000000000009</v>
      </c>
      <c r="L5704" s="27"/>
      <c r="M5704" s="28"/>
      <c r="N5704" s="28"/>
      <c r="O5704" s="20" t="s">
        <v>7530</v>
      </c>
      <c r="P5704" s="27" t="str">
        <f t="shared" si="268"/>
        <v>vermelho</v>
      </c>
    </row>
    <row r="5705" spans="1:16" ht="25.5">
      <c r="A5705" s="3" t="s">
        <v>4</v>
      </c>
      <c r="B5705" s="3" t="s">
        <v>4525</v>
      </c>
      <c r="C5705" s="4">
        <v>267</v>
      </c>
      <c r="D5705" s="3" t="s">
        <v>125</v>
      </c>
      <c r="E5705" s="3" t="s">
        <v>16</v>
      </c>
      <c r="F5705" s="5">
        <v>186</v>
      </c>
      <c r="G5705" s="5">
        <v>0</v>
      </c>
      <c r="H5705" s="6">
        <v>9102.36</v>
      </c>
      <c r="I5705" s="22">
        <v>0</v>
      </c>
      <c r="J5705" s="24">
        <f t="shared" si="267"/>
        <v>0</v>
      </c>
      <c r="K5705" s="25">
        <f t="shared" si="269"/>
        <v>1.0000000000000009</v>
      </c>
      <c r="L5705" s="27"/>
      <c r="M5705" s="28"/>
      <c r="N5705" s="28"/>
      <c r="O5705" s="20" t="s">
        <v>7530</v>
      </c>
      <c r="P5705" s="27" t="str">
        <f t="shared" si="268"/>
        <v>vermelho</v>
      </c>
    </row>
    <row r="5706" spans="1:16" ht="25.5">
      <c r="A5706" s="3" t="s">
        <v>4</v>
      </c>
      <c r="B5706" s="3" t="s">
        <v>4526</v>
      </c>
      <c r="C5706" s="4">
        <v>39</v>
      </c>
      <c r="D5706" s="3" t="s">
        <v>26</v>
      </c>
      <c r="E5706" s="3" t="s">
        <v>13</v>
      </c>
      <c r="F5706" s="5">
        <v>18</v>
      </c>
      <c r="G5706" s="5">
        <v>0</v>
      </c>
      <c r="H5706" s="6">
        <v>1817.82</v>
      </c>
      <c r="I5706" s="22">
        <v>0</v>
      </c>
      <c r="J5706" s="24">
        <f t="shared" si="267"/>
        <v>0</v>
      </c>
      <c r="K5706" s="25">
        <f t="shared" si="269"/>
        <v>1.0000000000000009</v>
      </c>
      <c r="L5706" s="27"/>
      <c r="M5706" s="28"/>
      <c r="N5706" s="28"/>
      <c r="O5706" s="20" t="s">
        <v>7530</v>
      </c>
      <c r="P5706" s="27" t="str">
        <f t="shared" si="268"/>
        <v>vermelho</v>
      </c>
    </row>
    <row r="5707" spans="1:16" ht="25.5">
      <c r="A5707" s="3" t="s">
        <v>4</v>
      </c>
      <c r="B5707" s="3" t="s">
        <v>4527</v>
      </c>
      <c r="C5707" s="4">
        <v>320</v>
      </c>
      <c r="D5707" s="3" t="s">
        <v>218</v>
      </c>
      <c r="E5707" s="3" t="s">
        <v>49</v>
      </c>
      <c r="F5707" s="5">
        <v>90</v>
      </c>
      <c r="G5707" s="5">
        <v>0</v>
      </c>
      <c r="H5707" s="6">
        <v>4814.1000000000004</v>
      </c>
      <c r="I5707" s="22">
        <v>0</v>
      </c>
      <c r="J5707" s="24">
        <f t="shared" si="267"/>
        <v>0</v>
      </c>
      <c r="K5707" s="25">
        <f t="shared" si="269"/>
        <v>1.0000000000000009</v>
      </c>
      <c r="L5707" s="27"/>
      <c r="M5707" s="28"/>
      <c r="N5707" s="28"/>
      <c r="O5707" s="20" t="s">
        <v>7530</v>
      </c>
      <c r="P5707" s="27" t="str">
        <f t="shared" si="268"/>
        <v>vermelho</v>
      </c>
    </row>
    <row r="5708" spans="1:16" ht="25.5">
      <c r="A5708" s="3" t="s">
        <v>4</v>
      </c>
      <c r="B5708" s="3" t="s">
        <v>4528</v>
      </c>
      <c r="C5708" s="4">
        <v>328</v>
      </c>
      <c r="D5708" s="3" t="s">
        <v>215</v>
      </c>
      <c r="E5708" s="3" t="s">
        <v>41</v>
      </c>
      <c r="F5708" s="5">
        <v>141</v>
      </c>
      <c r="G5708" s="5">
        <v>0</v>
      </c>
      <c r="H5708" s="6">
        <v>7518.63</v>
      </c>
      <c r="I5708" s="22">
        <v>0</v>
      </c>
      <c r="J5708" s="24">
        <f t="shared" si="267"/>
        <v>0</v>
      </c>
      <c r="K5708" s="25">
        <f t="shared" si="269"/>
        <v>1.0000000000000009</v>
      </c>
      <c r="L5708" s="27"/>
      <c r="M5708" s="28"/>
      <c r="N5708" s="28"/>
      <c r="O5708" s="20" t="s">
        <v>7530</v>
      </c>
      <c r="P5708" s="27" t="str">
        <f t="shared" si="268"/>
        <v>vermelho</v>
      </c>
    </row>
    <row r="5709" spans="1:16" ht="25.5">
      <c r="A5709" s="3" t="s">
        <v>4</v>
      </c>
      <c r="B5709" s="3" t="s">
        <v>4529</v>
      </c>
      <c r="C5709" s="4">
        <v>218</v>
      </c>
      <c r="D5709" s="3" t="s">
        <v>104</v>
      </c>
      <c r="E5709" s="3" t="s">
        <v>16</v>
      </c>
      <c r="F5709" s="5">
        <v>114</v>
      </c>
      <c r="G5709" s="5">
        <v>0</v>
      </c>
      <c r="H5709" s="6">
        <v>6146.82</v>
      </c>
      <c r="I5709" s="22">
        <v>0</v>
      </c>
      <c r="J5709" s="24">
        <f t="shared" si="267"/>
        <v>0</v>
      </c>
      <c r="K5709" s="25">
        <f t="shared" si="269"/>
        <v>1.0000000000000009</v>
      </c>
      <c r="L5709" s="27"/>
      <c r="M5709" s="28"/>
      <c r="N5709" s="28">
        <v>2.491404890145666E-2</v>
      </c>
      <c r="O5709" s="20">
        <v>3195.6</v>
      </c>
      <c r="P5709" s="27" t="str">
        <f t="shared" si="268"/>
        <v>vermelho</v>
      </c>
    </row>
    <row r="5710" spans="1:16" ht="25.5">
      <c r="A5710" s="3" t="s">
        <v>4</v>
      </c>
      <c r="B5710" s="3" t="s">
        <v>4530</v>
      </c>
      <c r="C5710" s="4">
        <v>218</v>
      </c>
      <c r="D5710" s="3" t="s">
        <v>104</v>
      </c>
      <c r="E5710" s="3" t="s">
        <v>16</v>
      </c>
      <c r="F5710" s="5">
        <v>192</v>
      </c>
      <c r="G5710" s="5">
        <v>0</v>
      </c>
      <c r="H5710" s="6">
        <v>9912.9599999999991</v>
      </c>
      <c r="I5710" s="22">
        <v>0</v>
      </c>
      <c r="J5710" s="24">
        <f t="shared" si="267"/>
        <v>0</v>
      </c>
      <c r="K5710" s="25">
        <f t="shared" si="269"/>
        <v>1.0000000000000009</v>
      </c>
      <c r="L5710" s="27"/>
      <c r="M5710" s="28"/>
      <c r="N5710" s="28"/>
      <c r="O5710" s="20" t="s">
        <v>7530</v>
      </c>
      <c r="P5710" s="27" t="str">
        <f t="shared" si="268"/>
        <v>vermelho</v>
      </c>
    </row>
    <row r="5711" spans="1:16" ht="25.5">
      <c r="A5711" s="3" t="s">
        <v>4</v>
      </c>
      <c r="B5711" s="3" t="s">
        <v>4531</v>
      </c>
      <c r="C5711" s="4">
        <v>264</v>
      </c>
      <c r="D5711" s="3" t="s">
        <v>40</v>
      </c>
      <c r="E5711" s="3" t="s">
        <v>10</v>
      </c>
      <c r="F5711" s="5">
        <v>60</v>
      </c>
      <c r="G5711" s="5">
        <v>0</v>
      </c>
      <c r="H5711" s="6">
        <v>2795.76</v>
      </c>
      <c r="I5711" s="22">
        <v>0</v>
      </c>
      <c r="J5711" s="24">
        <f t="shared" si="267"/>
        <v>0</v>
      </c>
      <c r="K5711" s="25">
        <f t="shared" si="269"/>
        <v>1.0000000000000009</v>
      </c>
      <c r="L5711" s="27"/>
      <c r="M5711" s="28"/>
      <c r="N5711" s="28"/>
      <c r="O5711" s="20" t="s">
        <v>7530</v>
      </c>
      <c r="P5711" s="27" t="str">
        <f t="shared" si="268"/>
        <v>vermelho</v>
      </c>
    </row>
    <row r="5712" spans="1:16" ht="25.5">
      <c r="A5712" s="3" t="s">
        <v>4</v>
      </c>
      <c r="B5712" s="3" t="s">
        <v>4532</v>
      </c>
      <c r="C5712" s="4">
        <v>218</v>
      </c>
      <c r="D5712" s="3" t="s">
        <v>104</v>
      </c>
      <c r="E5712" s="3" t="s">
        <v>16</v>
      </c>
      <c r="F5712" s="5">
        <v>297</v>
      </c>
      <c r="G5712" s="5">
        <v>0</v>
      </c>
      <c r="H5712" s="6">
        <v>15960.39</v>
      </c>
      <c r="I5712" s="22">
        <v>0</v>
      </c>
      <c r="J5712" s="24">
        <f t="shared" si="267"/>
        <v>0</v>
      </c>
      <c r="K5712" s="25">
        <f t="shared" si="269"/>
        <v>1.0000000000000009</v>
      </c>
      <c r="L5712" s="27"/>
      <c r="M5712" s="28"/>
      <c r="N5712" s="28"/>
      <c r="O5712" s="20">
        <v>7709.76</v>
      </c>
      <c r="P5712" s="27" t="str">
        <f t="shared" si="268"/>
        <v>vermelho</v>
      </c>
    </row>
    <row r="5713" spans="1:16" ht="25.5">
      <c r="A5713" s="3" t="s">
        <v>4</v>
      </c>
      <c r="B5713" s="3" t="s">
        <v>4533</v>
      </c>
      <c r="C5713" s="4">
        <v>197</v>
      </c>
      <c r="D5713" s="3" t="s">
        <v>66</v>
      </c>
      <c r="E5713" s="3" t="s">
        <v>41</v>
      </c>
      <c r="F5713" s="5">
        <v>123</v>
      </c>
      <c r="G5713" s="5">
        <v>0</v>
      </c>
      <c r="H5713" s="6">
        <v>4789.7700000000004</v>
      </c>
      <c r="I5713" s="22">
        <v>0</v>
      </c>
      <c r="J5713" s="24">
        <f t="shared" si="267"/>
        <v>0</v>
      </c>
      <c r="K5713" s="25">
        <f t="shared" si="269"/>
        <v>1.0000000000000009</v>
      </c>
      <c r="L5713" s="27"/>
      <c r="M5713" s="28"/>
      <c r="N5713" s="28"/>
      <c r="O5713" s="20" t="s">
        <v>7530</v>
      </c>
      <c r="P5713" s="27" t="str">
        <f t="shared" si="268"/>
        <v>vermelho</v>
      </c>
    </row>
    <row r="5714" spans="1:16" ht="38.25">
      <c r="A5714" s="3" t="s">
        <v>4</v>
      </c>
      <c r="B5714" s="3" t="s">
        <v>4534</v>
      </c>
      <c r="C5714" s="4">
        <v>331</v>
      </c>
      <c r="D5714" s="3" t="s">
        <v>603</v>
      </c>
      <c r="E5714" s="3" t="s">
        <v>10</v>
      </c>
      <c r="F5714" s="5">
        <v>195</v>
      </c>
      <c r="G5714" s="5">
        <v>0</v>
      </c>
      <c r="H5714" s="6">
        <v>9424.4699999999993</v>
      </c>
      <c r="I5714" s="22">
        <v>0</v>
      </c>
      <c r="J5714" s="24">
        <f t="shared" si="267"/>
        <v>0</v>
      </c>
      <c r="K5714" s="25">
        <f t="shared" si="269"/>
        <v>1.0000000000000009</v>
      </c>
      <c r="L5714" s="27"/>
      <c r="M5714" s="28"/>
      <c r="N5714" s="28"/>
      <c r="O5714" s="20" t="s">
        <v>7530</v>
      </c>
      <c r="P5714" s="27" t="str">
        <f t="shared" si="268"/>
        <v>vermelho</v>
      </c>
    </row>
    <row r="5715" spans="1:16">
      <c r="A5715" s="3" t="s">
        <v>4</v>
      </c>
      <c r="B5715" s="3" t="s">
        <v>4535</v>
      </c>
      <c r="C5715" s="4">
        <v>15</v>
      </c>
      <c r="D5715" s="3" t="s">
        <v>18</v>
      </c>
      <c r="E5715" s="3" t="s">
        <v>16</v>
      </c>
      <c r="F5715" s="5">
        <v>132</v>
      </c>
      <c r="G5715" s="5">
        <v>0</v>
      </c>
      <c r="H5715" s="6">
        <v>7663.2</v>
      </c>
      <c r="I5715" s="22">
        <v>0</v>
      </c>
      <c r="J5715" s="24">
        <f t="shared" si="267"/>
        <v>0</v>
      </c>
      <c r="K5715" s="25">
        <f t="shared" si="269"/>
        <v>1.0000000000000009</v>
      </c>
      <c r="L5715" s="27"/>
      <c r="M5715" s="28"/>
      <c r="N5715" s="28"/>
      <c r="O5715" s="20" t="s">
        <v>7530</v>
      </c>
      <c r="P5715" s="27" t="str">
        <f t="shared" si="268"/>
        <v>vermelho</v>
      </c>
    </row>
    <row r="5716" spans="1:16" ht="25.5">
      <c r="A5716" s="3" t="s">
        <v>4</v>
      </c>
      <c r="B5716" s="3" t="s">
        <v>4536</v>
      </c>
      <c r="C5716" s="4">
        <v>273</v>
      </c>
      <c r="D5716" s="3" t="s">
        <v>149</v>
      </c>
      <c r="E5716" s="3" t="s">
        <v>16</v>
      </c>
      <c r="F5716" s="5">
        <v>96</v>
      </c>
      <c r="G5716" s="5">
        <v>0</v>
      </c>
      <c r="H5716" s="6">
        <v>4332.84</v>
      </c>
      <c r="I5716" s="22">
        <v>0</v>
      </c>
      <c r="J5716" s="24">
        <f t="shared" si="267"/>
        <v>0</v>
      </c>
      <c r="K5716" s="25">
        <f t="shared" si="269"/>
        <v>1.0000000000000009</v>
      </c>
      <c r="L5716" s="27"/>
      <c r="M5716" s="28"/>
      <c r="N5716" s="28"/>
      <c r="O5716" s="20" t="s">
        <v>7530</v>
      </c>
      <c r="P5716" s="27" t="str">
        <f t="shared" si="268"/>
        <v>vermelho</v>
      </c>
    </row>
    <row r="5717" spans="1:16" ht="25.5">
      <c r="A5717" s="3" t="s">
        <v>4</v>
      </c>
      <c r="B5717" s="3" t="s">
        <v>4537</v>
      </c>
      <c r="C5717" s="4">
        <v>23</v>
      </c>
      <c r="D5717" s="3" t="s">
        <v>87</v>
      </c>
      <c r="E5717" s="3" t="s">
        <v>7</v>
      </c>
      <c r="F5717" s="5">
        <v>132</v>
      </c>
      <c r="G5717" s="5">
        <v>0</v>
      </c>
      <c r="H5717" s="6">
        <v>8316.84</v>
      </c>
      <c r="I5717" s="22">
        <v>0</v>
      </c>
      <c r="J5717" s="24">
        <f t="shared" si="267"/>
        <v>0</v>
      </c>
      <c r="K5717" s="25">
        <f t="shared" si="269"/>
        <v>1.0000000000000009</v>
      </c>
      <c r="L5717" s="27"/>
      <c r="M5717" s="28"/>
      <c r="N5717" s="28"/>
      <c r="O5717" s="20" t="s">
        <v>7530</v>
      </c>
      <c r="P5717" s="27" t="str">
        <f t="shared" si="268"/>
        <v>vermelho</v>
      </c>
    </row>
    <row r="5718" spans="1:16" ht="25.5">
      <c r="A5718" s="3" t="s">
        <v>4</v>
      </c>
      <c r="B5718" s="3" t="s">
        <v>4538</v>
      </c>
      <c r="C5718" s="4">
        <v>261</v>
      </c>
      <c r="D5718" s="3" t="s">
        <v>9</v>
      </c>
      <c r="E5718" s="3" t="s">
        <v>10</v>
      </c>
      <c r="F5718" s="5">
        <v>465</v>
      </c>
      <c r="G5718" s="5">
        <v>0</v>
      </c>
      <c r="H5718" s="6">
        <v>26097.06</v>
      </c>
      <c r="I5718" s="22">
        <v>0</v>
      </c>
      <c r="J5718" s="24">
        <f t="shared" si="267"/>
        <v>0</v>
      </c>
      <c r="K5718" s="25">
        <f t="shared" si="269"/>
        <v>1.0000000000000009</v>
      </c>
      <c r="L5718" s="27"/>
      <c r="M5718" s="28"/>
      <c r="N5718" s="28"/>
      <c r="O5718" s="20" t="s">
        <v>7530</v>
      </c>
      <c r="P5718" s="27" t="str">
        <f t="shared" si="268"/>
        <v>vermelho</v>
      </c>
    </row>
    <row r="5719" spans="1:16" ht="25.5">
      <c r="A5719" s="3" t="s">
        <v>4</v>
      </c>
      <c r="B5719" s="3" t="s">
        <v>4539</v>
      </c>
      <c r="C5719" s="4">
        <v>266</v>
      </c>
      <c r="D5719" s="3" t="s">
        <v>80</v>
      </c>
      <c r="E5719" s="3" t="s">
        <v>10</v>
      </c>
      <c r="F5719" s="5">
        <v>48</v>
      </c>
      <c r="G5719" s="5">
        <v>0</v>
      </c>
      <c r="H5719" s="6">
        <v>3239.64</v>
      </c>
      <c r="I5719" s="22">
        <v>0</v>
      </c>
      <c r="J5719" s="24">
        <f t="shared" si="267"/>
        <v>0</v>
      </c>
      <c r="K5719" s="25">
        <f t="shared" si="269"/>
        <v>1.0000000000000009</v>
      </c>
      <c r="L5719" s="27"/>
      <c r="M5719" s="28"/>
      <c r="N5719" s="28"/>
      <c r="O5719" s="20" t="s">
        <v>7530</v>
      </c>
      <c r="P5719" s="27" t="str">
        <f t="shared" si="268"/>
        <v>vermelho</v>
      </c>
    </row>
    <row r="5720" spans="1:16">
      <c r="A5720" s="3" t="s">
        <v>4</v>
      </c>
      <c r="B5720" s="3" t="s">
        <v>4540</v>
      </c>
      <c r="C5720" s="4">
        <v>264</v>
      </c>
      <c r="D5720" s="3" t="s">
        <v>40</v>
      </c>
      <c r="E5720" s="3" t="s">
        <v>13</v>
      </c>
      <c r="F5720" s="5">
        <v>255</v>
      </c>
      <c r="G5720" s="5">
        <v>0</v>
      </c>
      <c r="H5720" s="6">
        <v>14781.45</v>
      </c>
      <c r="I5720" s="22">
        <v>0</v>
      </c>
      <c r="J5720" s="24">
        <f t="shared" si="267"/>
        <v>0</v>
      </c>
      <c r="K5720" s="25">
        <f t="shared" si="269"/>
        <v>1.0000000000000009</v>
      </c>
      <c r="L5720" s="27"/>
      <c r="M5720" s="28"/>
      <c r="N5720" s="28"/>
      <c r="O5720" s="20">
        <v>3326.94</v>
      </c>
      <c r="P5720" s="27" t="str">
        <f t="shared" si="268"/>
        <v>vermelho</v>
      </c>
    </row>
    <row r="5721" spans="1:16" ht="38.25">
      <c r="A5721" s="3" t="s">
        <v>4</v>
      </c>
      <c r="B5721" s="3" t="s">
        <v>4541</v>
      </c>
      <c r="C5721" s="4">
        <v>45</v>
      </c>
      <c r="D5721" s="3" t="s">
        <v>23</v>
      </c>
      <c r="E5721" s="3" t="s">
        <v>7</v>
      </c>
      <c r="F5721" s="5">
        <v>177</v>
      </c>
      <c r="G5721" s="5">
        <v>0</v>
      </c>
      <c r="H5721" s="6">
        <v>10969.017</v>
      </c>
      <c r="I5721" s="22">
        <v>0</v>
      </c>
      <c r="J5721" s="24">
        <f t="shared" si="267"/>
        <v>0</v>
      </c>
      <c r="K5721" s="25">
        <f t="shared" si="269"/>
        <v>1.0000000000000009</v>
      </c>
      <c r="L5721" s="27"/>
      <c r="M5721" s="28"/>
      <c r="N5721" s="28"/>
      <c r="O5721" s="20" t="s">
        <v>7530</v>
      </c>
      <c r="P5721" s="27" t="str">
        <f t="shared" si="268"/>
        <v>vermelho</v>
      </c>
    </row>
    <row r="5722" spans="1:16" ht="25.5">
      <c r="A5722" s="3" t="s">
        <v>4</v>
      </c>
      <c r="B5722" s="3" t="s">
        <v>4542</v>
      </c>
      <c r="C5722" s="4">
        <v>167</v>
      </c>
      <c r="D5722" s="3" t="s">
        <v>251</v>
      </c>
      <c r="E5722" s="3" t="s">
        <v>49</v>
      </c>
      <c r="F5722" s="5">
        <v>120</v>
      </c>
      <c r="G5722" s="5">
        <v>0</v>
      </c>
      <c r="H5722" s="6">
        <v>6881.7</v>
      </c>
      <c r="I5722" s="22">
        <v>0</v>
      </c>
      <c r="J5722" s="24">
        <f t="shared" si="267"/>
        <v>0</v>
      </c>
      <c r="K5722" s="25">
        <f t="shared" si="269"/>
        <v>1.0000000000000009</v>
      </c>
      <c r="L5722" s="27"/>
      <c r="M5722" s="28"/>
      <c r="N5722" s="28"/>
      <c r="O5722" s="20" t="s">
        <v>7530</v>
      </c>
      <c r="P5722" s="27" t="str">
        <f t="shared" si="268"/>
        <v>vermelho</v>
      </c>
    </row>
    <row r="5723" spans="1:16" ht="25.5">
      <c r="A5723" s="3" t="s">
        <v>4</v>
      </c>
      <c r="B5723" s="3" t="s">
        <v>4543</v>
      </c>
      <c r="C5723" s="4">
        <v>19</v>
      </c>
      <c r="D5723" s="3" t="s">
        <v>72</v>
      </c>
      <c r="E5723" s="3" t="s">
        <v>41</v>
      </c>
      <c r="F5723" s="5">
        <v>90</v>
      </c>
      <c r="G5723" s="5">
        <v>0</v>
      </c>
      <c r="H5723" s="6">
        <v>4337.1000000000004</v>
      </c>
      <c r="I5723" s="22">
        <v>0</v>
      </c>
      <c r="J5723" s="24">
        <f t="shared" si="267"/>
        <v>0</v>
      </c>
      <c r="K5723" s="25">
        <f t="shared" si="269"/>
        <v>1.0000000000000009</v>
      </c>
      <c r="L5723" s="27"/>
      <c r="M5723" s="28"/>
      <c r="N5723" s="28"/>
      <c r="O5723" s="20" t="s">
        <v>7530</v>
      </c>
      <c r="P5723" s="27" t="str">
        <f t="shared" si="268"/>
        <v>vermelho</v>
      </c>
    </row>
    <row r="5724" spans="1:16" ht="25.5">
      <c r="A5724" s="3" t="s">
        <v>4</v>
      </c>
      <c r="B5724" s="3" t="s">
        <v>4544</v>
      </c>
      <c r="C5724" s="4">
        <v>31</v>
      </c>
      <c r="D5724" s="3" t="s">
        <v>194</v>
      </c>
      <c r="E5724" s="3" t="s">
        <v>16</v>
      </c>
      <c r="F5724" s="5">
        <v>60</v>
      </c>
      <c r="G5724" s="5">
        <v>0</v>
      </c>
      <c r="H5724" s="6">
        <v>3401.4</v>
      </c>
      <c r="I5724" s="22">
        <v>0</v>
      </c>
      <c r="J5724" s="24">
        <f t="shared" si="267"/>
        <v>0</v>
      </c>
      <c r="K5724" s="25">
        <f t="shared" si="269"/>
        <v>1.0000000000000009</v>
      </c>
      <c r="L5724" s="27"/>
      <c r="M5724" s="28"/>
      <c r="N5724" s="28"/>
      <c r="O5724" s="20" t="s">
        <v>7530</v>
      </c>
      <c r="P5724" s="27" t="str">
        <f t="shared" si="268"/>
        <v>vermelho</v>
      </c>
    </row>
    <row r="5725" spans="1:16" ht="38.25">
      <c r="A5725" s="3" t="s">
        <v>4</v>
      </c>
      <c r="B5725" s="3" t="s">
        <v>4545</v>
      </c>
      <c r="C5725" s="4">
        <v>45</v>
      </c>
      <c r="D5725" s="3" t="s">
        <v>23</v>
      </c>
      <c r="E5725" s="3" t="s">
        <v>7</v>
      </c>
      <c r="F5725" s="5">
        <v>120</v>
      </c>
      <c r="G5725" s="5">
        <v>0</v>
      </c>
      <c r="H5725" s="6">
        <v>5366.52</v>
      </c>
      <c r="I5725" s="22">
        <v>0</v>
      </c>
      <c r="J5725" s="24">
        <f t="shared" si="267"/>
        <v>0</v>
      </c>
      <c r="K5725" s="25">
        <f t="shared" si="269"/>
        <v>1.0000000000000009</v>
      </c>
      <c r="L5725" s="27"/>
      <c r="M5725" s="28"/>
      <c r="N5725" s="28"/>
      <c r="O5725" s="20" t="s">
        <v>7530</v>
      </c>
      <c r="P5725" s="27" t="str">
        <f t="shared" si="268"/>
        <v>vermelho</v>
      </c>
    </row>
    <row r="5726" spans="1:16" ht="25.5">
      <c r="A5726" s="3" t="s">
        <v>4</v>
      </c>
      <c r="B5726" s="3" t="s">
        <v>4546</v>
      </c>
      <c r="C5726" s="4">
        <v>61</v>
      </c>
      <c r="D5726" s="3" t="s">
        <v>48</v>
      </c>
      <c r="E5726" s="3" t="s">
        <v>49</v>
      </c>
      <c r="F5726" s="5">
        <v>96</v>
      </c>
      <c r="G5726" s="5">
        <v>0</v>
      </c>
      <c r="H5726" s="6">
        <v>4271.04</v>
      </c>
      <c r="I5726" s="22">
        <v>0</v>
      </c>
      <c r="J5726" s="24">
        <f t="shared" si="267"/>
        <v>0</v>
      </c>
      <c r="K5726" s="25">
        <f t="shared" si="269"/>
        <v>1.0000000000000009</v>
      </c>
      <c r="L5726" s="27"/>
      <c r="M5726" s="28"/>
      <c r="N5726" s="28"/>
      <c r="O5726" s="20" t="s">
        <v>7530</v>
      </c>
      <c r="P5726" s="27" t="str">
        <f t="shared" si="268"/>
        <v>vermelho</v>
      </c>
    </row>
    <row r="5727" spans="1:16" ht="25.5">
      <c r="A5727" s="3" t="s">
        <v>4</v>
      </c>
      <c r="B5727" s="3" t="s">
        <v>4547</v>
      </c>
      <c r="C5727" s="4">
        <v>19</v>
      </c>
      <c r="D5727" s="3" t="s">
        <v>72</v>
      </c>
      <c r="E5727" s="3" t="s">
        <v>41</v>
      </c>
      <c r="F5727" s="5">
        <v>153</v>
      </c>
      <c r="G5727" s="5">
        <v>0</v>
      </c>
      <c r="H5727" s="6">
        <v>10690.47</v>
      </c>
      <c r="I5727" s="22">
        <v>0</v>
      </c>
      <c r="J5727" s="24">
        <f t="shared" si="267"/>
        <v>0</v>
      </c>
      <c r="K5727" s="25">
        <f t="shared" si="269"/>
        <v>1.0000000000000009</v>
      </c>
      <c r="L5727" s="27"/>
      <c r="M5727" s="28"/>
      <c r="N5727" s="28"/>
      <c r="O5727" s="20" t="s">
        <v>7530</v>
      </c>
      <c r="P5727" s="27" t="str">
        <f t="shared" si="268"/>
        <v>vermelho</v>
      </c>
    </row>
    <row r="5728" spans="1:16" ht="38.25">
      <c r="A5728" s="3" t="s">
        <v>4</v>
      </c>
      <c r="B5728" s="3" t="s">
        <v>4548</v>
      </c>
      <c r="C5728" s="4">
        <v>143</v>
      </c>
      <c r="D5728" s="3" t="s">
        <v>44</v>
      </c>
      <c r="E5728" s="3" t="s">
        <v>41</v>
      </c>
      <c r="F5728" s="5">
        <v>240</v>
      </c>
      <c r="G5728" s="5">
        <v>0</v>
      </c>
      <c r="H5728" s="6">
        <v>12794.16</v>
      </c>
      <c r="I5728" s="22">
        <v>0</v>
      </c>
      <c r="J5728" s="24">
        <f t="shared" si="267"/>
        <v>0</v>
      </c>
      <c r="K5728" s="25">
        <f t="shared" si="269"/>
        <v>1.0000000000000009</v>
      </c>
      <c r="L5728" s="27"/>
      <c r="M5728" s="28"/>
      <c r="N5728" s="28"/>
      <c r="O5728" s="20" t="s">
        <v>7530</v>
      </c>
      <c r="P5728" s="27" t="str">
        <f t="shared" si="268"/>
        <v>vermelho</v>
      </c>
    </row>
    <row r="5729" spans="1:16" ht="25.5">
      <c r="A5729" s="3" t="s">
        <v>4</v>
      </c>
      <c r="B5729" s="3" t="s">
        <v>4549</v>
      </c>
      <c r="C5729" s="4">
        <v>264</v>
      </c>
      <c r="D5729" s="3" t="s">
        <v>40</v>
      </c>
      <c r="E5729" s="3" t="s">
        <v>10</v>
      </c>
      <c r="F5729" s="5">
        <v>66</v>
      </c>
      <c r="G5729" s="5">
        <v>0</v>
      </c>
      <c r="H5729" s="6">
        <v>5035.4399999999996</v>
      </c>
      <c r="I5729" s="22">
        <v>0</v>
      </c>
      <c r="J5729" s="24">
        <f t="shared" si="267"/>
        <v>0</v>
      </c>
      <c r="K5729" s="25">
        <f t="shared" si="269"/>
        <v>1.0000000000000009</v>
      </c>
      <c r="L5729" s="27"/>
      <c r="M5729" s="28"/>
      <c r="N5729" s="28"/>
      <c r="O5729" s="20" t="s">
        <v>7530</v>
      </c>
      <c r="P5729" s="27" t="str">
        <f t="shared" si="268"/>
        <v>vermelho</v>
      </c>
    </row>
    <row r="5730" spans="1:16" ht="38.25">
      <c r="A5730" s="3" t="s">
        <v>4</v>
      </c>
      <c r="B5730" s="3" t="s">
        <v>4550</v>
      </c>
      <c r="C5730" s="4">
        <v>45</v>
      </c>
      <c r="D5730" s="3" t="s">
        <v>23</v>
      </c>
      <c r="E5730" s="3" t="s">
        <v>7</v>
      </c>
      <c r="F5730" s="5">
        <v>144</v>
      </c>
      <c r="G5730" s="5">
        <v>0</v>
      </c>
      <c r="H5730" s="6">
        <v>7768.44</v>
      </c>
      <c r="I5730" s="22">
        <v>0</v>
      </c>
      <c r="J5730" s="24">
        <f t="shared" si="267"/>
        <v>0</v>
      </c>
      <c r="K5730" s="25">
        <f t="shared" si="269"/>
        <v>1.0000000000000009</v>
      </c>
      <c r="L5730" s="27"/>
      <c r="M5730" s="28"/>
      <c r="N5730" s="28"/>
      <c r="O5730" s="20" t="s">
        <v>7530</v>
      </c>
      <c r="P5730" s="27" t="str">
        <f t="shared" si="268"/>
        <v>vermelho</v>
      </c>
    </row>
    <row r="5731" spans="1:16" ht="25.5">
      <c r="A5731" s="3" t="s">
        <v>4</v>
      </c>
      <c r="B5731" s="3" t="s">
        <v>4551</v>
      </c>
      <c r="C5731" s="4">
        <v>266</v>
      </c>
      <c r="D5731" s="3" t="s">
        <v>80</v>
      </c>
      <c r="E5731" s="3" t="s">
        <v>10</v>
      </c>
      <c r="F5731" s="5">
        <v>333</v>
      </c>
      <c r="G5731" s="5">
        <v>0</v>
      </c>
      <c r="H5731" s="6">
        <v>19247.13</v>
      </c>
      <c r="I5731" s="22">
        <v>0</v>
      </c>
      <c r="J5731" s="24">
        <f t="shared" si="267"/>
        <v>0</v>
      </c>
      <c r="K5731" s="25">
        <f t="shared" si="269"/>
        <v>1.0000000000000009</v>
      </c>
      <c r="L5731" s="27"/>
      <c r="M5731" s="28"/>
      <c r="N5731" s="28"/>
      <c r="O5731" s="20" t="s">
        <v>7530</v>
      </c>
      <c r="P5731" s="27" t="str">
        <f t="shared" si="268"/>
        <v>vermelho</v>
      </c>
    </row>
    <row r="5732" spans="1:16" ht="25.5">
      <c r="A5732" s="3" t="s">
        <v>4</v>
      </c>
      <c r="B5732" s="3" t="s">
        <v>4552</v>
      </c>
      <c r="C5732" s="4">
        <v>15</v>
      </c>
      <c r="D5732" s="3" t="s">
        <v>18</v>
      </c>
      <c r="E5732" s="3" t="s">
        <v>16</v>
      </c>
      <c r="F5732" s="5">
        <v>324</v>
      </c>
      <c r="G5732" s="5">
        <v>0</v>
      </c>
      <c r="H5732" s="6">
        <v>17042.04</v>
      </c>
      <c r="I5732" s="22">
        <v>0</v>
      </c>
      <c r="J5732" s="24">
        <f t="shared" si="267"/>
        <v>0</v>
      </c>
      <c r="K5732" s="25">
        <f t="shared" si="269"/>
        <v>1.0000000000000009</v>
      </c>
      <c r="L5732" s="27"/>
      <c r="M5732" s="28"/>
      <c r="N5732" s="28"/>
      <c r="O5732" s="20" t="s">
        <v>7530</v>
      </c>
      <c r="P5732" s="27" t="str">
        <f t="shared" si="268"/>
        <v>vermelho</v>
      </c>
    </row>
    <row r="5733" spans="1:16" ht="25.5">
      <c r="A5733" s="3" t="s">
        <v>4</v>
      </c>
      <c r="B5733" s="3" t="s">
        <v>4553</v>
      </c>
      <c r="C5733" s="4">
        <v>194</v>
      </c>
      <c r="D5733" s="3" t="s">
        <v>145</v>
      </c>
      <c r="E5733" s="3" t="s">
        <v>16</v>
      </c>
      <c r="F5733" s="5">
        <v>252</v>
      </c>
      <c r="G5733" s="5">
        <v>0</v>
      </c>
      <c r="H5733" s="6">
        <v>13292.64</v>
      </c>
      <c r="I5733" s="22">
        <v>0</v>
      </c>
      <c r="J5733" s="24">
        <f t="shared" si="267"/>
        <v>0</v>
      </c>
      <c r="K5733" s="25">
        <f t="shared" si="269"/>
        <v>1.0000000000000009</v>
      </c>
      <c r="L5733" s="27"/>
      <c r="M5733" s="28"/>
      <c r="N5733" s="28">
        <v>3.0728133823564818E-2</v>
      </c>
      <c r="O5733" s="20">
        <v>9161.34</v>
      </c>
      <c r="P5733" s="27" t="str">
        <f t="shared" si="268"/>
        <v>vermelho</v>
      </c>
    </row>
    <row r="5734" spans="1:16">
      <c r="A5734" s="3" t="s">
        <v>4</v>
      </c>
      <c r="B5734" s="3" t="s">
        <v>4554</v>
      </c>
      <c r="C5734" s="4">
        <v>167</v>
      </c>
      <c r="D5734" s="3" t="s">
        <v>251</v>
      </c>
      <c r="E5734" s="3" t="s">
        <v>49</v>
      </c>
      <c r="F5734" s="5">
        <v>378</v>
      </c>
      <c r="G5734" s="5">
        <v>0</v>
      </c>
      <c r="H5734" s="6">
        <v>17620.5</v>
      </c>
      <c r="I5734" s="22">
        <v>0</v>
      </c>
      <c r="J5734" s="24">
        <f t="shared" si="267"/>
        <v>0</v>
      </c>
      <c r="K5734" s="25">
        <f t="shared" si="269"/>
        <v>1.0000000000000009</v>
      </c>
      <c r="L5734" s="27"/>
      <c r="M5734" s="28"/>
      <c r="N5734" s="28"/>
      <c r="O5734" s="20" t="s">
        <v>7530</v>
      </c>
      <c r="P5734" s="27" t="str">
        <f t="shared" si="268"/>
        <v>vermelho</v>
      </c>
    </row>
    <row r="5735" spans="1:16" ht="25.5">
      <c r="A5735" s="3" t="s">
        <v>4</v>
      </c>
      <c r="B5735" s="3" t="s">
        <v>4555</v>
      </c>
      <c r="C5735" s="4">
        <v>320</v>
      </c>
      <c r="D5735" s="3" t="s">
        <v>218</v>
      </c>
      <c r="E5735" s="3" t="s">
        <v>49</v>
      </c>
      <c r="F5735" s="5">
        <v>222</v>
      </c>
      <c r="G5735" s="5">
        <v>0</v>
      </c>
      <c r="H5735" s="6">
        <v>10484.58</v>
      </c>
      <c r="I5735" s="22">
        <v>0</v>
      </c>
      <c r="J5735" s="24">
        <f t="shared" si="267"/>
        <v>0</v>
      </c>
      <c r="K5735" s="25">
        <f t="shared" si="269"/>
        <v>1.0000000000000009</v>
      </c>
      <c r="L5735" s="27"/>
      <c r="M5735" s="28"/>
      <c r="N5735" s="28"/>
      <c r="O5735" s="20" t="s">
        <v>7530</v>
      </c>
      <c r="P5735" s="27" t="str">
        <f t="shared" si="268"/>
        <v>vermelho</v>
      </c>
    </row>
    <row r="5736" spans="1:16" ht="25.5">
      <c r="A5736" s="3" t="s">
        <v>4</v>
      </c>
      <c r="B5736" s="3" t="s">
        <v>4556</v>
      </c>
      <c r="C5736" s="4">
        <v>317</v>
      </c>
      <c r="D5736" s="3" t="s">
        <v>78</v>
      </c>
      <c r="E5736" s="3" t="s">
        <v>10</v>
      </c>
      <c r="F5736" s="5">
        <v>63</v>
      </c>
      <c r="G5736" s="5">
        <v>0</v>
      </c>
      <c r="H5736" s="6">
        <v>3533.67</v>
      </c>
      <c r="I5736" s="22">
        <v>0</v>
      </c>
      <c r="J5736" s="24">
        <f t="shared" si="267"/>
        <v>0</v>
      </c>
      <c r="K5736" s="25">
        <f t="shared" si="269"/>
        <v>1.0000000000000009</v>
      </c>
      <c r="L5736" s="27"/>
      <c r="M5736" s="28"/>
      <c r="N5736" s="28"/>
      <c r="O5736" s="20" t="s">
        <v>7530</v>
      </c>
      <c r="P5736" s="27" t="str">
        <f t="shared" si="268"/>
        <v>vermelho</v>
      </c>
    </row>
    <row r="5737" spans="1:16" ht="25.5">
      <c r="A5737" s="3" t="s">
        <v>4</v>
      </c>
      <c r="B5737" s="3" t="s">
        <v>4557</v>
      </c>
      <c r="C5737" s="4">
        <v>264</v>
      </c>
      <c r="D5737" s="3" t="s">
        <v>40</v>
      </c>
      <c r="E5737" s="3" t="s">
        <v>10</v>
      </c>
      <c r="F5737" s="5">
        <v>0</v>
      </c>
      <c r="G5737" s="5">
        <v>0</v>
      </c>
      <c r="H5737" s="6">
        <v>0</v>
      </c>
      <c r="I5737" s="22">
        <v>0</v>
      </c>
      <c r="J5737" s="24">
        <f t="shared" si="267"/>
        <v>0</v>
      </c>
      <c r="K5737" s="25">
        <f t="shared" si="269"/>
        <v>1.0000000000000009</v>
      </c>
      <c r="L5737" s="27"/>
      <c r="M5737" s="28"/>
      <c r="N5737" s="28"/>
      <c r="O5737" s="20" t="s">
        <v>7530</v>
      </c>
      <c r="P5737" s="27" t="str">
        <f t="shared" si="268"/>
        <v>vermelho</v>
      </c>
    </row>
    <row r="5738" spans="1:16" ht="25.5">
      <c r="A5738" s="3" t="s">
        <v>4</v>
      </c>
      <c r="B5738" s="3" t="s">
        <v>4558</v>
      </c>
      <c r="C5738" s="4">
        <v>23</v>
      </c>
      <c r="D5738" s="3" t="s">
        <v>87</v>
      </c>
      <c r="E5738" s="3" t="s">
        <v>7</v>
      </c>
      <c r="F5738" s="5">
        <v>90</v>
      </c>
      <c r="G5738" s="5">
        <v>0</v>
      </c>
      <c r="H5738" s="6">
        <v>5559.42</v>
      </c>
      <c r="I5738" s="22">
        <v>0</v>
      </c>
      <c r="J5738" s="24">
        <f t="shared" si="267"/>
        <v>0</v>
      </c>
      <c r="K5738" s="25">
        <f t="shared" si="269"/>
        <v>1.0000000000000009</v>
      </c>
      <c r="L5738" s="27"/>
      <c r="M5738" s="28"/>
      <c r="N5738" s="28"/>
      <c r="O5738" s="20" t="s">
        <v>7530</v>
      </c>
      <c r="P5738" s="27" t="str">
        <f t="shared" si="268"/>
        <v>vermelho</v>
      </c>
    </row>
    <row r="5739" spans="1:16" ht="25.5">
      <c r="A5739" s="3" t="s">
        <v>4</v>
      </c>
      <c r="B5739" s="3" t="s">
        <v>4559</v>
      </c>
      <c r="C5739" s="4">
        <v>317</v>
      </c>
      <c r="D5739" s="3" t="s">
        <v>78</v>
      </c>
      <c r="E5739" s="3" t="s">
        <v>10</v>
      </c>
      <c r="F5739" s="5">
        <v>99</v>
      </c>
      <c r="G5739" s="5">
        <v>0</v>
      </c>
      <c r="H5739" s="6">
        <v>5780.13</v>
      </c>
      <c r="I5739" s="22">
        <v>0</v>
      </c>
      <c r="J5739" s="24">
        <f t="shared" si="267"/>
        <v>0</v>
      </c>
      <c r="K5739" s="25">
        <f t="shared" si="269"/>
        <v>1.0000000000000009</v>
      </c>
      <c r="L5739" s="27"/>
      <c r="M5739" s="28"/>
      <c r="N5739" s="28"/>
      <c r="O5739" s="20" t="s">
        <v>7530</v>
      </c>
      <c r="P5739" s="27" t="str">
        <f t="shared" si="268"/>
        <v>vermelho</v>
      </c>
    </row>
    <row r="5740" spans="1:16" ht="38.25">
      <c r="A5740" s="3" t="s">
        <v>4</v>
      </c>
      <c r="B5740" s="3" t="s">
        <v>4560</v>
      </c>
      <c r="C5740" s="4">
        <v>301</v>
      </c>
      <c r="D5740" s="3" t="s">
        <v>519</v>
      </c>
      <c r="E5740" s="3" t="s">
        <v>16</v>
      </c>
      <c r="F5740" s="5">
        <v>57</v>
      </c>
      <c r="G5740" s="5">
        <v>0</v>
      </c>
      <c r="H5740" s="6">
        <v>3862.08</v>
      </c>
      <c r="I5740" s="22">
        <v>0</v>
      </c>
      <c r="J5740" s="24">
        <f t="shared" si="267"/>
        <v>0</v>
      </c>
      <c r="K5740" s="25">
        <f t="shared" si="269"/>
        <v>1.0000000000000009</v>
      </c>
      <c r="L5740" s="27"/>
      <c r="M5740" s="28"/>
      <c r="N5740" s="28"/>
      <c r="O5740" s="20" t="s">
        <v>7530</v>
      </c>
      <c r="P5740" s="27" t="str">
        <f t="shared" si="268"/>
        <v>vermelho</v>
      </c>
    </row>
    <row r="5741" spans="1:16" ht="38.25">
      <c r="A5741" s="3" t="s">
        <v>4</v>
      </c>
      <c r="B5741" s="3" t="s">
        <v>4561</v>
      </c>
      <c r="C5741" s="4">
        <v>34</v>
      </c>
      <c r="D5741" s="3" t="s">
        <v>54</v>
      </c>
      <c r="E5741" s="3" t="s">
        <v>49</v>
      </c>
      <c r="F5741" s="5">
        <v>60</v>
      </c>
      <c r="G5741" s="5">
        <v>0</v>
      </c>
      <c r="H5741" s="6">
        <v>4199.3999999999996</v>
      </c>
      <c r="I5741" s="22">
        <v>0</v>
      </c>
      <c r="J5741" s="24">
        <f t="shared" si="267"/>
        <v>0</v>
      </c>
      <c r="K5741" s="25">
        <f t="shared" si="269"/>
        <v>1.0000000000000009</v>
      </c>
      <c r="L5741" s="27"/>
      <c r="M5741" s="28"/>
      <c r="N5741" s="28"/>
      <c r="O5741" s="20" t="s">
        <v>7530</v>
      </c>
      <c r="P5741" s="27" t="str">
        <f t="shared" si="268"/>
        <v>vermelho</v>
      </c>
    </row>
    <row r="5742" spans="1:16" ht="25.5">
      <c r="A5742" s="3" t="s">
        <v>4</v>
      </c>
      <c r="B5742" s="3" t="s">
        <v>4562</v>
      </c>
      <c r="C5742" s="4">
        <v>296</v>
      </c>
      <c r="D5742" s="3" t="s">
        <v>282</v>
      </c>
      <c r="E5742" s="3" t="s">
        <v>10</v>
      </c>
      <c r="F5742" s="5">
        <v>102</v>
      </c>
      <c r="G5742" s="5">
        <v>0</v>
      </c>
      <c r="H5742" s="6">
        <v>6496.26</v>
      </c>
      <c r="I5742" s="22">
        <v>0</v>
      </c>
      <c r="J5742" s="24">
        <f t="shared" si="267"/>
        <v>0</v>
      </c>
      <c r="K5742" s="25">
        <f t="shared" si="269"/>
        <v>1.0000000000000009</v>
      </c>
      <c r="L5742" s="27"/>
      <c r="M5742" s="28"/>
      <c r="N5742" s="28"/>
      <c r="O5742" s="20" t="s">
        <v>7530</v>
      </c>
      <c r="P5742" s="27" t="str">
        <f t="shared" si="268"/>
        <v>vermelho</v>
      </c>
    </row>
    <row r="5743" spans="1:16" ht="25.5">
      <c r="A5743" s="3" t="s">
        <v>4</v>
      </c>
      <c r="B5743" s="3" t="s">
        <v>4563</v>
      </c>
      <c r="C5743" s="4">
        <v>317</v>
      </c>
      <c r="D5743" s="3" t="s">
        <v>78</v>
      </c>
      <c r="E5743" s="3" t="s">
        <v>10</v>
      </c>
      <c r="F5743" s="5">
        <v>372</v>
      </c>
      <c r="G5743" s="5">
        <v>0</v>
      </c>
      <c r="H5743" s="6">
        <v>23154.6</v>
      </c>
      <c r="I5743" s="22">
        <v>0</v>
      </c>
      <c r="J5743" s="24">
        <f t="shared" si="267"/>
        <v>0</v>
      </c>
      <c r="K5743" s="25">
        <f t="shared" si="269"/>
        <v>1.0000000000000009</v>
      </c>
      <c r="L5743" s="27"/>
      <c r="M5743" s="28"/>
      <c r="N5743" s="28"/>
      <c r="O5743" s="20" t="s">
        <v>7530</v>
      </c>
      <c r="P5743" s="27" t="str">
        <f t="shared" si="268"/>
        <v>vermelho</v>
      </c>
    </row>
    <row r="5744" spans="1:16" ht="25.5">
      <c r="A5744" s="3" t="s">
        <v>4</v>
      </c>
      <c r="B5744" s="3" t="s">
        <v>4564</v>
      </c>
      <c r="C5744" s="4">
        <v>208</v>
      </c>
      <c r="D5744" s="3" t="s">
        <v>15</v>
      </c>
      <c r="E5744" s="3" t="s">
        <v>16</v>
      </c>
      <c r="F5744" s="5">
        <v>648</v>
      </c>
      <c r="G5744" s="5">
        <v>0</v>
      </c>
      <c r="H5744" s="6">
        <v>36546.6</v>
      </c>
      <c r="I5744" s="22">
        <v>0</v>
      </c>
      <c r="J5744" s="24">
        <f t="shared" si="267"/>
        <v>0</v>
      </c>
      <c r="K5744" s="25">
        <f t="shared" si="269"/>
        <v>1.0000000000000009</v>
      </c>
      <c r="L5744" s="27"/>
      <c r="M5744" s="28"/>
      <c r="N5744" s="28"/>
      <c r="O5744" s="20" t="s">
        <v>7530</v>
      </c>
      <c r="P5744" s="27" t="str">
        <f t="shared" si="268"/>
        <v>vermelho</v>
      </c>
    </row>
    <row r="5745" spans="1:16" ht="25.5">
      <c r="A5745" s="3" t="s">
        <v>4</v>
      </c>
      <c r="B5745" s="3" t="s">
        <v>4565</v>
      </c>
      <c r="C5745" s="4">
        <v>320</v>
      </c>
      <c r="D5745" s="3" t="s">
        <v>218</v>
      </c>
      <c r="E5745" s="3" t="s">
        <v>49</v>
      </c>
      <c r="F5745" s="5">
        <v>48</v>
      </c>
      <c r="G5745" s="5">
        <v>0</v>
      </c>
      <c r="H5745" s="6">
        <v>2903.52</v>
      </c>
      <c r="I5745" s="22">
        <v>0</v>
      </c>
      <c r="J5745" s="24">
        <f t="shared" si="267"/>
        <v>0</v>
      </c>
      <c r="K5745" s="25">
        <f t="shared" si="269"/>
        <v>1.0000000000000009</v>
      </c>
      <c r="L5745" s="27"/>
      <c r="M5745" s="28"/>
      <c r="N5745" s="28"/>
      <c r="O5745" s="20" t="s">
        <v>7530</v>
      </c>
      <c r="P5745" s="27" t="str">
        <f t="shared" si="268"/>
        <v>vermelho</v>
      </c>
    </row>
    <row r="5746" spans="1:16" ht="38.25">
      <c r="A5746" s="3" t="s">
        <v>4</v>
      </c>
      <c r="B5746" s="3" t="s">
        <v>4566</v>
      </c>
      <c r="C5746" s="4">
        <v>38</v>
      </c>
      <c r="D5746" s="3" t="s">
        <v>184</v>
      </c>
      <c r="E5746" s="3" t="s">
        <v>49</v>
      </c>
      <c r="F5746" s="5">
        <v>204</v>
      </c>
      <c r="G5746" s="5">
        <v>0</v>
      </c>
      <c r="H5746" s="6">
        <v>12877.68</v>
      </c>
      <c r="I5746" s="22">
        <v>0</v>
      </c>
      <c r="J5746" s="24">
        <f t="shared" si="267"/>
        <v>0</v>
      </c>
      <c r="K5746" s="25">
        <f t="shared" si="269"/>
        <v>1.0000000000000009</v>
      </c>
      <c r="L5746" s="27"/>
      <c r="M5746" s="28"/>
      <c r="N5746" s="28"/>
      <c r="O5746" s="20" t="s">
        <v>7530</v>
      </c>
      <c r="P5746" s="27" t="str">
        <f t="shared" si="268"/>
        <v>vermelho</v>
      </c>
    </row>
    <row r="5747" spans="1:16" ht="25.5">
      <c r="A5747" s="3" t="s">
        <v>4</v>
      </c>
      <c r="B5747" s="3" t="s">
        <v>4567</v>
      </c>
      <c r="C5747" s="4">
        <v>337</v>
      </c>
      <c r="D5747" s="3" t="s">
        <v>202</v>
      </c>
      <c r="E5747" s="3" t="s">
        <v>16</v>
      </c>
      <c r="F5747" s="5">
        <v>276</v>
      </c>
      <c r="G5747" s="5">
        <v>0</v>
      </c>
      <c r="H5747" s="6">
        <v>12463.56</v>
      </c>
      <c r="I5747" s="22">
        <v>0</v>
      </c>
      <c r="J5747" s="24">
        <f t="shared" si="267"/>
        <v>0</v>
      </c>
      <c r="K5747" s="25">
        <f t="shared" si="269"/>
        <v>1.0000000000000009</v>
      </c>
      <c r="L5747" s="27"/>
      <c r="M5747" s="28"/>
      <c r="N5747" s="28"/>
      <c r="O5747" s="20" t="s">
        <v>7530</v>
      </c>
      <c r="P5747" s="27" t="str">
        <f t="shared" si="268"/>
        <v>vermelho</v>
      </c>
    </row>
    <row r="5748" spans="1:16" ht="38.25">
      <c r="A5748" s="3" t="s">
        <v>4</v>
      </c>
      <c r="B5748" s="3" t="s">
        <v>4568</v>
      </c>
      <c r="C5748" s="4">
        <v>19</v>
      </c>
      <c r="D5748" s="3" t="s">
        <v>72</v>
      </c>
      <c r="E5748" s="3" t="s">
        <v>41</v>
      </c>
      <c r="F5748" s="5">
        <v>48</v>
      </c>
      <c r="G5748" s="5">
        <v>0</v>
      </c>
      <c r="H5748" s="6">
        <v>2781.6</v>
      </c>
      <c r="I5748" s="22">
        <v>0</v>
      </c>
      <c r="J5748" s="24">
        <f t="shared" si="267"/>
        <v>0</v>
      </c>
      <c r="K5748" s="25">
        <f t="shared" si="269"/>
        <v>1.0000000000000009</v>
      </c>
      <c r="L5748" s="27"/>
      <c r="M5748" s="28"/>
      <c r="N5748" s="28"/>
      <c r="O5748" s="20" t="s">
        <v>7530</v>
      </c>
      <c r="P5748" s="27" t="str">
        <f t="shared" si="268"/>
        <v>vermelho</v>
      </c>
    </row>
    <row r="5749" spans="1:16" ht="25.5">
      <c r="A5749" s="3" t="s">
        <v>4</v>
      </c>
      <c r="B5749" s="3" t="s">
        <v>4569</v>
      </c>
      <c r="C5749" s="4">
        <v>317</v>
      </c>
      <c r="D5749" s="3" t="s">
        <v>78</v>
      </c>
      <c r="E5749" s="3" t="s">
        <v>10</v>
      </c>
      <c r="F5749" s="5">
        <v>567</v>
      </c>
      <c r="G5749" s="5">
        <v>0</v>
      </c>
      <c r="H5749" s="6">
        <v>32719.23</v>
      </c>
      <c r="I5749" s="22">
        <v>0</v>
      </c>
      <c r="J5749" s="24">
        <f t="shared" si="267"/>
        <v>0</v>
      </c>
      <c r="K5749" s="25">
        <f t="shared" si="269"/>
        <v>1.0000000000000009</v>
      </c>
      <c r="L5749" s="27"/>
      <c r="M5749" s="28"/>
      <c r="N5749" s="28"/>
      <c r="O5749" s="20" t="s">
        <v>7530</v>
      </c>
      <c r="P5749" s="27" t="str">
        <f t="shared" si="268"/>
        <v>vermelho</v>
      </c>
    </row>
    <row r="5750" spans="1:16" ht="25.5">
      <c r="A5750" s="3" t="s">
        <v>4</v>
      </c>
      <c r="B5750" s="3" t="s">
        <v>4570</v>
      </c>
      <c r="C5750" s="4">
        <v>19</v>
      </c>
      <c r="D5750" s="3" t="s">
        <v>72</v>
      </c>
      <c r="E5750" s="3" t="s">
        <v>41</v>
      </c>
      <c r="F5750" s="5">
        <v>273</v>
      </c>
      <c r="G5750" s="5">
        <v>0</v>
      </c>
      <c r="H5750" s="6">
        <v>17497.89</v>
      </c>
      <c r="I5750" s="22">
        <v>0</v>
      </c>
      <c r="J5750" s="24">
        <f t="shared" si="267"/>
        <v>0</v>
      </c>
      <c r="K5750" s="25">
        <f t="shared" si="269"/>
        <v>1.0000000000000009</v>
      </c>
      <c r="L5750" s="27"/>
      <c r="M5750" s="28"/>
      <c r="N5750" s="28"/>
      <c r="O5750" s="20" t="s">
        <v>7530</v>
      </c>
      <c r="P5750" s="27" t="str">
        <f t="shared" si="268"/>
        <v>vermelho</v>
      </c>
    </row>
    <row r="5751" spans="1:16" ht="25.5">
      <c r="A5751" s="3" t="s">
        <v>4</v>
      </c>
      <c r="B5751" s="3" t="s">
        <v>4571</v>
      </c>
      <c r="C5751" s="4">
        <v>61</v>
      </c>
      <c r="D5751" s="3" t="s">
        <v>48</v>
      </c>
      <c r="E5751" s="3" t="s">
        <v>49</v>
      </c>
      <c r="F5751" s="5">
        <v>72</v>
      </c>
      <c r="G5751" s="5">
        <v>0</v>
      </c>
      <c r="H5751" s="6">
        <v>4535.28</v>
      </c>
      <c r="I5751" s="22">
        <v>0</v>
      </c>
      <c r="J5751" s="24">
        <f t="shared" si="267"/>
        <v>0</v>
      </c>
      <c r="K5751" s="25">
        <f t="shared" si="269"/>
        <v>1.0000000000000009</v>
      </c>
      <c r="L5751" s="27"/>
      <c r="M5751" s="28"/>
      <c r="N5751" s="28"/>
      <c r="O5751" s="20">
        <v>10481.91</v>
      </c>
      <c r="P5751" s="27" t="str">
        <f t="shared" si="268"/>
        <v>vermelho</v>
      </c>
    </row>
    <row r="5752" spans="1:16" ht="25.5">
      <c r="A5752" s="3" t="s">
        <v>4</v>
      </c>
      <c r="B5752" s="3" t="s">
        <v>4572</v>
      </c>
      <c r="C5752" s="4">
        <v>267</v>
      </c>
      <c r="D5752" s="3" t="s">
        <v>125</v>
      </c>
      <c r="E5752" s="3" t="s">
        <v>16</v>
      </c>
      <c r="F5752" s="5">
        <v>144</v>
      </c>
      <c r="G5752" s="5">
        <v>0</v>
      </c>
      <c r="H5752" s="6">
        <v>10108.56</v>
      </c>
      <c r="I5752" s="22">
        <v>0</v>
      </c>
      <c r="J5752" s="24">
        <f t="shared" si="267"/>
        <v>0</v>
      </c>
      <c r="K5752" s="25">
        <f t="shared" si="269"/>
        <v>1.0000000000000009</v>
      </c>
      <c r="L5752" s="27"/>
      <c r="M5752" s="28"/>
      <c r="N5752" s="28"/>
      <c r="O5752" s="20" t="s">
        <v>7530</v>
      </c>
      <c r="P5752" s="27" t="str">
        <f t="shared" si="268"/>
        <v>vermelho</v>
      </c>
    </row>
    <row r="5753" spans="1:16" ht="38.25">
      <c r="A5753" s="3" t="s">
        <v>4</v>
      </c>
      <c r="B5753" s="3" t="s">
        <v>4573</v>
      </c>
      <c r="C5753" s="4">
        <v>301</v>
      </c>
      <c r="D5753" s="3" t="s">
        <v>519</v>
      </c>
      <c r="E5753" s="3" t="s">
        <v>16</v>
      </c>
      <c r="F5753" s="5">
        <v>654</v>
      </c>
      <c r="G5753" s="5">
        <v>0</v>
      </c>
      <c r="H5753" s="6">
        <v>41623.199999999997</v>
      </c>
      <c r="I5753" s="22">
        <v>0</v>
      </c>
      <c r="J5753" s="24">
        <f t="shared" si="267"/>
        <v>0</v>
      </c>
      <c r="K5753" s="25">
        <f t="shared" si="269"/>
        <v>1.0000000000000009</v>
      </c>
      <c r="L5753" s="27"/>
      <c r="M5753" s="28"/>
      <c r="N5753" s="28"/>
      <c r="O5753" s="20" t="s">
        <v>7530</v>
      </c>
      <c r="P5753" s="27" t="str">
        <f t="shared" si="268"/>
        <v>vermelho</v>
      </c>
    </row>
    <row r="5754" spans="1:16" ht="25.5">
      <c r="A5754" s="3" t="s">
        <v>4</v>
      </c>
      <c r="B5754" s="3" t="s">
        <v>4574</v>
      </c>
      <c r="C5754" s="4">
        <v>327</v>
      </c>
      <c r="D5754" s="3" t="s">
        <v>100</v>
      </c>
      <c r="E5754" s="3" t="s">
        <v>7</v>
      </c>
      <c r="F5754" s="5">
        <v>192</v>
      </c>
      <c r="G5754" s="5">
        <v>0</v>
      </c>
      <c r="H5754" s="6">
        <v>10876.08</v>
      </c>
      <c r="I5754" s="22">
        <v>0</v>
      </c>
      <c r="J5754" s="24">
        <f t="shared" si="267"/>
        <v>0</v>
      </c>
      <c r="K5754" s="25">
        <f t="shared" si="269"/>
        <v>1.0000000000000009</v>
      </c>
      <c r="L5754" s="27"/>
      <c r="M5754" s="28"/>
      <c r="N5754" s="28"/>
      <c r="O5754" s="20" t="s">
        <v>7530</v>
      </c>
      <c r="P5754" s="27" t="str">
        <f t="shared" si="268"/>
        <v>vermelho</v>
      </c>
    </row>
    <row r="5755" spans="1:16" ht="25.5">
      <c r="A5755" s="3" t="s">
        <v>4</v>
      </c>
      <c r="B5755" s="3" t="s">
        <v>4575</v>
      </c>
      <c r="C5755" s="4">
        <v>197</v>
      </c>
      <c r="D5755" s="3" t="s">
        <v>66</v>
      </c>
      <c r="E5755" s="3" t="s">
        <v>41</v>
      </c>
      <c r="F5755" s="5">
        <v>144</v>
      </c>
      <c r="G5755" s="5">
        <v>0</v>
      </c>
      <c r="H5755" s="6">
        <v>8863.9259999999995</v>
      </c>
      <c r="I5755" s="22">
        <v>0</v>
      </c>
      <c r="J5755" s="24">
        <f t="shared" si="267"/>
        <v>0</v>
      </c>
      <c r="K5755" s="25">
        <f t="shared" si="269"/>
        <v>1.0000000000000009</v>
      </c>
      <c r="L5755" s="27"/>
      <c r="M5755" s="28"/>
      <c r="N5755" s="28"/>
      <c r="O5755" s="20" t="s">
        <v>7530</v>
      </c>
      <c r="P5755" s="27" t="str">
        <f t="shared" si="268"/>
        <v>vermelho</v>
      </c>
    </row>
    <row r="5756" spans="1:16" ht="25.5">
      <c r="A5756" s="3" t="s">
        <v>4</v>
      </c>
      <c r="B5756" s="3" t="s">
        <v>4576</v>
      </c>
      <c r="C5756" s="4">
        <v>232</v>
      </c>
      <c r="D5756" s="3" t="s">
        <v>174</v>
      </c>
      <c r="E5756" s="3" t="s">
        <v>16</v>
      </c>
      <c r="F5756" s="5">
        <v>72</v>
      </c>
      <c r="G5756" s="5">
        <v>0</v>
      </c>
      <c r="H5756" s="6">
        <v>3959.16</v>
      </c>
      <c r="I5756" s="22">
        <v>0</v>
      </c>
      <c r="J5756" s="24">
        <f t="shared" si="267"/>
        <v>0</v>
      </c>
      <c r="K5756" s="25">
        <f t="shared" si="269"/>
        <v>1.0000000000000009</v>
      </c>
      <c r="L5756" s="27"/>
      <c r="M5756" s="28"/>
      <c r="N5756" s="28"/>
      <c r="O5756" s="20" t="s">
        <v>7530</v>
      </c>
      <c r="P5756" s="27" t="str">
        <f t="shared" si="268"/>
        <v>vermelho</v>
      </c>
    </row>
    <row r="5757" spans="1:16" ht="38.25">
      <c r="A5757" s="3" t="s">
        <v>4</v>
      </c>
      <c r="B5757" s="3" t="s">
        <v>4577</v>
      </c>
      <c r="C5757" s="4">
        <v>61</v>
      </c>
      <c r="D5757" s="3" t="s">
        <v>48</v>
      </c>
      <c r="E5757" s="3" t="s">
        <v>49</v>
      </c>
      <c r="F5757" s="5">
        <v>309</v>
      </c>
      <c r="G5757" s="5">
        <v>0</v>
      </c>
      <c r="H5757" s="6">
        <v>14894.13</v>
      </c>
      <c r="I5757" s="22">
        <v>0</v>
      </c>
      <c r="J5757" s="24">
        <f t="shared" si="267"/>
        <v>0</v>
      </c>
      <c r="K5757" s="25">
        <f t="shared" si="269"/>
        <v>1.0000000000000009</v>
      </c>
      <c r="L5757" s="27"/>
      <c r="M5757" s="28"/>
      <c r="N5757" s="28"/>
      <c r="O5757" s="20" t="s">
        <v>7530</v>
      </c>
      <c r="P5757" s="27" t="str">
        <f t="shared" si="268"/>
        <v>vermelho</v>
      </c>
    </row>
    <row r="5758" spans="1:16" ht="25.5">
      <c r="A5758" s="3" t="s">
        <v>4</v>
      </c>
      <c r="B5758" s="3" t="s">
        <v>4578</v>
      </c>
      <c r="C5758" s="4">
        <v>317</v>
      </c>
      <c r="D5758" s="3" t="s">
        <v>78</v>
      </c>
      <c r="E5758" s="3" t="s">
        <v>10</v>
      </c>
      <c r="F5758" s="5">
        <v>807</v>
      </c>
      <c r="G5758" s="5">
        <v>0</v>
      </c>
      <c r="H5758" s="6">
        <v>45673.29</v>
      </c>
      <c r="I5758" s="22">
        <v>0</v>
      </c>
      <c r="J5758" s="24">
        <f t="shared" si="267"/>
        <v>0</v>
      </c>
      <c r="K5758" s="25">
        <f t="shared" si="269"/>
        <v>1.0000000000000009</v>
      </c>
      <c r="L5758" s="27"/>
      <c r="M5758" s="28"/>
      <c r="N5758" s="28"/>
      <c r="O5758" s="20" t="s">
        <v>7530</v>
      </c>
      <c r="P5758" s="27" t="str">
        <f t="shared" si="268"/>
        <v>vermelho</v>
      </c>
    </row>
    <row r="5759" spans="1:16" ht="25.5">
      <c r="A5759" s="3" t="s">
        <v>4</v>
      </c>
      <c r="B5759" s="3" t="s">
        <v>4579</v>
      </c>
      <c r="C5759" s="4">
        <v>240</v>
      </c>
      <c r="D5759" s="3" t="s">
        <v>69</v>
      </c>
      <c r="E5759" s="3" t="s">
        <v>16</v>
      </c>
      <c r="F5759" s="5">
        <v>90</v>
      </c>
      <c r="G5759" s="5">
        <v>0</v>
      </c>
      <c r="H5759" s="6">
        <v>4720.05</v>
      </c>
      <c r="I5759" s="22">
        <v>0</v>
      </c>
      <c r="J5759" s="24">
        <f t="shared" si="267"/>
        <v>0</v>
      </c>
      <c r="K5759" s="25">
        <f t="shared" si="269"/>
        <v>1.0000000000000009</v>
      </c>
      <c r="L5759" s="27"/>
      <c r="M5759" s="28"/>
      <c r="N5759" s="28">
        <v>4.4636454181417748E-2</v>
      </c>
      <c r="O5759" s="20">
        <v>5786.64</v>
      </c>
      <c r="P5759" s="27" t="str">
        <f t="shared" si="268"/>
        <v>vermelho</v>
      </c>
    </row>
    <row r="5760" spans="1:16" ht="25.5">
      <c r="A5760" s="3" t="s">
        <v>4</v>
      </c>
      <c r="B5760" s="3" t="s">
        <v>4580</v>
      </c>
      <c r="C5760" s="4">
        <v>93</v>
      </c>
      <c r="D5760" s="3" t="s">
        <v>20</v>
      </c>
      <c r="E5760" s="3" t="s">
        <v>7</v>
      </c>
      <c r="F5760" s="5">
        <v>138</v>
      </c>
      <c r="G5760" s="5">
        <v>0</v>
      </c>
      <c r="H5760" s="6">
        <v>5612.49</v>
      </c>
      <c r="I5760" s="22">
        <v>0</v>
      </c>
      <c r="J5760" s="24">
        <f t="shared" si="267"/>
        <v>0</v>
      </c>
      <c r="K5760" s="25">
        <f t="shared" si="269"/>
        <v>1.0000000000000009</v>
      </c>
      <c r="L5760" s="27"/>
      <c r="M5760" s="28"/>
      <c r="N5760" s="28"/>
      <c r="O5760" s="20" t="s">
        <v>7530</v>
      </c>
      <c r="P5760" s="27" t="str">
        <f t="shared" si="268"/>
        <v>vermelho</v>
      </c>
    </row>
    <row r="5761" spans="1:16" ht="25.5">
      <c r="A5761" s="3" t="s">
        <v>4</v>
      </c>
      <c r="B5761" s="3" t="s">
        <v>4581</v>
      </c>
      <c r="C5761" s="4">
        <v>261</v>
      </c>
      <c r="D5761" s="3" t="s">
        <v>9</v>
      </c>
      <c r="E5761" s="3" t="s">
        <v>10</v>
      </c>
      <c r="F5761" s="5">
        <v>48</v>
      </c>
      <c r="G5761" s="5">
        <v>0</v>
      </c>
      <c r="H5761" s="6">
        <v>3272.88</v>
      </c>
      <c r="I5761" s="22">
        <v>0</v>
      </c>
      <c r="J5761" s="24">
        <f t="shared" si="267"/>
        <v>0</v>
      </c>
      <c r="K5761" s="25">
        <f t="shared" si="269"/>
        <v>1.0000000000000009</v>
      </c>
      <c r="L5761" s="27"/>
      <c r="M5761" s="28"/>
      <c r="N5761" s="28"/>
      <c r="O5761" s="20" t="s">
        <v>7530</v>
      </c>
      <c r="P5761" s="27" t="str">
        <f t="shared" si="268"/>
        <v>vermelho</v>
      </c>
    </row>
    <row r="5762" spans="1:16" ht="38.25">
      <c r="A5762" s="3" t="s">
        <v>4</v>
      </c>
      <c r="B5762" s="3" t="s">
        <v>4582</v>
      </c>
      <c r="C5762" s="4">
        <v>38</v>
      </c>
      <c r="D5762" s="3" t="s">
        <v>184</v>
      </c>
      <c r="E5762" s="3" t="s">
        <v>49</v>
      </c>
      <c r="F5762" s="5">
        <v>144</v>
      </c>
      <c r="G5762" s="5">
        <v>0</v>
      </c>
      <c r="H5762" s="6">
        <v>8051.4</v>
      </c>
      <c r="I5762" s="22">
        <v>0</v>
      </c>
      <c r="J5762" s="24">
        <f t="shared" si="267"/>
        <v>0</v>
      </c>
      <c r="K5762" s="25">
        <f t="shared" si="269"/>
        <v>1.0000000000000009</v>
      </c>
      <c r="L5762" s="27"/>
      <c r="M5762" s="28"/>
      <c r="N5762" s="28"/>
      <c r="O5762" s="20" t="s">
        <v>7530</v>
      </c>
      <c r="P5762" s="27" t="str">
        <f t="shared" si="268"/>
        <v>vermelho</v>
      </c>
    </row>
    <row r="5763" spans="1:16" ht="25.5">
      <c r="A5763" s="3" t="s">
        <v>4</v>
      </c>
      <c r="B5763" s="3" t="s">
        <v>4583</v>
      </c>
      <c r="C5763" s="4">
        <v>317</v>
      </c>
      <c r="D5763" s="3" t="s">
        <v>78</v>
      </c>
      <c r="E5763" s="3" t="s">
        <v>10</v>
      </c>
      <c r="F5763" s="5">
        <v>192</v>
      </c>
      <c r="G5763" s="5">
        <v>0</v>
      </c>
      <c r="H5763" s="6">
        <v>10696.44</v>
      </c>
      <c r="I5763" s="22">
        <v>0</v>
      </c>
      <c r="J5763" s="24">
        <f t="shared" ref="J5763:J5826" si="270">I5763/$I$6364</f>
        <v>0</v>
      </c>
      <c r="K5763" s="25">
        <f t="shared" si="269"/>
        <v>1.0000000000000009</v>
      </c>
      <c r="L5763" s="27"/>
      <c r="M5763" s="28"/>
      <c r="N5763" s="28"/>
      <c r="O5763" s="20">
        <v>8680.56</v>
      </c>
      <c r="P5763" s="27" t="str">
        <f t="shared" ref="P5763:P5826" si="271">IF(O5763&lt;=0,"vermelho",IFERROR(IF(O5763/I5763&lt;=0.5098,"amarelo",IF(O5763/I5763&lt;1,"laranja","verde")),"vermelho"))</f>
        <v>vermelho</v>
      </c>
    </row>
    <row r="5764" spans="1:16" ht="25.5">
      <c r="A5764" s="3" t="s">
        <v>4</v>
      </c>
      <c r="B5764" s="3" t="s">
        <v>4584</v>
      </c>
      <c r="C5764" s="4">
        <v>316</v>
      </c>
      <c r="D5764" s="3" t="s">
        <v>247</v>
      </c>
      <c r="E5764" s="3" t="s">
        <v>10</v>
      </c>
      <c r="F5764" s="5">
        <v>417</v>
      </c>
      <c r="G5764" s="5">
        <v>0</v>
      </c>
      <c r="H5764" s="6">
        <v>18368.64</v>
      </c>
      <c r="I5764" s="22">
        <v>0</v>
      </c>
      <c r="J5764" s="24">
        <f t="shared" si="270"/>
        <v>0</v>
      </c>
      <c r="K5764" s="25">
        <f t="shared" ref="K5764:K5827" si="272">J5764+K5763</f>
        <v>1.0000000000000009</v>
      </c>
      <c r="L5764" s="27"/>
      <c r="M5764" s="28"/>
      <c r="N5764" s="28"/>
      <c r="O5764" s="20" t="s">
        <v>7530</v>
      </c>
      <c r="P5764" s="27" t="str">
        <f t="shared" si="271"/>
        <v>vermelho</v>
      </c>
    </row>
    <row r="5765" spans="1:16" ht="51">
      <c r="A5765" s="3" t="s">
        <v>4</v>
      </c>
      <c r="B5765" s="3" t="s">
        <v>4585</v>
      </c>
      <c r="C5765" s="4">
        <v>282</v>
      </c>
      <c r="D5765" s="3" t="s">
        <v>12</v>
      </c>
      <c r="E5765" s="3" t="s">
        <v>13</v>
      </c>
      <c r="F5765" s="5">
        <v>180</v>
      </c>
      <c r="G5765" s="5">
        <v>0</v>
      </c>
      <c r="H5765" s="6">
        <v>8854.2000000000007</v>
      </c>
      <c r="I5765" s="22">
        <v>0</v>
      </c>
      <c r="J5765" s="24">
        <f t="shared" si="270"/>
        <v>0</v>
      </c>
      <c r="K5765" s="25">
        <f t="shared" si="272"/>
        <v>1.0000000000000009</v>
      </c>
      <c r="L5765" s="27"/>
      <c r="M5765" s="28"/>
      <c r="N5765" s="28"/>
      <c r="O5765" s="20" t="s">
        <v>7530</v>
      </c>
      <c r="P5765" s="27" t="str">
        <f t="shared" si="271"/>
        <v>vermelho</v>
      </c>
    </row>
    <row r="5766" spans="1:16">
      <c r="A5766" s="3" t="s">
        <v>4</v>
      </c>
      <c r="B5766" s="3" t="s">
        <v>4586</v>
      </c>
      <c r="C5766" s="4">
        <v>217</v>
      </c>
      <c r="D5766" s="3" t="s">
        <v>91</v>
      </c>
      <c r="E5766" s="3" t="s">
        <v>16</v>
      </c>
      <c r="F5766" s="5">
        <v>96</v>
      </c>
      <c r="G5766" s="5">
        <v>0</v>
      </c>
      <c r="H5766" s="6">
        <v>4294.8</v>
      </c>
      <c r="I5766" s="22">
        <v>0</v>
      </c>
      <c r="J5766" s="24">
        <f t="shared" si="270"/>
        <v>0</v>
      </c>
      <c r="K5766" s="25">
        <f t="shared" si="272"/>
        <v>1.0000000000000009</v>
      </c>
      <c r="L5766" s="27"/>
      <c r="M5766" s="28"/>
      <c r="N5766" s="28"/>
      <c r="O5766" s="20" t="s">
        <v>7530</v>
      </c>
      <c r="P5766" s="27" t="str">
        <f t="shared" si="271"/>
        <v>vermelho</v>
      </c>
    </row>
    <row r="5767" spans="1:16" ht="25.5">
      <c r="A5767" s="3" t="s">
        <v>4</v>
      </c>
      <c r="B5767" s="3" t="s">
        <v>4587</v>
      </c>
      <c r="C5767" s="4">
        <v>231</v>
      </c>
      <c r="D5767" s="3" t="s">
        <v>52</v>
      </c>
      <c r="E5767" s="3" t="s">
        <v>7</v>
      </c>
      <c r="F5767" s="5">
        <v>48</v>
      </c>
      <c r="G5767" s="5">
        <v>0</v>
      </c>
      <c r="H5767" s="6">
        <v>3165.6</v>
      </c>
      <c r="I5767" s="22">
        <v>0</v>
      </c>
      <c r="J5767" s="24">
        <f t="shared" si="270"/>
        <v>0</v>
      </c>
      <c r="K5767" s="25">
        <f t="shared" si="272"/>
        <v>1.0000000000000009</v>
      </c>
      <c r="L5767" s="27"/>
      <c r="M5767" s="28"/>
      <c r="N5767" s="28"/>
      <c r="O5767" s="20" t="s">
        <v>7530</v>
      </c>
      <c r="P5767" s="27" t="str">
        <f t="shared" si="271"/>
        <v>vermelho</v>
      </c>
    </row>
    <row r="5768" spans="1:16" ht="25.5">
      <c r="A5768" s="3" t="s">
        <v>4</v>
      </c>
      <c r="B5768" s="3" t="s">
        <v>4588</v>
      </c>
      <c r="C5768" s="4">
        <v>208</v>
      </c>
      <c r="D5768" s="3" t="s">
        <v>15</v>
      </c>
      <c r="E5768" s="3" t="s">
        <v>16</v>
      </c>
      <c r="F5768" s="5">
        <v>396</v>
      </c>
      <c r="G5768" s="5">
        <v>0</v>
      </c>
      <c r="H5768" s="6">
        <v>21936.6</v>
      </c>
      <c r="I5768" s="22">
        <v>0</v>
      </c>
      <c r="J5768" s="24">
        <f t="shared" si="270"/>
        <v>0</v>
      </c>
      <c r="K5768" s="25">
        <f t="shared" si="272"/>
        <v>1.0000000000000009</v>
      </c>
      <c r="L5768" s="27"/>
      <c r="M5768" s="28"/>
      <c r="N5768" s="28"/>
      <c r="O5768" s="20">
        <v>9657.33</v>
      </c>
      <c r="P5768" s="27" t="str">
        <f t="shared" si="271"/>
        <v>vermelho</v>
      </c>
    </row>
    <row r="5769" spans="1:16" ht="25.5">
      <c r="A5769" s="3" t="s">
        <v>4</v>
      </c>
      <c r="B5769" s="3" t="s">
        <v>4589</v>
      </c>
      <c r="C5769" s="4">
        <v>261</v>
      </c>
      <c r="D5769" s="3" t="s">
        <v>9</v>
      </c>
      <c r="E5769" s="3" t="s">
        <v>10</v>
      </c>
      <c r="F5769" s="5">
        <v>855</v>
      </c>
      <c r="G5769" s="5">
        <v>0</v>
      </c>
      <c r="H5769" s="6">
        <v>45427.14</v>
      </c>
      <c r="I5769" s="22">
        <v>0</v>
      </c>
      <c r="J5769" s="24">
        <f t="shared" si="270"/>
        <v>0</v>
      </c>
      <c r="K5769" s="25">
        <f t="shared" si="272"/>
        <v>1.0000000000000009</v>
      </c>
      <c r="L5769" s="27"/>
      <c r="M5769" s="28"/>
      <c r="N5769" s="28"/>
      <c r="O5769" s="20" t="s">
        <v>7530</v>
      </c>
      <c r="P5769" s="27" t="str">
        <f t="shared" si="271"/>
        <v>vermelho</v>
      </c>
    </row>
    <row r="5770" spans="1:16" ht="25.5">
      <c r="A5770" s="3" t="s">
        <v>4</v>
      </c>
      <c r="B5770" s="3" t="s">
        <v>4590</v>
      </c>
      <c r="C5770" s="4">
        <v>328</v>
      </c>
      <c r="D5770" s="3" t="s">
        <v>215</v>
      </c>
      <c r="E5770" s="3" t="s">
        <v>41</v>
      </c>
      <c r="F5770" s="5">
        <v>60</v>
      </c>
      <c r="G5770" s="5">
        <v>0</v>
      </c>
      <c r="H5770" s="6">
        <v>2897.4</v>
      </c>
      <c r="I5770" s="22">
        <v>0</v>
      </c>
      <c r="J5770" s="24">
        <f t="shared" si="270"/>
        <v>0</v>
      </c>
      <c r="K5770" s="25">
        <f t="shared" si="272"/>
        <v>1.0000000000000009</v>
      </c>
      <c r="L5770" s="27"/>
      <c r="M5770" s="28"/>
      <c r="N5770" s="28"/>
      <c r="O5770" s="20" t="s">
        <v>7530</v>
      </c>
      <c r="P5770" s="27" t="str">
        <f t="shared" si="271"/>
        <v>vermelho</v>
      </c>
    </row>
    <row r="5771" spans="1:16" ht="25.5">
      <c r="A5771" s="3" t="s">
        <v>4</v>
      </c>
      <c r="B5771" s="3" t="s">
        <v>4591</v>
      </c>
      <c r="C5771" s="4">
        <v>317</v>
      </c>
      <c r="D5771" s="3" t="s">
        <v>78</v>
      </c>
      <c r="E5771" s="3" t="s">
        <v>10</v>
      </c>
      <c r="F5771" s="5">
        <v>66</v>
      </c>
      <c r="G5771" s="5">
        <v>0</v>
      </c>
      <c r="H5771" s="6">
        <v>3536.16</v>
      </c>
      <c r="I5771" s="22">
        <v>0</v>
      </c>
      <c r="J5771" s="24">
        <f t="shared" si="270"/>
        <v>0</v>
      </c>
      <c r="K5771" s="25">
        <f t="shared" si="272"/>
        <v>1.0000000000000009</v>
      </c>
      <c r="L5771" s="27"/>
      <c r="M5771" s="28"/>
      <c r="N5771" s="28"/>
      <c r="O5771" s="20" t="s">
        <v>7530</v>
      </c>
      <c r="P5771" s="27" t="str">
        <f t="shared" si="271"/>
        <v>vermelho</v>
      </c>
    </row>
    <row r="5772" spans="1:16" ht="38.25">
      <c r="A5772" s="3" t="s">
        <v>4</v>
      </c>
      <c r="B5772" s="3" t="s">
        <v>4592</v>
      </c>
      <c r="C5772" s="4">
        <v>45</v>
      </c>
      <c r="D5772" s="3" t="s">
        <v>23</v>
      </c>
      <c r="E5772" s="3" t="s">
        <v>7</v>
      </c>
      <c r="F5772" s="5">
        <v>75</v>
      </c>
      <c r="G5772" s="5">
        <v>0</v>
      </c>
      <c r="H5772" s="6">
        <v>3250.125</v>
      </c>
      <c r="I5772" s="22">
        <v>0</v>
      </c>
      <c r="J5772" s="24">
        <f t="shared" si="270"/>
        <v>0</v>
      </c>
      <c r="K5772" s="25">
        <f t="shared" si="272"/>
        <v>1.0000000000000009</v>
      </c>
      <c r="L5772" s="27"/>
      <c r="M5772" s="28"/>
      <c r="N5772" s="28"/>
      <c r="O5772" s="20" t="s">
        <v>7530</v>
      </c>
      <c r="P5772" s="27" t="str">
        <f t="shared" si="271"/>
        <v>vermelho</v>
      </c>
    </row>
    <row r="5773" spans="1:16" ht="25.5">
      <c r="A5773" s="3" t="s">
        <v>4</v>
      </c>
      <c r="B5773" s="3" t="s">
        <v>4593</v>
      </c>
      <c r="C5773" s="4">
        <v>321</v>
      </c>
      <c r="D5773" s="3" t="s">
        <v>136</v>
      </c>
      <c r="E5773" s="3" t="s">
        <v>41</v>
      </c>
      <c r="F5773" s="5">
        <v>204</v>
      </c>
      <c r="G5773" s="5">
        <v>0</v>
      </c>
      <c r="H5773" s="6">
        <v>11725.32</v>
      </c>
      <c r="I5773" s="22">
        <v>0</v>
      </c>
      <c r="J5773" s="24">
        <f t="shared" si="270"/>
        <v>0</v>
      </c>
      <c r="K5773" s="25">
        <f t="shared" si="272"/>
        <v>1.0000000000000009</v>
      </c>
      <c r="L5773" s="27"/>
      <c r="M5773" s="28"/>
      <c r="N5773" s="28"/>
      <c r="O5773" s="20" t="s">
        <v>7530</v>
      </c>
      <c r="P5773" s="27" t="str">
        <f t="shared" si="271"/>
        <v>vermelho</v>
      </c>
    </row>
    <row r="5774" spans="1:16" ht="25.5">
      <c r="A5774" s="3" t="s">
        <v>4</v>
      </c>
      <c r="B5774" s="3" t="s">
        <v>4594</v>
      </c>
      <c r="C5774" s="4">
        <v>208</v>
      </c>
      <c r="D5774" s="3" t="s">
        <v>15</v>
      </c>
      <c r="E5774" s="3" t="s">
        <v>16</v>
      </c>
      <c r="F5774" s="5">
        <v>195</v>
      </c>
      <c r="G5774" s="5">
        <v>0</v>
      </c>
      <c r="H5774" s="6">
        <v>11990.4</v>
      </c>
      <c r="I5774" s="22">
        <v>0</v>
      </c>
      <c r="J5774" s="24">
        <f t="shared" si="270"/>
        <v>0</v>
      </c>
      <c r="K5774" s="25">
        <f t="shared" si="272"/>
        <v>1.0000000000000009</v>
      </c>
      <c r="L5774" s="27"/>
      <c r="M5774" s="28"/>
      <c r="N5774" s="28"/>
      <c r="O5774" s="20">
        <v>20531.759999999998</v>
      </c>
      <c r="P5774" s="27" t="str">
        <f t="shared" si="271"/>
        <v>vermelho</v>
      </c>
    </row>
    <row r="5775" spans="1:16" ht="38.25">
      <c r="A5775" s="3" t="s">
        <v>4</v>
      </c>
      <c r="B5775" s="3" t="s">
        <v>4595</v>
      </c>
      <c r="C5775" s="4">
        <v>301</v>
      </c>
      <c r="D5775" s="3" t="s">
        <v>519</v>
      </c>
      <c r="E5775" s="3" t="s">
        <v>16</v>
      </c>
      <c r="F5775" s="5">
        <v>564</v>
      </c>
      <c r="G5775" s="5">
        <v>0</v>
      </c>
      <c r="H5775" s="6">
        <v>21977.88</v>
      </c>
      <c r="I5775" s="22">
        <v>0</v>
      </c>
      <c r="J5775" s="24">
        <f t="shared" si="270"/>
        <v>0</v>
      </c>
      <c r="K5775" s="25">
        <f t="shared" si="272"/>
        <v>1.0000000000000009</v>
      </c>
      <c r="L5775" s="27"/>
      <c r="M5775" s="28"/>
      <c r="N5775" s="28"/>
      <c r="O5775" s="20" t="s">
        <v>7530</v>
      </c>
      <c r="P5775" s="27" t="str">
        <f t="shared" si="271"/>
        <v>vermelho</v>
      </c>
    </row>
    <row r="5776" spans="1:16" ht="25.5">
      <c r="A5776" s="3" t="s">
        <v>4</v>
      </c>
      <c r="B5776" s="3" t="s">
        <v>4596</v>
      </c>
      <c r="C5776" s="4">
        <v>328</v>
      </c>
      <c r="D5776" s="3" t="s">
        <v>215</v>
      </c>
      <c r="E5776" s="3" t="s">
        <v>41</v>
      </c>
      <c r="F5776" s="5">
        <v>24</v>
      </c>
      <c r="G5776" s="5">
        <v>0</v>
      </c>
      <c r="H5776" s="6">
        <v>1371.384</v>
      </c>
      <c r="I5776" s="22">
        <v>0</v>
      </c>
      <c r="J5776" s="24">
        <f t="shared" si="270"/>
        <v>0</v>
      </c>
      <c r="K5776" s="25">
        <f t="shared" si="272"/>
        <v>1.0000000000000009</v>
      </c>
      <c r="L5776" s="27"/>
      <c r="M5776" s="28"/>
      <c r="N5776" s="28"/>
      <c r="O5776" s="20" t="s">
        <v>7530</v>
      </c>
      <c r="P5776" s="27" t="str">
        <f t="shared" si="271"/>
        <v>vermelho</v>
      </c>
    </row>
    <row r="5777" spans="1:16" ht="25.5">
      <c r="A5777" s="3" t="s">
        <v>4</v>
      </c>
      <c r="B5777" s="3" t="s">
        <v>4597</v>
      </c>
      <c r="C5777" s="4">
        <v>264</v>
      </c>
      <c r="D5777" s="3" t="s">
        <v>40</v>
      </c>
      <c r="E5777" s="3" t="s">
        <v>41</v>
      </c>
      <c r="F5777" s="5">
        <v>72</v>
      </c>
      <c r="G5777" s="5">
        <v>0</v>
      </c>
      <c r="H5777" s="6">
        <v>3704.76</v>
      </c>
      <c r="I5777" s="22">
        <v>0</v>
      </c>
      <c r="J5777" s="24">
        <f t="shared" si="270"/>
        <v>0</v>
      </c>
      <c r="K5777" s="25">
        <f t="shared" si="272"/>
        <v>1.0000000000000009</v>
      </c>
      <c r="L5777" s="27"/>
      <c r="M5777" s="28"/>
      <c r="N5777" s="28"/>
      <c r="O5777" s="20" t="s">
        <v>7530</v>
      </c>
      <c r="P5777" s="27" t="str">
        <f t="shared" si="271"/>
        <v>vermelho</v>
      </c>
    </row>
    <row r="5778" spans="1:16" ht="25.5">
      <c r="A5778" s="3" t="s">
        <v>4</v>
      </c>
      <c r="B5778" s="3" t="s">
        <v>4598</v>
      </c>
      <c r="C5778" s="4">
        <v>39</v>
      </c>
      <c r="D5778" s="3" t="s">
        <v>26</v>
      </c>
      <c r="E5778" s="3" t="s">
        <v>13</v>
      </c>
      <c r="F5778" s="5">
        <v>60</v>
      </c>
      <c r="G5778" s="5">
        <v>0</v>
      </c>
      <c r="H5778" s="6">
        <v>3559.2</v>
      </c>
      <c r="I5778" s="22">
        <v>0</v>
      </c>
      <c r="J5778" s="24">
        <f t="shared" si="270"/>
        <v>0</v>
      </c>
      <c r="K5778" s="25">
        <f t="shared" si="272"/>
        <v>1.0000000000000009</v>
      </c>
      <c r="L5778" s="27"/>
      <c r="M5778" s="28"/>
      <c r="N5778" s="28"/>
      <c r="O5778" s="20" t="s">
        <v>7530</v>
      </c>
      <c r="P5778" s="27" t="str">
        <f t="shared" si="271"/>
        <v>vermelho</v>
      </c>
    </row>
    <row r="5779" spans="1:16" ht="25.5">
      <c r="A5779" s="3" t="s">
        <v>4</v>
      </c>
      <c r="B5779" s="3" t="s">
        <v>4599</v>
      </c>
      <c r="C5779" s="4">
        <v>31</v>
      </c>
      <c r="D5779" s="3" t="s">
        <v>194</v>
      </c>
      <c r="E5779" s="3" t="s">
        <v>16</v>
      </c>
      <c r="F5779" s="5">
        <v>150</v>
      </c>
      <c r="G5779" s="5">
        <v>0</v>
      </c>
      <c r="H5779" s="6">
        <v>7653.66</v>
      </c>
      <c r="I5779" s="22">
        <v>0</v>
      </c>
      <c r="J5779" s="24">
        <f t="shared" si="270"/>
        <v>0</v>
      </c>
      <c r="K5779" s="25">
        <f t="shared" si="272"/>
        <v>1.0000000000000009</v>
      </c>
      <c r="L5779" s="27"/>
      <c r="M5779" s="28"/>
      <c r="N5779" s="28"/>
      <c r="O5779" s="20" t="s">
        <v>7530</v>
      </c>
      <c r="P5779" s="27" t="str">
        <f t="shared" si="271"/>
        <v>vermelho</v>
      </c>
    </row>
    <row r="5780" spans="1:16" ht="38.25">
      <c r="A5780" s="3" t="s">
        <v>4</v>
      </c>
      <c r="B5780" s="3" t="s">
        <v>4600</v>
      </c>
      <c r="C5780" s="4">
        <v>231</v>
      </c>
      <c r="D5780" s="3" t="s">
        <v>52</v>
      </c>
      <c r="E5780" s="3" t="s">
        <v>7</v>
      </c>
      <c r="F5780" s="5">
        <v>240</v>
      </c>
      <c r="G5780" s="5">
        <v>0</v>
      </c>
      <c r="H5780" s="6">
        <v>14382.36</v>
      </c>
      <c r="I5780" s="22">
        <v>0</v>
      </c>
      <c r="J5780" s="24">
        <f t="shared" si="270"/>
        <v>0</v>
      </c>
      <c r="K5780" s="25">
        <f t="shared" si="272"/>
        <v>1.0000000000000009</v>
      </c>
      <c r="L5780" s="27"/>
      <c r="M5780" s="28"/>
      <c r="N5780" s="28"/>
      <c r="O5780" s="20" t="s">
        <v>7530</v>
      </c>
      <c r="P5780" s="27" t="str">
        <f t="shared" si="271"/>
        <v>vermelho</v>
      </c>
    </row>
    <row r="5781" spans="1:16" ht="25.5">
      <c r="A5781" s="3" t="s">
        <v>4</v>
      </c>
      <c r="B5781" s="3" t="s">
        <v>4601</v>
      </c>
      <c r="C5781" s="4">
        <v>327</v>
      </c>
      <c r="D5781" s="3" t="s">
        <v>100</v>
      </c>
      <c r="E5781" s="3" t="s">
        <v>7</v>
      </c>
      <c r="F5781" s="5">
        <v>66</v>
      </c>
      <c r="G5781" s="5">
        <v>0</v>
      </c>
      <c r="H5781" s="6">
        <v>4244.49</v>
      </c>
      <c r="I5781" s="22">
        <v>0</v>
      </c>
      <c r="J5781" s="24">
        <f t="shared" si="270"/>
        <v>0</v>
      </c>
      <c r="K5781" s="25">
        <f t="shared" si="272"/>
        <v>1.0000000000000009</v>
      </c>
      <c r="L5781" s="27"/>
      <c r="M5781" s="28"/>
      <c r="N5781" s="28"/>
      <c r="O5781" s="20" t="s">
        <v>7530</v>
      </c>
      <c r="P5781" s="27" t="str">
        <f t="shared" si="271"/>
        <v>vermelho</v>
      </c>
    </row>
    <row r="5782" spans="1:16" ht="25.5">
      <c r="A5782" s="3" t="s">
        <v>4</v>
      </c>
      <c r="B5782" s="3" t="s">
        <v>4602</v>
      </c>
      <c r="C5782" s="4">
        <v>23</v>
      </c>
      <c r="D5782" s="3" t="s">
        <v>87</v>
      </c>
      <c r="E5782" s="3" t="s">
        <v>7</v>
      </c>
      <c r="F5782" s="5">
        <v>48</v>
      </c>
      <c r="G5782" s="5">
        <v>0</v>
      </c>
      <c r="H5782" s="6">
        <v>2949.96</v>
      </c>
      <c r="I5782" s="22">
        <v>0</v>
      </c>
      <c r="J5782" s="24">
        <f t="shared" si="270"/>
        <v>0</v>
      </c>
      <c r="K5782" s="25">
        <f t="shared" si="272"/>
        <v>1.0000000000000009</v>
      </c>
      <c r="L5782" s="27"/>
      <c r="M5782" s="28"/>
      <c r="N5782" s="28"/>
      <c r="O5782" s="20" t="s">
        <v>7530</v>
      </c>
      <c r="P5782" s="27" t="str">
        <f t="shared" si="271"/>
        <v>vermelho</v>
      </c>
    </row>
    <row r="5783" spans="1:16" ht="25.5">
      <c r="A5783" s="3" t="s">
        <v>4</v>
      </c>
      <c r="B5783" s="3" t="s">
        <v>4603</v>
      </c>
      <c r="C5783" s="4">
        <v>187</v>
      </c>
      <c r="D5783" s="3" t="s">
        <v>96</v>
      </c>
      <c r="E5783" s="3" t="s">
        <v>7</v>
      </c>
      <c r="F5783" s="5">
        <v>90</v>
      </c>
      <c r="G5783" s="5">
        <v>0</v>
      </c>
      <c r="H5783" s="6">
        <v>4898.5200000000004</v>
      </c>
      <c r="I5783" s="22">
        <v>0</v>
      </c>
      <c r="J5783" s="24">
        <f t="shared" si="270"/>
        <v>0</v>
      </c>
      <c r="K5783" s="25">
        <f t="shared" si="272"/>
        <v>1.0000000000000009</v>
      </c>
      <c r="L5783" s="27"/>
      <c r="M5783" s="28"/>
      <c r="N5783" s="28"/>
      <c r="O5783" s="20">
        <v>8763.75</v>
      </c>
      <c r="P5783" s="27" t="str">
        <f t="shared" si="271"/>
        <v>vermelho</v>
      </c>
    </row>
    <row r="5784" spans="1:16" ht="25.5">
      <c r="A5784" s="3" t="s">
        <v>4</v>
      </c>
      <c r="B5784" s="3" t="s">
        <v>4604</v>
      </c>
      <c r="C5784" s="4">
        <v>194</v>
      </c>
      <c r="D5784" s="3" t="s">
        <v>145</v>
      </c>
      <c r="E5784" s="3" t="s">
        <v>16</v>
      </c>
      <c r="F5784" s="5">
        <v>72</v>
      </c>
      <c r="G5784" s="5">
        <v>0</v>
      </c>
      <c r="H5784" s="6">
        <v>3767.28</v>
      </c>
      <c r="I5784" s="22">
        <v>0</v>
      </c>
      <c r="J5784" s="24">
        <f t="shared" si="270"/>
        <v>0</v>
      </c>
      <c r="K5784" s="25">
        <f t="shared" si="272"/>
        <v>1.0000000000000009</v>
      </c>
      <c r="L5784" s="27"/>
      <c r="M5784" s="28"/>
      <c r="N5784" s="28"/>
      <c r="O5784" s="20" t="s">
        <v>7530</v>
      </c>
      <c r="P5784" s="27" t="str">
        <f t="shared" si="271"/>
        <v>vermelho</v>
      </c>
    </row>
    <row r="5785" spans="1:16" ht="25.5">
      <c r="A5785" s="3" t="s">
        <v>4</v>
      </c>
      <c r="B5785" s="3" t="s">
        <v>4605</v>
      </c>
      <c r="C5785" s="4">
        <v>31</v>
      </c>
      <c r="D5785" s="3" t="s">
        <v>194</v>
      </c>
      <c r="E5785" s="3" t="s">
        <v>16</v>
      </c>
      <c r="F5785" s="5">
        <v>228</v>
      </c>
      <c r="G5785" s="5">
        <v>0</v>
      </c>
      <c r="H5785" s="6">
        <v>14547.84</v>
      </c>
      <c r="I5785" s="22">
        <v>0</v>
      </c>
      <c r="J5785" s="24">
        <f t="shared" si="270"/>
        <v>0</v>
      </c>
      <c r="K5785" s="25">
        <f t="shared" si="272"/>
        <v>1.0000000000000009</v>
      </c>
      <c r="L5785" s="27"/>
      <c r="M5785" s="28"/>
      <c r="N5785" s="28"/>
      <c r="O5785" s="20" t="s">
        <v>7530</v>
      </c>
      <c r="P5785" s="27" t="str">
        <f t="shared" si="271"/>
        <v>vermelho</v>
      </c>
    </row>
    <row r="5786" spans="1:16" ht="38.25">
      <c r="A5786" s="3" t="s">
        <v>4</v>
      </c>
      <c r="B5786" s="3" t="s">
        <v>4606</v>
      </c>
      <c r="C5786" s="4">
        <v>53</v>
      </c>
      <c r="D5786" s="3" t="s">
        <v>34</v>
      </c>
      <c r="E5786" s="3" t="s">
        <v>16</v>
      </c>
      <c r="F5786" s="5">
        <v>324</v>
      </c>
      <c r="G5786" s="5">
        <v>0</v>
      </c>
      <c r="H5786" s="6">
        <v>16807.919999999998</v>
      </c>
      <c r="I5786" s="22">
        <v>0</v>
      </c>
      <c r="J5786" s="24">
        <f t="shared" si="270"/>
        <v>0</v>
      </c>
      <c r="K5786" s="25">
        <f t="shared" si="272"/>
        <v>1.0000000000000009</v>
      </c>
      <c r="L5786" s="27"/>
      <c r="M5786" s="28"/>
      <c r="N5786" s="28"/>
      <c r="O5786" s="20" t="s">
        <v>7530</v>
      </c>
      <c r="P5786" s="27" t="str">
        <f t="shared" si="271"/>
        <v>vermelho</v>
      </c>
    </row>
    <row r="5787" spans="1:16" ht="38.25">
      <c r="A5787" s="3" t="s">
        <v>4</v>
      </c>
      <c r="B5787" s="3" t="s">
        <v>4607</v>
      </c>
      <c r="C5787" s="4">
        <v>34</v>
      </c>
      <c r="D5787" s="3" t="s">
        <v>54</v>
      </c>
      <c r="E5787" s="3" t="s">
        <v>49</v>
      </c>
      <c r="F5787" s="5">
        <v>36</v>
      </c>
      <c r="G5787" s="5">
        <v>0</v>
      </c>
      <c r="H5787" s="6">
        <v>2129.9760000000001</v>
      </c>
      <c r="I5787" s="22">
        <v>0</v>
      </c>
      <c r="J5787" s="24">
        <f t="shared" si="270"/>
        <v>0</v>
      </c>
      <c r="K5787" s="25">
        <f t="shared" si="272"/>
        <v>1.0000000000000009</v>
      </c>
      <c r="L5787" s="27"/>
      <c r="M5787" s="28"/>
      <c r="N5787" s="28"/>
      <c r="O5787" s="20">
        <v>17910.419999999998</v>
      </c>
      <c r="P5787" s="27" t="str">
        <f t="shared" si="271"/>
        <v>vermelho</v>
      </c>
    </row>
    <row r="5788" spans="1:16" ht="25.5">
      <c r="A5788" s="3" t="s">
        <v>4</v>
      </c>
      <c r="B5788" s="3" t="s">
        <v>4608</v>
      </c>
      <c r="C5788" s="4">
        <v>296</v>
      </c>
      <c r="D5788" s="3" t="s">
        <v>282</v>
      </c>
      <c r="E5788" s="3" t="s">
        <v>10</v>
      </c>
      <c r="F5788" s="5">
        <v>66</v>
      </c>
      <c r="G5788" s="5">
        <v>0</v>
      </c>
      <c r="H5788" s="6">
        <v>3679.86</v>
      </c>
      <c r="I5788" s="22">
        <v>0</v>
      </c>
      <c r="J5788" s="24">
        <f t="shared" si="270"/>
        <v>0</v>
      </c>
      <c r="K5788" s="25">
        <f t="shared" si="272"/>
        <v>1.0000000000000009</v>
      </c>
      <c r="L5788" s="27"/>
      <c r="M5788" s="28"/>
      <c r="N5788" s="28"/>
      <c r="O5788" s="20" t="s">
        <v>7530</v>
      </c>
      <c r="P5788" s="27" t="str">
        <f t="shared" si="271"/>
        <v>vermelho</v>
      </c>
    </row>
    <row r="5789" spans="1:16" ht="25.5">
      <c r="A5789" s="3" t="s">
        <v>4</v>
      </c>
      <c r="B5789" s="3" t="s">
        <v>4609</v>
      </c>
      <c r="C5789" s="4">
        <v>335</v>
      </c>
      <c r="D5789" s="3" t="s">
        <v>36</v>
      </c>
      <c r="E5789" s="3" t="s">
        <v>7</v>
      </c>
      <c r="F5789" s="5">
        <v>444</v>
      </c>
      <c r="G5789" s="5">
        <v>0</v>
      </c>
      <c r="H5789" s="6">
        <v>25616.04</v>
      </c>
      <c r="I5789" s="22">
        <v>0</v>
      </c>
      <c r="J5789" s="24">
        <f t="shared" si="270"/>
        <v>0</v>
      </c>
      <c r="K5789" s="25">
        <f t="shared" si="272"/>
        <v>1.0000000000000009</v>
      </c>
      <c r="L5789" s="27"/>
      <c r="M5789" s="28"/>
      <c r="N5789" s="28"/>
      <c r="O5789" s="20" t="s">
        <v>7530</v>
      </c>
      <c r="P5789" s="27" t="str">
        <f t="shared" si="271"/>
        <v>vermelho</v>
      </c>
    </row>
    <row r="5790" spans="1:16" ht="38.25">
      <c r="A5790" s="3" t="s">
        <v>4</v>
      </c>
      <c r="B5790" s="3" t="s">
        <v>4610</v>
      </c>
      <c r="C5790" s="4">
        <v>301</v>
      </c>
      <c r="D5790" s="3" t="s">
        <v>519</v>
      </c>
      <c r="E5790" s="3" t="s">
        <v>16</v>
      </c>
      <c r="F5790" s="5">
        <v>276</v>
      </c>
      <c r="G5790" s="5">
        <v>0</v>
      </c>
      <c r="H5790" s="6">
        <v>17412.36</v>
      </c>
      <c r="I5790" s="22">
        <v>0</v>
      </c>
      <c r="J5790" s="24">
        <f t="shared" si="270"/>
        <v>0</v>
      </c>
      <c r="K5790" s="25">
        <f t="shared" si="272"/>
        <v>1.0000000000000009</v>
      </c>
      <c r="L5790" s="27"/>
      <c r="M5790" s="28"/>
      <c r="N5790" s="28"/>
      <c r="O5790" s="20" t="s">
        <v>7530</v>
      </c>
      <c r="P5790" s="27" t="str">
        <f t="shared" si="271"/>
        <v>vermelho</v>
      </c>
    </row>
    <row r="5791" spans="1:16" ht="25.5">
      <c r="A5791" s="3" t="s">
        <v>4</v>
      </c>
      <c r="B5791" s="3" t="s">
        <v>4611</v>
      </c>
      <c r="C5791" s="4">
        <v>337</v>
      </c>
      <c r="D5791" s="3" t="s">
        <v>202</v>
      </c>
      <c r="E5791" s="3" t="s">
        <v>16</v>
      </c>
      <c r="F5791" s="5">
        <v>120</v>
      </c>
      <c r="G5791" s="5">
        <v>0</v>
      </c>
      <c r="H5791" s="6">
        <v>5519.04</v>
      </c>
      <c r="I5791" s="22">
        <v>0</v>
      </c>
      <c r="J5791" s="24">
        <f t="shared" si="270"/>
        <v>0</v>
      </c>
      <c r="K5791" s="25">
        <f t="shared" si="272"/>
        <v>1.0000000000000009</v>
      </c>
      <c r="L5791" s="27"/>
      <c r="M5791" s="28"/>
      <c r="N5791" s="28"/>
      <c r="O5791" s="20" t="s">
        <v>7530</v>
      </c>
      <c r="P5791" s="27" t="str">
        <f t="shared" si="271"/>
        <v>vermelho</v>
      </c>
    </row>
    <row r="5792" spans="1:16" ht="38.25">
      <c r="A5792" s="3" t="s">
        <v>4</v>
      </c>
      <c r="B5792" s="3" t="s">
        <v>4612</v>
      </c>
      <c r="C5792" s="4">
        <v>208</v>
      </c>
      <c r="D5792" s="3" t="s">
        <v>15</v>
      </c>
      <c r="E5792" s="3" t="s">
        <v>16</v>
      </c>
      <c r="F5792" s="5">
        <v>222</v>
      </c>
      <c r="G5792" s="5">
        <v>0</v>
      </c>
      <c r="H5792" s="6">
        <v>12585.57</v>
      </c>
      <c r="I5792" s="22">
        <v>0</v>
      </c>
      <c r="J5792" s="24">
        <f t="shared" si="270"/>
        <v>0</v>
      </c>
      <c r="K5792" s="25">
        <f t="shared" si="272"/>
        <v>1.0000000000000009</v>
      </c>
      <c r="L5792" s="27"/>
      <c r="M5792" s="28"/>
      <c r="N5792" s="28"/>
      <c r="O5792" s="20" t="s">
        <v>7530</v>
      </c>
      <c r="P5792" s="27" t="str">
        <f t="shared" si="271"/>
        <v>vermelho</v>
      </c>
    </row>
    <row r="5793" spans="1:16" ht="38.25">
      <c r="A5793" s="3" t="s">
        <v>4</v>
      </c>
      <c r="B5793" s="3" t="s">
        <v>4613</v>
      </c>
      <c r="C5793" s="4">
        <v>11</v>
      </c>
      <c r="D5793" s="3" t="s">
        <v>61</v>
      </c>
      <c r="E5793" s="3" t="s">
        <v>10</v>
      </c>
      <c r="F5793" s="5">
        <v>276</v>
      </c>
      <c r="G5793" s="5">
        <v>0</v>
      </c>
      <c r="H5793" s="6">
        <v>14121.6</v>
      </c>
      <c r="I5793" s="22">
        <v>0</v>
      </c>
      <c r="J5793" s="24">
        <f t="shared" si="270"/>
        <v>0</v>
      </c>
      <c r="K5793" s="25">
        <f t="shared" si="272"/>
        <v>1.0000000000000009</v>
      </c>
      <c r="L5793" s="27"/>
      <c r="M5793" s="28"/>
      <c r="N5793" s="28"/>
      <c r="O5793" s="20" t="s">
        <v>7530</v>
      </c>
      <c r="P5793" s="27" t="str">
        <f t="shared" si="271"/>
        <v>vermelho</v>
      </c>
    </row>
    <row r="5794" spans="1:16" ht="25.5">
      <c r="A5794" s="3" t="s">
        <v>4</v>
      </c>
      <c r="B5794" s="3" t="s">
        <v>4614</v>
      </c>
      <c r="C5794" s="4">
        <v>61</v>
      </c>
      <c r="D5794" s="3" t="s">
        <v>48</v>
      </c>
      <c r="E5794" s="3" t="s">
        <v>49</v>
      </c>
      <c r="F5794" s="5">
        <v>72</v>
      </c>
      <c r="G5794" s="5">
        <v>0</v>
      </c>
      <c r="H5794" s="6">
        <v>4453.92</v>
      </c>
      <c r="I5794" s="22">
        <v>0</v>
      </c>
      <c r="J5794" s="24">
        <f t="shared" si="270"/>
        <v>0</v>
      </c>
      <c r="K5794" s="25">
        <f t="shared" si="272"/>
        <v>1.0000000000000009</v>
      </c>
      <c r="L5794" s="27"/>
      <c r="M5794" s="28"/>
      <c r="N5794" s="28"/>
      <c r="O5794" s="20" t="s">
        <v>7530</v>
      </c>
      <c r="P5794" s="27" t="str">
        <f t="shared" si="271"/>
        <v>vermelho</v>
      </c>
    </row>
    <row r="5795" spans="1:16" ht="25.5">
      <c r="A5795" s="3" t="s">
        <v>4</v>
      </c>
      <c r="B5795" s="3" t="s">
        <v>4615</v>
      </c>
      <c r="C5795" s="4">
        <v>178</v>
      </c>
      <c r="D5795" s="3" t="s">
        <v>74</v>
      </c>
      <c r="E5795" s="3" t="s">
        <v>7</v>
      </c>
      <c r="F5795" s="5">
        <v>120</v>
      </c>
      <c r="G5795" s="5">
        <v>0</v>
      </c>
      <c r="H5795" s="6">
        <v>6945.96</v>
      </c>
      <c r="I5795" s="22">
        <v>0</v>
      </c>
      <c r="J5795" s="24">
        <f t="shared" si="270"/>
        <v>0</v>
      </c>
      <c r="K5795" s="25">
        <f t="shared" si="272"/>
        <v>1.0000000000000009</v>
      </c>
      <c r="L5795" s="27"/>
      <c r="M5795" s="28"/>
      <c r="N5795" s="28"/>
      <c r="O5795" s="20" t="s">
        <v>7530</v>
      </c>
      <c r="P5795" s="27" t="str">
        <f t="shared" si="271"/>
        <v>vermelho</v>
      </c>
    </row>
    <row r="5796" spans="1:16" ht="25.5">
      <c r="A5796" s="3" t="s">
        <v>4</v>
      </c>
      <c r="B5796" s="3" t="s">
        <v>4616</v>
      </c>
      <c r="C5796" s="4">
        <v>337</v>
      </c>
      <c r="D5796" s="3" t="s">
        <v>202</v>
      </c>
      <c r="E5796" s="3" t="s">
        <v>16</v>
      </c>
      <c r="F5796" s="5">
        <v>168</v>
      </c>
      <c r="G5796" s="5">
        <v>0</v>
      </c>
      <c r="H5796" s="6">
        <v>8002.32</v>
      </c>
      <c r="I5796" s="22">
        <v>0</v>
      </c>
      <c r="J5796" s="24">
        <f t="shared" si="270"/>
        <v>0</v>
      </c>
      <c r="K5796" s="25">
        <f t="shared" si="272"/>
        <v>1.0000000000000009</v>
      </c>
      <c r="L5796" s="27"/>
      <c r="M5796" s="28"/>
      <c r="N5796" s="28"/>
      <c r="O5796" s="20" t="s">
        <v>7530</v>
      </c>
      <c r="P5796" s="27" t="str">
        <f t="shared" si="271"/>
        <v>vermelho</v>
      </c>
    </row>
    <row r="5797" spans="1:16" ht="25.5">
      <c r="A5797" s="3" t="s">
        <v>4</v>
      </c>
      <c r="B5797" s="3" t="s">
        <v>4617</v>
      </c>
      <c r="C5797" s="4">
        <v>317</v>
      </c>
      <c r="D5797" s="3" t="s">
        <v>78</v>
      </c>
      <c r="E5797" s="3" t="s">
        <v>10</v>
      </c>
      <c r="F5797" s="5">
        <v>96</v>
      </c>
      <c r="G5797" s="5">
        <v>0</v>
      </c>
      <c r="H5797" s="6">
        <v>5776.32</v>
      </c>
      <c r="I5797" s="22">
        <v>0</v>
      </c>
      <c r="J5797" s="24">
        <f t="shared" si="270"/>
        <v>0</v>
      </c>
      <c r="K5797" s="25">
        <f t="shared" si="272"/>
        <v>1.0000000000000009</v>
      </c>
      <c r="L5797" s="27"/>
      <c r="M5797" s="28"/>
      <c r="N5797" s="28"/>
      <c r="O5797" s="20" t="s">
        <v>7530</v>
      </c>
      <c r="P5797" s="27" t="str">
        <f t="shared" si="271"/>
        <v>vermelho</v>
      </c>
    </row>
    <row r="5798" spans="1:16" ht="25.5">
      <c r="A5798" s="3" t="s">
        <v>4</v>
      </c>
      <c r="B5798" s="3" t="s">
        <v>4618</v>
      </c>
      <c r="C5798" s="4">
        <v>194</v>
      </c>
      <c r="D5798" s="3" t="s">
        <v>145</v>
      </c>
      <c r="E5798" s="3" t="s">
        <v>16</v>
      </c>
      <c r="F5798" s="5">
        <v>48</v>
      </c>
      <c r="G5798" s="5">
        <v>0</v>
      </c>
      <c r="H5798" s="6">
        <v>2783.52</v>
      </c>
      <c r="I5798" s="22">
        <v>0</v>
      </c>
      <c r="J5798" s="24">
        <f t="shared" si="270"/>
        <v>0</v>
      </c>
      <c r="K5798" s="25">
        <f t="shared" si="272"/>
        <v>1.0000000000000009</v>
      </c>
      <c r="L5798" s="27"/>
      <c r="M5798" s="28"/>
      <c r="N5798" s="28"/>
      <c r="O5798" s="20">
        <v>7056.24</v>
      </c>
      <c r="P5798" s="27" t="str">
        <f t="shared" si="271"/>
        <v>vermelho</v>
      </c>
    </row>
    <row r="5799" spans="1:16" ht="25.5">
      <c r="A5799" s="3" t="s">
        <v>4</v>
      </c>
      <c r="B5799" s="3" t="s">
        <v>4619</v>
      </c>
      <c r="C5799" s="4">
        <v>197</v>
      </c>
      <c r="D5799" s="3" t="s">
        <v>66</v>
      </c>
      <c r="E5799" s="3" t="s">
        <v>41</v>
      </c>
      <c r="F5799" s="5">
        <v>174</v>
      </c>
      <c r="G5799" s="5">
        <v>0</v>
      </c>
      <c r="H5799" s="6">
        <v>9926.85</v>
      </c>
      <c r="I5799" s="22">
        <v>0</v>
      </c>
      <c r="J5799" s="24">
        <f t="shared" si="270"/>
        <v>0</v>
      </c>
      <c r="K5799" s="25">
        <f t="shared" si="272"/>
        <v>1.0000000000000009</v>
      </c>
      <c r="L5799" s="27"/>
      <c r="M5799" s="28"/>
      <c r="N5799" s="28"/>
      <c r="O5799" s="20" t="s">
        <v>7530</v>
      </c>
      <c r="P5799" s="27" t="str">
        <f t="shared" si="271"/>
        <v>vermelho</v>
      </c>
    </row>
    <row r="5800" spans="1:16" ht="25.5">
      <c r="A5800" s="3" t="s">
        <v>4</v>
      </c>
      <c r="B5800" s="3" t="s">
        <v>4620</v>
      </c>
      <c r="C5800" s="4">
        <v>296</v>
      </c>
      <c r="D5800" s="3" t="s">
        <v>282</v>
      </c>
      <c r="E5800" s="3" t="s">
        <v>10</v>
      </c>
      <c r="F5800" s="5">
        <v>150</v>
      </c>
      <c r="G5800" s="5">
        <v>0</v>
      </c>
      <c r="H5800" s="6">
        <v>6869.4</v>
      </c>
      <c r="I5800" s="22">
        <v>0</v>
      </c>
      <c r="J5800" s="24">
        <f t="shared" si="270"/>
        <v>0</v>
      </c>
      <c r="K5800" s="25">
        <f t="shared" si="272"/>
        <v>1.0000000000000009</v>
      </c>
      <c r="L5800" s="27"/>
      <c r="M5800" s="28"/>
      <c r="N5800" s="28"/>
      <c r="O5800" s="20" t="s">
        <v>7530</v>
      </c>
      <c r="P5800" s="27" t="str">
        <f t="shared" si="271"/>
        <v>vermelho</v>
      </c>
    </row>
    <row r="5801" spans="1:16" ht="25.5">
      <c r="A5801" s="3" t="s">
        <v>4</v>
      </c>
      <c r="B5801" s="3" t="s">
        <v>4621</v>
      </c>
      <c r="C5801" s="4">
        <v>208</v>
      </c>
      <c r="D5801" s="3" t="s">
        <v>15</v>
      </c>
      <c r="E5801" s="3" t="s">
        <v>16</v>
      </c>
      <c r="F5801" s="5">
        <v>264</v>
      </c>
      <c r="G5801" s="5">
        <v>0</v>
      </c>
      <c r="H5801" s="6">
        <v>14512.92</v>
      </c>
      <c r="I5801" s="22">
        <v>0</v>
      </c>
      <c r="J5801" s="24">
        <f t="shared" si="270"/>
        <v>0</v>
      </c>
      <c r="K5801" s="25">
        <f t="shared" si="272"/>
        <v>1.0000000000000009</v>
      </c>
      <c r="L5801" s="27"/>
      <c r="M5801" s="28"/>
      <c r="N5801" s="28"/>
      <c r="O5801" s="20">
        <v>3225.24</v>
      </c>
      <c r="P5801" s="27" t="str">
        <f t="shared" si="271"/>
        <v>vermelho</v>
      </c>
    </row>
    <row r="5802" spans="1:16" ht="25.5">
      <c r="A5802" s="3" t="s">
        <v>4</v>
      </c>
      <c r="B5802" s="3" t="s">
        <v>4622</v>
      </c>
      <c r="C5802" s="4">
        <v>320</v>
      </c>
      <c r="D5802" s="3" t="s">
        <v>218</v>
      </c>
      <c r="E5802" s="3" t="s">
        <v>49</v>
      </c>
      <c r="F5802" s="5">
        <v>114</v>
      </c>
      <c r="G5802" s="5">
        <v>0</v>
      </c>
      <c r="H5802" s="6">
        <v>7030.14</v>
      </c>
      <c r="I5802" s="22">
        <v>0</v>
      </c>
      <c r="J5802" s="24">
        <f t="shared" si="270"/>
        <v>0</v>
      </c>
      <c r="K5802" s="25">
        <f t="shared" si="272"/>
        <v>1.0000000000000009</v>
      </c>
      <c r="L5802" s="27"/>
      <c r="M5802" s="28"/>
      <c r="N5802" s="28"/>
      <c r="O5802" s="20" t="s">
        <v>7530</v>
      </c>
      <c r="P5802" s="27" t="str">
        <f t="shared" si="271"/>
        <v>vermelho</v>
      </c>
    </row>
    <row r="5803" spans="1:16" ht="25.5">
      <c r="A5803" s="3" t="s">
        <v>4</v>
      </c>
      <c r="B5803" s="3" t="s">
        <v>4623</v>
      </c>
      <c r="C5803" s="4">
        <v>317</v>
      </c>
      <c r="D5803" s="3" t="s">
        <v>78</v>
      </c>
      <c r="E5803" s="3" t="s">
        <v>10</v>
      </c>
      <c r="F5803" s="5">
        <v>138</v>
      </c>
      <c r="G5803" s="5">
        <v>0</v>
      </c>
      <c r="H5803" s="6">
        <v>7317.9</v>
      </c>
      <c r="I5803" s="22">
        <v>0</v>
      </c>
      <c r="J5803" s="24">
        <f t="shared" si="270"/>
        <v>0</v>
      </c>
      <c r="K5803" s="25">
        <f t="shared" si="272"/>
        <v>1.0000000000000009</v>
      </c>
      <c r="L5803" s="27"/>
      <c r="M5803" s="28"/>
      <c r="N5803" s="28"/>
      <c r="O5803" s="20" t="s">
        <v>7530</v>
      </c>
      <c r="P5803" s="27" t="str">
        <f t="shared" si="271"/>
        <v>vermelho</v>
      </c>
    </row>
    <row r="5804" spans="1:16">
      <c r="A5804" s="3" t="s">
        <v>4</v>
      </c>
      <c r="B5804" s="3" t="s">
        <v>4624</v>
      </c>
      <c r="C5804" s="4">
        <v>232</v>
      </c>
      <c r="D5804" s="3" t="s">
        <v>174</v>
      </c>
      <c r="E5804" s="3" t="s">
        <v>16</v>
      </c>
      <c r="F5804" s="5">
        <v>96</v>
      </c>
      <c r="G5804" s="5">
        <v>0</v>
      </c>
      <c r="H5804" s="6">
        <v>4411.2</v>
      </c>
      <c r="I5804" s="22">
        <v>0</v>
      </c>
      <c r="J5804" s="24">
        <f t="shared" si="270"/>
        <v>0</v>
      </c>
      <c r="K5804" s="25">
        <f t="shared" si="272"/>
        <v>1.0000000000000009</v>
      </c>
      <c r="L5804" s="27"/>
      <c r="M5804" s="28"/>
      <c r="N5804" s="28"/>
      <c r="O5804" s="20" t="s">
        <v>7530</v>
      </c>
      <c r="P5804" s="27" t="str">
        <f t="shared" si="271"/>
        <v>vermelho</v>
      </c>
    </row>
    <row r="5805" spans="1:16" ht="25.5">
      <c r="A5805" s="3" t="s">
        <v>4</v>
      </c>
      <c r="B5805" s="3" t="s">
        <v>4625</v>
      </c>
      <c r="C5805" s="4">
        <v>53</v>
      </c>
      <c r="D5805" s="3" t="s">
        <v>34</v>
      </c>
      <c r="E5805" s="3" t="s">
        <v>16</v>
      </c>
      <c r="F5805" s="5">
        <v>156</v>
      </c>
      <c r="G5805" s="5">
        <v>0</v>
      </c>
      <c r="H5805" s="6">
        <v>9139.14</v>
      </c>
      <c r="I5805" s="22">
        <v>0</v>
      </c>
      <c r="J5805" s="24">
        <f t="shared" si="270"/>
        <v>0</v>
      </c>
      <c r="K5805" s="25">
        <f t="shared" si="272"/>
        <v>1.0000000000000009</v>
      </c>
      <c r="L5805" s="27"/>
      <c r="M5805" s="28"/>
      <c r="N5805" s="28"/>
      <c r="O5805" s="20" t="s">
        <v>7530</v>
      </c>
      <c r="P5805" s="27" t="str">
        <f t="shared" si="271"/>
        <v>vermelho</v>
      </c>
    </row>
    <row r="5806" spans="1:16" ht="38.25">
      <c r="A5806" s="3" t="s">
        <v>4</v>
      </c>
      <c r="B5806" s="3" t="s">
        <v>4626</v>
      </c>
      <c r="C5806" s="4">
        <v>301</v>
      </c>
      <c r="D5806" s="3" t="s">
        <v>519</v>
      </c>
      <c r="E5806" s="3" t="s">
        <v>16</v>
      </c>
      <c r="F5806" s="5">
        <v>300</v>
      </c>
      <c r="G5806" s="5">
        <v>0</v>
      </c>
      <c r="H5806" s="6">
        <v>18384.54</v>
      </c>
      <c r="I5806" s="22">
        <v>0</v>
      </c>
      <c r="J5806" s="24">
        <f t="shared" si="270"/>
        <v>0</v>
      </c>
      <c r="K5806" s="25">
        <f t="shared" si="272"/>
        <v>1.0000000000000009</v>
      </c>
      <c r="L5806" s="27"/>
      <c r="M5806" s="28"/>
      <c r="N5806" s="28"/>
      <c r="O5806" s="20" t="s">
        <v>7530</v>
      </c>
      <c r="P5806" s="27" t="str">
        <f t="shared" si="271"/>
        <v>vermelho</v>
      </c>
    </row>
    <row r="5807" spans="1:16" ht="25.5">
      <c r="A5807" s="3" t="s">
        <v>4</v>
      </c>
      <c r="B5807" s="3" t="s">
        <v>4627</v>
      </c>
      <c r="C5807" s="4">
        <v>93</v>
      </c>
      <c r="D5807" s="3" t="s">
        <v>20</v>
      </c>
      <c r="E5807" s="3" t="s">
        <v>7</v>
      </c>
      <c r="F5807" s="5">
        <v>96</v>
      </c>
      <c r="G5807" s="5">
        <v>0</v>
      </c>
      <c r="H5807" s="6">
        <v>4491.9359999999997</v>
      </c>
      <c r="I5807" s="22">
        <v>0</v>
      </c>
      <c r="J5807" s="24">
        <f t="shared" si="270"/>
        <v>0</v>
      </c>
      <c r="K5807" s="25">
        <f t="shared" si="272"/>
        <v>1.0000000000000009</v>
      </c>
      <c r="L5807" s="27"/>
      <c r="M5807" s="28"/>
      <c r="N5807" s="28"/>
      <c r="O5807" s="20" t="s">
        <v>7530</v>
      </c>
      <c r="P5807" s="27" t="str">
        <f t="shared" si="271"/>
        <v>vermelho</v>
      </c>
    </row>
    <row r="5808" spans="1:16" ht="38.25">
      <c r="A5808" s="3" t="s">
        <v>4</v>
      </c>
      <c r="B5808" s="3" t="s">
        <v>4628</v>
      </c>
      <c r="C5808" s="4">
        <v>11</v>
      </c>
      <c r="D5808" s="3" t="s">
        <v>61</v>
      </c>
      <c r="E5808" s="3" t="s">
        <v>10</v>
      </c>
      <c r="F5808" s="5">
        <v>48</v>
      </c>
      <c r="G5808" s="5">
        <v>0</v>
      </c>
      <c r="H5808" s="6">
        <v>2790.24</v>
      </c>
      <c r="I5808" s="22">
        <v>0</v>
      </c>
      <c r="J5808" s="24">
        <f t="shared" si="270"/>
        <v>0</v>
      </c>
      <c r="K5808" s="25">
        <f t="shared" si="272"/>
        <v>1.0000000000000009</v>
      </c>
      <c r="L5808" s="27"/>
      <c r="M5808" s="28"/>
      <c r="N5808" s="28"/>
      <c r="O5808" s="20" t="s">
        <v>7530</v>
      </c>
      <c r="P5808" s="27" t="str">
        <f t="shared" si="271"/>
        <v>vermelho</v>
      </c>
    </row>
    <row r="5809" spans="1:16" ht="25.5">
      <c r="A5809" s="3" t="s">
        <v>4</v>
      </c>
      <c r="B5809" s="3" t="s">
        <v>4629</v>
      </c>
      <c r="C5809" s="4">
        <v>23</v>
      </c>
      <c r="D5809" s="3" t="s">
        <v>87</v>
      </c>
      <c r="E5809" s="3" t="s">
        <v>7</v>
      </c>
      <c r="F5809" s="5">
        <v>51</v>
      </c>
      <c r="G5809" s="5">
        <v>0</v>
      </c>
      <c r="H5809" s="6">
        <v>3017.49</v>
      </c>
      <c r="I5809" s="22">
        <v>0</v>
      </c>
      <c r="J5809" s="24">
        <f t="shared" si="270"/>
        <v>0</v>
      </c>
      <c r="K5809" s="25">
        <f t="shared" si="272"/>
        <v>1.0000000000000009</v>
      </c>
      <c r="L5809" s="27"/>
      <c r="M5809" s="28"/>
      <c r="N5809" s="28"/>
      <c r="O5809" s="20" t="s">
        <v>7530</v>
      </c>
      <c r="P5809" s="27" t="str">
        <f t="shared" si="271"/>
        <v>vermelho</v>
      </c>
    </row>
    <row r="5810" spans="1:16" ht="38.25">
      <c r="A5810" s="3" t="s">
        <v>4</v>
      </c>
      <c r="B5810" s="3" t="s">
        <v>4630</v>
      </c>
      <c r="C5810" s="4">
        <v>11</v>
      </c>
      <c r="D5810" s="3" t="s">
        <v>61</v>
      </c>
      <c r="E5810" s="3" t="s">
        <v>10</v>
      </c>
      <c r="F5810" s="5">
        <v>492</v>
      </c>
      <c r="G5810" s="5">
        <v>0</v>
      </c>
      <c r="H5810" s="6">
        <v>27549.72</v>
      </c>
      <c r="I5810" s="22">
        <v>0</v>
      </c>
      <c r="J5810" s="24">
        <f t="shared" si="270"/>
        <v>0</v>
      </c>
      <c r="K5810" s="25">
        <f t="shared" si="272"/>
        <v>1.0000000000000009</v>
      </c>
      <c r="L5810" s="27"/>
      <c r="M5810" s="28"/>
      <c r="N5810" s="28"/>
      <c r="O5810" s="20">
        <v>14300.52</v>
      </c>
      <c r="P5810" s="27" t="str">
        <f t="shared" si="271"/>
        <v>vermelho</v>
      </c>
    </row>
    <row r="5811" spans="1:16" ht="38.25">
      <c r="A5811" s="3" t="s">
        <v>4</v>
      </c>
      <c r="B5811" s="3" t="s">
        <v>4631</v>
      </c>
      <c r="C5811" s="4">
        <v>266</v>
      </c>
      <c r="D5811" s="3" t="s">
        <v>80</v>
      </c>
      <c r="E5811" s="3" t="s">
        <v>10</v>
      </c>
      <c r="F5811" s="5">
        <v>300</v>
      </c>
      <c r="G5811" s="5">
        <v>0</v>
      </c>
      <c r="H5811" s="6">
        <v>17149.32</v>
      </c>
      <c r="I5811" s="22">
        <v>0</v>
      </c>
      <c r="J5811" s="24">
        <f t="shared" si="270"/>
        <v>0</v>
      </c>
      <c r="K5811" s="25">
        <f t="shared" si="272"/>
        <v>1.0000000000000009</v>
      </c>
      <c r="L5811" s="27"/>
      <c r="M5811" s="28"/>
      <c r="N5811" s="28"/>
      <c r="O5811" s="20" t="s">
        <v>7530</v>
      </c>
      <c r="P5811" s="27" t="str">
        <f t="shared" si="271"/>
        <v>vermelho</v>
      </c>
    </row>
    <row r="5812" spans="1:16" ht="25.5">
      <c r="A5812" s="3" t="s">
        <v>4</v>
      </c>
      <c r="B5812" s="3" t="s">
        <v>4632</v>
      </c>
      <c r="C5812" s="4">
        <v>317</v>
      </c>
      <c r="D5812" s="3" t="s">
        <v>78</v>
      </c>
      <c r="E5812" s="3" t="s">
        <v>10</v>
      </c>
      <c r="F5812" s="5">
        <v>264</v>
      </c>
      <c r="G5812" s="5">
        <v>0</v>
      </c>
      <c r="H5812" s="6">
        <v>14059.56</v>
      </c>
      <c r="I5812" s="22">
        <v>0</v>
      </c>
      <c r="J5812" s="24">
        <f t="shared" si="270"/>
        <v>0</v>
      </c>
      <c r="K5812" s="25">
        <f t="shared" si="272"/>
        <v>1.0000000000000009</v>
      </c>
      <c r="L5812" s="27"/>
      <c r="M5812" s="28"/>
      <c r="N5812" s="28"/>
      <c r="O5812" s="20" t="s">
        <v>7530</v>
      </c>
      <c r="P5812" s="27" t="str">
        <f t="shared" si="271"/>
        <v>vermelho</v>
      </c>
    </row>
    <row r="5813" spans="1:16" ht="38.25">
      <c r="A5813" s="3" t="s">
        <v>4</v>
      </c>
      <c r="B5813" s="3" t="s">
        <v>4633</v>
      </c>
      <c r="C5813" s="4">
        <v>371</v>
      </c>
      <c r="D5813" s="3" t="s">
        <v>82</v>
      </c>
      <c r="E5813" s="3" t="s">
        <v>49</v>
      </c>
      <c r="F5813" s="5">
        <v>831</v>
      </c>
      <c r="G5813" s="5">
        <v>0</v>
      </c>
      <c r="H5813" s="6">
        <v>33142.103999999999</v>
      </c>
      <c r="I5813" s="22">
        <v>0</v>
      </c>
      <c r="J5813" s="24">
        <f t="shared" si="270"/>
        <v>0</v>
      </c>
      <c r="K5813" s="25">
        <f t="shared" si="272"/>
        <v>1.0000000000000009</v>
      </c>
      <c r="L5813" s="27"/>
      <c r="M5813" s="28"/>
      <c r="N5813" s="28"/>
      <c r="O5813" s="20" t="s">
        <v>7530</v>
      </c>
      <c r="P5813" s="27" t="str">
        <f t="shared" si="271"/>
        <v>vermelho</v>
      </c>
    </row>
    <row r="5814" spans="1:16" ht="25.5">
      <c r="A5814" s="3" t="s">
        <v>4</v>
      </c>
      <c r="B5814" s="3" t="s">
        <v>4634</v>
      </c>
      <c r="C5814" s="4">
        <v>74</v>
      </c>
      <c r="D5814" s="3" t="s">
        <v>6</v>
      </c>
      <c r="E5814" s="3" t="s">
        <v>7</v>
      </c>
      <c r="F5814" s="5">
        <v>624</v>
      </c>
      <c r="G5814" s="5">
        <v>0</v>
      </c>
      <c r="H5814" s="6">
        <v>36792.870000000003</v>
      </c>
      <c r="I5814" s="22">
        <v>0</v>
      </c>
      <c r="J5814" s="24">
        <f t="shared" si="270"/>
        <v>0</v>
      </c>
      <c r="K5814" s="25">
        <f t="shared" si="272"/>
        <v>1.0000000000000009</v>
      </c>
      <c r="L5814" s="27"/>
      <c r="M5814" s="28"/>
      <c r="N5814" s="28"/>
      <c r="O5814" s="20" t="s">
        <v>7530</v>
      </c>
      <c r="P5814" s="27" t="str">
        <f t="shared" si="271"/>
        <v>vermelho</v>
      </c>
    </row>
    <row r="5815" spans="1:16" ht="25.5">
      <c r="A5815" s="3" t="s">
        <v>4</v>
      </c>
      <c r="B5815" s="3" t="s">
        <v>4635</v>
      </c>
      <c r="C5815" s="4">
        <v>74</v>
      </c>
      <c r="D5815" s="3" t="s">
        <v>6</v>
      </c>
      <c r="E5815" s="3" t="s">
        <v>7</v>
      </c>
      <c r="F5815" s="5">
        <v>132</v>
      </c>
      <c r="G5815" s="5">
        <v>0</v>
      </c>
      <c r="H5815" s="6">
        <v>5034.96</v>
      </c>
      <c r="I5815" s="22">
        <v>0</v>
      </c>
      <c r="J5815" s="24">
        <f t="shared" si="270"/>
        <v>0</v>
      </c>
      <c r="K5815" s="25">
        <f t="shared" si="272"/>
        <v>1.0000000000000009</v>
      </c>
      <c r="L5815" s="27"/>
      <c r="M5815" s="28"/>
      <c r="N5815" s="28"/>
      <c r="O5815" s="20" t="s">
        <v>7530</v>
      </c>
      <c r="P5815" s="27" t="str">
        <f t="shared" si="271"/>
        <v>vermelho</v>
      </c>
    </row>
    <row r="5816" spans="1:16" ht="38.25">
      <c r="A5816" s="3" t="s">
        <v>4</v>
      </c>
      <c r="B5816" s="3" t="s">
        <v>4636</v>
      </c>
      <c r="C5816" s="4">
        <v>371</v>
      </c>
      <c r="D5816" s="3" t="s">
        <v>82</v>
      </c>
      <c r="E5816" s="3" t="s">
        <v>49</v>
      </c>
      <c r="F5816" s="5">
        <v>435</v>
      </c>
      <c r="G5816" s="5">
        <v>0</v>
      </c>
      <c r="H5816" s="6">
        <v>22742.25</v>
      </c>
      <c r="I5816" s="22">
        <v>0</v>
      </c>
      <c r="J5816" s="24">
        <f t="shared" si="270"/>
        <v>0</v>
      </c>
      <c r="K5816" s="25">
        <f t="shared" si="272"/>
        <v>1.0000000000000009</v>
      </c>
      <c r="L5816" s="27"/>
      <c r="M5816" s="28"/>
      <c r="N5816" s="28"/>
      <c r="O5816" s="20" t="s">
        <v>7530</v>
      </c>
      <c r="P5816" s="27" t="str">
        <f t="shared" si="271"/>
        <v>vermelho</v>
      </c>
    </row>
    <row r="5817" spans="1:16" ht="25.5">
      <c r="A5817" s="3" t="s">
        <v>4</v>
      </c>
      <c r="B5817" s="3" t="s">
        <v>4637</v>
      </c>
      <c r="C5817" s="4">
        <v>53</v>
      </c>
      <c r="D5817" s="3" t="s">
        <v>34</v>
      </c>
      <c r="E5817" s="3" t="s">
        <v>16</v>
      </c>
      <c r="F5817" s="5">
        <v>144</v>
      </c>
      <c r="G5817" s="5">
        <v>0</v>
      </c>
      <c r="H5817" s="6">
        <v>8799.1200000000008</v>
      </c>
      <c r="I5817" s="22">
        <v>0</v>
      </c>
      <c r="J5817" s="24">
        <f t="shared" si="270"/>
        <v>0</v>
      </c>
      <c r="K5817" s="25">
        <f t="shared" si="272"/>
        <v>1.0000000000000009</v>
      </c>
      <c r="L5817" s="27"/>
      <c r="M5817" s="28"/>
      <c r="N5817" s="28"/>
      <c r="O5817" s="20" t="s">
        <v>7530</v>
      </c>
      <c r="P5817" s="27" t="str">
        <f t="shared" si="271"/>
        <v>vermelho</v>
      </c>
    </row>
    <row r="5818" spans="1:16" ht="25.5">
      <c r="A5818" s="3" t="s">
        <v>4</v>
      </c>
      <c r="B5818" s="3" t="s">
        <v>4638</v>
      </c>
      <c r="C5818" s="4">
        <v>240</v>
      </c>
      <c r="D5818" s="3" t="s">
        <v>69</v>
      </c>
      <c r="E5818" s="3" t="s">
        <v>16</v>
      </c>
      <c r="F5818" s="5">
        <v>63</v>
      </c>
      <c r="G5818" s="5">
        <v>0</v>
      </c>
      <c r="H5818" s="6">
        <v>3221.55</v>
      </c>
      <c r="I5818" s="22">
        <v>0</v>
      </c>
      <c r="J5818" s="24">
        <f t="shared" si="270"/>
        <v>0</v>
      </c>
      <c r="K5818" s="25">
        <f t="shared" si="272"/>
        <v>1.0000000000000009</v>
      </c>
      <c r="L5818" s="27"/>
      <c r="M5818" s="28"/>
      <c r="N5818" s="28"/>
      <c r="O5818" s="20" t="s">
        <v>7530</v>
      </c>
      <c r="P5818" s="27" t="str">
        <f t="shared" si="271"/>
        <v>vermelho</v>
      </c>
    </row>
    <row r="5819" spans="1:16" ht="25.5">
      <c r="A5819" s="3" t="s">
        <v>4</v>
      </c>
      <c r="B5819" s="3" t="s">
        <v>4639</v>
      </c>
      <c r="C5819" s="4">
        <v>334</v>
      </c>
      <c r="D5819" s="3" t="s">
        <v>531</v>
      </c>
      <c r="E5819" s="3" t="s">
        <v>7</v>
      </c>
      <c r="F5819" s="5">
        <v>156</v>
      </c>
      <c r="G5819" s="5">
        <v>0</v>
      </c>
      <c r="H5819" s="6">
        <v>8615.64</v>
      </c>
      <c r="I5819" s="22">
        <v>0</v>
      </c>
      <c r="J5819" s="24">
        <f t="shared" si="270"/>
        <v>0</v>
      </c>
      <c r="K5819" s="25">
        <f t="shared" si="272"/>
        <v>1.0000000000000009</v>
      </c>
      <c r="L5819" s="27"/>
      <c r="M5819" s="28"/>
      <c r="N5819" s="28"/>
      <c r="O5819" s="20" t="s">
        <v>7530</v>
      </c>
      <c r="P5819" s="27" t="str">
        <f t="shared" si="271"/>
        <v>vermelho</v>
      </c>
    </row>
    <row r="5820" spans="1:16" ht="25.5">
      <c r="A5820" s="3" t="s">
        <v>4</v>
      </c>
      <c r="B5820" s="3" t="s">
        <v>4640</v>
      </c>
      <c r="C5820" s="4">
        <v>321</v>
      </c>
      <c r="D5820" s="3" t="s">
        <v>136</v>
      </c>
      <c r="E5820" s="3" t="s">
        <v>41</v>
      </c>
      <c r="F5820" s="5">
        <v>138</v>
      </c>
      <c r="G5820" s="5">
        <v>0</v>
      </c>
      <c r="H5820" s="6">
        <v>8098.62</v>
      </c>
      <c r="I5820" s="22">
        <v>0</v>
      </c>
      <c r="J5820" s="24">
        <f t="shared" si="270"/>
        <v>0</v>
      </c>
      <c r="K5820" s="25">
        <f t="shared" si="272"/>
        <v>1.0000000000000009</v>
      </c>
      <c r="L5820" s="27"/>
      <c r="M5820" s="28"/>
      <c r="N5820" s="28"/>
      <c r="O5820" s="20" t="s">
        <v>7530</v>
      </c>
      <c r="P5820" s="27" t="str">
        <f t="shared" si="271"/>
        <v>vermelho</v>
      </c>
    </row>
    <row r="5821" spans="1:16" ht="25.5">
      <c r="A5821" s="3" t="s">
        <v>4</v>
      </c>
      <c r="B5821" s="3" t="s">
        <v>4641</v>
      </c>
      <c r="C5821" s="4">
        <v>217</v>
      </c>
      <c r="D5821" s="3" t="s">
        <v>91</v>
      </c>
      <c r="E5821" s="3" t="s">
        <v>16</v>
      </c>
      <c r="F5821" s="5">
        <v>72</v>
      </c>
      <c r="G5821" s="5">
        <v>0</v>
      </c>
      <c r="H5821" s="6">
        <v>5041.62</v>
      </c>
      <c r="I5821" s="22">
        <v>0</v>
      </c>
      <c r="J5821" s="24">
        <f t="shared" si="270"/>
        <v>0</v>
      </c>
      <c r="K5821" s="25">
        <f t="shared" si="272"/>
        <v>1.0000000000000009</v>
      </c>
      <c r="L5821" s="27"/>
      <c r="M5821" s="28"/>
      <c r="N5821" s="28"/>
      <c r="O5821" s="20" t="s">
        <v>7530</v>
      </c>
      <c r="P5821" s="27" t="str">
        <f t="shared" si="271"/>
        <v>vermelho</v>
      </c>
    </row>
    <row r="5822" spans="1:16" ht="25.5">
      <c r="A5822" s="3" t="s">
        <v>4</v>
      </c>
      <c r="B5822" s="3" t="s">
        <v>4642</v>
      </c>
      <c r="C5822" s="4">
        <v>39</v>
      </c>
      <c r="D5822" s="3" t="s">
        <v>26</v>
      </c>
      <c r="E5822" s="3" t="s">
        <v>13</v>
      </c>
      <c r="F5822" s="5">
        <v>102</v>
      </c>
      <c r="G5822" s="5">
        <v>0</v>
      </c>
      <c r="H5822" s="6">
        <v>6611.28</v>
      </c>
      <c r="I5822" s="22">
        <v>0</v>
      </c>
      <c r="J5822" s="24">
        <f t="shared" si="270"/>
        <v>0</v>
      </c>
      <c r="K5822" s="25">
        <f t="shared" si="272"/>
        <v>1.0000000000000009</v>
      </c>
      <c r="L5822" s="27"/>
      <c r="M5822" s="28"/>
      <c r="N5822" s="28"/>
      <c r="O5822" s="20" t="s">
        <v>7530</v>
      </c>
      <c r="P5822" s="27" t="str">
        <f t="shared" si="271"/>
        <v>vermelho</v>
      </c>
    </row>
    <row r="5823" spans="1:16" ht="25.5">
      <c r="A5823" s="3" t="s">
        <v>4</v>
      </c>
      <c r="B5823" s="3" t="s">
        <v>4643</v>
      </c>
      <c r="C5823" s="4">
        <v>264</v>
      </c>
      <c r="D5823" s="3" t="s">
        <v>40</v>
      </c>
      <c r="E5823" s="3" t="s">
        <v>10</v>
      </c>
      <c r="F5823" s="5">
        <v>114</v>
      </c>
      <c r="G5823" s="5">
        <v>0</v>
      </c>
      <c r="H5823" s="6">
        <v>6325.26</v>
      </c>
      <c r="I5823" s="22">
        <v>0</v>
      </c>
      <c r="J5823" s="24">
        <f t="shared" si="270"/>
        <v>0</v>
      </c>
      <c r="K5823" s="25">
        <f t="shared" si="272"/>
        <v>1.0000000000000009</v>
      </c>
      <c r="L5823" s="27"/>
      <c r="M5823" s="28"/>
      <c r="N5823" s="28"/>
      <c r="O5823" s="20" t="s">
        <v>7530</v>
      </c>
      <c r="P5823" s="27" t="str">
        <f t="shared" si="271"/>
        <v>vermelho</v>
      </c>
    </row>
    <row r="5824" spans="1:16" ht="25.5">
      <c r="A5824" s="3" t="s">
        <v>4</v>
      </c>
      <c r="B5824" s="3" t="s">
        <v>4644</v>
      </c>
      <c r="C5824" s="4">
        <v>264</v>
      </c>
      <c r="D5824" s="3" t="s">
        <v>40</v>
      </c>
      <c r="E5824" s="3" t="s">
        <v>41</v>
      </c>
      <c r="F5824" s="5">
        <v>24</v>
      </c>
      <c r="G5824" s="5">
        <v>0</v>
      </c>
      <c r="H5824" s="6">
        <v>1446.12</v>
      </c>
      <c r="I5824" s="22">
        <v>0</v>
      </c>
      <c r="J5824" s="24">
        <f t="shared" si="270"/>
        <v>0</v>
      </c>
      <c r="K5824" s="25">
        <f t="shared" si="272"/>
        <v>1.0000000000000009</v>
      </c>
      <c r="L5824" s="27"/>
      <c r="M5824" s="28"/>
      <c r="N5824" s="28"/>
      <c r="O5824" s="20" t="s">
        <v>7530</v>
      </c>
      <c r="P5824" s="27" t="str">
        <f t="shared" si="271"/>
        <v>vermelho</v>
      </c>
    </row>
    <row r="5825" spans="1:16" ht="25.5">
      <c r="A5825" s="3" t="s">
        <v>4</v>
      </c>
      <c r="B5825" s="3" t="s">
        <v>4645</v>
      </c>
      <c r="C5825" s="4">
        <v>327</v>
      </c>
      <c r="D5825" s="3" t="s">
        <v>100</v>
      </c>
      <c r="E5825" s="3" t="s">
        <v>7</v>
      </c>
      <c r="F5825" s="5">
        <v>612</v>
      </c>
      <c r="G5825" s="5">
        <v>0</v>
      </c>
      <c r="H5825" s="6">
        <v>35295.120000000003</v>
      </c>
      <c r="I5825" s="22">
        <v>0</v>
      </c>
      <c r="J5825" s="24">
        <f t="shared" si="270"/>
        <v>0</v>
      </c>
      <c r="K5825" s="25">
        <f t="shared" si="272"/>
        <v>1.0000000000000009</v>
      </c>
      <c r="L5825" s="27"/>
      <c r="M5825" s="28"/>
      <c r="N5825" s="28"/>
      <c r="O5825" s="20" t="s">
        <v>7530</v>
      </c>
      <c r="P5825" s="27" t="str">
        <f t="shared" si="271"/>
        <v>vermelho</v>
      </c>
    </row>
    <row r="5826" spans="1:16" ht="25.5">
      <c r="A5826" s="3" t="s">
        <v>4</v>
      </c>
      <c r="B5826" s="3" t="s">
        <v>4646</v>
      </c>
      <c r="C5826" s="4">
        <v>320</v>
      </c>
      <c r="D5826" s="3" t="s">
        <v>218</v>
      </c>
      <c r="E5826" s="3" t="s">
        <v>49</v>
      </c>
      <c r="F5826" s="5">
        <v>66</v>
      </c>
      <c r="G5826" s="5">
        <v>0</v>
      </c>
      <c r="H5826" s="6">
        <v>3854.34</v>
      </c>
      <c r="I5826" s="22">
        <v>0</v>
      </c>
      <c r="J5826" s="24">
        <f t="shared" si="270"/>
        <v>0</v>
      </c>
      <c r="K5826" s="25">
        <f t="shared" si="272"/>
        <v>1.0000000000000009</v>
      </c>
      <c r="L5826" s="27"/>
      <c r="M5826" s="28"/>
      <c r="N5826" s="28"/>
      <c r="O5826" s="20" t="s">
        <v>7530</v>
      </c>
      <c r="P5826" s="27" t="str">
        <f t="shared" si="271"/>
        <v>vermelho</v>
      </c>
    </row>
    <row r="5827" spans="1:16" ht="25.5">
      <c r="A5827" s="3" t="s">
        <v>4</v>
      </c>
      <c r="B5827" s="3" t="s">
        <v>4647</v>
      </c>
      <c r="C5827" s="4">
        <v>296</v>
      </c>
      <c r="D5827" s="3" t="s">
        <v>282</v>
      </c>
      <c r="E5827" s="3" t="s">
        <v>10</v>
      </c>
      <c r="F5827" s="5">
        <v>0</v>
      </c>
      <c r="G5827" s="5">
        <v>0</v>
      </c>
      <c r="H5827" s="6">
        <v>0</v>
      </c>
      <c r="I5827" s="22">
        <v>0</v>
      </c>
      <c r="J5827" s="24">
        <f t="shared" ref="J5827:J5890" si="273">I5827/$I$6364</f>
        <v>0</v>
      </c>
      <c r="K5827" s="25">
        <f t="shared" si="272"/>
        <v>1.0000000000000009</v>
      </c>
      <c r="L5827" s="27"/>
      <c r="M5827" s="28"/>
      <c r="N5827" s="28"/>
      <c r="O5827" s="20" t="s">
        <v>7530</v>
      </c>
      <c r="P5827" s="27" t="str">
        <f t="shared" ref="P5827:P5890" si="274">IF(O5827&lt;=0,"vermelho",IFERROR(IF(O5827/I5827&lt;=0.5098,"amarelo",IF(O5827/I5827&lt;1,"laranja","verde")),"vermelho"))</f>
        <v>vermelho</v>
      </c>
    </row>
    <row r="5828" spans="1:16" ht="25.5">
      <c r="A5828" s="3" t="s">
        <v>4</v>
      </c>
      <c r="B5828" s="3" t="s">
        <v>4648</v>
      </c>
      <c r="C5828" s="4">
        <v>297</v>
      </c>
      <c r="D5828" s="3" t="s">
        <v>115</v>
      </c>
      <c r="E5828" s="3" t="s">
        <v>41</v>
      </c>
      <c r="F5828" s="5">
        <v>0</v>
      </c>
      <c r="G5828" s="5">
        <v>0</v>
      </c>
      <c r="H5828" s="6">
        <v>0</v>
      </c>
      <c r="I5828" s="22">
        <v>0</v>
      </c>
      <c r="J5828" s="24">
        <f t="shared" si="273"/>
        <v>0</v>
      </c>
      <c r="K5828" s="25">
        <f t="shared" ref="K5828:K5891" si="275">J5828+K5827</f>
        <v>1.0000000000000009</v>
      </c>
      <c r="L5828" s="27"/>
      <c r="M5828" s="28"/>
      <c r="N5828" s="28"/>
      <c r="O5828" s="20" t="s">
        <v>7530</v>
      </c>
      <c r="P5828" s="27" t="str">
        <f t="shared" si="274"/>
        <v>vermelho</v>
      </c>
    </row>
    <row r="5829" spans="1:16" ht="25.5">
      <c r="A5829" s="3" t="s">
        <v>4</v>
      </c>
      <c r="B5829" s="3" t="s">
        <v>4649</v>
      </c>
      <c r="C5829" s="4">
        <v>178</v>
      </c>
      <c r="D5829" s="3" t="s">
        <v>74</v>
      </c>
      <c r="E5829" s="3" t="s">
        <v>7</v>
      </c>
      <c r="F5829" s="5">
        <v>48</v>
      </c>
      <c r="G5829" s="5">
        <v>0</v>
      </c>
      <c r="H5829" s="6">
        <v>3451.68</v>
      </c>
      <c r="I5829" s="22">
        <v>0</v>
      </c>
      <c r="J5829" s="24">
        <f t="shared" si="273"/>
        <v>0</v>
      </c>
      <c r="K5829" s="25">
        <f t="shared" si="275"/>
        <v>1.0000000000000009</v>
      </c>
      <c r="L5829" s="27"/>
      <c r="M5829" s="28"/>
      <c r="N5829" s="28"/>
      <c r="O5829" s="20" t="s">
        <v>7530</v>
      </c>
      <c r="P5829" s="27" t="str">
        <f t="shared" si="274"/>
        <v>vermelho</v>
      </c>
    </row>
    <row r="5830" spans="1:16" ht="51">
      <c r="A5830" s="3" t="s">
        <v>4</v>
      </c>
      <c r="B5830" s="3" t="s">
        <v>4650</v>
      </c>
      <c r="C5830" s="4">
        <v>282</v>
      </c>
      <c r="D5830" s="3" t="s">
        <v>12</v>
      </c>
      <c r="E5830" s="3" t="s">
        <v>13</v>
      </c>
      <c r="F5830" s="5">
        <v>48</v>
      </c>
      <c r="G5830" s="5">
        <v>0</v>
      </c>
      <c r="H5830" s="6">
        <v>3600.12</v>
      </c>
      <c r="I5830" s="22">
        <v>0</v>
      </c>
      <c r="J5830" s="24">
        <f t="shared" si="273"/>
        <v>0</v>
      </c>
      <c r="K5830" s="25">
        <f t="shared" si="275"/>
        <v>1.0000000000000009</v>
      </c>
      <c r="L5830" s="27"/>
      <c r="M5830" s="28"/>
      <c r="N5830" s="28"/>
      <c r="O5830" s="20" t="s">
        <v>7530</v>
      </c>
      <c r="P5830" s="27" t="str">
        <f t="shared" si="274"/>
        <v>vermelho</v>
      </c>
    </row>
    <row r="5831" spans="1:16" ht="25.5">
      <c r="A5831" s="3" t="s">
        <v>4</v>
      </c>
      <c r="B5831" s="3" t="s">
        <v>4651</v>
      </c>
      <c r="C5831" s="4">
        <v>297</v>
      </c>
      <c r="D5831" s="3" t="s">
        <v>115</v>
      </c>
      <c r="E5831" s="3" t="s">
        <v>41</v>
      </c>
      <c r="F5831" s="5">
        <v>501</v>
      </c>
      <c r="G5831" s="5">
        <v>0</v>
      </c>
      <c r="H5831" s="6">
        <v>27004.719000000001</v>
      </c>
      <c r="I5831" s="22">
        <v>0</v>
      </c>
      <c r="J5831" s="24">
        <f t="shared" si="273"/>
        <v>0</v>
      </c>
      <c r="K5831" s="25">
        <f t="shared" si="275"/>
        <v>1.0000000000000009</v>
      </c>
      <c r="L5831" s="27"/>
      <c r="M5831" s="28"/>
      <c r="N5831" s="28"/>
      <c r="O5831" s="20" t="s">
        <v>7530</v>
      </c>
      <c r="P5831" s="27" t="str">
        <f t="shared" si="274"/>
        <v>vermelho</v>
      </c>
    </row>
    <row r="5832" spans="1:16" ht="25.5">
      <c r="A5832" s="3" t="s">
        <v>4</v>
      </c>
      <c r="B5832" s="3" t="s">
        <v>4652</v>
      </c>
      <c r="C5832" s="4">
        <v>327</v>
      </c>
      <c r="D5832" s="3" t="s">
        <v>100</v>
      </c>
      <c r="E5832" s="3" t="s">
        <v>7</v>
      </c>
      <c r="F5832" s="5">
        <v>54</v>
      </c>
      <c r="G5832" s="5">
        <v>0</v>
      </c>
      <c r="H5832" s="6">
        <v>3077.46</v>
      </c>
      <c r="I5832" s="22">
        <v>0</v>
      </c>
      <c r="J5832" s="24">
        <f t="shared" si="273"/>
        <v>0</v>
      </c>
      <c r="K5832" s="25">
        <f t="shared" si="275"/>
        <v>1.0000000000000009</v>
      </c>
      <c r="L5832" s="27"/>
      <c r="M5832" s="28"/>
      <c r="N5832" s="28"/>
      <c r="O5832" s="20" t="s">
        <v>7530</v>
      </c>
      <c r="P5832" s="27" t="str">
        <f t="shared" si="274"/>
        <v>vermelho</v>
      </c>
    </row>
    <row r="5833" spans="1:16" ht="25.5">
      <c r="A5833" s="3" t="s">
        <v>4</v>
      </c>
      <c r="B5833" s="3" t="s">
        <v>4653</v>
      </c>
      <c r="C5833" s="4">
        <v>31</v>
      </c>
      <c r="D5833" s="3" t="s">
        <v>194</v>
      </c>
      <c r="E5833" s="3" t="s">
        <v>16</v>
      </c>
      <c r="F5833" s="5">
        <v>72</v>
      </c>
      <c r="G5833" s="5">
        <v>0</v>
      </c>
      <c r="H5833" s="6">
        <v>3142.32</v>
      </c>
      <c r="I5833" s="22">
        <v>0</v>
      </c>
      <c r="J5833" s="24">
        <f t="shared" si="273"/>
        <v>0</v>
      </c>
      <c r="K5833" s="25">
        <f t="shared" si="275"/>
        <v>1.0000000000000009</v>
      </c>
      <c r="L5833" s="27"/>
      <c r="M5833" s="28"/>
      <c r="N5833" s="28"/>
      <c r="O5833" s="20" t="s">
        <v>7530</v>
      </c>
      <c r="P5833" s="27" t="str">
        <f t="shared" si="274"/>
        <v>vermelho</v>
      </c>
    </row>
    <row r="5834" spans="1:16" ht="38.25">
      <c r="A5834" s="3" t="s">
        <v>4</v>
      </c>
      <c r="B5834" s="3" t="s">
        <v>4654</v>
      </c>
      <c r="C5834" s="4">
        <v>317</v>
      </c>
      <c r="D5834" s="3" t="s">
        <v>78</v>
      </c>
      <c r="E5834" s="3" t="s">
        <v>10</v>
      </c>
      <c r="F5834" s="5">
        <v>183</v>
      </c>
      <c r="G5834" s="5">
        <v>0</v>
      </c>
      <c r="H5834" s="6">
        <v>14780.28</v>
      </c>
      <c r="I5834" s="22">
        <v>0</v>
      </c>
      <c r="J5834" s="24">
        <f t="shared" si="273"/>
        <v>0</v>
      </c>
      <c r="K5834" s="25">
        <f t="shared" si="275"/>
        <v>1.0000000000000009</v>
      </c>
      <c r="L5834" s="27"/>
      <c r="M5834" s="28"/>
      <c r="N5834" s="28"/>
      <c r="O5834" s="20" t="s">
        <v>7530</v>
      </c>
      <c r="P5834" s="27" t="str">
        <f t="shared" si="274"/>
        <v>vermelho</v>
      </c>
    </row>
    <row r="5835" spans="1:16" ht="25.5">
      <c r="A5835" s="3" t="s">
        <v>4</v>
      </c>
      <c r="B5835" s="3" t="s">
        <v>4655</v>
      </c>
      <c r="C5835" s="4">
        <v>266</v>
      </c>
      <c r="D5835" s="3" t="s">
        <v>80</v>
      </c>
      <c r="E5835" s="3" t="s">
        <v>7</v>
      </c>
      <c r="F5835" s="5">
        <v>244</v>
      </c>
      <c r="G5835" s="5">
        <v>0</v>
      </c>
      <c r="H5835" s="6">
        <v>14261.2</v>
      </c>
      <c r="I5835" s="22">
        <v>0</v>
      </c>
      <c r="J5835" s="24">
        <f t="shared" si="273"/>
        <v>0</v>
      </c>
      <c r="K5835" s="25">
        <f t="shared" si="275"/>
        <v>1.0000000000000009</v>
      </c>
      <c r="L5835" s="27"/>
      <c r="M5835" s="28"/>
      <c r="N5835" s="28"/>
      <c r="O5835" s="20">
        <v>7472.5569999999998</v>
      </c>
      <c r="P5835" s="27" t="str">
        <f t="shared" si="274"/>
        <v>vermelho</v>
      </c>
    </row>
    <row r="5836" spans="1:16" ht="25.5">
      <c r="A5836" s="3" t="s">
        <v>4</v>
      </c>
      <c r="B5836" s="3" t="s">
        <v>4655</v>
      </c>
      <c r="C5836" s="4">
        <v>266</v>
      </c>
      <c r="D5836" s="3" t="s">
        <v>80</v>
      </c>
      <c r="E5836" s="3" t="s">
        <v>10</v>
      </c>
      <c r="F5836" s="5">
        <v>225</v>
      </c>
      <c r="G5836" s="5">
        <v>0</v>
      </c>
      <c r="H5836" s="6">
        <v>12338.55</v>
      </c>
      <c r="I5836" s="22">
        <v>0</v>
      </c>
      <c r="J5836" s="24">
        <f t="shared" si="273"/>
        <v>0</v>
      </c>
      <c r="K5836" s="25">
        <f t="shared" si="275"/>
        <v>1.0000000000000009</v>
      </c>
      <c r="L5836" s="27"/>
      <c r="M5836" s="28"/>
      <c r="N5836" s="28"/>
      <c r="O5836" s="20">
        <v>7472.5569999999998</v>
      </c>
      <c r="P5836" s="27" t="str">
        <f t="shared" si="274"/>
        <v>vermelho</v>
      </c>
    </row>
    <row r="5837" spans="1:16" ht="25.5">
      <c r="A5837" s="3" t="s">
        <v>4</v>
      </c>
      <c r="B5837" s="3" t="s">
        <v>4656</v>
      </c>
      <c r="C5837" s="4">
        <v>19</v>
      </c>
      <c r="D5837" s="3" t="s">
        <v>72</v>
      </c>
      <c r="E5837" s="3" t="s">
        <v>41</v>
      </c>
      <c r="F5837" s="5">
        <v>108</v>
      </c>
      <c r="G5837" s="5">
        <v>0</v>
      </c>
      <c r="H5837" s="6">
        <v>6111.8280000000004</v>
      </c>
      <c r="I5837" s="22">
        <v>0</v>
      </c>
      <c r="J5837" s="24">
        <f t="shared" si="273"/>
        <v>0</v>
      </c>
      <c r="K5837" s="25">
        <f t="shared" si="275"/>
        <v>1.0000000000000009</v>
      </c>
      <c r="L5837" s="27"/>
      <c r="M5837" s="28"/>
      <c r="N5837" s="28"/>
      <c r="O5837" s="20" t="s">
        <v>7530</v>
      </c>
      <c r="P5837" s="27" t="str">
        <f t="shared" si="274"/>
        <v>vermelho</v>
      </c>
    </row>
    <row r="5838" spans="1:16" ht="25.5">
      <c r="A5838" s="3" t="s">
        <v>4</v>
      </c>
      <c r="B5838" s="3" t="s">
        <v>4657</v>
      </c>
      <c r="C5838" s="4">
        <v>296</v>
      </c>
      <c r="D5838" s="3" t="s">
        <v>282</v>
      </c>
      <c r="E5838" s="3" t="s">
        <v>49</v>
      </c>
      <c r="F5838" s="5">
        <v>60</v>
      </c>
      <c r="G5838" s="5">
        <v>0</v>
      </c>
      <c r="H5838" s="6">
        <v>3450.84</v>
      </c>
      <c r="I5838" s="22">
        <v>0</v>
      </c>
      <c r="J5838" s="24">
        <f t="shared" si="273"/>
        <v>0</v>
      </c>
      <c r="K5838" s="25">
        <f t="shared" si="275"/>
        <v>1.0000000000000009</v>
      </c>
      <c r="L5838" s="27"/>
      <c r="M5838" s="28"/>
      <c r="N5838" s="28"/>
      <c r="O5838" s="20" t="s">
        <v>7530</v>
      </c>
      <c r="P5838" s="27" t="str">
        <f t="shared" si="274"/>
        <v>vermelho</v>
      </c>
    </row>
    <row r="5839" spans="1:16" ht="25.5">
      <c r="A5839" s="3" t="s">
        <v>4</v>
      </c>
      <c r="B5839" s="3" t="s">
        <v>4658</v>
      </c>
      <c r="C5839" s="4">
        <v>315</v>
      </c>
      <c r="D5839" s="3" t="s">
        <v>63</v>
      </c>
      <c r="E5839" s="3" t="s">
        <v>7</v>
      </c>
      <c r="F5839" s="5">
        <v>408</v>
      </c>
      <c r="G5839" s="5">
        <v>0</v>
      </c>
      <c r="H5839" s="6">
        <v>21409.919999999998</v>
      </c>
      <c r="I5839" s="22">
        <v>0</v>
      </c>
      <c r="J5839" s="24">
        <f t="shared" si="273"/>
        <v>0</v>
      </c>
      <c r="K5839" s="25">
        <f t="shared" si="275"/>
        <v>1.0000000000000009</v>
      </c>
      <c r="L5839" s="27"/>
      <c r="M5839" s="28"/>
      <c r="N5839" s="28"/>
      <c r="O5839" s="20" t="s">
        <v>7530</v>
      </c>
      <c r="P5839" s="27" t="str">
        <f t="shared" si="274"/>
        <v>vermelho</v>
      </c>
    </row>
    <row r="5840" spans="1:16" ht="25.5">
      <c r="A5840" s="3" t="s">
        <v>4</v>
      </c>
      <c r="B5840" s="3" t="s">
        <v>4659</v>
      </c>
      <c r="C5840" s="4">
        <v>194</v>
      </c>
      <c r="D5840" s="3" t="s">
        <v>145</v>
      </c>
      <c r="E5840" s="3" t="s">
        <v>16</v>
      </c>
      <c r="F5840" s="5">
        <v>462</v>
      </c>
      <c r="G5840" s="5">
        <v>0</v>
      </c>
      <c r="H5840" s="6">
        <v>27128.28</v>
      </c>
      <c r="I5840" s="22">
        <v>0</v>
      </c>
      <c r="J5840" s="24">
        <f t="shared" si="273"/>
        <v>0</v>
      </c>
      <c r="K5840" s="25">
        <f t="shared" si="275"/>
        <v>1.0000000000000009</v>
      </c>
      <c r="L5840" s="27"/>
      <c r="M5840" s="28"/>
      <c r="N5840" s="28"/>
      <c r="O5840" s="20" t="s">
        <v>7530</v>
      </c>
      <c r="P5840" s="27" t="str">
        <f t="shared" si="274"/>
        <v>vermelho</v>
      </c>
    </row>
    <row r="5841" spans="1:16" ht="38.25">
      <c r="A5841" s="3" t="s">
        <v>4</v>
      </c>
      <c r="B5841" s="3" t="s">
        <v>4660</v>
      </c>
      <c r="C5841" s="4">
        <v>371</v>
      </c>
      <c r="D5841" s="3" t="s">
        <v>82</v>
      </c>
      <c r="E5841" s="3" t="s">
        <v>49</v>
      </c>
      <c r="F5841" s="5">
        <v>300</v>
      </c>
      <c r="G5841" s="5">
        <v>0</v>
      </c>
      <c r="H5841" s="6">
        <v>15894.714</v>
      </c>
      <c r="I5841" s="22">
        <v>0</v>
      </c>
      <c r="J5841" s="24">
        <f t="shared" si="273"/>
        <v>0</v>
      </c>
      <c r="K5841" s="25">
        <f t="shared" si="275"/>
        <v>1.0000000000000009</v>
      </c>
      <c r="L5841" s="27"/>
      <c r="M5841" s="28"/>
      <c r="N5841" s="28"/>
      <c r="O5841" s="20" t="s">
        <v>7530</v>
      </c>
      <c r="P5841" s="27" t="str">
        <f t="shared" si="274"/>
        <v>vermelho</v>
      </c>
    </row>
    <row r="5842" spans="1:16" ht="38.25">
      <c r="A5842" s="3" t="s">
        <v>4</v>
      </c>
      <c r="B5842" s="3" t="s">
        <v>4661</v>
      </c>
      <c r="C5842" s="4">
        <v>34</v>
      </c>
      <c r="D5842" s="3" t="s">
        <v>54</v>
      </c>
      <c r="E5842" s="3" t="s">
        <v>49</v>
      </c>
      <c r="F5842" s="5">
        <v>162</v>
      </c>
      <c r="G5842" s="5">
        <v>0</v>
      </c>
      <c r="H5842" s="6">
        <v>8475.48</v>
      </c>
      <c r="I5842" s="22">
        <v>0</v>
      </c>
      <c r="J5842" s="24">
        <f t="shared" si="273"/>
        <v>0</v>
      </c>
      <c r="K5842" s="25">
        <f t="shared" si="275"/>
        <v>1.0000000000000009</v>
      </c>
      <c r="L5842" s="27"/>
      <c r="M5842" s="28"/>
      <c r="N5842" s="28"/>
      <c r="O5842" s="20" t="s">
        <v>7530</v>
      </c>
      <c r="P5842" s="27" t="str">
        <f t="shared" si="274"/>
        <v>vermelho</v>
      </c>
    </row>
    <row r="5843" spans="1:16" ht="25.5">
      <c r="A5843" s="3" t="s">
        <v>4</v>
      </c>
      <c r="B5843" s="3" t="s">
        <v>4662</v>
      </c>
      <c r="C5843" s="4">
        <v>328</v>
      </c>
      <c r="D5843" s="3" t="s">
        <v>215</v>
      </c>
      <c r="E5843" s="3" t="s">
        <v>41</v>
      </c>
      <c r="F5843" s="5">
        <v>204</v>
      </c>
      <c r="G5843" s="5">
        <v>0</v>
      </c>
      <c r="H5843" s="6">
        <v>10151.892</v>
      </c>
      <c r="I5843" s="22">
        <v>0</v>
      </c>
      <c r="J5843" s="24">
        <f t="shared" si="273"/>
        <v>0</v>
      </c>
      <c r="K5843" s="25">
        <f t="shared" si="275"/>
        <v>1.0000000000000009</v>
      </c>
      <c r="L5843" s="27"/>
      <c r="M5843" s="28"/>
      <c r="N5843" s="28"/>
      <c r="O5843" s="20" t="s">
        <v>7530</v>
      </c>
      <c r="P5843" s="27" t="str">
        <f t="shared" si="274"/>
        <v>vermelho</v>
      </c>
    </row>
    <row r="5844" spans="1:16" ht="25.5">
      <c r="A5844" s="3" t="s">
        <v>4</v>
      </c>
      <c r="B5844" s="3" t="s">
        <v>4663</v>
      </c>
      <c r="C5844" s="4">
        <v>53</v>
      </c>
      <c r="D5844" s="3" t="s">
        <v>34</v>
      </c>
      <c r="E5844" s="3" t="s">
        <v>16</v>
      </c>
      <c r="F5844" s="5">
        <v>708</v>
      </c>
      <c r="G5844" s="5">
        <v>0</v>
      </c>
      <c r="H5844" s="6">
        <v>37060.68</v>
      </c>
      <c r="I5844" s="22">
        <v>0</v>
      </c>
      <c r="J5844" s="24">
        <f t="shared" si="273"/>
        <v>0</v>
      </c>
      <c r="K5844" s="25">
        <f t="shared" si="275"/>
        <v>1.0000000000000009</v>
      </c>
      <c r="L5844" s="27"/>
      <c r="M5844" s="28"/>
      <c r="N5844" s="28"/>
      <c r="O5844" s="20" t="s">
        <v>7530</v>
      </c>
      <c r="P5844" s="27" t="str">
        <f t="shared" si="274"/>
        <v>vermelho</v>
      </c>
    </row>
    <row r="5845" spans="1:16" ht="38.25">
      <c r="A5845" s="3" t="s">
        <v>4</v>
      </c>
      <c r="B5845" s="3" t="s">
        <v>4664</v>
      </c>
      <c r="C5845" s="4">
        <v>292</v>
      </c>
      <c r="D5845" s="3" t="s">
        <v>57</v>
      </c>
      <c r="E5845" s="3" t="s">
        <v>49</v>
      </c>
      <c r="F5845" s="5">
        <v>102</v>
      </c>
      <c r="G5845" s="5">
        <v>0</v>
      </c>
      <c r="H5845" s="6">
        <v>6229.08</v>
      </c>
      <c r="I5845" s="22">
        <v>0</v>
      </c>
      <c r="J5845" s="24">
        <f t="shared" si="273"/>
        <v>0</v>
      </c>
      <c r="K5845" s="25">
        <f t="shared" si="275"/>
        <v>1.0000000000000009</v>
      </c>
      <c r="L5845" s="27"/>
      <c r="M5845" s="28"/>
      <c r="N5845" s="28"/>
      <c r="O5845" s="20" t="s">
        <v>7530</v>
      </c>
      <c r="P5845" s="27" t="str">
        <f t="shared" si="274"/>
        <v>vermelho</v>
      </c>
    </row>
    <row r="5846" spans="1:16" ht="25.5">
      <c r="A5846" s="3" t="s">
        <v>4</v>
      </c>
      <c r="B5846" s="3" t="s">
        <v>4665</v>
      </c>
      <c r="C5846" s="4">
        <v>93</v>
      </c>
      <c r="D5846" s="3" t="s">
        <v>20</v>
      </c>
      <c r="E5846" s="3" t="s">
        <v>7</v>
      </c>
      <c r="F5846" s="5">
        <v>252</v>
      </c>
      <c r="G5846" s="5">
        <v>0</v>
      </c>
      <c r="H5846" s="6">
        <v>13747.44</v>
      </c>
      <c r="I5846" s="22">
        <v>0</v>
      </c>
      <c r="J5846" s="24">
        <f t="shared" si="273"/>
        <v>0</v>
      </c>
      <c r="K5846" s="25">
        <f t="shared" si="275"/>
        <v>1.0000000000000009</v>
      </c>
      <c r="L5846" s="27"/>
      <c r="M5846" s="28"/>
      <c r="N5846" s="28"/>
      <c r="O5846" s="20" t="s">
        <v>7530</v>
      </c>
      <c r="P5846" s="27" t="str">
        <f t="shared" si="274"/>
        <v>vermelho</v>
      </c>
    </row>
    <row r="5847" spans="1:16" ht="25.5">
      <c r="A5847" s="3" t="s">
        <v>4</v>
      </c>
      <c r="B5847" s="3" t="s">
        <v>4666</v>
      </c>
      <c r="C5847" s="4">
        <v>194</v>
      </c>
      <c r="D5847" s="3" t="s">
        <v>145</v>
      </c>
      <c r="E5847" s="3" t="s">
        <v>16</v>
      </c>
      <c r="F5847" s="5">
        <v>462</v>
      </c>
      <c r="G5847" s="5">
        <v>0</v>
      </c>
      <c r="H5847" s="6">
        <v>25582.38</v>
      </c>
      <c r="I5847" s="22">
        <v>0</v>
      </c>
      <c r="J5847" s="24">
        <f t="shared" si="273"/>
        <v>0</v>
      </c>
      <c r="K5847" s="25">
        <f t="shared" si="275"/>
        <v>1.0000000000000009</v>
      </c>
      <c r="L5847" s="27"/>
      <c r="M5847" s="28"/>
      <c r="N5847" s="28"/>
      <c r="O5847" s="20">
        <v>10101.84</v>
      </c>
      <c r="P5847" s="27" t="str">
        <f t="shared" si="274"/>
        <v>vermelho</v>
      </c>
    </row>
    <row r="5848" spans="1:16" ht="25.5">
      <c r="A5848" s="3" t="s">
        <v>4</v>
      </c>
      <c r="B5848" s="3" t="s">
        <v>4667</v>
      </c>
      <c r="C5848" s="4">
        <v>320</v>
      </c>
      <c r="D5848" s="3" t="s">
        <v>218</v>
      </c>
      <c r="E5848" s="3" t="s">
        <v>49</v>
      </c>
      <c r="F5848" s="5">
        <v>144</v>
      </c>
      <c r="G5848" s="5">
        <v>0</v>
      </c>
      <c r="H5848" s="6">
        <v>7718.4</v>
      </c>
      <c r="I5848" s="22">
        <v>0</v>
      </c>
      <c r="J5848" s="24">
        <f t="shared" si="273"/>
        <v>0</v>
      </c>
      <c r="K5848" s="25">
        <f t="shared" si="275"/>
        <v>1.0000000000000009</v>
      </c>
      <c r="L5848" s="27"/>
      <c r="M5848" s="28"/>
      <c r="N5848" s="28"/>
      <c r="O5848" s="20" t="s">
        <v>7530</v>
      </c>
      <c r="P5848" s="27" t="str">
        <f t="shared" si="274"/>
        <v>vermelho</v>
      </c>
    </row>
    <row r="5849" spans="1:16" ht="25.5">
      <c r="A5849" s="3" t="s">
        <v>4</v>
      </c>
      <c r="B5849" s="3" t="s">
        <v>4668</v>
      </c>
      <c r="C5849" s="4">
        <v>23</v>
      </c>
      <c r="D5849" s="3" t="s">
        <v>87</v>
      </c>
      <c r="E5849" s="3" t="s">
        <v>7</v>
      </c>
      <c r="F5849" s="5">
        <v>204</v>
      </c>
      <c r="G5849" s="5">
        <v>0</v>
      </c>
      <c r="H5849" s="6">
        <v>12265.44</v>
      </c>
      <c r="I5849" s="22">
        <v>0</v>
      </c>
      <c r="J5849" s="24">
        <f t="shared" si="273"/>
        <v>0</v>
      </c>
      <c r="K5849" s="25">
        <f t="shared" si="275"/>
        <v>1.0000000000000009</v>
      </c>
      <c r="L5849" s="27"/>
      <c r="M5849" s="28"/>
      <c r="N5849" s="28"/>
      <c r="O5849" s="20" t="s">
        <v>7530</v>
      </c>
      <c r="P5849" s="27" t="str">
        <f t="shared" si="274"/>
        <v>vermelho</v>
      </c>
    </row>
    <row r="5850" spans="1:16" ht="25.5">
      <c r="A5850" s="3" t="s">
        <v>4</v>
      </c>
      <c r="B5850" s="3" t="s">
        <v>4669</v>
      </c>
      <c r="C5850" s="4">
        <v>266</v>
      </c>
      <c r="D5850" s="3" t="s">
        <v>80</v>
      </c>
      <c r="E5850" s="3" t="s">
        <v>10</v>
      </c>
      <c r="F5850" s="5">
        <v>243</v>
      </c>
      <c r="G5850" s="5">
        <v>0</v>
      </c>
      <c r="H5850" s="6">
        <v>16150.5</v>
      </c>
      <c r="I5850" s="22">
        <v>0</v>
      </c>
      <c r="J5850" s="24">
        <f t="shared" si="273"/>
        <v>0</v>
      </c>
      <c r="K5850" s="25">
        <f t="shared" si="275"/>
        <v>1.0000000000000009</v>
      </c>
      <c r="L5850" s="27"/>
      <c r="M5850" s="28"/>
      <c r="N5850" s="28"/>
      <c r="O5850" s="20" t="s">
        <v>7530</v>
      </c>
      <c r="P5850" s="27" t="str">
        <f t="shared" si="274"/>
        <v>vermelho</v>
      </c>
    </row>
    <row r="5851" spans="1:16">
      <c r="A5851" s="3" t="s">
        <v>4</v>
      </c>
      <c r="B5851" s="3" t="s">
        <v>4670</v>
      </c>
      <c r="C5851" s="4">
        <v>15</v>
      </c>
      <c r="D5851" s="3" t="s">
        <v>18</v>
      </c>
      <c r="E5851" s="3" t="s">
        <v>16</v>
      </c>
      <c r="F5851" s="5">
        <v>519</v>
      </c>
      <c r="G5851" s="5">
        <v>0</v>
      </c>
      <c r="H5851" s="6">
        <v>29957.16</v>
      </c>
      <c r="I5851" s="22">
        <v>0</v>
      </c>
      <c r="J5851" s="24">
        <f t="shared" si="273"/>
        <v>0</v>
      </c>
      <c r="K5851" s="25">
        <f t="shared" si="275"/>
        <v>1.0000000000000009</v>
      </c>
      <c r="L5851" s="27"/>
      <c r="M5851" s="28"/>
      <c r="N5851" s="28"/>
      <c r="O5851" s="20" t="s">
        <v>7530</v>
      </c>
      <c r="P5851" s="27" t="str">
        <f t="shared" si="274"/>
        <v>vermelho</v>
      </c>
    </row>
    <row r="5852" spans="1:16" ht="38.25">
      <c r="A5852" s="3" t="s">
        <v>4</v>
      </c>
      <c r="B5852" s="3" t="s">
        <v>4671</v>
      </c>
      <c r="C5852" s="4">
        <v>45</v>
      </c>
      <c r="D5852" s="3" t="s">
        <v>23</v>
      </c>
      <c r="E5852" s="3" t="s">
        <v>7</v>
      </c>
      <c r="F5852" s="5">
        <v>258</v>
      </c>
      <c r="G5852" s="5">
        <v>0</v>
      </c>
      <c r="H5852" s="6">
        <v>12101.19</v>
      </c>
      <c r="I5852" s="22">
        <v>0</v>
      </c>
      <c r="J5852" s="24">
        <f t="shared" si="273"/>
        <v>0</v>
      </c>
      <c r="K5852" s="25">
        <f t="shared" si="275"/>
        <v>1.0000000000000009</v>
      </c>
      <c r="L5852" s="27"/>
      <c r="M5852" s="28"/>
      <c r="N5852" s="28"/>
      <c r="O5852" s="20" t="s">
        <v>7530</v>
      </c>
      <c r="P5852" s="27" t="str">
        <f t="shared" si="274"/>
        <v>vermelho</v>
      </c>
    </row>
    <row r="5853" spans="1:16" ht="25.5">
      <c r="A5853" s="3" t="s">
        <v>4</v>
      </c>
      <c r="B5853" s="3" t="s">
        <v>4672</v>
      </c>
      <c r="C5853" s="4">
        <v>19</v>
      </c>
      <c r="D5853" s="3" t="s">
        <v>72</v>
      </c>
      <c r="E5853" s="3" t="s">
        <v>41</v>
      </c>
      <c r="F5853" s="5">
        <v>216</v>
      </c>
      <c r="G5853" s="5">
        <v>0</v>
      </c>
      <c r="H5853" s="6">
        <v>12900.6</v>
      </c>
      <c r="I5853" s="22">
        <v>0</v>
      </c>
      <c r="J5853" s="24">
        <f t="shared" si="273"/>
        <v>0</v>
      </c>
      <c r="K5853" s="25">
        <f t="shared" si="275"/>
        <v>1.0000000000000009</v>
      </c>
      <c r="L5853" s="27"/>
      <c r="M5853" s="28"/>
      <c r="N5853" s="28"/>
      <c r="O5853" s="20" t="s">
        <v>7530</v>
      </c>
      <c r="P5853" s="27" t="str">
        <f t="shared" si="274"/>
        <v>vermelho</v>
      </c>
    </row>
    <row r="5854" spans="1:16" ht="25.5">
      <c r="A5854" s="3" t="s">
        <v>4</v>
      </c>
      <c r="B5854" s="3" t="s">
        <v>4673</v>
      </c>
      <c r="C5854" s="4">
        <v>273</v>
      </c>
      <c r="D5854" s="3" t="s">
        <v>149</v>
      </c>
      <c r="E5854" s="3" t="s">
        <v>16</v>
      </c>
      <c r="F5854" s="5">
        <v>78</v>
      </c>
      <c r="G5854" s="5">
        <v>0</v>
      </c>
      <c r="H5854" s="6">
        <v>4983.42</v>
      </c>
      <c r="I5854" s="22">
        <v>0</v>
      </c>
      <c r="J5854" s="24">
        <f t="shared" si="273"/>
        <v>0</v>
      </c>
      <c r="K5854" s="25">
        <f t="shared" si="275"/>
        <v>1.0000000000000009</v>
      </c>
      <c r="L5854" s="27"/>
      <c r="M5854" s="28"/>
      <c r="N5854" s="28"/>
      <c r="O5854" s="20" t="s">
        <v>7530</v>
      </c>
      <c r="P5854" s="27" t="str">
        <f t="shared" si="274"/>
        <v>vermelho</v>
      </c>
    </row>
    <row r="5855" spans="1:16" ht="25.5">
      <c r="A5855" s="3" t="s">
        <v>4</v>
      </c>
      <c r="B5855" s="3" t="s">
        <v>4674</v>
      </c>
      <c r="C5855" s="4">
        <v>266</v>
      </c>
      <c r="D5855" s="3" t="s">
        <v>80</v>
      </c>
      <c r="E5855" s="3" t="s">
        <v>10</v>
      </c>
      <c r="F5855" s="5">
        <v>546</v>
      </c>
      <c r="G5855" s="5">
        <v>0</v>
      </c>
      <c r="H5855" s="6">
        <v>31137.31</v>
      </c>
      <c r="I5855" s="22">
        <v>0</v>
      </c>
      <c r="J5855" s="24">
        <f t="shared" si="273"/>
        <v>0</v>
      </c>
      <c r="K5855" s="25">
        <f t="shared" si="275"/>
        <v>1.0000000000000009</v>
      </c>
      <c r="L5855" s="27"/>
      <c r="M5855" s="28"/>
      <c r="N5855" s="28"/>
      <c r="O5855" s="20" t="s">
        <v>7530</v>
      </c>
      <c r="P5855" s="27" t="str">
        <f t="shared" si="274"/>
        <v>vermelho</v>
      </c>
    </row>
    <row r="5856" spans="1:16" ht="25.5">
      <c r="A5856" s="3" t="s">
        <v>4</v>
      </c>
      <c r="B5856" s="3" t="s">
        <v>4675</v>
      </c>
      <c r="C5856" s="4">
        <v>208</v>
      </c>
      <c r="D5856" s="3" t="s">
        <v>15</v>
      </c>
      <c r="E5856" s="3" t="s">
        <v>16</v>
      </c>
      <c r="F5856" s="5">
        <v>60</v>
      </c>
      <c r="G5856" s="5">
        <v>0</v>
      </c>
      <c r="H5856" s="6">
        <v>3011.4</v>
      </c>
      <c r="I5856" s="22">
        <v>0</v>
      </c>
      <c r="J5856" s="24">
        <f t="shared" si="273"/>
        <v>0</v>
      </c>
      <c r="K5856" s="25">
        <f t="shared" si="275"/>
        <v>1.0000000000000009</v>
      </c>
      <c r="L5856" s="27"/>
      <c r="M5856" s="28"/>
      <c r="N5856" s="28"/>
      <c r="O5856" s="20" t="s">
        <v>7530</v>
      </c>
      <c r="P5856" s="27" t="str">
        <f t="shared" si="274"/>
        <v>vermelho</v>
      </c>
    </row>
    <row r="5857" spans="1:16" ht="38.25">
      <c r="A5857" s="3" t="s">
        <v>4</v>
      </c>
      <c r="B5857" s="3" t="s">
        <v>4676</v>
      </c>
      <c r="C5857" s="4">
        <v>371</v>
      </c>
      <c r="D5857" s="3" t="s">
        <v>82</v>
      </c>
      <c r="E5857" s="3" t="s">
        <v>49</v>
      </c>
      <c r="F5857" s="5">
        <v>0</v>
      </c>
      <c r="G5857" s="5">
        <v>0</v>
      </c>
      <c r="H5857" s="6">
        <v>0</v>
      </c>
      <c r="I5857" s="22">
        <v>0</v>
      </c>
      <c r="J5857" s="24">
        <f t="shared" si="273"/>
        <v>0</v>
      </c>
      <c r="K5857" s="25">
        <f t="shared" si="275"/>
        <v>1.0000000000000009</v>
      </c>
      <c r="L5857" s="27"/>
      <c r="M5857" s="28"/>
      <c r="N5857" s="28"/>
      <c r="O5857" s="20" t="s">
        <v>7530</v>
      </c>
      <c r="P5857" s="27" t="str">
        <f t="shared" si="274"/>
        <v>vermelho</v>
      </c>
    </row>
    <row r="5858" spans="1:16" ht="25.5">
      <c r="A5858" s="3" t="s">
        <v>4</v>
      </c>
      <c r="B5858" s="3" t="s">
        <v>4677</v>
      </c>
      <c r="C5858" s="4">
        <v>266</v>
      </c>
      <c r="D5858" s="3" t="s">
        <v>80</v>
      </c>
      <c r="E5858" s="3" t="s">
        <v>10</v>
      </c>
      <c r="F5858" s="5">
        <v>159</v>
      </c>
      <c r="G5858" s="5">
        <v>0</v>
      </c>
      <c r="H5858" s="6">
        <v>8492.9699999999993</v>
      </c>
      <c r="I5858" s="22">
        <v>0</v>
      </c>
      <c r="J5858" s="24">
        <f t="shared" si="273"/>
        <v>0</v>
      </c>
      <c r="K5858" s="25">
        <f t="shared" si="275"/>
        <v>1.0000000000000009</v>
      </c>
      <c r="L5858" s="27"/>
      <c r="M5858" s="28"/>
      <c r="N5858" s="28"/>
      <c r="O5858" s="20" t="s">
        <v>7530</v>
      </c>
      <c r="P5858" s="27" t="str">
        <f t="shared" si="274"/>
        <v>vermelho</v>
      </c>
    </row>
    <row r="5859" spans="1:16" ht="25.5">
      <c r="A5859" s="3" t="s">
        <v>4</v>
      </c>
      <c r="B5859" s="3" t="s">
        <v>4678</v>
      </c>
      <c r="C5859" s="4">
        <v>23</v>
      </c>
      <c r="D5859" s="3" t="s">
        <v>87</v>
      </c>
      <c r="E5859" s="3" t="s">
        <v>7</v>
      </c>
      <c r="F5859" s="5">
        <v>42</v>
      </c>
      <c r="G5859" s="5">
        <v>0</v>
      </c>
      <c r="H5859" s="6">
        <v>2735.58</v>
      </c>
      <c r="I5859" s="22">
        <v>0</v>
      </c>
      <c r="J5859" s="24">
        <f t="shared" si="273"/>
        <v>0</v>
      </c>
      <c r="K5859" s="25">
        <f t="shared" si="275"/>
        <v>1.0000000000000009</v>
      </c>
      <c r="L5859" s="27"/>
      <c r="M5859" s="28"/>
      <c r="N5859" s="28"/>
      <c r="O5859" s="20" t="s">
        <v>7530</v>
      </c>
      <c r="P5859" s="27" t="str">
        <f t="shared" si="274"/>
        <v>vermelho</v>
      </c>
    </row>
    <row r="5860" spans="1:16" ht="38.25">
      <c r="A5860" s="3" t="s">
        <v>4</v>
      </c>
      <c r="B5860" s="3" t="s">
        <v>4679</v>
      </c>
      <c r="C5860" s="4">
        <v>292</v>
      </c>
      <c r="D5860" s="3" t="s">
        <v>57</v>
      </c>
      <c r="E5860" s="3" t="s">
        <v>49</v>
      </c>
      <c r="F5860" s="5">
        <v>102</v>
      </c>
      <c r="G5860" s="5">
        <v>0</v>
      </c>
      <c r="H5860" s="6">
        <v>5685.66</v>
      </c>
      <c r="I5860" s="22">
        <v>0</v>
      </c>
      <c r="J5860" s="24">
        <f t="shared" si="273"/>
        <v>0</v>
      </c>
      <c r="K5860" s="25">
        <f t="shared" si="275"/>
        <v>1.0000000000000009</v>
      </c>
      <c r="L5860" s="27"/>
      <c r="M5860" s="28"/>
      <c r="N5860" s="28"/>
      <c r="O5860" s="20" t="s">
        <v>7530</v>
      </c>
      <c r="P5860" s="27" t="str">
        <f t="shared" si="274"/>
        <v>vermelho</v>
      </c>
    </row>
    <row r="5861" spans="1:16" ht="25.5">
      <c r="A5861" s="3" t="s">
        <v>4</v>
      </c>
      <c r="B5861" s="3" t="s">
        <v>4680</v>
      </c>
      <c r="C5861" s="4">
        <v>337</v>
      </c>
      <c r="D5861" s="3" t="s">
        <v>202</v>
      </c>
      <c r="E5861" s="3" t="s">
        <v>16</v>
      </c>
      <c r="F5861" s="5">
        <v>84</v>
      </c>
      <c r="G5861" s="5">
        <v>0</v>
      </c>
      <c r="H5861" s="6">
        <v>3647.16</v>
      </c>
      <c r="I5861" s="22">
        <v>0</v>
      </c>
      <c r="J5861" s="24">
        <f t="shared" si="273"/>
        <v>0</v>
      </c>
      <c r="K5861" s="25">
        <f t="shared" si="275"/>
        <v>1.0000000000000009</v>
      </c>
      <c r="L5861" s="27"/>
      <c r="M5861" s="28"/>
      <c r="N5861" s="28"/>
      <c r="O5861" s="20" t="s">
        <v>7530</v>
      </c>
      <c r="P5861" s="27" t="str">
        <f t="shared" si="274"/>
        <v>vermelho</v>
      </c>
    </row>
    <row r="5862" spans="1:16">
      <c r="A5862" s="3" t="s">
        <v>4</v>
      </c>
      <c r="B5862" s="3" t="s">
        <v>4681</v>
      </c>
      <c r="C5862" s="4">
        <v>232</v>
      </c>
      <c r="D5862" s="3" t="s">
        <v>174</v>
      </c>
      <c r="E5862" s="3" t="s">
        <v>16</v>
      </c>
      <c r="F5862" s="5">
        <v>228</v>
      </c>
      <c r="G5862" s="5">
        <v>0</v>
      </c>
      <c r="H5862" s="6">
        <v>13588.8</v>
      </c>
      <c r="I5862" s="22">
        <v>0</v>
      </c>
      <c r="J5862" s="24">
        <f t="shared" si="273"/>
        <v>0</v>
      </c>
      <c r="K5862" s="25">
        <f t="shared" si="275"/>
        <v>1.0000000000000009</v>
      </c>
      <c r="L5862" s="27"/>
      <c r="M5862" s="28"/>
      <c r="N5862" s="28"/>
      <c r="O5862" s="20" t="s">
        <v>7530</v>
      </c>
      <c r="P5862" s="27" t="str">
        <f t="shared" si="274"/>
        <v>vermelho</v>
      </c>
    </row>
    <row r="5863" spans="1:16" ht="25.5">
      <c r="A5863" s="3" t="s">
        <v>4</v>
      </c>
      <c r="B5863" s="3" t="s">
        <v>4682</v>
      </c>
      <c r="C5863" s="4">
        <v>337</v>
      </c>
      <c r="D5863" s="3" t="s">
        <v>202</v>
      </c>
      <c r="E5863" s="3" t="s">
        <v>16</v>
      </c>
      <c r="F5863" s="5">
        <v>69</v>
      </c>
      <c r="G5863" s="5">
        <v>0</v>
      </c>
      <c r="H5863" s="6">
        <v>3418.62</v>
      </c>
      <c r="I5863" s="22">
        <v>0</v>
      </c>
      <c r="J5863" s="24">
        <f t="shared" si="273"/>
        <v>0</v>
      </c>
      <c r="K5863" s="25">
        <f t="shared" si="275"/>
        <v>1.0000000000000009</v>
      </c>
      <c r="L5863" s="27"/>
      <c r="M5863" s="28"/>
      <c r="N5863" s="28"/>
      <c r="O5863" s="20" t="s">
        <v>7530</v>
      </c>
      <c r="P5863" s="27" t="str">
        <f t="shared" si="274"/>
        <v>vermelho</v>
      </c>
    </row>
    <row r="5864" spans="1:16" ht="25.5">
      <c r="A5864" s="3" t="s">
        <v>4</v>
      </c>
      <c r="B5864" s="3" t="s">
        <v>4683</v>
      </c>
      <c r="C5864" s="4">
        <v>41</v>
      </c>
      <c r="D5864" s="3" t="s">
        <v>178</v>
      </c>
      <c r="E5864" s="3" t="s">
        <v>41</v>
      </c>
      <c r="F5864" s="5">
        <v>431</v>
      </c>
      <c r="G5864" s="5">
        <v>0</v>
      </c>
      <c r="H5864" s="6">
        <v>24253.599999999999</v>
      </c>
      <c r="I5864" s="22">
        <v>0</v>
      </c>
      <c r="J5864" s="24">
        <f t="shared" si="273"/>
        <v>0</v>
      </c>
      <c r="K5864" s="25">
        <f t="shared" si="275"/>
        <v>1.0000000000000009</v>
      </c>
      <c r="L5864" s="27"/>
      <c r="M5864" s="28"/>
      <c r="N5864" s="28"/>
      <c r="O5864" s="20" t="s">
        <v>7530</v>
      </c>
      <c r="P5864" s="27" t="str">
        <f t="shared" si="274"/>
        <v>vermelho</v>
      </c>
    </row>
    <row r="5865" spans="1:16">
      <c r="A5865" s="3" t="s">
        <v>4</v>
      </c>
      <c r="B5865" s="3" t="s">
        <v>4684</v>
      </c>
      <c r="C5865" s="4">
        <v>232</v>
      </c>
      <c r="D5865" s="3" t="s">
        <v>174</v>
      </c>
      <c r="E5865" s="3" t="s">
        <v>16</v>
      </c>
      <c r="F5865" s="5">
        <v>96</v>
      </c>
      <c r="G5865" s="5">
        <v>0</v>
      </c>
      <c r="H5865" s="6">
        <v>6093</v>
      </c>
      <c r="I5865" s="22">
        <v>0</v>
      </c>
      <c r="J5865" s="24">
        <f t="shared" si="273"/>
        <v>0</v>
      </c>
      <c r="K5865" s="25">
        <f t="shared" si="275"/>
        <v>1.0000000000000009</v>
      </c>
      <c r="L5865" s="27"/>
      <c r="M5865" s="28"/>
      <c r="N5865" s="28"/>
      <c r="O5865" s="20" t="s">
        <v>7530</v>
      </c>
      <c r="P5865" s="27" t="str">
        <f t="shared" si="274"/>
        <v>vermelho</v>
      </c>
    </row>
    <row r="5866" spans="1:16">
      <c r="A5866" s="3" t="s">
        <v>4</v>
      </c>
      <c r="B5866" s="3" t="s">
        <v>4685</v>
      </c>
      <c r="C5866" s="4">
        <v>217</v>
      </c>
      <c r="D5866" s="3" t="s">
        <v>91</v>
      </c>
      <c r="E5866" s="3" t="s">
        <v>16</v>
      </c>
      <c r="F5866" s="5">
        <v>36</v>
      </c>
      <c r="G5866" s="5">
        <v>0</v>
      </c>
      <c r="H5866" s="6">
        <v>2774.52</v>
      </c>
      <c r="I5866" s="22">
        <v>0</v>
      </c>
      <c r="J5866" s="24">
        <f t="shared" si="273"/>
        <v>0</v>
      </c>
      <c r="K5866" s="25">
        <f t="shared" si="275"/>
        <v>1.0000000000000009</v>
      </c>
      <c r="L5866" s="27"/>
      <c r="M5866" s="28"/>
      <c r="N5866" s="28"/>
      <c r="O5866" s="20" t="s">
        <v>7530</v>
      </c>
      <c r="P5866" s="27" t="str">
        <f t="shared" si="274"/>
        <v>vermelho</v>
      </c>
    </row>
    <row r="5867" spans="1:16" ht="38.25">
      <c r="A5867" s="3" t="s">
        <v>4</v>
      </c>
      <c r="B5867" s="3" t="s">
        <v>4686</v>
      </c>
      <c r="C5867" s="4">
        <v>15</v>
      </c>
      <c r="D5867" s="3" t="s">
        <v>18</v>
      </c>
      <c r="E5867" s="3" t="s">
        <v>16</v>
      </c>
      <c r="F5867" s="5">
        <v>420</v>
      </c>
      <c r="G5867" s="5">
        <v>0</v>
      </c>
      <c r="H5867" s="6">
        <v>19697.28</v>
      </c>
      <c r="I5867" s="22">
        <v>0</v>
      </c>
      <c r="J5867" s="24">
        <f t="shared" si="273"/>
        <v>0</v>
      </c>
      <c r="K5867" s="25">
        <f t="shared" si="275"/>
        <v>1.0000000000000009</v>
      </c>
      <c r="L5867" s="27"/>
      <c r="M5867" s="28"/>
      <c r="N5867" s="28"/>
      <c r="O5867" s="20" t="s">
        <v>7530</v>
      </c>
      <c r="P5867" s="27" t="str">
        <f t="shared" si="274"/>
        <v>vermelho</v>
      </c>
    </row>
    <row r="5868" spans="1:16" ht="25.5">
      <c r="A5868" s="3" t="s">
        <v>4</v>
      </c>
      <c r="B5868" s="3" t="s">
        <v>4687</v>
      </c>
      <c r="C5868" s="4">
        <v>296</v>
      </c>
      <c r="D5868" s="3" t="s">
        <v>282</v>
      </c>
      <c r="E5868" s="3" t="s">
        <v>16</v>
      </c>
      <c r="F5868" s="5">
        <v>84</v>
      </c>
      <c r="G5868" s="5">
        <v>0</v>
      </c>
      <c r="H5868" s="6">
        <v>4720.4399999999996</v>
      </c>
      <c r="I5868" s="22">
        <v>0</v>
      </c>
      <c r="J5868" s="24">
        <f t="shared" si="273"/>
        <v>0</v>
      </c>
      <c r="K5868" s="25">
        <f t="shared" si="275"/>
        <v>1.0000000000000009</v>
      </c>
      <c r="L5868" s="27"/>
      <c r="M5868" s="28"/>
      <c r="N5868" s="28"/>
      <c r="O5868" s="20" t="s">
        <v>7530</v>
      </c>
      <c r="P5868" s="27" t="str">
        <f t="shared" si="274"/>
        <v>vermelho</v>
      </c>
    </row>
    <row r="5869" spans="1:16" ht="25.5">
      <c r="A5869" s="3" t="s">
        <v>4</v>
      </c>
      <c r="B5869" s="3" t="s">
        <v>4688</v>
      </c>
      <c r="C5869" s="4">
        <v>296</v>
      </c>
      <c r="D5869" s="3" t="s">
        <v>282</v>
      </c>
      <c r="E5869" s="3" t="s">
        <v>49</v>
      </c>
      <c r="F5869" s="5">
        <v>57</v>
      </c>
      <c r="G5869" s="5">
        <v>0</v>
      </c>
      <c r="H5869" s="6">
        <v>2971.95</v>
      </c>
      <c r="I5869" s="22">
        <v>0</v>
      </c>
      <c r="J5869" s="24">
        <f t="shared" si="273"/>
        <v>0</v>
      </c>
      <c r="K5869" s="25">
        <f t="shared" si="275"/>
        <v>1.0000000000000009</v>
      </c>
      <c r="L5869" s="27"/>
      <c r="M5869" s="28"/>
      <c r="N5869" s="28"/>
      <c r="O5869" s="20" t="s">
        <v>7530</v>
      </c>
      <c r="P5869" s="27" t="str">
        <f t="shared" si="274"/>
        <v>vermelho</v>
      </c>
    </row>
    <row r="5870" spans="1:16">
      <c r="A5870" s="3" t="s">
        <v>4</v>
      </c>
      <c r="B5870" s="3" t="s">
        <v>4689</v>
      </c>
      <c r="C5870" s="4">
        <v>15</v>
      </c>
      <c r="D5870" s="3" t="s">
        <v>18</v>
      </c>
      <c r="E5870" s="3" t="s">
        <v>16</v>
      </c>
      <c r="F5870" s="5">
        <v>537</v>
      </c>
      <c r="G5870" s="5">
        <v>0</v>
      </c>
      <c r="H5870" s="6">
        <v>31351.86</v>
      </c>
      <c r="I5870" s="22">
        <v>0</v>
      </c>
      <c r="J5870" s="24">
        <f t="shared" si="273"/>
        <v>0</v>
      </c>
      <c r="K5870" s="25">
        <f t="shared" si="275"/>
        <v>1.0000000000000009</v>
      </c>
      <c r="L5870" s="27"/>
      <c r="M5870" s="28"/>
      <c r="N5870" s="28"/>
      <c r="O5870" s="20" t="s">
        <v>7530</v>
      </c>
      <c r="P5870" s="27" t="str">
        <f t="shared" si="274"/>
        <v>vermelho</v>
      </c>
    </row>
    <row r="5871" spans="1:16" ht="25.5">
      <c r="A5871" s="3" t="s">
        <v>4</v>
      </c>
      <c r="B5871" s="3" t="s">
        <v>4690</v>
      </c>
      <c r="C5871" s="4">
        <v>337</v>
      </c>
      <c r="D5871" s="3" t="s">
        <v>202</v>
      </c>
      <c r="E5871" s="3" t="s">
        <v>16</v>
      </c>
      <c r="F5871" s="5">
        <v>144</v>
      </c>
      <c r="G5871" s="5">
        <v>0</v>
      </c>
      <c r="H5871" s="6">
        <v>7720.68</v>
      </c>
      <c r="I5871" s="22">
        <v>0</v>
      </c>
      <c r="J5871" s="24">
        <f t="shared" si="273"/>
        <v>0</v>
      </c>
      <c r="K5871" s="25">
        <f t="shared" si="275"/>
        <v>1.0000000000000009</v>
      </c>
      <c r="L5871" s="27"/>
      <c r="M5871" s="28"/>
      <c r="N5871" s="28"/>
      <c r="O5871" s="20" t="s">
        <v>7530</v>
      </c>
      <c r="P5871" s="27" t="str">
        <f t="shared" si="274"/>
        <v>vermelho</v>
      </c>
    </row>
    <row r="5872" spans="1:16" ht="25.5">
      <c r="A5872" s="3" t="s">
        <v>4</v>
      </c>
      <c r="B5872" s="3" t="s">
        <v>4691</v>
      </c>
      <c r="C5872" s="4">
        <v>208</v>
      </c>
      <c r="D5872" s="3" t="s">
        <v>15</v>
      </c>
      <c r="E5872" s="3" t="s">
        <v>16</v>
      </c>
      <c r="F5872" s="5">
        <v>156</v>
      </c>
      <c r="G5872" s="5">
        <v>0</v>
      </c>
      <c r="H5872" s="6">
        <v>9297.1200000000008</v>
      </c>
      <c r="I5872" s="22">
        <v>0</v>
      </c>
      <c r="J5872" s="24">
        <f t="shared" si="273"/>
        <v>0</v>
      </c>
      <c r="K5872" s="25">
        <f t="shared" si="275"/>
        <v>1.0000000000000009</v>
      </c>
      <c r="L5872" s="27"/>
      <c r="M5872" s="28"/>
      <c r="N5872" s="28"/>
      <c r="O5872" s="20" t="s">
        <v>7530</v>
      </c>
      <c r="P5872" s="27" t="str">
        <f t="shared" si="274"/>
        <v>vermelho</v>
      </c>
    </row>
    <row r="5873" spans="1:16" ht="25.5">
      <c r="A5873" s="3" t="s">
        <v>4</v>
      </c>
      <c r="B5873" s="3" t="s">
        <v>4692</v>
      </c>
      <c r="C5873" s="4">
        <v>273</v>
      </c>
      <c r="D5873" s="3" t="s">
        <v>149</v>
      </c>
      <c r="E5873" s="3" t="s">
        <v>16</v>
      </c>
      <c r="F5873" s="5">
        <v>144</v>
      </c>
      <c r="G5873" s="5">
        <v>0</v>
      </c>
      <c r="H5873" s="6">
        <v>7422.84</v>
      </c>
      <c r="I5873" s="22">
        <v>0</v>
      </c>
      <c r="J5873" s="24">
        <f t="shared" si="273"/>
        <v>0</v>
      </c>
      <c r="K5873" s="25">
        <f t="shared" si="275"/>
        <v>1.0000000000000009</v>
      </c>
      <c r="L5873" s="27"/>
      <c r="M5873" s="28"/>
      <c r="N5873" s="28"/>
      <c r="O5873" s="20" t="s">
        <v>7530</v>
      </c>
      <c r="P5873" s="27" t="str">
        <f t="shared" si="274"/>
        <v>vermelho</v>
      </c>
    </row>
    <row r="5874" spans="1:16" ht="25.5">
      <c r="A5874" s="3" t="s">
        <v>4</v>
      </c>
      <c r="B5874" s="3" t="s">
        <v>4693</v>
      </c>
      <c r="C5874" s="4">
        <v>93</v>
      </c>
      <c r="D5874" s="3" t="s">
        <v>20</v>
      </c>
      <c r="E5874" s="3" t="s">
        <v>7</v>
      </c>
      <c r="F5874" s="5">
        <v>72</v>
      </c>
      <c r="G5874" s="5">
        <v>0</v>
      </c>
      <c r="H5874" s="6">
        <v>4259.28</v>
      </c>
      <c r="I5874" s="22">
        <v>0</v>
      </c>
      <c r="J5874" s="24">
        <f t="shared" si="273"/>
        <v>0</v>
      </c>
      <c r="K5874" s="25">
        <f t="shared" si="275"/>
        <v>1.0000000000000009</v>
      </c>
      <c r="L5874" s="27"/>
      <c r="M5874" s="28"/>
      <c r="N5874" s="28"/>
      <c r="O5874" s="20" t="s">
        <v>7530</v>
      </c>
      <c r="P5874" s="27" t="str">
        <f t="shared" si="274"/>
        <v>vermelho</v>
      </c>
    </row>
    <row r="5875" spans="1:16" ht="25.5">
      <c r="A5875" s="3" t="s">
        <v>4</v>
      </c>
      <c r="B5875" s="3" t="s">
        <v>4694</v>
      </c>
      <c r="C5875" s="4">
        <v>273</v>
      </c>
      <c r="D5875" s="3" t="s">
        <v>149</v>
      </c>
      <c r="E5875" s="3" t="s">
        <v>10</v>
      </c>
      <c r="F5875" s="5">
        <v>300</v>
      </c>
      <c r="G5875" s="5">
        <v>0</v>
      </c>
      <c r="H5875" s="6">
        <v>12995.16</v>
      </c>
      <c r="I5875" s="22">
        <v>0</v>
      </c>
      <c r="J5875" s="24">
        <f t="shared" si="273"/>
        <v>0</v>
      </c>
      <c r="K5875" s="25">
        <f t="shared" si="275"/>
        <v>1.0000000000000009</v>
      </c>
      <c r="L5875" s="27"/>
      <c r="M5875" s="28"/>
      <c r="N5875" s="28"/>
      <c r="O5875" s="20" t="s">
        <v>7530</v>
      </c>
      <c r="P5875" s="27" t="str">
        <f t="shared" si="274"/>
        <v>vermelho</v>
      </c>
    </row>
    <row r="5876" spans="1:16" ht="25.5">
      <c r="A5876" s="3" t="s">
        <v>4</v>
      </c>
      <c r="B5876" s="3" t="s">
        <v>4695</v>
      </c>
      <c r="C5876" s="4">
        <v>266</v>
      </c>
      <c r="D5876" s="3" t="s">
        <v>80</v>
      </c>
      <c r="E5876" s="3" t="s">
        <v>10</v>
      </c>
      <c r="F5876" s="5">
        <v>540</v>
      </c>
      <c r="G5876" s="5">
        <v>0</v>
      </c>
      <c r="H5876" s="6">
        <v>30743.37</v>
      </c>
      <c r="I5876" s="22">
        <v>0</v>
      </c>
      <c r="J5876" s="24">
        <f t="shared" si="273"/>
        <v>0</v>
      </c>
      <c r="K5876" s="25">
        <f t="shared" si="275"/>
        <v>1.0000000000000009</v>
      </c>
      <c r="L5876" s="27"/>
      <c r="M5876" s="28"/>
      <c r="N5876" s="28"/>
      <c r="O5876" s="20" t="s">
        <v>7530</v>
      </c>
      <c r="P5876" s="27" t="str">
        <f t="shared" si="274"/>
        <v>vermelho</v>
      </c>
    </row>
    <row r="5877" spans="1:16">
      <c r="A5877" s="3" t="s">
        <v>4</v>
      </c>
      <c r="B5877" s="3" t="s">
        <v>4696</v>
      </c>
      <c r="C5877" s="4">
        <v>232</v>
      </c>
      <c r="D5877" s="3" t="s">
        <v>174</v>
      </c>
      <c r="E5877" s="3" t="s">
        <v>16</v>
      </c>
      <c r="F5877" s="5">
        <v>144</v>
      </c>
      <c r="G5877" s="5">
        <v>0</v>
      </c>
      <c r="H5877" s="6">
        <v>7734.24</v>
      </c>
      <c r="I5877" s="22">
        <v>0</v>
      </c>
      <c r="J5877" s="24">
        <f t="shared" si="273"/>
        <v>0</v>
      </c>
      <c r="K5877" s="25">
        <f t="shared" si="275"/>
        <v>1.0000000000000009</v>
      </c>
      <c r="L5877" s="27"/>
      <c r="M5877" s="28"/>
      <c r="N5877" s="28"/>
      <c r="O5877" s="20" t="s">
        <v>7530</v>
      </c>
      <c r="P5877" s="27" t="str">
        <f t="shared" si="274"/>
        <v>vermelho</v>
      </c>
    </row>
    <row r="5878" spans="1:16">
      <c r="A5878" s="3" t="s">
        <v>4</v>
      </c>
      <c r="B5878" s="3" t="s">
        <v>4697</v>
      </c>
      <c r="C5878" s="4">
        <v>167</v>
      </c>
      <c r="D5878" s="3" t="s">
        <v>251</v>
      </c>
      <c r="E5878" s="3" t="s">
        <v>49</v>
      </c>
      <c r="F5878" s="5">
        <v>72</v>
      </c>
      <c r="G5878" s="5">
        <v>0</v>
      </c>
      <c r="H5878" s="6">
        <v>4463.28</v>
      </c>
      <c r="I5878" s="22">
        <v>0</v>
      </c>
      <c r="J5878" s="24">
        <f t="shared" si="273"/>
        <v>0</v>
      </c>
      <c r="K5878" s="25">
        <f t="shared" si="275"/>
        <v>1.0000000000000009</v>
      </c>
      <c r="L5878" s="27"/>
      <c r="M5878" s="28"/>
      <c r="N5878" s="28"/>
      <c r="O5878" s="20" t="s">
        <v>7530</v>
      </c>
      <c r="P5878" s="27" t="str">
        <f t="shared" si="274"/>
        <v>vermelho</v>
      </c>
    </row>
    <row r="5879" spans="1:16" ht="25.5">
      <c r="A5879" s="3" t="s">
        <v>4</v>
      </c>
      <c r="B5879" s="3" t="s">
        <v>4698</v>
      </c>
      <c r="C5879" s="4">
        <v>266</v>
      </c>
      <c r="D5879" s="3" t="s">
        <v>80</v>
      </c>
      <c r="E5879" s="3" t="s">
        <v>10</v>
      </c>
      <c r="F5879" s="5">
        <v>450</v>
      </c>
      <c r="G5879" s="5">
        <v>0</v>
      </c>
      <c r="H5879" s="6">
        <v>24693.84</v>
      </c>
      <c r="I5879" s="22">
        <v>0</v>
      </c>
      <c r="J5879" s="24">
        <f t="shared" si="273"/>
        <v>0</v>
      </c>
      <c r="K5879" s="25">
        <f t="shared" si="275"/>
        <v>1.0000000000000009</v>
      </c>
      <c r="L5879" s="27"/>
      <c r="M5879" s="28"/>
      <c r="N5879" s="28"/>
      <c r="O5879" s="20">
        <v>20716.2</v>
      </c>
      <c r="P5879" s="27" t="str">
        <f t="shared" si="274"/>
        <v>vermelho</v>
      </c>
    </row>
    <row r="5880" spans="1:16" ht="25.5">
      <c r="A5880" s="3" t="s">
        <v>4</v>
      </c>
      <c r="B5880" s="3" t="s">
        <v>4699</v>
      </c>
      <c r="C5880" s="4">
        <v>208</v>
      </c>
      <c r="D5880" s="3" t="s">
        <v>15</v>
      </c>
      <c r="E5880" s="3" t="s">
        <v>16</v>
      </c>
      <c r="F5880" s="5">
        <v>72</v>
      </c>
      <c r="G5880" s="5">
        <v>0</v>
      </c>
      <c r="H5880" s="6">
        <v>3432.24</v>
      </c>
      <c r="I5880" s="22">
        <v>0</v>
      </c>
      <c r="J5880" s="24">
        <f t="shared" si="273"/>
        <v>0</v>
      </c>
      <c r="K5880" s="25">
        <f t="shared" si="275"/>
        <v>1.0000000000000009</v>
      </c>
      <c r="L5880" s="27"/>
      <c r="M5880" s="28"/>
      <c r="N5880" s="28"/>
      <c r="O5880" s="20" t="s">
        <v>7530</v>
      </c>
      <c r="P5880" s="27" t="str">
        <f t="shared" si="274"/>
        <v>vermelho</v>
      </c>
    </row>
    <row r="5881" spans="1:16" ht="25.5">
      <c r="A5881" s="3" t="s">
        <v>4</v>
      </c>
      <c r="B5881" s="3" t="s">
        <v>4700</v>
      </c>
      <c r="C5881" s="4">
        <v>19</v>
      </c>
      <c r="D5881" s="3" t="s">
        <v>72</v>
      </c>
      <c r="E5881" s="3" t="s">
        <v>41</v>
      </c>
      <c r="F5881" s="5">
        <v>156</v>
      </c>
      <c r="G5881" s="5">
        <v>0</v>
      </c>
      <c r="H5881" s="6">
        <v>9760.2000000000007</v>
      </c>
      <c r="I5881" s="22">
        <v>0</v>
      </c>
      <c r="J5881" s="24">
        <f t="shared" si="273"/>
        <v>0</v>
      </c>
      <c r="K5881" s="25">
        <f t="shared" si="275"/>
        <v>1.0000000000000009</v>
      </c>
      <c r="L5881" s="27"/>
      <c r="M5881" s="28"/>
      <c r="N5881" s="28"/>
      <c r="O5881" s="20" t="s">
        <v>7530</v>
      </c>
      <c r="P5881" s="27" t="str">
        <f t="shared" si="274"/>
        <v>vermelho</v>
      </c>
    </row>
    <row r="5882" spans="1:16">
      <c r="A5882" s="3" t="s">
        <v>4</v>
      </c>
      <c r="B5882" s="3" t="s">
        <v>4701</v>
      </c>
      <c r="C5882" s="4">
        <v>167</v>
      </c>
      <c r="D5882" s="3" t="s">
        <v>251</v>
      </c>
      <c r="E5882" s="3" t="s">
        <v>49</v>
      </c>
      <c r="F5882" s="5">
        <v>60</v>
      </c>
      <c r="G5882" s="5">
        <v>0</v>
      </c>
      <c r="H5882" s="6">
        <v>3351.96</v>
      </c>
      <c r="I5882" s="22">
        <v>0</v>
      </c>
      <c r="J5882" s="24">
        <f t="shared" si="273"/>
        <v>0</v>
      </c>
      <c r="K5882" s="25">
        <f t="shared" si="275"/>
        <v>1.0000000000000009</v>
      </c>
      <c r="L5882" s="27"/>
      <c r="M5882" s="28"/>
      <c r="N5882" s="28"/>
      <c r="O5882" s="20" t="s">
        <v>7530</v>
      </c>
      <c r="P5882" s="27" t="str">
        <f t="shared" si="274"/>
        <v>vermelho</v>
      </c>
    </row>
    <row r="5883" spans="1:16">
      <c r="A5883" s="3" t="s">
        <v>4</v>
      </c>
      <c r="B5883" s="3" t="s">
        <v>4702</v>
      </c>
      <c r="C5883" s="4">
        <v>334</v>
      </c>
      <c r="D5883" s="3" t="s">
        <v>531</v>
      </c>
      <c r="E5883" s="3" t="s">
        <v>7</v>
      </c>
      <c r="F5883" s="5">
        <v>144</v>
      </c>
      <c r="G5883" s="5">
        <v>0</v>
      </c>
      <c r="H5883" s="6">
        <v>7352.52</v>
      </c>
      <c r="I5883" s="22">
        <v>0</v>
      </c>
      <c r="J5883" s="24">
        <f t="shared" si="273"/>
        <v>0</v>
      </c>
      <c r="K5883" s="25">
        <f t="shared" si="275"/>
        <v>1.0000000000000009</v>
      </c>
      <c r="L5883" s="27"/>
      <c r="M5883" s="28"/>
      <c r="N5883" s="28"/>
      <c r="O5883" s="20" t="s">
        <v>7530</v>
      </c>
      <c r="P5883" s="27" t="str">
        <f t="shared" si="274"/>
        <v>vermelho</v>
      </c>
    </row>
    <row r="5884" spans="1:16" ht="38.25">
      <c r="A5884" s="3" t="s">
        <v>4</v>
      </c>
      <c r="B5884" s="3" t="s">
        <v>4703</v>
      </c>
      <c r="C5884" s="4">
        <v>273</v>
      </c>
      <c r="D5884" s="3" t="s">
        <v>149</v>
      </c>
      <c r="E5884" s="3" t="s">
        <v>10</v>
      </c>
      <c r="F5884" s="5">
        <v>162</v>
      </c>
      <c r="G5884" s="5">
        <v>0</v>
      </c>
      <c r="H5884" s="6">
        <v>9019.14</v>
      </c>
      <c r="I5884" s="22">
        <v>0</v>
      </c>
      <c r="J5884" s="24">
        <f t="shared" si="273"/>
        <v>0</v>
      </c>
      <c r="K5884" s="25">
        <f t="shared" si="275"/>
        <v>1.0000000000000009</v>
      </c>
      <c r="L5884" s="27"/>
      <c r="M5884" s="28"/>
      <c r="N5884" s="28"/>
      <c r="O5884" s="20" t="s">
        <v>7530</v>
      </c>
      <c r="P5884" s="27" t="str">
        <f t="shared" si="274"/>
        <v>vermelho</v>
      </c>
    </row>
    <row r="5885" spans="1:16" ht="25.5">
      <c r="A5885" s="3" t="s">
        <v>4</v>
      </c>
      <c r="B5885" s="3" t="s">
        <v>4704</v>
      </c>
      <c r="C5885" s="4">
        <v>273</v>
      </c>
      <c r="D5885" s="3" t="s">
        <v>149</v>
      </c>
      <c r="E5885" s="3" t="s">
        <v>10</v>
      </c>
      <c r="F5885" s="5">
        <v>300</v>
      </c>
      <c r="G5885" s="5">
        <v>0</v>
      </c>
      <c r="H5885" s="6">
        <v>16014.6</v>
      </c>
      <c r="I5885" s="22">
        <v>0</v>
      </c>
      <c r="J5885" s="24">
        <f t="shared" si="273"/>
        <v>0</v>
      </c>
      <c r="K5885" s="25">
        <f t="shared" si="275"/>
        <v>1.0000000000000009</v>
      </c>
      <c r="L5885" s="27"/>
      <c r="M5885" s="28"/>
      <c r="N5885" s="28"/>
      <c r="O5885" s="20" t="s">
        <v>7530</v>
      </c>
      <c r="P5885" s="27" t="str">
        <f t="shared" si="274"/>
        <v>vermelho</v>
      </c>
    </row>
    <row r="5886" spans="1:16" ht="25.5">
      <c r="A5886" s="3" t="s">
        <v>4</v>
      </c>
      <c r="B5886" s="3" t="s">
        <v>4705</v>
      </c>
      <c r="C5886" s="4">
        <v>194</v>
      </c>
      <c r="D5886" s="3" t="s">
        <v>145</v>
      </c>
      <c r="E5886" s="3" t="s">
        <v>16</v>
      </c>
      <c r="F5886" s="5">
        <v>48</v>
      </c>
      <c r="G5886" s="5">
        <v>0</v>
      </c>
      <c r="H5886" s="6">
        <v>3400.32</v>
      </c>
      <c r="I5886" s="22">
        <v>0</v>
      </c>
      <c r="J5886" s="24">
        <f t="shared" si="273"/>
        <v>0</v>
      </c>
      <c r="K5886" s="25">
        <f t="shared" si="275"/>
        <v>1.0000000000000009</v>
      </c>
      <c r="L5886" s="27"/>
      <c r="M5886" s="28"/>
      <c r="N5886" s="28"/>
      <c r="O5886" s="20" t="s">
        <v>7530</v>
      </c>
      <c r="P5886" s="27" t="str">
        <f t="shared" si="274"/>
        <v>vermelho</v>
      </c>
    </row>
    <row r="5887" spans="1:16" ht="25.5">
      <c r="A5887" s="3" t="s">
        <v>4</v>
      </c>
      <c r="B5887" s="3" t="s">
        <v>4706</v>
      </c>
      <c r="C5887" s="4">
        <v>266</v>
      </c>
      <c r="D5887" s="3" t="s">
        <v>80</v>
      </c>
      <c r="E5887" s="3" t="s">
        <v>10</v>
      </c>
      <c r="F5887" s="5">
        <v>144</v>
      </c>
      <c r="G5887" s="5">
        <v>0</v>
      </c>
      <c r="H5887" s="6">
        <v>8203.32</v>
      </c>
      <c r="I5887" s="22">
        <v>0</v>
      </c>
      <c r="J5887" s="24">
        <f t="shared" si="273"/>
        <v>0</v>
      </c>
      <c r="K5887" s="25">
        <f t="shared" si="275"/>
        <v>1.0000000000000009</v>
      </c>
      <c r="L5887" s="27"/>
      <c r="M5887" s="28"/>
      <c r="N5887" s="28"/>
      <c r="O5887" s="20" t="s">
        <v>7530</v>
      </c>
      <c r="P5887" s="27" t="str">
        <f t="shared" si="274"/>
        <v>vermelho</v>
      </c>
    </row>
    <row r="5888" spans="1:16" ht="25.5">
      <c r="A5888" s="3" t="s">
        <v>4</v>
      </c>
      <c r="B5888" s="3" t="s">
        <v>4707</v>
      </c>
      <c r="C5888" s="4">
        <v>317</v>
      </c>
      <c r="D5888" s="3" t="s">
        <v>78</v>
      </c>
      <c r="E5888" s="3" t="s">
        <v>10</v>
      </c>
      <c r="F5888" s="5">
        <v>120</v>
      </c>
      <c r="G5888" s="5">
        <v>0</v>
      </c>
      <c r="H5888" s="6">
        <v>6598.2</v>
      </c>
      <c r="I5888" s="22">
        <v>0</v>
      </c>
      <c r="J5888" s="24">
        <f t="shared" si="273"/>
        <v>0</v>
      </c>
      <c r="K5888" s="25">
        <f t="shared" si="275"/>
        <v>1.0000000000000009</v>
      </c>
      <c r="L5888" s="27"/>
      <c r="M5888" s="28"/>
      <c r="N5888" s="28"/>
      <c r="O5888" s="20" t="s">
        <v>7530</v>
      </c>
      <c r="P5888" s="27" t="str">
        <f t="shared" si="274"/>
        <v>vermelho</v>
      </c>
    </row>
    <row r="5889" spans="1:16" ht="25.5">
      <c r="A5889" s="3" t="s">
        <v>4</v>
      </c>
      <c r="B5889" s="3" t="s">
        <v>4708</v>
      </c>
      <c r="C5889" s="4">
        <v>208</v>
      </c>
      <c r="D5889" s="3" t="s">
        <v>15</v>
      </c>
      <c r="E5889" s="3" t="s">
        <v>16</v>
      </c>
      <c r="F5889" s="5">
        <v>801</v>
      </c>
      <c r="G5889" s="5">
        <v>0</v>
      </c>
      <c r="H5889" s="6">
        <v>36726.42</v>
      </c>
      <c r="I5889" s="22">
        <v>0</v>
      </c>
      <c r="J5889" s="24">
        <f t="shared" si="273"/>
        <v>0</v>
      </c>
      <c r="K5889" s="25">
        <f t="shared" si="275"/>
        <v>1.0000000000000009</v>
      </c>
      <c r="L5889" s="27"/>
      <c r="M5889" s="28"/>
      <c r="N5889" s="28"/>
      <c r="O5889" s="20" t="s">
        <v>7530</v>
      </c>
      <c r="P5889" s="27" t="str">
        <f t="shared" si="274"/>
        <v>vermelho</v>
      </c>
    </row>
    <row r="5890" spans="1:16" ht="38.25">
      <c r="A5890" s="3" t="s">
        <v>4</v>
      </c>
      <c r="B5890" s="3" t="s">
        <v>4709</v>
      </c>
      <c r="C5890" s="4">
        <v>334</v>
      </c>
      <c r="D5890" s="3" t="s">
        <v>531</v>
      </c>
      <c r="E5890" s="3" t="s">
        <v>7</v>
      </c>
      <c r="F5890" s="5">
        <v>0</v>
      </c>
      <c r="G5890" s="5">
        <v>0</v>
      </c>
      <c r="H5890" s="6">
        <v>0</v>
      </c>
      <c r="I5890" s="22">
        <v>0</v>
      </c>
      <c r="J5890" s="24">
        <f t="shared" si="273"/>
        <v>0</v>
      </c>
      <c r="K5890" s="25">
        <f t="shared" si="275"/>
        <v>1.0000000000000009</v>
      </c>
      <c r="L5890" s="27"/>
      <c r="M5890" s="28"/>
      <c r="N5890" s="28"/>
      <c r="O5890" s="20" t="s">
        <v>7530</v>
      </c>
      <c r="P5890" s="27" t="str">
        <f t="shared" si="274"/>
        <v>vermelho</v>
      </c>
    </row>
    <row r="5891" spans="1:16" ht="25.5">
      <c r="A5891" s="3" t="s">
        <v>4</v>
      </c>
      <c r="B5891" s="3" t="s">
        <v>4710</v>
      </c>
      <c r="C5891" s="4">
        <v>167</v>
      </c>
      <c r="D5891" s="3" t="s">
        <v>251</v>
      </c>
      <c r="E5891" s="3" t="s">
        <v>49</v>
      </c>
      <c r="F5891" s="5">
        <v>360</v>
      </c>
      <c r="G5891" s="5">
        <v>0</v>
      </c>
      <c r="H5891" s="6">
        <v>20411.07</v>
      </c>
      <c r="I5891" s="22">
        <v>0</v>
      </c>
      <c r="J5891" s="24">
        <f t="shared" ref="J5891:J5954" si="276">I5891/$I$6364</f>
        <v>0</v>
      </c>
      <c r="K5891" s="25">
        <f t="shared" si="275"/>
        <v>1.0000000000000009</v>
      </c>
      <c r="L5891" s="27"/>
      <c r="M5891" s="28"/>
      <c r="N5891" s="28"/>
      <c r="O5891" s="20" t="s">
        <v>7530</v>
      </c>
      <c r="P5891" s="27" t="str">
        <f t="shared" ref="P5891:P5954" si="277">IF(O5891&lt;=0,"vermelho",IFERROR(IF(O5891/I5891&lt;=0.5098,"amarelo",IF(O5891/I5891&lt;1,"laranja","verde")),"vermelho"))</f>
        <v>vermelho</v>
      </c>
    </row>
    <row r="5892" spans="1:16" ht="25.5">
      <c r="A5892" s="3" t="s">
        <v>4</v>
      </c>
      <c r="B5892" s="3" t="s">
        <v>4711</v>
      </c>
      <c r="C5892" s="4">
        <v>23</v>
      </c>
      <c r="D5892" s="3" t="s">
        <v>87</v>
      </c>
      <c r="E5892" s="3" t="s">
        <v>7</v>
      </c>
      <c r="F5892" s="5">
        <v>51</v>
      </c>
      <c r="G5892" s="5">
        <v>0</v>
      </c>
      <c r="H5892" s="6">
        <v>3008.25</v>
      </c>
      <c r="I5892" s="22">
        <v>0</v>
      </c>
      <c r="J5892" s="24">
        <f t="shared" si="276"/>
        <v>0</v>
      </c>
      <c r="K5892" s="25">
        <f t="shared" ref="K5892:K5955" si="278">J5892+K5891</f>
        <v>1.0000000000000009</v>
      </c>
      <c r="L5892" s="27"/>
      <c r="M5892" s="28"/>
      <c r="N5892" s="28"/>
      <c r="O5892" s="20" t="s">
        <v>7530</v>
      </c>
      <c r="P5892" s="27" t="str">
        <f t="shared" si="277"/>
        <v>vermelho</v>
      </c>
    </row>
    <row r="5893" spans="1:16" ht="51">
      <c r="A5893" s="3" t="s">
        <v>4</v>
      </c>
      <c r="B5893" s="3" t="s">
        <v>4712</v>
      </c>
      <c r="C5893" s="4">
        <v>282</v>
      </c>
      <c r="D5893" s="3" t="s">
        <v>12</v>
      </c>
      <c r="E5893" s="3" t="s">
        <v>13</v>
      </c>
      <c r="F5893" s="5">
        <v>48</v>
      </c>
      <c r="G5893" s="5">
        <v>0</v>
      </c>
      <c r="H5893" s="6">
        <v>2782.44</v>
      </c>
      <c r="I5893" s="22">
        <v>0</v>
      </c>
      <c r="J5893" s="24">
        <f t="shared" si="276"/>
        <v>0</v>
      </c>
      <c r="K5893" s="25">
        <f t="shared" si="278"/>
        <v>1.0000000000000009</v>
      </c>
      <c r="L5893" s="27"/>
      <c r="M5893" s="28"/>
      <c r="N5893" s="28"/>
      <c r="O5893" s="20" t="s">
        <v>7530</v>
      </c>
      <c r="P5893" s="27" t="str">
        <f t="shared" si="277"/>
        <v>vermelho</v>
      </c>
    </row>
    <row r="5894" spans="1:16" ht="25.5">
      <c r="A5894" s="3" t="s">
        <v>4</v>
      </c>
      <c r="B5894" s="3" t="s">
        <v>4713</v>
      </c>
      <c r="C5894" s="4">
        <v>266</v>
      </c>
      <c r="D5894" s="3" t="s">
        <v>80</v>
      </c>
      <c r="E5894" s="3" t="s">
        <v>10</v>
      </c>
      <c r="F5894" s="5">
        <v>78</v>
      </c>
      <c r="G5894" s="5">
        <v>0</v>
      </c>
      <c r="H5894" s="6">
        <v>6383.04</v>
      </c>
      <c r="I5894" s="22">
        <v>0</v>
      </c>
      <c r="J5894" s="24">
        <f t="shared" si="276"/>
        <v>0</v>
      </c>
      <c r="K5894" s="25">
        <f t="shared" si="278"/>
        <v>1.0000000000000009</v>
      </c>
      <c r="L5894" s="27"/>
      <c r="M5894" s="28"/>
      <c r="N5894" s="28"/>
      <c r="O5894" s="20" t="s">
        <v>7530</v>
      </c>
      <c r="P5894" s="27" t="str">
        <f t="shared" si="277"/>
        <v>vermelho</v>
      </c>
    </row>
    <row r="5895" spans="1:16" ht="38.25">
      <c r="A5895" s="3" t="s">
        <v>4</v>
      </c>
      <c r="B5895" s="3" t="s">
        <v>4714</v>
      </c>
      <c r="C5895" s="4">
        <v>371</v>
      </c>
      <c r="D5895" s="3" t="s">
        <v>82</v>
      </c>
      <c r="E5895" s="3" t="s">
        <v>49</v>
      </c>
      <c r="F5895" s="5">
        <v>48</v>
      </c>
      <c r="G5895" s="5">
        <v>0</v>
      </c>
      <c r="H5895" s="6">
        <v>1999.68</v>
      </c>
      <c r="I5895" s="22">
        <v>0</v>
      </c>
      <c r="J5895" s="24">
        <f t="shared" si="276"/>
        <v>0</v>
      </c>
      <c r="K5895" s="25">
        <f t="shared" si="278"/>
        <v>1.0000000000000009</v>
      </c>
      <c r="L5895" s="27"/>
      <c r="M5895" s="28"/>
      <c r="N5895" s="28"/>
      <c r="O5895" s="20" t="s">
        <v>7530</v>
      </c>
      <c r="P5895" s="27" t="str">
        <f t="shared" si="277"/>
        <v>vermelho</v>
      </c>
    </row>
    <row r="5896" spans="1:16" ht="38.25">
      <c r="A5896" s="3" t="s">
        <v>4</v>
      </c>
      <c r="B5896" s="3" t="s">
        <v>4715</v>
      </c>
      <c r="C5896" s="4">
        <v>11</v>
      </c>
      <c r="D5896" s="3" t="s">
        <v>61</v>
      </c>
      <c r="E5896" s="3" t="s">
        <v>10</v>
      </c>
      <c r="F5896" s="5">
        <v>108</v>
      </c>
      <c r="G5896" s="5">
        <v>0</v>
      </c>
      <c r="H5896" s="6">
        <v>5898.6</v>
      </c>
      <c r="I5896" s="22">
        <v>0</v>
      </c>
      <c r="J5896" s="24">
        <f t="shared" si="276"/>
        <v>0</v>
      </c>
      <c r="K5896" s="25">
        <f t="shared" si="278"/>
        <v>1.0000000000000009</v>
      </c>
      <c r="L5896" s="27"/>
      <c r="M5896" s="28"/>
      <c r="N5896" s="28"/>
      <c r="O5896" s="20" t="s">
        <v>7530</v>
      </c>
      <c r="P5896" s="27" t="str">
        <f t="shared" si="277"/>
        <v>vermelho</v>
      </c>
    </row>
    <row r="5897" spans="1:16" ht="38.25">
      <c r="A5897" s="3" t="s">
        <v>4</v>
      </c>
      <c r="B5897" s="3" t="s">
        <v>4716</v>
      </c>
      <c r="C5897" s="4">
        <v>34</v>
      </c>
      <c r="D5897" s="3" t="s">
        <v>54</v>
      </c>
      <c r="E5897" s="3" t="s">
        <v>49</v>
      </c>
      <c r="F5897" s="5">
        <v>114</v>
      </c>
      <c r="G5897" s="5">
        <v>0</v>
      </c>
      <c r="H5897" s="6">
        <v>7160.8559999999998</v>
      </c>
      <c r="I5897" s="22">
        <v>0</v>
      </c>
      <c r="J5897" s="24">
        <f t="shared" si="276"/>
        <v>0</v>
      </c>
      <c r="K5897" s="25">
        <f t="shared" si="278"/>
        <v>1.0000000000000009</v>
      </c>
      <c r="L5897" s="27"/>
      <c r="M5897" s="28"/>
      <c r="N5897" s="28"/>
      <c r="O5897" s="20" t="s">
        <v>7530</v>
      </c>
      <c r="P5897" s="27" t="str">
        <f t="shared" si="277"/>
        <v>vermelho</v>
      </c>
    </row>
    <row r="5898" spans="1:16">
      <c r="A5898" s="3" t="s">
        <v>4</v>
      </c>
      <c r="B5898" s="3" t="s">
        <v>4717</v>
      </c>
      <c r="C5898" s="4">
        <v>167</v>
      </c>
      <c r="D5898" s="3" t="s">
        <v>251</v>
      </c>
      <c r="E5898" s="3" t="s">
        <v>49</v>
      </c>
      <c r="F5898" s="5">
        <v>192</v>
      </c>
      <c r="G5898" s="5">
        <v>0</v>
      </c>
      <c r="H5898" s="6">
        <v>10629.06</v>
      </c>
      <c r="I5898" s="22">
        <v>0</v>
      </c>
      <c r="J5898" s="24">
        <f t="shared" si="276"/>
        <v>0</v>
      </c>
      <c r="K5898" s="25">
        <f t="shared" si="278"/>
        <v>1.0000000000000009</v>
      </c>
      <c r="L5898" s="27"/>
      <c r="M5898" s="28"/>
      <c r="N5898" s="28"/>
      <c r="O5898" s="20" t="s">
        <v>7530</v>
      </c>
      <c r="P5898" s="27" t="str">
        <f t="shared" si="277"/>
        <v>vermelho</v>
      </c>
    </row>
    <row r="5899" spans="1:16" ht="25.5">
      <c r="A5899" s="3" t="s">
        <v>4</v>
      </c>
      <c r="B5899" s="3" t="s">
        <v>4718</v>
      </c>
      <c r="C5899" s="4">
        <v>317</v>
      </c>
      <c r="D5899" s="3" t="s">
        <v>78</v>
      </c>
      <c r="E5899" s="3" t="s">
        <v>10</v>
      </c>
      <c r="F5899" s="5">
        <v>186</v>
      </c>
      <c r="G5899" s="5">
        <v>0</v>
      </c>
      <c r="H5899" s="6">
        <v>10259.94</v>
      </c>
      <c r="I5899" s="22">
        <v>0</v>
      </c>
      <c r="J5899" s="24">
        <f t="shared" si="276"/>
        <v>0</v>
      </c>
      <c r="K5899" s="25">
        <f t="shared" si="278"/>
        <v>1.0000000000000009</v>
      </c>
      <c r="L5899" s="27"/>
      <c r="M5899" s="28"/>
      <c r="N5899" s="28"/>
      <c r="O5899" s="20" t="s">
        <v>7530</v>
      </c>
      <c r="P5899" s="27" t="str">
        <f t="shared" si="277"/>
        <v>vermelho</v>
      </c>
    </row>
    <row r="5900" spans="1:16" ht="25.5">
      <c r="A5900" s="3" t="s">
        <v>4</v>
      </c>
      <c r="B5900" s="3" t="s">
        <v>4719</v>
      </c>
      <c r="C5900" s="4">
        <v>270</v>
      </c>
      <c r="D5900" s="3" t="s">
        <v>266</v>
      </c>
      <c r="E5900" s="3" t="s">
        <v>49</v>
      </c>
      <c r="F5900" s="5">
        <v>60</v>
      </c>
      <c r="G5900" s="5">
        <v>0</v>
      </c>
      <c r="H5900" s="6">
        <v>3477.48</v>
      </c>
      <c r="I5900" s="22">
        <v>0</v>
      </c>
      <c r="J5900" s="24">
        <f t="shared" si="276"/>
        <v>0</v>
      </c>
      <c r="K5900" s="25">
        <f t="shared" si="278"/>
        <v>1.0000000000000009</v>
      </c>
      <c r="L5900" s="27"/>
      <c r="M5900" s="28"/>
      <c r="N5900" s="28"/>
      <c r="O5900" s="20" t="s">
        <v>7530</v>
      </c>
      <c r="P5900" s="27" t="str">
        <f t="shared" si="277"/>
        <v>vermelho</v>
      </c>
    </row>
    <row r="5901" spans="1:16" ht="25.5">
      <c r="A5901" s="3" t="s">
        <v>4</v>
      </c>
      <c r="B5901" s="3" t="s">
        <v>4720</v>
      </c>
      <c r="C5901" s="4">
        <v>208</v>
      </c>
      <c r="D5901" s="3" t="s">
        <v>15</v>
      </c>
      <c r="E5901" s="3" t="s">
        <v>16</v>
      </c>
      <c r="F5901" s="5">
        <v>48</v>
      </c>
      <c r="G5901" s="5">
        <v>0</v>
      </c>
      <c r="H5901" s="6">
        <v>3251.52</v>
      </c>
      <c r="I5901" s="22">
        <v>0</v>
      </c>
      <c r="J5901" s="24">
        <f t="shared" si="276"/>
        <v>0</v>
      </c>
      <c r="K5901" s="25">
        <f t="shared" si="278"/>
        <v>1.0000000000000009</v>
      </c>
      <c r="L5901" s="27"/>
      <c r="M5901" s="28"/>
      <c r="N5901" s="28"/>
      <c r="O5901" s="20" t="s">
        <v>7530</v>
      </c>
      <c r="P5901" s="27" t="str">
        <f t="shared" si="277"/>
        <v>vermelho</v>
      </c>
    </row>
    <row r="5902" spans="1:16" ht="25.5">
      <c r="A5902" s="3" t="s">
        <v>4</v>
      </c>
      <c r="B5902" s="3" t="s">
        <v>4721</v>
      </c>
      <c r="C5902" s="4">
        <v>19</v>
      </c>
      <c r="D5902" s="3" t="s">
        <v>72</v>
      </c>
      <c r="E5902" s="3" t="s">
        <v>41</v>
      </c>
      <c r="F5902" s="5">
        <v>36</v>
      </c>
      <c r="G5902" s="5">
        <v>0</v>
      </c>
      <c r="H5902" s="6">
        <v>2438.64</v>
      </c>
      <c r="I5902" s="22">
        <v>0</v>
      </c>
      <c r="J5902" s="24">
        <f t="shared" si="276"/>
        <v>0</v>
      </c>
      <c r="K5902" s="25">
        <f t="shared" si="278"/>
        <v>1.0000000000000009</v>
      </c>
      <c r="L5902" s="27"/>
      <c r="M5902" s="28"/>
      <c r="N5902" s="28"/>
      <c r="O5902" s="20" t="s">
        <v>7530</v>
      </c>
      <c r="P5902" s="27" t="str">
        <f t="shared" si="277"/>
        <v>vermelho</v>
      </c>
    </row>
    <row r="5903" spans="1:16" ht="25.5">
      <c r="A5903" s="3" t="s">
        <v>4</v>
      </c>
      <c r="B5903" s="3" t="s">
        <v>4722</v>
      </c>
      <c r="C5903" s="4">
        <v>93</v>
      </c>
      <c r="D5903" s="3" t="s">
        <v>20</v>
      </c>
      <c r="E5903" s="3" t="s">
        <v>7</v>
      </c>
      <c r="F5903" s="5">
        <v>162</v>
      </c>
      <c r="G5903" s="5">
        <v>0</v>
      </c>
      <c r="H5903" s="6">
        <v>6302.2860000000001</v>
      </c>
      <c r="I5903" s="22">
        <v>0</v>
      </c>
      <c r="J5903" s="24">
        <f t="shared" si="276"/>
        <v>0</v>
      </c>
      <c r="K5903" s="25">
        <f t="shared" si="278"/>
        <v>1.0000000000000009</v>
      </c>
      <c r="L5903" s="27"/>
      <c r="M5903" s="28"/>
      <c r="N5903" s="28"/>
      <c r="O5903" s="20" t="s">
        <v>7530</v>
      </c>
      <c r="P5903" s="27" t="str">
        <f t="shared" si="277"/>
        <v>vermelho</v>
      </c>
    </row>
    <row r="5904" spans="1:16" ht="25.5">
      <c r="A5904" s="3" t="s">
        <v>4</v>
      </c>
      <c r="B5904" s="3" t="s">
        <v>4723</v>
      </c>
      <c r="C5904" s="4">
        <v>41</v>
      </c>
      <c r="D5904" s="3" t="s">
        <v>178</v>
      </c>
      <c r="E5904" s="3" t="s">
        <v>41</v>
      </c>
      <c r="F5904" s="5">
        <v>72</v>
      </c>
      <c r="G5904" s="5">
        <v>0</v>
      </c>
      <c r="H5904" s="6">
        <v>3398.7959999999998</v>
      </c>
      <c r="I5904" s="22">
        <v>0</v>
      </c>
      <c r="J5904" s="24">
        <f t="shared" si="276"/>
        <v>0</v>
      </c>
      <c r="K5904" s="25">
        <f t="shared" si="278"/>
        <v>1.0000000000000009</v>
      </c>
      <c r="L5904" s="27"/>
      <c r="M5904" s="28"/>
      <c r="N5904" s="28"/>
      <c r="O5904" s="20" t="s">
        <v>7530</v>
      </c>
      <c r="P5904" s="27" t="str">
        <f t="shared" si="277"/>
        <v>vermelho</v>
      </c>
    </row>
    <row r="5905" spans="1:16" ht="25.5">
      <c r="A5905" s="3" t="s">
        <v>4</v>
      </c>
      <c r="B5905" s="3" t="s">
        <v>4724</v>
      </c>
      <c r="C5905" s="4">
        <v>31</v>
      </c>
      <c r="D5905" s="3" t="s">
        <v>194</v>
      </c>
      <c r="E5905" s="3" t="s">
        <v>16</v>
      </c>
      <c r="F5905" s="5">
        <v>264</v>
      </c>
      <c r="G5905" s="5">
        <v>0</v>
      </c>
      <c r="H5905" s="6">
        <v>14031.12</v>
      </c>
      <c r="I5905" s="22">
        <v>0</v>
      </c>
      <c r="J5905" s="24">
        <f t="shared" si="276"/>
        <v>0</v>
      </c>
      <c r="K5905" s="25">
        <f t="shared" si="278"/>
        <v>1.0000000000000009</v>
      </c>
      <c r="L5905" s="27"/>
      <c r="M5905" s="28"/>
      <c r="N5905" s="28"/>
      <c r="O5905" s="20" t="s">
        <v>7530</v>
      </c>
      <c r="P5905" s="27" t="str">
        <f t="shared" si="277"/>
        <v>vermelho</v>
      </c>
    </row>
    <row r="5906" spans="1:16" ht="25.5">
      <c r="A5906" s="3" t="s">
        <v>4</v>
      </c>
      <c r="B5906" s="3" t="s">
        <v>4725</v>
      </c>
      <c r="C5906" s="4">
        <v>217</v>
      </c>
      <c r="D5906" s="3" t="s">
        <v>91</v>
      </c>
      <c r="E5906" s="3" t="s">
        <v>16</v>
      </c>
      <c r="F5906" s="5">
        <v>192</v>
      </c>
      <c r="G5906" s="5">
        <v>0</v>
      </c>
      <c r="H5906" s="6">
        <v>11399.64</v>
      </c>
      <c r="I5906" s="22">
        <v>0</v>
      </c>
      <c r="J5906" s="24">
        <f t="shared" si="276"/>
        <v>0</v>
      </c>
      <c r="K5906" s="25">
        <f t="shared" si="278"/>
        <v>1.0000000000000009</v>
      </c>
      <c r="L5906" s="27"/>
      <c r="M5906" s="28"/>
      <c r="N5906" s="28"/>
      <c r="O5906" s="20" t="s">
        <v>7530</v>
      </c>
      <c r="P5906" s="27" t="str">
        <f t="shared" si="277"/>
        <v>vermelho</v>
      </c>
    </row>
    <row r="5907" spans="1:16" ht="25.5">
      <c r="A5907" s="3" t="s">
        <v>4</v>
      </c>
      <c r="B5907" s="3" t="s">
        <v>4726</v>
      </c>
      <c r="C5907" s="4">
        <v>15</v>
      </c>
      <c r="D5907" s="3" t="s">
        <v>18</v>
      </c>
      <c r="E5907" s="3" t="s">
        <v>16</v>
      </c>
      <c r="F5907" s="5">
        <v>510</v>
      </c>
      <c r="G5907" s="5">
        <v>0</v>
      </c>
      <c r="H5907" s="6">
        <v>29326.44</v>
      </c>
      <c r="I5907" s="22">
        <v>0</v>
      </c>
      <c r="J5907" s="24">
        <f t="shared" si="276"/>
        <v>0</v>
      </c>
      <c r="K5907" s="25">
        <f t="shared" si="278"/>
        <v>1.0000000000000009</v>
      </c>
      <c r="L5907" s="27"/>
      <c r="M5907" s="28"/>
      <c r="N5907" s="28"/>
      <c r="O5907" s="20" t="s">
        <v>7530</v>
      </c>
      <c r="P5907" s="27" t="str">
        <f t="shared" si="277"/>
        <v>vermelho</v>
      </c>
    </row>
    <row r="5908" spans="1:16" ht="25.5">
      <c r="A5908" s="3" t="s">
        <v>4</v>
      </c>
      <c r="B5908" s="3" t="s">
        <v>4727</v>
      </c>
      <c r="C5908" s="4">
        <v>315</v>
      </c>
      <c r="D5908" s="3" t="s">
        <v>63</v>
      </c>
      <c r="E5908" s="3" t="s">
        <v>7</v>
      </c>
      <c r="F5908" s="5">
        <v>96</v>
      </c>
      <c r="G5908" s="5">
        <v>0</v>
      </c>
      <c r="H5908" s="6">
        <v>5393.04</v>
      </c>
      <c r="I5908" s="22">
        <v>0</v>
      </c>
      <c r="J5908" s="24">
        <f t="shared" si="276"/>
        <v>0</v>
      </c>
      <c r="K5908" s="25">
        <f t="shared" si="278"/>
        <v>1.0000000000000009</v>
      </c>
      <c r="L5908" s="27"/>
      <c r="M5908" s="28"/>
      <c r="N5908" s="28"/>
      <c r="O5908" s="20" t="s">
        <v>7530</v>
      </c>
      <c r="P5908" s="27" t="str">
        <f t="shared" si="277"/>
        <v>vermelho</v>
      </c>
    </row>
    <row r="5909" spans="1:16" ht="25.5">
      <c r="A5909" s="3" t="s">
        <v>4</v>
      </c>
      <c r="B5909" s="3" t="s">
        <v>4728</v>
      </c>
      <c r="C5909" s="4">
        <v>273</v>
      </c>
      <c r="D5909" s="3" t="s">
        <v>149</v>
      </c>
      <c r="E5909" s="3" t="s">
        <v>16</v>
      </c>
      <c r="F5909" s="5">
        <v>162</v>
      </c>
      <c r="G5909" s="5">
        <v>0</v>
      </c>
      <c r="H5909" s="6">
        <v>7525.98</v>
      </c>
      <c r="I5909" s="22">
        <v>0</v>
      </c>
      <c r="J5909" s="24">
        <f t="shared" si="276"/>
        <v>0</v>
      </c>
      <c r="K5909" s="25">
        <f t="shared" si="278"/>
        <v>1.0000000000000009</v>
      </c>
      <c r="L5909" s="27"/>
      <c r="M5909" s="28"/>
      <c r="N5909" s="28"/>
      <c r="O5909" s="20">
        <v>1942.92</v>
      </c>
      <c r="P5909" s="27" t="str">
        <f t="shared" si="277"/>
        <v>vermelho</v>
      </c>
    </row>
    <row r="5910" spans="1:16" ht="25.5">
      <c r="A5910" s="3" t="s">
        <v>4</v>
      </c>
      <c r="B5910" s="3" t="s">
        <v>4729</v>
      </c>
      <c r="C5910" s="4">
        <v>328</v>
      </c>
      <c r="D5910" s="3" t="s">
        <v>215</v>
      </c>
      <c r="E5910" s="3" t="s">
        <v>41</v>
      </c>
      <c r="F5910" s="5">
        <v>72</v>
      </c>
      <c r="G5910" s="5">
        <v>0</v>
      </c>
      <c r="H5910" s="6">
        <v>3803.28</v>
      </c>
      <c r="I5910" s="22">
        <v>0</v>
      </c>
      <c r="J5910" s="24">
        <f t="shared" si="276"/>
        <v>0</v>
      </c>
      <c r="K5910" s="25">
        <f t="shared" si="278"/>
        <v>1.0000000000000009</v>
      </c>
      <c r="L5910" s="27"/>
      <c r="M5910" s="28"/>
      <c r="N5910" s="28"/>
      <c r="O5910" s="20" t="s">
        <v>7530</v>
      </c>
      <c r="P5910" s="27" t="str">
        <f t="shared" si="277"/>
        <v>vermelho</v>
      </c>
    </row>
    <row r="5911" spans="1:16" ht="25.5">
      <c r="A5911" s="3" t="s">
        <v>4</v>
      </c>
      <c r="B5911" s="3" t="s">
        <v>4730</v>
      </c>
      <c r="C5911" s="4">
        <v>15</v>
      </c>
      <c r="D5911" s="3" t="s">
        <v>18</v>
      </c>
      <c r="E5911" s="3" t="s">
        <v>16</v>
      </c>
      <c r="F5911" s="5">
        <v>156</v>
      </c>
      <c r="G5911" s="5">
        <v>0</v>
      </c>
      <c r="H5911" s="6">
        <v>6352.56</v>
      </c>
      <c r="I5911" s="22">
        <v>0</v>
      </c>
      <c r="J5911" s="24">
        <f t="shared" si="276"/>
        <v>0</v>
      </c>
      <c r="K5911" s="25">
        <f t="shared" si="278"/>
        <v>1.0000000000000009</v>
      </c>
      <c r="L5911" s="27"/>
      <c r="M5911" s="28"/>
      <c r="N5911" s="28"/>
      <c r="O5911" s="20" t="s">
        <v>7530</v>
      </c>
      <c r="P5911" s="27" t="str">
        <f t="shared" si="277"/>
        <v>vermelho</v>
      </c>
    </row>
    <row r="5912" spans="1:16" ht="25.5">
      <c r="A5912" s="3" t="s">
        <v>4</v>
      </c>
      <c r="B5912" s="3" t="s">
        <v>4731</v>
      </c>
      <c r="C5912" s="4">
        <v>208</v>
      </c>
      <c r="D5912" s="3" t="s">
        <v>15</v>
      </c>
      <c r="E5912" s="3" t="s">
        <v>16</v>
      </c>
      <c r="F5912" s="5">
        <v>156</v>
      </c>
      <c r="G5912" s="5">
        <v>0</v>
      </c>
      <c r="H5912" s="6">
        <v>9857.2800000000007</v>
      </c>
      <c r="I5912" s="22">
        <v>0</v>
      </c>
      <c r="J5912" s="24">
        <f t="shared" si="276"/>
        <v>0</v>
      </c>
      <c r="K5912" s="25">
        <f t="shared" si="278"/>
        <v>1.0000000000000009</v>
      </c>
      <c r="L5912" s="27"/>
      <c r="M5912" s="28"/>
      <c r="N5912" s="28"/>
      <c r="O5912" s="20" t="s">
        <v>7530</v>
      </c>
      <c r="P5912" s="27" t="str">
        <f t="shared" si="277"/>
        <v>vermelho</v>
      </c>
    </row>
    <row r="5913" spans="1:16" ht="38.25">
      <c r="A5913" s="3" t="s">
        <v>4</v>
      </c>
      <c r="B5913" s="3" t="s">
        <v>4732</v>
      </c>
      <c r="C5913" s="4">
        <v>371</v>
      </c>
      <c r="D5913" s="3" t="s">
        <v>82</v>
      </c>
      <c r="E5913" s="3" t="s">
        <v>49</v>
      </c>
      <c r="F5913" s="5">
        <v>84</v>
      </c>
      <c r="G5913" s="5">
        <v>0</v>
      </c>
      <c r="H5913" s="6">
        <v>4453.2</v>
      </c>
      <c r="I5913" s="22">
        <v>0</v>
      </c>
      <c r="J5913" s="24">
        <f t="shared" si="276"/>
        <v>0</v>
      </c>
      <c r="K5913" s="25">
        <f t="shared" si="278"/>
        <v>1.0000000000000009</v>
      </c>
      <c r="L5913" s="27"/>
      <c r="M5913" s="28"/>
      <c r="N5913" s="28"/>
      <c r="O5913" s="20" t="s">
        <v>7530</v>
      </c>
      <c r="P5913" s="27" t="str">
        <f t="shared" si="277"/>
        <v>vermelho</v>
      </c>
    </row>
    <row r="5914" spans="1:16" ht="25.5">
      <c r="A5914" s="3" t="s">
        <v>4</v>
      </c>
      <c r="B5914" s="3" t="s">
        <v>4733</v>
      </c>
      <c r="C5914" s="4">
        <v>61</v>
      </c>
      <c r="D5914" s="3" t="s">
        <v>48</v>
      </c>
      <c r="E5914" s="3" t="s">
        <v>49</v>
      </c>
      <c r="F5914" s="5">
        <v>84</v>
      </c>
      <c r="G5914" s="5">
        <v>0</v>
      </c>
      <c r="H5914" s="6">
        <v>3695.16</v>
      </c>
      <c r="I5914" s="22">
        <v>0</v>
      </c>
      <c r="J5914" s="24">
        <f t="shared" si="276"/>
        <v>0</v>
      </c>
      <c r="K5914" s="25">
        <f t="shared" si="278"/>
        <v>1.0000000000000009</v>
      </c>
      <c r="L5914" s="27"/>
      <c r="M5914" s="28"/>
      <c r="N5914" s="28"/>
      <c r="O5914" s="20" t="s">
        <v>7530</v>
      </c>
      <c r="P5914" s="27" t="str">
        <f t="shared" si="277"/>
        <v>vermelho</v>
      </c>
    </row>
    <row r="5915" spans="1:16" ht="25.5">
      <c r="A5915" s="3" t="s">
        <v>4</v>
      </c>
      <c r="B5915" s="3" t="s">
        <v>4734</v>
      </c>
      <c r="C5915" s="4">
        <v>273</v>
      </c>
      <c r="D5915" s="3" t="s">
        <v>149</v>
      </c>
      <c r="E5915" s="3" t="s">
        <v>10</v>
      </c>
      <c r="F5915" s="5">
        <v>558</v>
      </c>
      <c r="G5915" s="5">
        <v>0</v>
      </c>
      <c r="H5915" s="6">
        <v>31975.08</v>
      </c>
      <c r="I5915" s="22">
        <v>0</v>
      </c>
      <c r="J5915" s="24">
        <f t="shared" si="276"/>
        <v>0</v>
      </c>
      <c r="K5915" s="25">
        <f t="shared" si="278"/>
        <v>1.0000000000000009</v>
      </c>
      <c r="L5915" s="27"/>
      <c r="M5915" s="28"/>
      <c r="N5915" s="28"/>
      <c r="O5915" s="20" t="s">
        <v>7530</v>
      </c>
      <c r="P5915" s="27" t="str">
        <f t="shared" si="277"/>
        <v>vermelho</v>
      </c>
    </row>
    <row r="5916" spans="1:16" ht="25.5">
      <c r="A5916" s="3" t="s">
        <v>4</v>
      </c>
      <c r="B5916" s="3" t="s">
        <v>4734</v>
      </c>
      <c r="C5916" s="4">
        <v>273</v>
      </c>
      <c r="D5916" s="3" t="s">
        <v>149</v>
      </c>
      <c r="E5916" s="3" t="s">
        <v>41</v>
      </c>
      <c r="F5916" s="5">
        <v>66</v>
      </c>
      <c r="G5916" s="5">
        <v>0</v>
      </c>
      <c r="H5916" s="6">
        <v>4834.62</v>
      </c>
      <c r="I5916" s="22">
        <v>0</v>
      </c>
      <c r="J5916" s="24">
        <f t="shared" si="276"/>
        <v>0</v>
      </c>
      <c r="K5916" s="25">
        <f t="shared" si="278"/>
        <v>1.0000000000000009</v>
      </c>
      <c r="L5916" s="27"/>
      <c r="M5916" s="28"/>
      <c r="N5916" s="28"/>
      <c r="O5916" s="20" t="s">
        <v>7530</v>
      </c>
      <c r="P5916" s="27" t="str">
        <f t="shared" si="277"/>
        <v>vermelho</v>
      </c>
    </row>
    <row r="5917" spans="1:16" ht="25.5">
      <c r="A5917" s="3" t="s">
        <v>4</v>
      </c>
      <c r="B5917" s="3" t="s">
        <v>4735</v>
      </c>
      <c r="C5917" s="4">
        <v>93</v>
      </c>
      <c r="D5917" s="3" t="s">
        <v>20</v>
      </c>
      <c r="E5917" s="3" t="s">
        <v>7</v>
      </c>
      <c r="F5917" s="5">
        <v>120</v>
      </c>
      <c r="G5917" s="5">
        <v>0</v>
      </c>
      <c r="H5917" s="6">
        <v>5964.3</v>
      </c>
      <c r="I5917" s="22">
        <v>0</v>
      </c>
      <c r="J5917" s="24">
        <f t="shared" si="276"/>
        <v>0</v>
      </c>
      <c r="K5917" s="25">
        <f t="shared" si="278"/>
        <v>1.0000000000000009</v>
      </c>
      <c r="L5917" s="27"/>
      <c r="M5917" s="28"/>
      <c r="N5917" s="28"/>
      <c r="O5917" s="20" t="s">
        <v>7530</v>
      </c>
      <c r="P5917" s="27" t="str">
        <f t="shared" si="277"/>
        <v>vermelho</v>
      </c>
    </row>
    <row r="5918" spans="1:16" ht="25.5">
      <c r="A5918" s="3" t="s">
        <v>4</v>
      </c>
      <c r="B5918" s="3" t="s">
        <v>4736</v>
      </c>
      <c r="C5918" s="4">
        <v>266</v>
      </c>
      <c r="D5918" s="3" t="s">
        <v>80</v>
      </c>
      <c r="E5918" s="3" t="s">
        <v>10</v>
      </c>
      <c r="F5918" s="5">
        <v>780</v>
      </c>
      <c r="G5918" s="5">
        <v>0</v>
      </c>
      <c r="H5918" s="6">
        <v>47608.95</v>
      </c>
      <c r="I5918" s="22">
        <v>0</v>
      </c>
      <c r="J5918" s="24">
        <f t="shared" si="276"/>
        <v>0</v>
      </c>
      <c r="K5918" s="25">
        <f t="shared" si="278"/>
        <v>1.0000000000000009</v>
      </c>
      <c r="L5918" s="27"/>
      <c r="M5918" s="28"/>
      <c r="N5918" s="28"/>
      <c r="O5918" s="20" t="s">
        <v>7530</v>
      </c>
      <c r="P5918" s="27" t="str">
        <f t="shared" si="277"/>
        <v>vermelho</v>
      </c>
    </row>
    <row r="5919" spans="1:16" ht="25.5">
      <c r="A5919" s="3" t="s">
        <v>4</v>
      </c>
      <c r="B5919" s="3" t="s">
        <v>4737</v>
      </c>
      <c r="C5919" s="4">
        <v>53</v>
      </c>
      <c r="D5919" s="3" t="s">
        <v>34</v>
      </c>
      <c r="E5919" s="3" t="s">
        <v>16</v>
      </c>
      <c r="F5919" s="5">
        <v>534</v>
      </c>
      <c r="G5919" s="5">
        <v>0</v>
      </c>
      <c r="H5919" s="6">
        <v>31012.14</v>
      </c>
      <c r="I5919" s="22">
        <v>0</v>
      </c>
      <c r="J5919" s="24">
        <f t="shared" si="276"/>
        <v>0</v>
      </c>
      <c r="K5919" s="25">
        <f t="shared" si="278"/>
        <v>1.0000000000000009</v>
      </c>
      <c r="L5919" s="27"/>
      <c r="M5919" s="28"/>
      <c r="N5919" s="28"/>
      <c r="O5919" s="20" t="s">
        <v>7530</v>
      </c>
      <c r="P5919" s="27" t="str">
        <f t="shared" si="277"/>
        <v>vermelho</v>
      </c>
    </row>
    <row r="5920" spans="1:16" ht="25.5">
      <c r="A5920" s="3" t="s">
        <v>4</v>
      </c>
      <c r="B5920" s="3" t="s">
        <v>4738</v>
      </c>
      <c r="C5920" s="4">
        <v>208</v>
      </c>
      <c r="D5920" s="3" t="s">
        <v>15</v>
      </c>
      <c r="E5920" s="3" t="s">
        <v>16</v>
      </c>
      <c r="F5920" s="5">
        <v>360</v>
      </c>
      <c r="G5920" s="5">
        <v>0</v>
      </c>
      <c r="H5920" s="6">
        <v>19219.080000000002</v>
      </c>
      <c r="I5920" s="22">
        <v>0</v>
      </c>
      <c r="J5920" s="24">
        <f t="shared" si="276"/>
        <v>0</v>
      </c>
      <c r="K5920" s="25">
        <f t="shared" si="278"/>
        <v>1.0000000000000009</v>
      </c>
      <c r="L5920" s="27"/>
      <c r="M5920" s="28"/>
      <c r="N5920" s="28"/>
      <c r="O5920" s="20" t="s">
        <v>7530</v>
      </c>
      <c r="P5920" s="27" t="str">
        <f t="shared" si="277"/>
        <v>vermelho</v>
      </c>
    </row>
    <row r="5921" spans="1:16" ht="38.25">
      <c r="A5921" s="3" t="s">
        <v>4</v>
      </c>
      <c r="B5921" s="3" t="s">
        <v>4739</v>
      </c>
      <c r="C5921" s="4">
        <v>328</v>
      </c>
      <c r="D5921" s="3" t="s">
        <v>215</v>
      </c>
      <c r="E5921" s="3" t="s">
        <v>41</v>
      </c>
      <c r="F5921" s="5">
        <v>270</v>
      </c>
      <c r="G5921" s="5">
        <v>0</v>
      </c>
      <c r="H5921" s="6">
        <v>17494.38</v>
      </c>
      <c r="I5921" s="22">
        <v>0</v>
      </c>
      <c r="J5921" s="24">
        <f t="shared" si="276"/>
        <v>0</v>
      </c>
      <c r="K5921" s="25">
        <f t="shared" si="278"/>
        <v>1.0000000000000009</v>
      </c>
      <c r="L5921" s="27"/>
      <c r="M5921" s="28"/>
      <c r="N5921" s="28"/>
      <c r="O5921" s="20" t="s">
        <v>7530</v>
      </c>
      <c r="P5921" s="27" t="str">
        <f t="shared" si="277"/>
        <v>vermelho</v>
      </c>
    </row>
    <row r="5922" spans="1:16" ht="25.5">
      <c r="A5922" s="3" t="s">
        <v>4</v>
      </c>
      <c r="B5922" s="3" t="s">
        <v>4740</v>
      </c>
      <c r="C5922" s="4">
        <v>197</v>
      </c>
      <c r="D5922" s="3" t="s">
        <v>66</v>
      </c>
      <c r="E5922" s="3" t="s">
        <v>41</v>
      </c>
      <c r="F5922" s="5">
        <v>276</v>
      </c>
      <c r="G5922" s="5">
        <v>0</v>
      </c>
      <c r="H5922" s="6">
        <v>14513.52</v>
      </c>
      <c r="I5922" s="22">
        <v>0</v>
      </c>
      <c r="J5922" s="24">
        <f t="shared" si="276"/>
        <v>0</v>
      </c>
      <c r="K5922" s="25">
        <f t="shared" si="278"/>
        <v>1.0000000000000009</v>
      </c>
      <c r="L5922" s="27"/>
      <c r="M5922" s="28"/>
      <c r="N5922" s="28"/>
      <c r="O5922" s="20" t="s">
        <v>7530</v>
      </c>
      <c r="P5922" s="27" t="str">
        <f t="shared" si="277"/>
        <v>vermelho</v>
      </c>
    </row>
    <row r="5923" spans="1:16" ht="25.5">
      <c r="A5923" s="3" t="s">
        <v>4</v>
      </c>
      <c r="B5923" s="3" t="s">
        <v>4741</v>
      </c>
      <c r="C5923" s="4">
        <v>15</v>
      </c>
      <c r="D5923" s="3" t="s">
        <v>18</v>
      </c>
      <c r="E5923" s="3" t="s">
        <v>16</v>
      </c>
      <c r="F5923" s="5">
        <v>180</v>
      </c>
      <c r="G5923" s="5">
        <v>0</v>
      </c>
      <c r="H5923" s="6">
        <v>9654.06</v>
      </c>
      <c r="I5923" s="22">
        <v>0</v>
      </c>
      <c r="J5923" s="24">
        <f t="shared" si="276"/>
        <v>0</v>
      </c>
      <c r="K5923" s="25">
        <f t="shared" si="278"/>
        <v>1.0000000000000009</v>
      </c>
      <c r="L5923" s="27"/>
      <c r="M5923" s="28"/>
      <c r="N5923" s="28"/>
      <c r="O5923" s="20" t="s">
        <v>7530</v>
      </c>
      <c r="P5923" s="27" t="str">
        <f t="shared" si="277"/>
        <v>vermelho</v>
      </c>
    </row>
    <row r="5924" spans="1:16" ht="38.25">
      <c r="A5924" s="3" t="s">
        <v>4</v>
      </c>
      <c r="B5924" s="3" t="s">
        <v>4742</v>
      </c>
      <c r="C5924" s="4">
        <v>45</v>
      </c>
      <c r="D5924" s="3" t="s">
        <v>23</v>
      </c>
      <c r="E5924" s="3" t="s">
        <v>7</v>
      </c>
      <c r="F5924" s="5">
        <v>84</v>
      </c>
      <c r="G5924" s="5">
        <v>0</v>
      </c>
      <c r="H5924" s="6">
        <v>4319.16</v>
      </c>
      <c r="I5924" s="22">
        <v>0</v>
      </c>
      <c r="J5924" s="24">
        <f t="shared" si="276"/>
        <v>0</v>
      </c>
      <c r="K5924" s="25">
        <f t="shared" si="278"/>
        <v>1.0000000000000009</v>
      </c>
      <c r="L5924" s="27"/>
      <c r="M5924" s="28"/>
      <c r="N5924" s="28"/>
      <c r="O5924" s="20" t="s">
        <v>7530</v>
      </c>
      <c r="P5924" s="27" t="str">
        <f t="shared" si="277"/>
        <v>vermelho</v>
      </c>
    </row>
    <row r="5925" spans="1:16" ht="25.5">
      <c r="A5925" s="3" t="s">
        <v>4</v>
      </c>
      <c r="B5925" s="3" t="s">
        <v>4743</v>
      </c>
      <c r="C5925" s="4">
        <v>93</v>
      </c>
      <c r="D5925" s="3" t="s">
        <v>20</v>
      </c>
      <c r="E5925" s="3" t="s">
        <v>7</v>
      </c>
      <c r="F5925" s="5">
        <v>60</v>
      </c>
      <c r="G5925" s="5">
        <v>0</v>
      </c>
      <c r="H5925" s="6">
        <v>3101.69</v>
      </c>
      <c r="I5925" s="22">
        <v>0</v>
      </c>
      <c r="J5925" s="24">
        <f t="shared" si="276"/>
        <v>0</v>
      </c>
      <c r="K5925" s="25">
        <f t="shared" si="278"/>
        <v>1.0000000000000009</v>
      </c>
      <c r="L5925" s="27"/>
      <c r="M5925" s="28"/>
      <c r="N5925" s="28"/>
      <c r="O5925" s="20" t="s">
        <v>7530</v>
      </c>
      <c r="P5925" s="27" t="str">
        <f t="shared" si="277"/>
        <v>vermelho</v>
      </c>
    </row>
    <row r="5926" spans="1:16" ht="38.25">
      <c r="A5926" s="3" t="s">
        <v>4</v>
      </c>
      <c r="B5926" s="3" t="s">
        <v>4744</v>
      </c>
      <c r="C5926" s="4">
        <v>34</v>
      </c>
      <c r="D5926" s="3" t="s">
        <v>54</v>
      </c>
      <c r="E5926" s="3" t="s">
        <v>49</v>
      </c>
      <c r="F5926" s="5">
        <v>867</v>
      </c>
      <c r="G5926" s="5">
        <v>0</v>
      </c>
      <c r="H5926" s="6">
        <v>51805.26</v>
      </c>
      <c r="I5926" s="22">
        <v>0</v>
      </c>
      <c r="J5926" s="24">
        <f t="shared" si="276"/>
        <v>0</v>
      </c>
      <c r="K5926" s="25">
        <f t="shared" si="278"/>
        <v>1.0000000000000009</v>
      </c>
      <c r="L5926" s="27"/>
      <c r="M5926" s="28"/>
      <c r="N5926" s="28"/>
      <c r="O5926" s="20" t="s">
        <v>7530</v>
      </c>
      <c r="P5926" s="27" t="str">
        <f t="shared" si="277"/>
        <v>vermelho</v>
      </c>
    </row>
    <row r="5927" spans="1:16">
      <c r="A5927" s="3" t="s">
        <v>4</v>
      </c>
      <c r="B5927" s="3" t="s">
        <v>4745</v>
      </c>
      <c r="C5927" s="4">
        <v>315</v>
      </c>
      <c r="D5927" s="3" t="s">
        <v>63</v>
      </c>
      <c r="E5927" s="3" t="s">
        <v>7</v>
      </c>
      <c r="F5927" s="5">
        <v>48</v>
      </c>
      <c r="G5927" s="5">
        <v>0</v>
      </c>
      <c r="H5927" s="6">
        <v>2841.36</v>
      </c>
      <c r="I5927" s="22">
        <v>0</v>
      </c>
      <c r="J5927" s="24">
        <f t="shared" si="276"/>
        <v>0</v>
      </c>
      <c r="K5927" s="25">
        <f t="shared" si="278"/>
        <v>1.0000000000000009</v>
      </c>
      <c r="L5927" s="27"/>
      <c r="M5927" s="28"/>
      <c r="N5927" s="28"/>
      <c r="O5927" s="20" t="s">
        <v>7530</v>
      </c>
      <c r="P5927" s="27" t="str">
        <f t="shared" si="277"/>
        <v>vermelho</v>
      </c>
    </row>
    <row r="5928" spans="1:16">
      <c r="A5928" s="3" t="s">
        <v>4</v>
      </c>
      <c r="B5928" s="3" t="s">
        <v>4746</v>
      </c>
      <c r="C5928" s="4">
        <v>315</v>
      </c>
      <c r="D5928" s="3" t="s">
        <v>63</v>
      </c>
      <c r="E5928" s="3" t="s">
        <v>7</v>
      </c>
      <c r="F5928" s="5">
        <v>366</v>
      </c>
      <c r="G5928" s="5">
        <v>0</v>
      </c>
      <c r="H5928" s="6">
        <v>20507.34</v>
      </c>
      <c r="I5928" s="22">
        <v>0</v>
      </c>
      <c r="J5928" s="24">
        <f t="shared" si="276"/>
        <v>0</v>
      </c>
      <c r="K5928" s="25">
        <f t="shared" si="278"/>
        <v>1.0000000000000009</v>
      </c>
      <c r="L5928" s="27"/>
      <c r="M5928" s="28"/>
      <c r="N5928" s="28"/>
      <c r="O5928" s="20" t="s">
        <v>7530</v>
      </c>
      <c r="P5928" s="27" t="str">
        <f t="shared" si="277"/>
        <v>vermelho</v>
      </c>
    </row>
    <row r="5929" spans="1:16" ht="25.5">
      <c r="A5929" s="3" t="s">
        <v>4</v>
      </c>
      <c r="B5929" s="3" t="s">
        <v>4747</v>
      </c>
      <c r="C5929" s="4">
        <v>296</v>
      </c>
      <c r="D5929" s="3" t="s">
        <v>282</v>
      </c>
      <c r="E5929" s="3" t="s">
        <v>10</v>
      </c>
      <c r="F5929" s="5">
        <v>405</v>
      </c>
      <c r="G5929" s="5">
        <v>0</v>
      </c>
      <c r="H5929" s="6">
        <v>23325</v>
      </c>
      <c r="I5929" s="22">
        <v>0</v>
      </c>
      <c r="J5929" s="24">
        <f t="shared" si="276"/>
        <v>0</v>
      </c>
      <c r="K5929" s="25">
        <f t="shared" si="278"/>
        <v>1.0000000000000009</v>
      </c>
      <c r="L5929" s="27"/>
      <c r="M5929" s="28"/>
      <c r="N5929" s="28"/>
      <c r="O5929" s="20" t="s">
        <v>7530</v>
      </c>
      <c r="P5929" s="27" t="str">
        <f t="shared" si="277"/>
        <v>vermelho</v>
      </c>
    </row>
    <row r="5930" spans="1:16" ht="25.5">
      <c r="A5930" s="3" t="s">
        <v>4</v>
      </c>
      <c r="B5930" s="3" t="s">
        <v>4748</v>
      </c>
      <c r="C5930" s="4">
        <v>61</v>
      </c>
      <c r="D5930" s="3" t="s">
        <v>48</v>
      </c>
      <c r="E5930" s="3" t="s">
        <v>49</v>
      </c>
      <c r="F5930" s="5">
        <v>120</v>
      </c>
      <c r="G5930" s="5">
        <v>0</v>
      </c>
      <c r="H5930" s="6">
        <v>7006.56</v>
      </c>
      <c r="I5930" s="22">
        <v>0</v>
      </c>
      <c r="J5930" s="24">
        <f t="shared" si="276"/>
        <v>0</v>
      </c>
      <c r="K5930" s="25">
        <f t="shared" si="278"/>
        <v>1.0000000000000009</v>
      </c>
      <c r="L5930" s="27"/>
      <c r="M5930" s="28"/>
      <c r="N5930" s="28"/>
      <c r="O5930" s="20" t="s">
        <v>7530</v>
      </c>
      <c r="P5930" s="27" t="str">
        <f t="shared" si="277"/>
        <v>vermelho</v>
      </c>
    </row>
    <row r="5931" spans="1:16" ht="25.5">
      <c r="A5931" s="3" t="s">
        <v>4</v>
      </c>
      <c r="B5931" s="3" t="s">
        <v>4749</v>
      </c>
      <c r="C5931" s="4">
        <v>273</v>
      </c>
      <c r="D5931" s="3" t="s">
        <v>149</v>
      </c>
      <c r="E5931" s="3" t="s">
        <v>16</v>
      </c>
      <c r="F5931" s="5">
        <v>105</v>
      </c>
      <c r="G5931" s="5">
        <v>0</v>
      </c>
      <c r="H5931" s="6">
        <v>4792.17</v>
      </c>
      <c r="I5931" s="22">
        <v>0</v>
      </c>
      <c r="J5931" s="24">
        <f t="shared" si="276"/>
        <v>0</v>
      </c>
      <c r="K5931" s="25">
        <f t="shared" si="278"/>
        <v>1.0000000000000009</v>
      </c>
      <c r="L5931" s="27"/>
      <c r="M5931" s="28"/>
      <c r="N5931" s="28"/>
      <c r="O5931" s="20" t="s">
        <v>7530</v>
      </c>
      <c r="P5931" s="27" t="str">
        <f t="shared" si="277"/>
        <v>vermelho</v>
      </c>
    </row>
    <row r="5932" spans="1:16" ht="25.5">
      <c r="A5932" s="3" t="s">
        <v>4</v>
      </c>
      <c r="B5932" s="3" t="s">
        <v>4750</v>
      </c>
      <c r="C5932" s="4">
        <v>321</v>
      </c>
      <c r="D5932" s="3" t="s">
        <v>136</v>
      </c>
      <c r="E5932" s="3" t="s">
        <v>41</v>
      </c>
      <c r="F5932" s="5">
        <v>84</v>
      </c>
      <c r="G5932" s="5">
        <v>0</v>
      </c>
      <c r="H5932" s="6">
        <v>4922.16</v>
      </c>
      <c r="I5932" s="22">
        <v>0</v>
      </c>
      <c r="J5932" s="24">
        <f t="shared" si="276"/>
        <v>0</v>
      </c>
      <c r="K5932" s="25">
        <f t="shared" si="278"/>
        <v>1.0000000000000009</v>
      </c>
      <c r="L5932" s="27"/>
      <c r="M5932" s="28"/>
      <c r="N5932" s="28"/>
      <c r="O5932" s="20" t="s">
        <v>7530</v>
      </c>
      <c r="P5932" s="27" t="str">
        <f t="shared" si="277"/>
        <v>vermelho</v>
      </c>
    </row>
    <row r="5933" spans="1:16" ht="38.25">
      <c r="A5933" s="3" t="s">
        <v>4</v>
      </c>
      <c r="B5933" s="3" t="s">
        <v>4751</v>
      </c>
      <c r="C5933" s="4">
        <v>38</v>
      </c>
      <c r="D5933" s="3" t="s">
        <v>184</v>
      </c>
      <c r="E5933" s="3" t="s">
        <v>49</v>
      </c>
      <c r="F5933" s="5">
        <v>174</v>
      </c>
      <c r="G5933" s="5">
        <v>0</v>
      </c>
      <c r="H5933" s="6">
        <v>10623.37</v>
      </c>
      <c r="I5933" s="22">
        <v>0</v>
      </c>
      <c r="J5933" s="24">
        <f t="shared" si="276"/>
        <v>0</v>
      </c>
      <c r="K5933" s="25">
        <f t="shared" si="278"/>
        <v>1.0000000000000009</v>
      </c>
      <c r="L5933" s="27"/>
      <c r="M5933" s="28"/>
      <c r="N5933" s="28"/>
      <c r="O5933" s="20" t="s">
        <v>7530</v>
      </c>
      <c r="P5933" s="27" t="str">
        <f t="shared" si="277"/>
        <v>vermelho</v>
      </c>
    </row>
    <row r="5934" spans="1:16">
      <c r="A5934" s="3" t="s">
        <v>4</v>
      </c>
      <c r="B5934" s="3" t="s">
        <v>4752</v>
      </c>
      <c r="C5934" s="4">
        <v>15</v>
      </c>
      <c r="D5934" s="3" t="s">
        <v>18</v>
      </c>
      <c r="E5934" s="3" t="s">
        <v>16</v>
      </c>
      <c r="F5934" s="5">
        <v>132</v>
      </c>
      <c r="G5934" s="5">
        <v>0</v>
      </c>
      <c r="H5934" s="6">
        <v>7487.76</v>
      </c>
      <c r="I5934" s="22">
        <v>0</v>
      </c>
      <c r="J5934" s="24">
        <f t="shared" si="276"/>
        <v>0</v>
      </c>
      <c r="K5934" s="25">
        <f t="shared" si="278"/>
        <v>1.0000000000000009</v>
      </c>
      <c r="L5934" s="27"/>
      <c r="M5934" s="28"/>
      <c r="N5934" s="28"/>
      <c r="O5934" s="20" t="s">
        <v>7530</v>
      </c>
      <c r="P5934" s="27" t="str">
        <f t="shared" si="277"/>
        <v>vermelho</v>
      </c>
    </row>
    <row r="5935" spans="1:16" ht="25.5">
      <c r="A5935" s="3" t="s">
        <v>4</v>
      </c>
      <c r="B5935" s="3" t="s">
        <v>4753</v>
      </c>
      <c r="C5935" s="4">
        <v>327</v>
      </c>
      <c r="D5935" s="3" t="s">
        <v>100</v>
      </c>
      <c r="E5935" s="3" t="s">
        <v>7</v>
      </c>
      <c r="F5935" s="5">
        <v>108</v>
      </c>
      <c r="G5935" s="5">
        <v>0</v>
      </c>
      <c r="H5935" s="6">
        <v>6831.06</v>
      </c>
      <c r="I5935" s="22">
        <v>0</v>
      </c>
      <c r="J5935" s="24">
        <f t="shared" si="276"/>
        <v>0</v>
      </c>
      <c r="K5935" s="25">
        <f t="shared" si="278"/>
        <v>1.0000000000000009</v>
      </c>
      <c r="L5935" s="27"/>
      <c r="M5935" s="28"/>
      <c r="N5935" s="28"/>
      <c r="O5935" s="20">
        <v>6007.65</v>
      </c>
      <c r="P5935" s="27" t="str">
        <f t="shared" si="277"/>
        <v>vermelho</v>
      </c>
    </row>
    <row r="5936" spans="1:16" ht="38.25">
      <c r="A5936" s="3" t="s">
        <v>4</v>
      </c>
      <c r="B5936" s="3" t="s">
        <v>4754</v>
      </c>
      <c r="C5936" s="4">
        <v>292</v>
      </c>
      <c r="D5936" s="3" t="s">
        <v>57</v>
      </c>
      <c r="E5936" s="3" t="s">
        <v>49</v>
      </c>
      <c r="F5936" s="5">
        <v>72</v>
      </c>
      <c r="G5936" s="5">
        <v>0</v>
      </c>
      <c r="H5936" s="6">
        <v>3270.0239999999999</v>
      </c>
      <c r="I5936" s="22">
        <v>0</v>
      </c>
      <c r="J5936" s="24">
        <f t="shared" si="276"/>
        <v>0</v>
      </c>
      <c r="K5936" s="25">
        <f t="shared" si="278"/>
        <v>1.0000000000000009</v>
      </c>
      <c r="L5936" s="27"/>
      <c r="M5936" s="28"/>
      <c r="N5936" s="28"/>
      <c r="O5936" s="20" t="s">
        <v>7530</v>
      </c>
      <c r="P5936" s="27" t="str">
        <f t="shared" si="277"/>
        <v>vermelho</v>
      </c>
    </row>
    <row r="5937" spans="1:16" ht="38.25">
      <c r="A5937" s="3" t="s">
        <v>4</v>
      </c>
      <c r="B5937" s="3" t="s">
        <v>4755</v>
      </c>
      <c r="C5937" s="4">
        <v>11</v>
      </c>
      <c r="D5937" s="3" t="s">
        <v>61</v>
      </c>
      <c r="E5937" s="3" t="s">
        <v>10</v>
      </c>
      <c r="F5937" s="5">
        <v>132</v>
      </c>
      <c r="G5937" s="5">
        <v>0</v>
      </c>
      <c r="H5937" s="6">
        <v>8819.4</v>
      </c>
      <c r="I5937" s="22">
        <v>0</v>
      </c>
      <c r="J5937" s="24">
        <f t="shared" si="276"/>
        <v>0</v>
      </c>
      <c r="K5937" s="25">
        <f t="shared" si="278"/>
        <v>1.0000000000000009</v>
      </c>
      <c r="L5937" s="27"/>
      <c r="M5937" s="28"/>
      <c r="N5937" s="28"/>
      <c r="O5937" s="20" t="s">
        <v>7530</v>
      </c>
      <c r="P5937" s="27" t="str">
        <f t="shared" si="277"/>
        <v>vermelho</v>
      </c>
    </row>
    <row r="5938" spans="1:16" ht="25.5">
      <c r="A5938" s="3" t="s">
        <v>4</v>
      </c>
      <c r="B5938" s="3" t="s">
        <v>4756</v>
      </c>
      <c r="C5938" s="4">
        <v>317</v>
      </c>
      <c r="D5938" s="3" t="s">
        <v>78</v>
      </c>
      <c r="E5938" s="3" t="s">
        <v>10</v>
      </c>
      <c r="F5938" s="5">
        <v>540</v>
      </c>
      <c r="G5938" s="5">
        <v>0</v>
      </c>
      <c r="H5938" s="6">
        <v>31338.6</v>
      </c>
      <c r="I5938" s="22">
        <v>0</v>
      </c>
      <c r="J5938" s="24">
        <f t="shared" si="276"/>
        <v>0</v>
      </c>
      <c r="K5938" s="25">
        <f t="shared" si="278"/>
        <v>1.0000000000000009</v>
      </c>
      <c r="L5938" s="27"/>
      <c r="M5938" s="28"/>
      <c r="N5938" s="28"/>
      <c r="O5938" s="20" t="s">
        <v>7530</v>
      </c>
      <c r="P5938" s="27" t="str">
        <f t="shared" si="277"/>
        <v>vermelho</v>
      </c>
    </row>
    <row r="5939" spans="1:16" ht="25.5">
      <c r="A5939" s="3" t="s">
        <v>4</v>
      </c>
      <c r="B5939" s="3" t="s">
        <v>4757</v>
      </c>
      <c r="C5939" s="4">
        <v>270</v>
      </c>
      <c r="D5939" s="3" t="s">
        <v>266</v>
      </c>
      <c r="E5939" s="3" t="s">
        <v>49</v>
      </c>
      <c r="F5939" s="5">
        <v>48</v>
      </c>
      <c r="G5939" s="5">
        <v>0</v>
      </c>
      <c r="H5939" s="6">
        <v>2939.52</v>
      </c>
      <c r="I5939" s="22">
        <v>0</v>
      </c>
      <c r="J5939" s="24">
        <f t="shared" si="276"/>
        <v>0</v>
      </c>
      <c r="K5939" s="25">
        <f t="shared" si="278"/>
        <v>1.0000000000000009</v>
      </c>
      <c r="L5939" s="27"/>
      <c r="M5939" s="28"/>
      <c r="N5939" s="28"/>
      <c r="O5939" s="20" t="s">
        <v>7530</v>
      </c>
      <c r="P5939" s="27" t="str">
        <f t="shared" si="277"/>
        <v>vermelho</v>
      </c>
    </row>
    <row r="5940" spans="1:16" ht="25.5">
      <c r="A5940" s="3" t="s">
        <v>4</v>
      </c>
      <c r="B5940" s="3" t="s">
        <v>4758</v>
      </c>
      <c r="C5940" s="4">
        <v>39</v>
      </c>
      <c r="D5940" s="3" t="s">
        <v>26</v>
      </c>
      <c r="E5940" s="3" t="s">
        <v>13</v>
      </c>
      <c r="F5940" s="5">
        <v>48</v>
      </c>
      <c r="G5940" s="5">
        <v>0</v>
      </c>
      <c r="H5940" s="6">
        <v>2504.64</v>
      </c>
      <c r="I5940" s="22">
        <v>0</v>
      </c>
      <c r="J5940" s="24">
        <f t="shared" si="276"/>
        <v>0</v>
      </c>
      <c r="K5940" s="25">
        <f t="shared" si="278"/>
        <v>1.0000000000000009</v>
      </c>
      <c r="L5940" s="27"/>
      <c r="M5940" s="28"/>
      <c r="N5940" s="28"/>
      <c r="O5940" s="20" t="s">
        <v>7530</v>
      </c>
      <c r="P5940" s="27" t="str">
        <f t="shared" si="277"/>
        <v>vermelho</v>
      </c>
    </row>
    <row r="5941" spans="1:16">
      <c r="A5941" s="3" t="s">
        <v>4</v>
      </c>
      <c r="B5941" s="3" t="s">
        <v>4759</v>
      </c>
      <c r="C5941" s="4">
        <v>232</v>
      </c>
      <c r="D5941" s="3" t="s">
        <v>174</v>
      </c>
      <c r="E5941" s="3" t="s">
        <v>16</v>
      </c>
      <c r="F5941" s="5">
        <v>120</v>
      </c>
      <c r="G5941" s="5">
        <v>0</v>
      </c>
      <c r="H5941" s="6">
        <v>6564</v>
      </c>
      <c r="I5941" s="22">
        <v>0</v>
      </c>
      <c r="J5941" s="24">
        <f t="shared" si="276"/>
        <v>0</v>
      </c>
      <c r="K5941" s="25">
        <f t="shared" si="278"/>
        <v>1.0000000000000009</v>
      </c>
      <c r="L5941" s="27"/>
      <c r="M5941" s="28"/>
      <c r="N5941" s="28"/>
      <c r="O5941" s="20" t="s">
        <v>7530</v>
      </c>
      <c r="P5941" s="27" t="str">
        <f t="shared" si="277"/>
        <v>vermelho</v>
      </c>
    </row>
    <row r="5942" spans="1:16" ht="25.5">
      <c r="A5942" s="3" t="s">
        <v>4</v>
      </c>
      <c r="B5942" s="3" t="s">
        <v>4760</v>
      </c>
      <c r="C5942" s="4">
        <v>266</v>
      </c>
      <c r="D5942" s="3" t="s">
        <v>80</v>
      </c>
      <c r="E5942" s="3" t="s">
        <v>10</v>
      </c>
      <c r="F5942" s="5">
        <v>393</v>
      </c>
      <c r="G5942" s="5">
        <v>0</v>
      </c>
      <c r="H5942" s="6">
        <v>24360.09</v>
      </c>
      <c r="I5942" s="22">
        <v>0</v>
      </c>
      <c r="J5942" s="24">
        <f t="shared" si="276"/>
        <v>0</v>
      </c>
      <c r="K5942" s="25">
        <f t="shared" si="278"/>
        <v>1.0000000000000009</v>
      </c>
      <c r="L5942" s="27"/>
      <c r="M5942" s="28"/>
      <c r="N5942" s="28"/>
      <c r="O5942" s="20" t="s">
        <v>7530</v>
      </c>
      <c r="P5942" s="27" t="str">
        <f t="shared" si="277"/>
        <v>vermelho</v>
      </c>
    </row>
    <row r="5943" spans="1:16" ht="38.25">
      <c r="A5943" s="3" t="s">
        <v>4</v>
      </c>
      <c r="B5943" s="3" t="s">
        <v>4761</v>
      </c>
      <c r="C5943" s="4">
        <v>371</v>
      </c>
      <c r="D5943" s="3" t="s">
        <v>82</v>
      </c>
      <c r="E5943" s="3" t="s">
        <v>49</v>
      </c>
      <c r="F5943" s="5">
        <v>480</v>
      </c>
      <c r="G5943" s="5">
        <v>0</v>
      </c>
      <c r="H5943" s="6">
        <v>25305.96</v>
      </c>
      <c r="I5943" s="22">
        <v>0</v>
      </c>
      <c r="J5943" s="24">
        <f t="shared" si="276"/>
        <v>0</v>
      </c>
      <c r="K5943" s="25">
        <f t="shared" si="278"/>
        <v>1.0000000000000009</v>
      </c>
      <c r="L5943" s="27"/>
      <c r="M5943" s="28"/>
      <c r="N5943" s="28"/>
      <c r="O5943" s="20" t="s">
        <v>7530</v>
      </c>
      <c r="P5943" s="27" t="str">
        <f t="shared" si="277"/>
        <v>vermelho</v>
      </c>
    </row>
    <row r="5944" spans="1:16" ht="25.5">
      <c r="A5944" s="3" t="s">
        <v>4</v>
      </c>
      <c r="B5944" s="3" t="s">
        <v>4762</v>
      </c>
      <c r="C5944" s="4">
        <v>208</v>
      </c>
      <c r="D5944" s="3" t="s">
        <v>15</v>
      </c>
      <c r="E5944" s="3" t="s">
        <v>16</v>
      </c>
      <c r="F5944" s="5">
        <v>468</v>
      </c>
      <c r="G5944" s="5">
        <v>0</v>
      </c>
      <c r="H5944" s="6">
        <v>25079.4</v>
      </c>
      <c r="I5944" s="22">
        <v>0</v>
      </c>
      <c r="J5944" s="24">
        <f t="shared" si="276"/>
        <v>0</v>
      </c>
      <c r="K5944" s="25">
        <f t="shared" si="278"/>
        <v>1.0000000000000009</v>
      </c>
      <c r="L5944" s="27"/>
      <c r="M5944" s="28"/>
      <c r="N5944" s="28"/>
      <c r="O5944" s="20">
        <v>6834.48</v>
      </c>
      <c r="P5944" s="27" t="str">
        <f t="shared" si="277"/>
        <v>vermelho</v>
      </c>
    </row>
    <row r="5945" spans="1:16">
      <c r="A5945" s="3" t="s">
        <v>4</v>
      </c>
      <c r="B5945" s="3" t="s">
        <v>4763</v>
      </c>
      <c r="C5945" s="4">
        <v>334</v>
      </c>
      <c r="D5945" s="3" t="s">
        <v>531</v>
      </c>
      <c r="E5945" s="3" t="s">
        <v>7</v>
      </c>
      <c r="F5945" s="5">
        <v>291</v>
      </c>
      <c r="G5945" s="5">
        <v>0</v>
      </c>
      <c r="H5945" s="6">
        <v>17721.36</v>
      </c>
      <c r="I5945" s="22">
        <v>0</v>
      </c>
      <c r="J5945" s="24">
        <f t="shared" si="276"/>
        <v>0</v>
      </c>
      <c r="K5945" s="25">
        <f t="shared" si="278"/>
        <v>1.0000000000000009</v>
      </c>
      <c r="L5945" s="27"/>
      <c r="M5945" s="28"/>
      <c r="N5945" s="28"/>
      <c r="O5945" s="20" t="s">
        <v>7530</v>
      </c>
      <c r="P5945" s="27" t="str">
        <f t="shared" si="277"/>
        <v>vermelho</v>
      </c>
    </row>
    <row r="5946" spans="1:16" ht="25.5">
      <c r="A5946" s="3" t="s">
        <v>4</v>
      </c>
      <c r="B5946" s="3" t="s">
        <v>4764</v>
      </c>
      <c r="C5946" s="4">
        <v>218</v>
      </c>
      <c r="D5946" s="3" t="s">
        <v>104</v>
      </c>
      <c r="E5946" s="3" t="s">
        <v>16</v>
      </c>
      <c r="F5946" s="5">
        <v>0</v>
      </c>
      <c r="G5946" s="5">
        <v>0</v>
      </c>
      <c r="H5946" s="6">
        <v>0</v>
      </c>
      <c r="I5946" s="22">
        <v>0</v>
      </c>
      <c r="J5946" s="24">
        <f t="shared" si="276"/>
        <v>0</v>
      </c>
      <c r="K5946" s="25">
        <f t="shared" si="278"/>
        <v>1.0000000000000009</v>
      </c>
      <c r="L5946" s="27"/>
      <c r="M5946" s="28"/>
      <c r="N5946" s="28"/>
      <c r="O5946" s="20" t="s">
        <v>7530</v>
      </c>
      <c r="P5946" s="27" t="str">
        <f t="shared" si="277"/>
        <v>vermelho</v>
      </c>
    </row>
    <row r="5947" spans="1:16" ht="25.5">
      <c r="A5947" s="3" t="s">
        <v>4</v>
      </c>
      <c r="B5947" s="3" t="s">
        <v>4765</v>
      </c>
      <c r="C5947" s="4">
        <v>167</v>
      </c>
      <c r="D5947" s="3" t="s">
        <v>251</v>
      </c>
      <c r="E5947" s="3" t="s">
        <v>49</v>
      </c>
      <c r="F5947" s="5">
        <v>114</v>
      </c>
      <c r="G5947" s="5">
        <v>0</v>
      </c>
      <c r="H5947" s="6">
        <v>5494.86</v>
      </c>
      <c r="I5947" s="22">
        <v>0</v>
      </c>
      <c r="J5947" s="24">
        <f t="shared" si="276"/>
        <v>0</v>
      </c>
      <c r="K5947" s="25">
        <f t="shared" si="278"/>
        <v>1.0000000000000009</v>
      </c>
      <c r="L5947" s="27"/>
      <c r="M5947" s="28"/>
      <c r="N5947" s="28"/>
      <c r="O5947" s="20" t="s">
        <v>7530</v>
      </c>
      <c r="P5947" s="27" t="str">
        <f t="shared" si="277"/>
        <v>vermelho</v>
      </c>
    </row>
    <row r="5948" spans="1:16">
      <c r="A5948" s="3" t="s">
        <v>4</v>
      </c>
      <c r="B5948" s="3" t="s">
        <v>4766</v>
      </c>
      <c r="C5948" s="4">
        <v>315</v>
      </c>
      <c r="D5948" s="3" t="s">
        <v>63</v>
      </c>
      <c r="E5948" s="3" t="s">
        <v>7</v>
      </c>
      <c r="F5948" s="5">
        <v>159</v>
      </c>
      <c r="G5948" s="5">
        <v>0</v>
      </c>
      <c r="H5948" s="6">
        <v>8995.83</v>
      </c>
      <c r="I5948" s="22">
        <v>0</v>
      </c>
      <c r="J5948" s="24">
        <f t="shared" si="276"/>
        <v>0</v>
      </c>
      <c r="K5948" s="25">
        <f t="shared" si="278"/>
        <v>1.0000000000000009</v>
      </c>
      <c r="L5948" s="27"/>
      <c r="M5948" s="28"/>
      <c r="N5948" s="28"/>
      <c r="O5948" s="20" t="s">
        <v>7530</v>
      </c>
      <c r="P5948" s="27" t="str">
        <f t="shared" si="277"/>
        <v>vermelho</v>
      </c>
    </row>
    <row r="5949" spans="1:16" ht="38.25">
      <c r="A5949" s="3" t="s">
        <v>4</v>
      </c>
      <c r="B5949" s="3" t="s">
        <v>4767</v>
      </c>
      <c r="C5949" s="4">
        <v>38</v>
      </c>
      <c r="D5949" s="3" t="s">
        <v>184</v>
      </c>
      <c r="E5949" s="3" t="s">
        <v>49</v>
      </c>
      <c r="F5949" s="5">
        <v>48</v>
      </c>
      <c r="G5949" s="5">
        <v>0</v>
      </c>
      <c r="H5949" s="6">
        <v>2951.52</v>
      </c>
      <c r="I5949" s="22">
        <v>0</v>
      </c>
      <c r="J5949" s="24">
        <f t="shared" si="276"/>
        <v>0</v>
      </c>
      <c r="K5949" s="25">
        <f t="shared" si="278"/>
        <v>1.0000000000000009</v>
      </c>
      <c r="L5949" s="27"/>
      <c r="M5949" s="28"/>
      <c r="N5949" s="28"/>
      <c r="O5949" s="20" t="s">
        <v>7530</v>
      </c>
      <c r="P5949" s="27" t="str">
        <f t="shared" si="277"/>
        <v>vermelho</v>
      </c>
    </row>
    <row r="5950" spans="1:16" ht="25.5">
      <c r="A5950" s="3" t="s">
        <v>4</v>
      </c>
      <c r="B5950" s="3" t="s">
        <v>4768</v>
      </c>
      <c r="C5950" s="4">
        <v>240</v>
      </c>
      <c r="D5950" s="3" t="s">
        <v>69</v>
      </c>
      <c r="E5950" s="3" t="s">
        <v>16</v>
      </c>
      <c r="F5950" s="5">
        <v>252</v>
      </c>
      <c r="G5950" s="5">
        <v>0</v>
      </c>
      <c r="H5950" s="6">
        <v>16522.77</v>
      </c>
      <c r="I5950" s="22">
        <v>0</v>
      </c>
      <c r="J5950" s="24">
        <f t="shared" si="276"/>
        <v>0</v>
      </c>
      <c r="K5950" s="25">
        <f t="shared" si="278"/>
        <v>1.0000000000000009</v>
      </c>
      <c r="L5950" s="27"/>
      <c r="M5950" s="28"/>
      <c r="N5950" s="28"/>
      <c r="O5950" s="20" t="s">
        <v>7530</v>
      </c>
      <c r="P5950" s="27" t="str">
        <f t="shared" si="277"/>
        <v>vermelho</v>
      </c>
    </row>
    <row r="5951" spans="1:16" ht="25.5">
      <c r="A5951" s="3" t="s">
        <v>4</v>
      </c>
      <c r="B5951" s="3" t="s">
        <v>4769</v>
      </c>
      <c r="C5951" s="4">
        <v>194</v>
      </c>
      <c r="D5951" s="3" t="s">
        <v>145</v>
      </c>
      <c r="E5951" s="3" t="s">
        <v>16</v>
      </c>
      <c r="F5951" s="5">
        <v>60</v>
      </c>
      <c r="G5951" s="5">
        <v>0</v>
      </c>
      <c r="H5951" s="6">
        <v>2894.76</v>
      </c>
      <c r="I5951" s="22">
        <v>0</v>
      </c>
      <c r="J5951" s="24">
        <f t="shared" si="276"/>
        <v>0</v>
      </c>
      <c r="K5951" s="25">
        <f t="shared" si="278"/>
        <v>1.0000000000000009</v>
      </c>
      <c r="L5951" s="27"/>
      <c r="M5951" s="28"/>
      <c r="N5951" s="28"/>
      <c r="O5951" s="20" t="s">
        <v>7530</v>
      </c>
      <c r="P5951" s="27" t="str">
        <f t="shared" si="277"/>
        <v>vermelho</v>
      </c>
    </row>
    <row r="5952" spans="1:16" ht="25.5">
      <c r="A5952" s="3" t="s">
        <v>4</v>
      </c>
      <c r="B5952" s="3" t="s">
        <v>4770</v>
      </c>
      <c r="C5952" s="4">
        <v>266</v>
      </c>
      <c r="D5952" s="3" t="s">
        <v>80</v>
      </c>
      <c r="E5952" s="3" t="s">
        <v>10</v>
      </c>
      <c r="F5952" s="5">
        <v>138</v>
      </c>
      <c r="G5952" s="5">
        <v>0</v>
      </c>
      <c r="H5952" s="6">
        <v>7898.1</v>
      </c>
      <c r="I5952" s="22">
        <v>0</v>
      </c>
      <c r="J5952" s="24">
        <f t="shared" si="276"/>
        <v>0</v>
      </c>
      <c r="K5952" s="25">
        <f t="shared" si="278"/>
        <v>1.0000000000000009</v>
      </c>
      <c r="L5952" s="27"/>
      <c r="M5952" s="28"/>
      <c r="N5952" s="28"/>
      <c r="O5952" s="20" t="s">
        <v>7530</v>
      </c>
      <c r="P5952" s="27" t="str">
        <f t="shared" si="277"/>
        <v>vermelho</v>
      </c>
    </row>
    <row r="5953" spans="1:16" ht="25.5">
      <c r="A5953" s="3" t="s">
        <v>4</v>
      </c>
      <c r="B5953" s="3" t="s">
        <v>4771</v>
      </c>
      <c r="C5953" s="4">
        <v>218</v>
      </c>
      <c r="D5953" s="3" t="s">
        <v>104</v>
      </c>
      <c r="E5953" s="3" t="s">
        <v>16</v>
      </c>
      <c r="F5953" s="5">
        <v>42</v>
      </c>
      <c r="G5953" s="5">
        <v>0</v>
      </c>
      <c r="H5953" s="6">
        <v>3587.52</v>
      </c>
      <c r="I5953" s="22">
        <v>0</v>
      </c>
      <c r="J5953" s="24">
        <f t="shared" si="276"/>
        <v>0</v>
      </c>
      <c r="K5953" s="25">
        <f t="shared" si="278"/>
        <v>1.0000000000000009</v>
      </c>
      <c r="L5953" s="27"/>
      <c r="M5953" s="28"/>
      <c r="N5953" s="28"/>
      <c r="O5953" s="20" t="s">
        <v>7530</v>
      </c>
      <c r="P5953" s="27" t="str">
        <f t="shared" si="277"/>
        <v>vermelho</v>
      </c>
    </row>
    <row r="5954" spans="1:16" ht="25.5">
      <c r="A5954" s="3" t="s">
        <v>4</v>
      </c>
      <c r="B5954" s="3" t="s">
        <v>4772</v>
      </c>
      <c r="C5954" s="4">
        <v>299</v>
      </c>
      <c r="D5954" s="3" t="s">
        <v>111</v>
      </c>
      <c r="E5954" s="3" t="s">
        <v>49</v>
      </c>
      <c r="F5954" s="5">
        <v>48</v>
      </c>
      <c r="G5954" s="5">
        <v>0</v>
      </c>
      <c r="H5954" s="6">
        <v>2802.48</v>
      </c>
      <c r="I5954" s="22">
        <v>0</v>
      </c>
      <c r="J5954" s="24">
        <f t="shared" si="276"/>
        <v>0</v>
      </c>
      <c r="K5954" s="25">
        <f t="shared" si="278"/>
        <v>1.0000000000000009</v>
      </c>
      <c r="L5954" s="27"/>
      <c r="M5954" s="28"/>
      <c r="N5954" s="28"/>
      <c r="O5954" s="20" t="s">
        <v>7530</v>
      </c>
      <c r="P5954" s="27" t="str">
        <f t="shared" si="277"/>
        <v>vermelho</v>
      </c>
    </row>
    <row r="5955" spans="1:16" ht="25.5">
      <c r="A5955" s="3" t="s">
        <v>4</v>
      </c>
      <c r="B5955" s="3" t="s">
        <v>4773</v>
      </c>
      <c r="C5955" s="4">
        <v>261</v>
      </c>
      <c r="D5955" s="3" t="s">
        <v>9</v>
      </c>
      <c r="E5955" s="3" t="s">
        <v>10</v>
      </c>
      <c r="F5955" s="5">
        <v>168</v>
      </c>
      <c r="G5955" s="5">
        <v>0</v>
      </c>
      <c r="H5955" s="6">
        <v>9765.6</v>
      </c>
      <c r="I5955" s="22">
        <v>0</v>
      </c>
      <c r="J5955" s="24">
        <f t="shared" ref="J5955:J6018" si="279">I5955/$I$6364</f>
        <v>0</v>
      </c>
      <c r="K5955" s="25">
        <f t="shared" si="278"/>
        <v>1.0000000000000009</v>
      </c>
      <c r="L5955" s="27"/>
      <c r="M5955" s="28"/>
      <c r="N5955" s="28"/>
      <c r="O5955" s="20">
        <v>4295.16</v>
      </c>
      <c r="P5955" s="27" t="str">
        <f t="shared" ref="P5955:P6018" si="280">IF(O5955&lt;=0,"vermelho",IFERROR(IF(O5955/I5955&lt;=0.5098,"amarelo",IF(O5955/I5955&lt;1,"laranja","verde")),"vermelho"))</f>
        <v>vermelho</v>
      </c>
    </row>
    <row r="5956" spans="1:16" ht="25.5">
      <c r="A5956" s="3" t="s">
        <v>4</v>
      </c>
      <c r="B5956" s="3" t="s">
        <v>4774</v>
      </c>
      <c r="C5956" s="4">
        <v>197</v>
      </c>
      <c r="D5956" s="3" t="s">
        <v>66</v>
      </c>
      <c r="E5956" s="3" t="s">
        <v>41</v>
      </c>
      <c r="F5956" s="5">
        <v>48</v>
      </c>
      <c r="G5956" s="5">
        <v>0</v>
      </c>
      <c r="H5956" s="6">
        <v>2570.88</v>
      </c>
      <c r="I5956" s="22">
        <v>0</v>
      </c>
      <c r="J5956" s="24">
        <f t="shared" si="279"/>
        <v>0</v>
      </c>
      <c r="K5956" s="25">
        <f t="shared" ref="K5956:K6019" si="281">J5956+K5955</f>
        <v>1.0000000000000009</v>
      </c>
      <c r="L5956" s="27"/>
      <c r="M5956" s="28"/>
      <c r="N5956" s="28"/>
      <c r="O5956" s="20" t="s">
        <v>7530</v>
      </c>
      <c r="P5956" s="27" t="str">
        <f t="shared" si="280"/>
        <v>vermelho</v>
      </c>
    </row>
    <row r="5957" spans="1:16" ht="25.5">
      <c r="A5957" s="3" t="s">
        <v>4</v>
      </c>
      <c r="B5957" s="3" t="s">
        <v>4775</v>
      </c>
      <c r="C5957" s="4">
        <v>194</v>
      </c>
      <c r="D5957" s="3" t="s">
        <v>145</v>
      </c>
      <c r="E5957" s="3" t="s">
        <v>16</v>
      </c>
      <c r="F5957" s="5">
        <v>96</v>
      </c>
      <c r="G5957" s="5">
        <v>0</v>
      </c>
      <c r="H5957" s="6">
        <v>5417.46</v>
      </c>
      <c r="I5957" s="22">
        <v>0</v>
      </c>
      <c r="J5957" s="24">
        <f t="shared" si="279"/>
        <v>0</v>
      </c>
      <c r="K5957" s="25">
        <f t="shared" si="281"/>
        <v>1.0000000000000009</v>
      </c>
      <c r="L5957" s="27"/>
      <c r="M5957" s="28"/>
      <c r="N5957" s="28"/>
      <c r="O5957" s="20" t="s">
        <v>7530</v>
      </c>
      <c r="P5957" s="27" t="str">
        <f t="shared" si="280"/>
        <v>vermelho</v>
      </c>
    </row>
    <row r="5958" spans="1:16" ht="25.5">
      <c r="A5958" s="3" t="s">
        <v>4</v>
      </c>
      <c r="B5958" s="3" t="s">
        <v>4776</v>
      </c>
      <c r="C5958" s="4">
        <v>266</v>
      </c>
      <c r="D5958" s="3" t="s">
        <v>80</v>
      </c>
      <c r="E5958" s="3" t="s">
        <v>10</v>
      </c>
      <c r="F5958" s="5">
        <v>204</v>
      </c>
      <c r="G5958" s="5">
        <v>0</v>
      </c>
      <c r="H5958" s="6">
        <v>11290.8</v>
      </c>
      <c r="I5958" s="22">
        <v>0</v>
      </c>
      <c r="J5958" s="24">
        <f t="shared" si="279"/>
        <v>0</v>
      </c>
      <c r="K5958" s="25">
        <f t="shared" si="281"/>
        <v>1.0000000000000009</v>
      </c>
      <c r="L5958" s="27"/>
      <c r="M5958" s="28"/>
      <c r="N5958" s="28"/>
      <c r="O5958" s="20" t="s">
        <v>7530</v>
      </c>
      <c r="P5958" s="27" t="str">
        <f t="shared" si="280"/>
        <v>vermelho</v>
      </c>
    </row>
    <row r="5959" spans="1:16" ht="38.25">
      <c r="A5959" s="3" t="s">
        <v>4</v>
      </c>
      <c r="B5959" s="3" t="s">
        <v>4777</v>
      </c>
      <c r="C5959" s="4">
        <v>371</v>
      </c>
      <c r="D5959" s="3" t="s">
        <v>82</v>
      </c>
      <c r="E5959" s="3" t="s">
        <v>49</v>
      </c>
      <c r="F5959" s="5">
        <v>96</v>
      </c>
      <c r="G5959" s="5">
        <v>0</v>
      </c>
      <c r="H5959" s="6">
        <v>4626.6120000000001</v>
      </c>
      <c r="I5959" s="22">
        <v>0</v>
      </c>
      <c r="J5959" s="24">
        <f t="shared" si="279"/>
        <v>0</v>
      </c>
      <c r="K5959" s="25">
        <f t="shared" si="281"/>
        <v>1.0000000000000009</v>
      </c>
      <c r="L5959" s="27"/>
      <c r="M5959" s="28"/>
      <c r="N5959" s="28"/>
      <c r="O5959" s="20">
        <v>1757.88</v>
      </c>
      <c r="P5959" s="27" t="str">
        <f t="shared" si="280"/>
        <v>vermelho</v>
      </c>
    </row>
    <row r="5960" spans="1:16" ht="25.5">
      <c r="A5960" s="3" t="s">
        <v>4</v>
      </c>
      <c r="B5960" s="3" t="s">
        <v>4778</v>
      </c>
      <c r="C5960" s="4">
        <v>187</v>
      </c>
      <c r="D5960" s="3" t="s">
        <v>96</v>
      </c>
      <c r="E5960" s="3" t="s">
        <v>7</v>
      </c>
      <c r="F5960" s="5">
        <v>54</v>
      </c>
      <c r="G5960" s="5">
        <v>0</v>
      </c>
      <c r="H5960" s="6">
        <v>2813.46</v>
      </c>
      <c r="I5960" s="22">
        <v>0</v>
      </c>
      <c r="J5960" s="24">
        <f t="shared" si="279"/>
        <v>0</v>
      </c>
      <c r="K5960" s="25">
        <f t="shared" si="281"/>
        <v>1.0000000000000009</v>
      </c>
      <c r="L5960" s="27"/>
      <c r="M5960" s="28"/>
      <c r="N5960" s="28">
        <v>3.2980487141870657E-2</v>
      </c>
      <c r="O5960" s="20">
        <v>2236.1999999999998</v>
      </c>
      <c r="P5960" s="27" t="str">
        <f t="shared" si="280"/>
        <v>vermelho</v>
      </c>
    </row>
    <row r="5961" spans="1:16" ht="38.25">
      <c r="A5961" s="3" t="s">
        <v>4</v>
      </c>
      <c r="B5961" s="3" t="s">
        <v>4779</v>
      </c>
      <c r="C5961" s="4">
        <v>292</v>
      </c>
      <c r="D5961" s="3" t="s">
        <v>57</v>
      </c>
      <c r="E5961" s="3" t="s">
        <v>49</v>
      </c>
      <c r="F5961" s="5">
        <v>246</v>
      </c>
      <c r="G5961" s="5">
        <v>0</v>
      </c>
      <c r="H5961" s="6">
        <v>15590.25</v>
      </c>
      <c r="I5961" s="22">
        <v>0</v>
      </c>
      <c r="J5961" s="24">
        <f t="shared" si="279"/>
        <v>0</v>
      </c>
      <c r="K5961" s="25">
        <f t="shared" si="281"/>
        <v>1.0000000000000009</v>
      </c>
      <c r="L5961" s="27"/>
      <c r="M5961" s="28"/>
      <c r="N5961" s="28"/>
      <c r="O5961" s="20" t="s">
        <v>7530</v>
      </c>
      <c r="P5961" s="27" t="str">
        <f t="shared" si="280"/>
        <v>vermelho</v>
      </c>
    </row>
    <row r="5962" spans="1:16" ht="25.5">
      <c r="A5962" s="3" t="s">
        <v>4</v>
      </c>
      <c r="B5962" s="3" t="s">
        <v>4780</v>
      </c>
      <c r="C5962" s="4">
        <v>317</v>
      </c>
      <c r="D5962" s="3" t="s">
        <v>78</v>
      </c>
      <c r="E5962" s="3" t="s">
        <v>10</v>
      </c>
      <c r="F5962" s="5">
        <v>108</v>
      </c>
      <c r="G5962" s="5">
        <v>0</v>
      </c>
      <c r="H5962" s="6">
        <v>5716.62</v>
      </c>
      <c r="I5962" s="22">
        <v>0</v>
      </c>
      <c r="J5962" s="24">
        <f t="shared" si="279"/>
        <v>0</v>
      </c>
      <c r="K5962" s="25">
        <f t="shared" si="281"/>
        <v>1.0000000000000009</v>
      </c>
      <c r="L5962" s="27"/>
      <c r="M5962" s="28"/>
      <c r="N5962" s="28"/>
      <c r="O5962" s="20" t="s">
        <v>7530</v>
      </c>
      <c r="P5962" s="27" t="str">
        <f t="shared" si="280"/>
        <v>vermelho</v>
      </c>
    </row>
    <row r="5963" spans="1:16" ht="38.25">
      <c r="A5963" s="3" t="s">
        <v>4</v>
      </c>
      <c r="B5963" s="3" t="s">
        <v>4781</v>
      </c>
      <c r="C5963" s="4">
        <v>371</v>
      </c>
      <c r="D5963" s="3" t="s">
        <v>82</v>
      </c>
      <c r="E5963" s="3" t="s">
        <v>49</v>
      </c>
      <c r="F5963" s="5">
        <v>66</v>
      </c>
      <c r="G5963" s="5">
        <v>0</v>
      </c>
      <c r="H5963" s="6">
        <v>3415.5</v>
      </c>
      <c r="I5963" s="22">
        <v>0</v>
      </c>
      <c r="J5963" s="24">
        <f t="shared" si="279"/>
        <v>0</v>
      </c>
      <c r="K5963" s="25">
        <f t="shared" si="281"/>
        <v>1.0000000000000009</v>
      </c>
      <c r="L5963" s="27"/>
      <c r="M5963" s="28"/>
      <c r="N5963" s="28"/>
      <c r="O5963" s="20" t="s">
        <v>7530</v>
      </c>
      <c r="P5963" s="27" t="str">
        <f t="shared" si="280"/>
        <v>vermelho</v>
      </c>
    </row>
    <row r="5964" spans="1:16" ht="25.5">
      <c r="A5964" s="3" t="s">
        <v>4</v>
      </c>
      <c r="B5964" s="3" t="s">
        <v>4782</v>
      </c>
      <c r="C5964" s="4">
        <v>337</v>
      </c>
      <c r="D5964" s="3" t="s">
        <v>202</v>
      </c>
      <c r="E5964" s="3" t="s">
        <v>16</v>
      </c>
      <c r="F5964" s="5">
        <v>72</v>
      </c>
      <c r="G5964" s="5">
        <v>0</v>
      </c>
      <c r="H5964" s="6">
        <v>3308.4</v>
      </c>
      <c r="I5964" s="22">
        <v>0</v>
      </c>
      <c r="J5964" s="24">
        <f t="shared" si="279"/>
        <v>0</v>
      </c>
      <c r="K5964" s="25">
        <f t="shared" si="281"/>
        <v>1.0000000000000009</v>
      </c>
      <c r="L5964" s="27"/>
      <c r="M5964" s="28"/>
      <c r="N5964" s="28"/>
      <c r="O5964" s="20" t="s">
        <v>7530</v>
      </c>
      <c r="P5964" s="27" t="str">
        <f t="shared" si="280"/>
        <v>vermelho</v>
      </c>
    </row>
    <row r="5965" spans="1:16" ht="38.25">
      <c r="A5965" s="3" t="s">
        <v>4</v>
      </c>
      <c r="B5965" s="3" t="s">
        <v>4783</v>
      </c>
      <c r="C5965" s="4">
        <v>194</v>
      </c>
      <c r="D5965" s="3" t="s">
        <v>145</v>
      </c>
      <c r="E5965" s="3" t="s">
        <v>16</v>
      </c>
      <c r="F5965" s="5">
        <v>102</v>
      </c>
      <c r="G5965" s="5">
        <v>0</v>
      </c>
      <c r="H5965" s="6">
        <v>6778.8</v>
      </c>
      <c r="I5965" s="22">
        <v>0</v>
      </c>
      <c r="J5965" s="24">
        <f t="shared" si="279"/>
        <v>0</v>
      </c>
      <c r="K5965" s="25">
        <f t="shared" si="281"/>
        <v>1.0000000000000009</v>
      </c>
      <c r="L5965" s="27"/>
      <c r="M5965" s="28"/>
      <c r="N5965" s="28"/>
      <c r="O5965" s="20" t="s">
        <v>7530</v>
      </c>
      <c r="P5965" s="27" t="str">
        <f t="shared" si="280"/>
        <v>vermelho</v>
      </c>
    </row>
    <row r="5966" spans="1:16">
      <c r="A5966" s="3" t="s">
        <v>4</v>
      </c>
      <c r="B5966" s="3" t="s">
        <v>4784</v>
      </c>
      <c r="C5966" s="4">
        <v>217</v>
      </c>
      <c r="D5966" s="3" t="s">
        <v>91</v>
      </c>
      <c r="E5966" s="3" t="s">
        <v>16</v>
      </c>
      <c r="F5966" s="5">
        <v>54</v>
      </c>
      <c r="G5966" s="5">
        <v>0</v>
      </c>
      <c r="H5966" s="6">
        <v>2878.17</v>
      </c>
      <c r="I5966" s="22">
        <v>0</v>
      </c>
      <c r="J5966" s="24">
        <f t="shared" si="279"/>
        <v>0</v>
      </c>
      <c r="K5966" s="25">
        <f t="shared" si="281"/>
        <v>1.0000000000000009</v>
      </c>
      <c r="L5966" s="27"/>
      <c r="M5966" s="28"/>
      <c r="N5966" s="28"/>
      <c r="O5966" s="20" t="s">
        <v>7530</v>
      </c>
      <c r="P5966" s="27" t="str">
        <f t="shared" si="280"/>
        <v>vermelho</v>
      </c>
    </row>
    <row r="5967" spans="1:16" ht="25.5">
      <c r="A5967" s="3" t="s">
        <v>4</v>
      </c>
      <c r="B5967" s="3" t="s">
        <v>4785</v>
      </c>
      <c r="C5967" s="4">
        <v>264</v>
      </c>
      <c r="D5967" s="3" t="s">
        <v>40</v>
      </c>
      <c r="E5967" s="3" t="s">
        <v>10</v>
      </c>
      <c r="F5967" s="5">
        <v>84</v>
      </c>
      <c r="G5967" s="5">
        <v>0</v>
      </c>
      <c r="H5967" s="6">
        <v>3970.08</v>
      </c>
      <c r="I5967" s="22">
        <v>0</v>
      </c>
      <c r="J5967" s="24">
        <f t="shared" si="279"/>
        <v>0</v>
      </c>
      <c r="K5967" s="25">
        <f t="shared" si="281"/>
        <v>1.0000000000000009</v>
      </c>
      <c r="L5967" s="27"/>
      <c r="M5967" s="28"/>
      <c r="N5967" s="28"/>
      <c r="O5967" s="20" t="s">
        <v>7530</v>
      </c>
      <c r="P5967" s="27" t="str">
        <f t="shared" si="280"/>
        <v>vermelho</v>
      </c>
    </row>
    <row r="5968" spans="1:16" ht="25.5">
      <c r="A5968" s="3" t="s">
        <v>4</v>
      </c>
      <c r="B5968" s="3" t="s">
        <v>4786</v>
      </c>
      <c r="C5968" s="4">
        <v>334</v>
      </c>
      <c r="D5968" s="3" t="s">
        <v>531</v>
      </c>
      <c r="E5968" s="3" t="s">
        <v>7</v>
      </c>
      <c r="F5968" s="5">
        <v>96</v>
      </c>
      <c r="G5968" s="5">
        <v>0</v>
      </c>
      <c r="H5968" s="6">
        <v>5201.5200000000004</v>
      </c>
      <c r="I5968" s="22">
        <v>0</v>
      </c>
      <c r="J5968" s="24">
        <f t="shared" si="279"/>
        <v>0</v>
      </c>
      <c r="K5968" s="25">
        <f t="shared" si="281"/>
        <v>1.0000000000000009</v>
      </c>
      <c r="L5968" s="27"/>
      <c r="M5968" s="28"/>
      <c r="N5968" s="28"/>
      <c r="O5968" s="20" t="s">
        <v>7530</v>
      </c>
      <c r="P5968" s="27" t="str">
        <f t="shared" si="280"/>
        <v>vermelho</v>
      </c>
    </row>
    <row r="5969" spans="1:16" ht="51">
      <c r="A5969" s="3" t="s">
        <v>4</v>
      </c>
      <c r="B5969" s="3" t="s">
        <v>4787</v>
      </c>
      <c r="C5969" s="4">
        <v>282</v>
      </c>
      <c r="D5969" s="3" t="s">
        <v>12</v>
      </c>
      <c r="E5969" s="3" t="s">
        <v>13</v>
      </c>
      <c r="F5969" s="5">
        <v>72</v>
      </c>
      <c r="G5969" s="5">
        <v>0</v>
      </c>
      <c r="H5969" s="6">
        <v>3925.3049999999998</v>
      </c>
      <c r="I5969" s="22">
        <v>0</v>
      </c>
      <c r="J5969" s="24">
        <f t="shared" si="279"/>
        <v>0</v>
      </c>
      <c r="K5969" s="25">
        <f t="shared" si="281"/>
        <v>1.0000000000000009</v>
      </c>
      <c r="L5969" s="27"/>
      <c r="M5969" s="28"/>
      <c r="N5969" s="28"/>
      <c r="O5969" s="20">
        <v>8161.32</v>
      </c>
      <c r="P5969" s="27" t="str">
        <f t="shared" si="280"/>
        <v>vermelho</v>
      </c>
    </row>
    <row r="5970" spans="1:16" ht="38.25">
      <c r="A5970" s="3" t="s">
        <v>4</v>
      </c>
      <c r="B5970" s="3" t="s">
        <v>4788</v>
      </c>
      <c r="C5970" s="4">
        <v>45</v>
      </c>
      <c r="D5970" s="3" t="s">
        <v>23</v>
      </c>
      <c r="E5970" s="3" t="s">
        <v>7</v>
      </c>
      <c r="F5970" s="5">
        <v>288</v>
      </c>
      <c r="G5970" s="5">
        <v>0</v>
      </c>
      <c r="H5970" s="6">
        <v>18926.400000000001</v>
      </c>
      <c r="I5970" s="22">
        <v>0</v>
      </c>
      <c r="J5970" s="24">
        <f t="shared" si="279"/>
        <v>0</v>
      </c>
      <c r="K5970" s="25">
        <f t="shared" si="281"/>
        <v>1.0000000000000009</v>
      </c>
      <c r="L5970" s="27"/>
      <c r="M5970" s="28"/>
      <c r="N5970" s="28"/>
      <c r="O5970" s="20" t="s">
        <v>7530</v>
      </c>
      <c r="P5970" s="27" t="str">
        <f t="shared" si="280"/>
        <v>vermelho</v>
      </c>
    </row>
    <row r="5971" spans="1:16" ht="25.5">
      <c r="A5971" s="3" t="s">
        <v>4</v>
      </c>
      <c r="B5971" s="3" t="s">
        <v>4789</v>
      </c>
      <c r="C5971" s="4">
        <v>299</v>
      </c>
      <c r="D5971" s="3" t="s">
        <v>111</v>
      </c>
      <c r="E5971" s="3" t="s">
        <v>49</v>
      </c>
      <c r="F5971" s="5">
        <v>126</v>
      </c>
      <c r="G5971" s="5">
        <v>0</v>
      </c>
      <c r="H5971" s="6">
        <v>7558.74</v>
      </c>
      <c r="I5971" s="22">
        <v>0</v>
      </c>
      <c r="J5971" s="24">
        <f t="shared" si="279"/>
        <v>0</v>
      </c>
      <c r="K5971" s="25">
        <f t="shared" si="281"/>
        <v>1.0000000000000009</v>
      </c>
      <c r="L5971" s="27"/>
      <c r="M5971" s="28"/>
      <c r="N5971" s="28"/>
      <c r="O5971" s="20" t="s">
        <v>7530</v>
      </c>
      <c r="P5971" s="27" t="str">
        <f t="shared" si="280"/>
        <v>vermelho</v>
      </c>
    </row>
    <row r="5972" spans="1:16" ht="51">
      <c r="A5972" s="3" t="s">
        <v>4</v>
      </c>
      <c r="B5972" s="3" t="s">
        <v>4790</v>
      </c>
      <c r="C5972" s="4">
        <v>282</v>
      </c>
      <c r="D5972" s="3" t="s">
        <v>12</v>
      </c>
      <c r="E5972" s="3" t="s">
        <v>13</v>
      </c>
      <c r="F5972" s="5">
        <v>213</v>
      </c>
      <c r="G5972" s="5">
        <v>0</v>
      </c>
      <c r="H5972" s="6">
        <v>11284.541999999999</v>
      </c>
      <c r="I5972" s="22">
        <v>0</v>
      </c>
      <c r="J5972" s="24">
        <f t="shared" si="279"/>
        <v>0</v>
      </c>
      <c r="K5972" s="25">
        <f t="shared" si="281"/>
        <v>1.0000000000000009</v>
      </c>
      <c r="L5972" s="27"/>
      <c r="M5972" s="28"/>
      <c r="N5972" s="28"/>
      <c r="O5972" s="20" t="s">
        <v>7530</v>
      </c>
      <c r="P5972" s="27" t="str">
        <f t="shared" si="280"/>
        <v>vermelho</v>
      </c>
    </row>
    <row r="5973" spans="1:16" ht="25.5">
      <c r="A5973" s="3" t="s">
        <v>4</v>
      </c>
      <c r="B5973" s="3" t="s">
        <v>4791</v>
      </c>
      <c r="C5973" s="4">
        <v>217</v>
      </c>
      <c r="D5973" s="3" t="s">
        <v>91</v>
      </c>
      <c r="E5973" s="3" t="s">
        <v>16</v>
      </c>
      <c r="F5973" s="5">
        <v>156</v>
      </c>
      <c r="G5973" s="5">
        <v>0</v>
      </c>
      <c r="H5973" s="6">
        <v>6851.76</v>
      </c>
      <c r="I5973" s="22">
        <v>0</v>
      </c>
      <c r="J5973" s="24">
        <f t="shared" si="279"/>
        <v>0</v>
      </c>
      <c r="K5973" s="25">
        <f t="shared" si="281"/>
        <v>1.0000000000000009</v>
      </c>
      <c r="L5973" s="27"/>
      <c r="M5973" s="28"/>
      <c r="N5973" s="28"/>
      <c r="O5973" s="20" t="s">
        <v>7530</v>
      </c>
      <c r="P5973" s="27" t="str">
        <f t="shared" si="280"/>
        <v>vermelho</v>
      </c>
    </row>
    <row r="5974" spans="1:16" ht="38.25">
      <c r="A5974" s="3" t="s">
        <v>4</v>
      </c>
      <c r="B5974" s="3" t="s">
        <v>4792</v>
      </c>
      <c r="C5974" s="4">
        <v>143</v>
      </c>
      <c r="D5974" s="3" t="s">
        <v>44</v>
      </c>
      <c r="E5974" s="3" t="s">
        <v>41</v>
      </c>
      <c r="F5974" s="5">
        <v>144</v>
      </c>
      <c r="G5974" s="5">
        <v>0</v>
      </c>
      <c r="H5974" s="6">
        <v>9987.9599999999991</v>
      </c>
      <c r="I5974" s="22">
        <v>0</v>
      </c>
      <c r="J5974" s="24">
        <f t="shared" si="279"/>
        <v>0</v>
      </c>
      <c r="K5974" s="25">
        <f t="shared" si="281"/>
        <v>1.0000000000000009</v>
      </c>
      <c r="L5974" s="27"/>
      <c r="M5974" s="28"/>
      <c r="N5974" s="28"/>
      <c r="O5974" s="20" t="s">
        <v>7530</v>
      </c>
      <c r="P5974" s="27" t="str">
        <f t="shared" si="280"/>
        <v>vermelho</v>
      </c>
    </row>
    <row r="5975" spans="1:16" ht="25.5">
      <c r="A5975" s="3" t="s">
        <v>4</v>
      </c>
      <c r="B5975" s="3" t="s">
        <v>4793</v>
      </c>
      <c r="C5975" s="4">
        <v>299</v>
      </c>
      <c r="D5975" s="3" t="s">
        <v>111</v>
      </c>
      <c r="E5975" s="3" t="s">
        <v>49</v>
      </c>
      <c r="F5975" s="5">
        <v>72</v>
      </c>
      <c r="G5975" s="5">
        <v>0</v>
      </c>
      <c r="H5975" s="6">
        <v>2745</v>
      </c>
      <c r="I5975" s="22">
        <v>0</v>
      </c>
      <c r="J5975" s="24">
        <f t="shared" si="279"/>
        <v>0</v>
      </c>
      <c r="K5975" s="25">
        <f t="shared" si="281"/>
        <v>1.0000000000000009</v>
      </c>
      <c r="L5975" s="27"/>
      <c r="M5975" s="28"/>
      <c r="N5975" s="28"/>
      <c r="O5975" s="20" t="s">
        <v>7530</v>
      </c>
      <c r="P5975" s="27" t="str">
        <f t="shared" si="280"/>
        <v>vermelho</v>
      </c>
    </row>
    <row r="5976" spans="1:16" ht="25.5">
      <c r="A5976" s="3" t="s">
        <v>4</v>
      </c>
      <c r="B5976" s="3" t="s">
        <v>4794</v>
      </c>
      <c r="C5976" s="4">
        <v>315</v>
      </c>
      <c r="D5976" s="3" t="s">
        <v>63</v>
      </c>
      <c r="E5976" s="3" t="s">
        <v>7</v>
      </c>
      <c r="F5976" s="5">
        <v>117</v>
      </c>
      <c r="G5976" s="5">
        <v>0</v>
      </c>
      <c r="H5976" s="6">
        <v>6209.76</v>
      </c>
      <c r="I5976" s="22">
        <v>0</v>
      </c>
      <c r="J5976" s="24">
        <f t="shared" si="279"/>
        <v>0</v>
      </c>
      <c r="K5976" s="25">
        <f t="shared" si="281"/>
        <v>1.0000000000000009</v>
      </c>
      <c r="L5976" s="27"/>
      <c r="M5976" s="28"/>
      <c r="N5976" s="28"/>
      <c r="O5976" s="20" t="s">
        <v>7530</v>
      </c>
      <c r="P5976" s="27" t="str">
        <f t="shared" si="280"/>
        <v>vermelho</v>
      </c>
    </row>
    <row r="5977" spans="1:16" ht="25.5">
      <c r="A5977" s="3" t="s">
        <v>4</v>
      </c>
      <c r="B5977" s="3" t="s">
        <v>4795</v>
      </c>
      <c r="C5977" s="4">
        <v>261</v>
      </c>
      <c r="D5977" s="3" t="s">
        <v>9</v>
      </c>
      <c r="E5977" s="3" t="s">
        <v>10</v>
      </c>
      <c r="F5977" s="5">
        <v>150</v>
      </c>
      <c r="G5977" s="5">
        <v>0</v>
      </c>
      <c r="H5977" s="6">
        <v>8084.49</v>
      </c>
      <c r="I5977" s="22">
        <v>0</v>
      </c>
      <c r="J5977" s="24">
        <f t="shared" si="279"/>
        <v>0</v>
      </c>
      <c r="K5977" s="25">
        <f t="shared" si="281"/>
        <v>1.0000000000000009</v>
      </c>
      <c r="L5977" s="27"/>
      <c r="M5977" s="28"/>
      <c r="N5977" s="28"/>
      <c r="O5977" s="20" t="s">
        <v>7530</v>
      </c>
      <c r="P5977" s="27" t="str">
        <f t="shared" si="280"/>
        <v>vermelho</v>
      </c>
    </row>
    <row r="5978" spans="1:16" ht="25.5">
      <c r="A5978" s="3" t="s">
        <v>4</v>
      </c>
      <c r="B5978" s="3" t="s">
        <v>4796</v>
      </c>
      <c r="C5978" s="4">
        <v>315</v>
      </c>
      <c r="D5978" s="3" t="s">
        <v>63</v>
      </c>
      <c r="E5978" s="3" t="s">
        <v>7</v>
      </c>
      <c r="F5978" s="5">
        <v>186</v>
      </c>
      <c r="G5978" s="5">
        <v>0</v>
      </c>
      <c r="H5978" s="6">
        <v>11685.9</v>
      </c>
      <c r="I5978" s="22">
        <v>0</v>
      </c>
      <c r="J5978" s="24">
        <f t="shared" si="279"/>
        <v>0</v>
      </c>
      <c r="K5978" s="25">
        <f t="shared" si="281"/>
        <v>1.0000000000000009</v>
      </c>
      <c r="L5978" s="27"/>
      <c r="M5978" s="28"/>
      <c r="N5978" s="28"/>
      <c r="O5978" s="20" t="s">
        <v>7530</v>
      </c>
      <c r="P5978" s="27" t="str">
        <f t="shared" si="280"/>
        <v>vermelho</v>
      </c>
    </row>
    <row r="5979" spans="1:16" ht="25.5">
      <c r="A5979" s="3" t="s">
        <v>4</v>
      </c>
      <c r="B5979" s="3" t="s">
        <v>4797</v>
      </c>
      <c r="C5979" s="4">
        <v>178</v>
      </c>
      <c r="D5979" s="3" t="s">
        <v>74</v>
      </c>
      <c r="E5979" s="3" t="s">
        <v>7</v>
      </c>
      <c r="F5979" s="5">
        <v>72</v>
      </c>
      <c r="G5979" s="5">
        <v>0</v>
      </c>
      <c r="H5979" s="6">
        <v>4727.28</v>
      </c>
      <c r="I5979" s="22">
        <v>0</v>
      </c>
      <c r="J5979" s="24">
        <f t="shared" si="279"/>
        <v>0</v>
      </c>
      <c r="K5979" s="25">
        <f t="shared" si="281"/>
        <v>1.0000000000000009</v>
      </c>
      <c r="L5979" s="27"/>
      <c r="M5979" s="28"/>
      <c r="N5979" s="28"/>
      <c r="O5979" s="20" t="s">
        <v>7530</v>
      </c>
      <c r="P5979" s="27" t="str">
        <f t="shared" si="280"/>
        <v>vermelho</v>
      </c>
    </row>
    <row r="5980" spans="1:16" ht="25.5">
      <c r="A5980" s="3" t="s">
        <v>4</v>
      </c>
      <c r="B5980" s="3" t="s">
        <v>4798</v>
      </c>
      <c r="C5980" s="4">
        <v>208</v>
      </c>
      <c r="D5980" s="3" t="s">
        <v>15</v>
      </c>
      <c r="E5980" s="3" t="s">
        <v>16</v>
      </c>
      <c r="F5980" s="5">
        <v>216</v>
      </c>
      <c r="G5980" s="5">
        <v>0</v>
      </c>
      <c r="H5980" s="6">
        <v>11991.72</v>
      </c>
      <c r="I5980" s="22">
        <v>0</v>
      </c>
      <c r="J5980" s="24">
        <f t="shared" si="279"/>
        <v>0</v>
      </c>
      <c r="K5980" s="25">
        <f t="shared" si="281"/>
        <v>1.0000000000000009</v>
      </c>
      <c r="L5980" s="27"/>
      <c r="M5980" s="28"/>
      <c r="N5980" s="28"/>
      <c r="O5980" s="20">
        <v>10561.2</v>
      </c>
      <c r="P5980" s="27" t="str">
        <f t="shared" si="280"/>
        <v>vermelho</v>
      </c>
    </row>
    <row r="5981" spans="1:16" ht="25.5">
      <c r="A5981" s="3" t="s">
        <v>4</v>
      </c>
      <c r="B5981" s="3" t="s">
        <v>4799</v>
      </c>
      <c r="C5981" s="4">
        <v>328</v>
      </c>
      <c r="D5981" s="3" t="s">
        <v>215</v>
      </c>
      <c r="E5981" s="3" t="s">
        <v>41</v>
      </c>
      <c r="F5981" s="5">
        <v>186</v>
      </c>
      <c r="G5981" s="5">
        <v>0</v>
      </c>
      <c r="H5981" s="6">
        <v>11073.162</v>
      </c>
      <c r="I5981" s="22">
        <v>0</v>
      </c>
      <c r="J5981" s="24">
        <f t="shared" si="279"/>
        <v>0</v>
      </c>
      <c r="K5981" s="25">
        <f t="shared" si="281"/>
        <v>1.0000000000000009</v>
      </c>
      <c r="L5981" s="27"/>
      <c r="M5981" s="28"/>
      <c r="N5981" s="28"/>
      <c r="O5981" s="20" t="s">
        <v>7530</v>
      </c>
      <c r="P5981" s="27" t="str">
        <f t="shared" si="280"/>
        <v>vermelho</v>
      </c>
    </row>
    <row r="5982" spans="1:16" ht="25.5">
      <c r="A5982" s="3" t="s">
        <v>4</v>
      </c>
      <c r="B5982" s="3" t="s">
        <v>4800</v>
      </c>
      <c r="C5982" s="4">
        <v>264</v>
      </c>
      <c r="D5982" s="3" t="s">
        <v>40</v>
      </c>
      <c r="E5982" s="3" t="s">
        <v>41</v>
      </c>
      <c r="F5982" s="5">
        <v>60</v>
      </c>
      <c r="G5982" s="5">
        <v>0</v>
      </c>
      <c r="H5982" s="6">
        <v>3654.84</v>
      </c>
      <c r="I5982" s="22">
        <v>0</v>
      </c>
      <c r="J5982" s="24">
        <f t="shared" si="279"/>
        <v>0</v>
      </c>
      <c r="K5982" s="25">
        <f t="shared" si="281"/>
        <v>1.0000000000000009</v>
      </c>
      <c r="L5982" s="27"/>
      <c r="M5982" s="28"/>
      <c r="N5982" s="28">
        <v>-3.0316302091426477E-2</v>
      </c>
      <c r="O5982" s="20">
        <v>10666.92</v>
      </c>
      <c r="P5982" s="27" t="str">
        <f t="shared" si="280"/>
        <v>vermelho</v>
      </c>
    </row>
    <row r="5983" spans="1:16" ht="25.5">
      <c r="A5983" s="3" t="s">
        <v>4</v>
      </c>
      <c r="B5983" s="3" t="s">
        <v>4800</v>
      </c>
      <c r="C5983" s="4">
        <v>264</v>
      </c>
      <c r="D5983" s="3" t="s">
        <v>40</v>
      </c>
      <c r="E5983" s="3" t="s">
        <v>10</v>
      </c>
      <c r="F5983" s="5">
        <v>168</v>
      </c>
      <c r="G5983" s="5">
        <v>0</v>
      </c>
      <c r="H5983" s="6">
        <v>9281.8799999999992</v>
      </c>
      <c r="I5983" s="22">
        <v>0</v>
      </c>
      <c r="J5983" s="24">
        <f t="shared" si="279"/>
        <v>0</v>
      </c>
      <c r="K5983" s="25">
        <f t="shared" si="281"/>
        <v>1.0000000000000009</v>
      </c>
      <c r="L5983" s="27"/>
      <c r="M5983" s="28"/>
      <c r="N5983" s="28">
        <v>-3.0316302091426477E-2</v>
      </c>
      <c r="O5983" s="20">
        <v>10666.92</v>
      </c>
      <c r="P5983" s="27" t="str">
        <f t="shared" si="280"/>
        <v>vermelho</v>
      </c>
    </row>
    <row r="5984" spans="1:16" ht="25.5">
      <c r="A5984" s="3" t="s">
        <v>4</v>
      </c>
      <c r="B5984" s="3" t="s">
        <v>4801</v>
      </c>
      <c r="C5984" s="4">
        <v>31</v>
      </c>
      <c r="D5984" s="3" t="s">
        <v>194</v>
      </c>
      <c r="E5984" s="3" t="s">
        <v>16</v>
      </c>
      <c r="F5984" s="5">
        <v>297</v>
      </c>
      <c r="G5984" s="5">
        <v>0</v>
      </c>
      <c r="H5984" s="6">
        <v>16903.560000000001</v>
      </c>
      <c r="I5984" s="22">
        <v>0</v>
      </c>
      <c r="J5984" s="24">
        <f t="shared" si="279"/>
        <v>0</v>
      </c>
      <c r="K5984" s="25">
        <f t="shared" si="281"/>
        <v>1.0000000000000009</v>
      </c>
      <c r="L5984" s="27"/>
      <c r="M5984" s="28"/>
      <c r="N5984" s="28"/>
      <c r="O5984" s="20" t="s">
        <v>7530</v>
      </c>
      <c r="P5984" s="27" t="str">
        <f t="shared" si="280"/>
        <v>vermelho</v>
      </c>
    </row>
    <row r="5985" spans="1:16" ht="25.5">
      <c r="A5985" s="3" t="s">
        <v>4</v>
      </c>
      <c r="B5985" s="3" t="s">
        <v>4802</v>
      </c>
      <c r="C5985" s="4">
        <v>194</v>
      </c>
      <c r="D5985" s="3" t="s">
        <v>145</v>
      </c>
      <c r="E5985" s="3" t="s">
        <v>16</v>
      </c>
      <c r="F5985" s="5">
        <v>204</v>
      </c>
      <c r="G5985" s="5">
        <v>0</v>
      </c>
      <c r="H5985" s="6">
        <v>10489.44</v>
      </c>
      <c r="I5985" s="22">
        <v>0</v>
      </c>
      <c r="J5985" s="24">
        <f t="shared" si="279"/>
        <v>0</v>
      </c>
      <c r="K5985" s="25">
        <f t="shared" si="281"/>
        <v>1.0000000000000009</v>
      </c>
      <c r="L5985" s="27"/>
      <c r="M5985" s="28"/>
      <c r="N5985" s="28"/>
      <c r="O5985" s="20" t="s">
        <v>7530</v>
      </c>
      <c r="P5985" s="27" t="str">
        <f t="shared" si="280"/>
        <v>vermelho</v>
      </c>
    </row>
    <row r="5986" spans="1:16" ht="38.25">
      <c r="A5986" s="3" t="s">
        <v>4</v>
      </c>
      <c r="B5986" s="3" t="s">
        <v>4803</v>
      </c>
      <c r="C5986" s="4">
        <v>292</v>
      </c>
      <c r="D5986" s="3" t="s">
        <v>57</v>
      </c>
      <c r="E5986" s="3" t="s">
        <v>49</v>
      </c>
      <c r="F5986" s="5">
        <v>192</v>
      </c>
      <c r="G5986" s="5">
        <v>0</v>
      </c>
      <c r="H5986" s="6">
        <v>10920.717000000001</v>
      </c>
      <c r="I5986" s="22">
        <v>0</v>
      </c>
      <c r="J5986" s="24">
        <f t="shared" si="279"/>
        <v>0</v>
      </c>
      <c r="K5986" s="25">
        <f t="shared" si="281"/>
        <v>1.0000000000000009</v>
      </c>
      <c r="L5986" s="27"/>
      <c r="M5986" s="28"/>
      <c r="N5986" s="28"/>
      <c r="O5986" s="20">
        <v>2225.16</v>
      </c>
      <c r="P5986" s="27" t="str">
        <f t="shared" si="280"/>
        <v>vermelho</v>
      </c>
    </row>
    <row r="5987" spans="1:16" ht="25.5">
      <c r="A5987" s="3" t="s">
        <v>4</v>
      </c>
      <c r="B5987" s="3" t="s">
        <v>4804</v>
      </c>
      <c r="C5987" s="4">
        <v>194</v>
      </c>
      <c r="D5987" s="3" t="s">
        <v>145</v>
      </c>
      <c r="E5987" s="3" t="s">
        <v>16</v>
      </c>
      <c r="F5987" s="5">
        <v>312</v>
      </c>
      <c r="G5987" s="5">
        <v>0</v>
      </c>
      <c r="H5987" s="6">
        <v>18340.8</v>
      </c>
      <c r="I5987" s="22">
        <v>0</v>
      </c>
      <c r="J5987" s="24">
        <f t="shared" si="279"/>
        <v>0</v>
      </c>
      <c r="K5987" s="25">
        <f t="shared" si="281"/>
        <v>1.0000000000000009</v>
      </c>
      <c r="L5987" s="27"/>
      <c r="M5987" s="28"/>
      <c r="N5987" s="28"/>
      <c r="O5987" s="20" t="s">
        <v>7530</v>
      </c>
      <c r="P5987" s="27" t="str">
        <f t="shared" si="280"/>
        <v>vermelho</v>
      </c>
    </row>
    <row r="5988" spans="1:16" ht="25.5">
      <c r="A5988" s="3" t="s">
        <v>4</v>
      </c>
      <c r="B5988" s="3" t="s">
        <v>4805</v>
      </c>
      <c r="C5988" s="4">
        <v>93</v>
      </c>
      <c r="D5988" s="3" t="s">
        <v>20</v>
      </c>
      <c r="E5988" s="3" t="s">
        <v>7</v>
      </c>
      <c r="F5988" s="5">
        <v>276</v>
      </c>
      <c r="G5988" s="5">
        <v>0</v>
      </c>
      <c r="H5988" s="6">
        <v>12344.97</v>
      </c>
      <c r="I5988" s="22">
        <v>0</v>
      </c>
      <c r="J5988" s="24">
        <f t="shared" si="279"/>
        <v>0</v>
      </c>
      <c r="K5988" s="25">
        <f t="shared" si="281"/>
        <v>1.0000000000000009</v>
      </c>
      <c r="L5988" s="27"/>
      <c r="M5988" s="28"/>
      <c r="N5988" s="28"/>
      <c r="O5988" s="20" t="s">
        <v>7530</v>
      </c>
      <c r="P5988" s="27" t="str">
        <f t="shared" si="280"/>
        <v>vermelho</v>
      </c>
    </row>
    <row r="5989" spans="1:16" ht="25.5">
      <c r="A5989" s="3" t="s">
        <v>4</v>
      </c>
      <c r="B5989" s="3" t="s">
        <v>4806</v>
      </c>
      <c r="C5989" s="4">
        <v>217</v>
      </c>
      <c r="D5989" s="3" t="s">
        <v>91</v>
      </c>
      <c r="E5989" s="3" t="s">
        <v>16</v>
      </c>
      <c r="F5989" s="5">
        <v>72</v>
      </c>
      <c r="G5989" s="5">
        <v>0</v>
      </c>
      <c r="H5989" s="6">
        <v>3005.76</v>
      </c>
      <c r="I5989" s="22">
        <v>0</v>
      </c>
      <c r="J5989" s="24">
        <f t="shared" si="279"/>
        <v>0</v>
      </c>
      <c r="K5989" s="25">
        <f t="shared" si="281"/>
        <v>1.0000000000000009</v>
      </c>
      <c r="L5989" s="27"/>
      <c r="M5989" s="28"/>
      <c r="N5989" s="28"/>
      <c r="O5989" s="20" t="s">
        <v>7530</v>
      </c>
      <c r="P5989" s="27" t="str">
        <f t="shared" si="280"/>
        <v>vermelho</v>
      </c>
    </row>
    <row r="5990" spans="1:16" ht="25.5">
      <c r="A5990" s="3" t="s">
        <v>4</v>
      </c>
      <c r="B5990" s="3" t="s">
        <v>4807</v>
      </c>
      <c r="C5990" s="4">
        <v>299</v>
      </c>
      <c r="D5990" s="3" t="s">
        <v>111</v>
      </c>
      <c r="E5990" s="3" t="s">
        <v>49</v>
      </c>
      <c r="F5990" s="5">
        <v>132</v>
      </c>
      <c r="G5990" s="5">
        <v>0</v>
      </c>
      <c r="H5990" s="6">
        <v>8163.84</v>
      </c>
      <c r="I5990" s="22">
        <v>0</v>
      </c>
      <c r="J5990" s="24">
        <f t="shared" si="279"/>
        <v>0</v>
      </c>
      <c r="K5990" s="25">
        <f t="shared" si="281"/>
        <v>1.0000000000000009</v>
      </c>
      <c r="L5990" s="27"/>
      <c r="M5990" s="28"/>
      <c r="N5990" s="28"/>
      <c r="O5990" s="20" t="s">
        <v>7530</v>
      </c>
      <c r="P5990" s="27" t="str">
        <f t="shared" si="280"/>
        <v>vermelho</v>
      </c>
    </row>
    <row r="5991" spans="1:16" ht="25.5">
      <c r="A5991" s="3" t="s">
        <v>4</v>
      </c>
      <c r="B5991" s="3" t="s">
        <v>4808</v>
      </c>
      <c r="C5991" s="4">
        <v>194</v>
      </c>
      <c r="D5991" s="3" t="s">
        <v>145</v>
      </c>
      <c r="E5991" s="3" t="s">
        <v>16</v>
      </c>
      <c r="F5991" s="5">
        <v>42</v>
      </c>
      <c r="G5991" s="5">
        <v>0</v>
      </c>
      <c r="H5991" s="6">
        <v>2921.58</v>
      </c>
      <c r="I5991" s="22">
        <v>0</v>
      </c>
      <c r="J5991" s="24">
        <f t="shared" si="279"/>
        <v>0</v>
      </c>
      <c r="K5991" s="25">
        <f t="shared" si="281"/>
        <v>1.0000000000000009</v>
      </c>
      <c r="L5991" s="27"/>
      <c r="M5991" s="28"/>
      <c r="N5991" s="28"/>
      <c r="O5991" s="20" t="s">
        <v>7530</v>
      </c>
      <c r="P5991" s="27" t="str">
        <f t="shared" si="280"/>
        <v>vermelho</v>
      </c>
    </row>
    <row r="5992" spans="1:16" ht="25.5">
      <c r="A5992" s="3" t="s">
        <v>4</v>
      </c>
      <c r="B5992" s="3" t="s">
        <v>4809</v>
      </c>
      <c r="C5992" s="4">
        <v>317</v>
      </c>
      <c r="D5992" s="3" t="s">
        <v>78</v>
      </c>
      <c r="E5992" s="3" t="s">
        <v>10</v>
      </c>
      <c r="F5992" s="5">
        <v>396</v>
      </c>
      <c r="G5992" s="5">
        <v>0</v>
      </c>
      <c r="H5992" s="6">
        <v>22119.66</v>
      </c>
      <c r="I5992" s="22">
        <v>0</v>
      </c>
      <c r="J5992" s="24">
        <f t="shared" si="279"/>
        <v>0</v>
      </c>
      <c r="K5992" s="25">
        <f t="shared" si="281"/>
        <v>1.0000000000000009</v>
      </c>
      <c r="L5992" s="27"/>
      <c r="M5992" s="28"/>
      <c r="N5992" s="28"/>
      <c r="O5992" s="20" t="s">
        <v>7530</v>
      </c>
      <c r="P5992" s="27" t="str">
        <f t="shared" si="280"/>
        <v>vermelho</v>
      </c>
    </row>
    <row r="5993" spans="1:16" ht="25.5">
      <c r="A5993" s="3" t="s">
        <v>4</v>
      </c>
      <c r="B5993" s="3" t="s">
        <v>4810</v>
      </c>
      <c r="C5993" s="4">
        <v>317</v>
      </c>
      <c r="D5993" s="3" t="s">
        <v>78</v>
      </c>
      <c r="E5993" s="3" t="s">
        <v>10</v>
      </c>
      <c r="F5993" s="5">
        <v>48</v>
      </c>
      <c r="G5993" s="5">
        <v>0</v>
      </c>
      <c r="H5993" s="6">
        <v>2788.92</v>
      </c>
      <c r="I5993" s="22">
        <v>0</v>
      </c>
      <c r="J5993" s="24">
        <f t="shared" si="279"/>
        <v>0</v>
      </c>
      <c r="K5993" s="25">
        <f t="shared" si="281"/>
        <v>1.0000000000000009</v>
      </c>
      <c r="L5993" s="27"/>
      <c r="M5993" s="28"/>
      <c r="N5993" s="28"/>
      <c r="O5993" s="20" t="s">
        <v>7530</v>
      </c>
      <c r="P5993" s="27" t="str">
        <f t="shared" si="280"/>
        <v>vermelho</v>
      </c>
    </row>
    <row r="5994" spans="1:16" ht="25.5">
      <c r="A5994" s="3" t="s">
        <v>4</v>
      </c>
      <c r="B5994" s="3" t="s">
        <v>4811</v>
      </c>
      <c r="C5994" s="4">
        <v>270</v>
      </c>
      <c r="D5994" s="3" t="s">
        <v>266</v>
      </c>
      <c r="E5994" s="3" t="s">
        <v>49</v>
      </c>
      <c r="F5994" s="5">
        <v>72</v>
      </c>
      <c r="G5994" s="5">
        <v>0</v>
      </c>
      <c r="H5994" s="6">
        <v>4357.5600000000004</v>
      </c>
      <c r="I5994" s="22">
        <v>0</v>
      </c>
      <c r="J5994" s="24">
        <f t="shared" si="279"/>
        <v>0</v>
      </c>
      <c r="K5994" s="25">
        <f t="shared" si="281"/>
        <v>1.0000000000000009</v>
      </c>
      <c r="L5994" s="27"/>
      <c r="M5994" s="28"/>
      <c r="N5994" s="28"/>
      <c r="O5994" s="20" t="s">
        <v>7530</v>
      </c>
      <c r="P5994" s="27" t="str">
        <f t="shared" si="280"/>
        <v>vermelho</v>
      </c>
    </row>
    <row r="5995" spans="1:16" ht="51">
      <c r="A5995" s="3" t="s">
        <v>4</v>
      </c>
      <c r="B5995" s="3" t="s">
        <v>4812</v>
      </c>
      <c r="C5995" s="4">
        <v>282</v>
      </c>
      <c r="D5995" s="3" t="s">
        <v>12</v>
      </c>
      <c r="E5995" s="3" t="s">
        <v>13</v>
      </c>
      <c r="F5995" s="5">
        <v>72</v>
      </c>
      <c r="G5995" s="5">
        <v>0</v>
      </c>
      <c r="H5995" s="6">
        <v>4691.28</v>
      </c>
      <c r="I5995" s="22">
        <v>0</v>
      </c>
      <c r="J5995" s="24">
        <f t="shared" si="279"/>
        <v>0</v>
      </c>
      <c r="K5995" s="25">
        <f t="shared" si="281"/>
        <v>1.0000000000000009</v>
      </c>
      <c r="L5995" s="27"/>
      <c r="M5995" s="28"/>
      <c r="N5995" s="28"/>
      <c r="O5995" s="20" t="s">
        <v>7530</v>
      </c>
      <c r="P5995" s="27" t="str">
        <f t="shared" si="280"/>
        <v>vermelho</v>
      </c>
    </row>
    <row r="5996" spans="1:16" ht="25.5">
      <c r="A5996" s="3" t="s">
        <v>4</v>
      </c>
      <c r="B5996" s="3" t="s">
        <v>4813</v>
      </c>
      <c r="C5996" s="4">
        <v>266</v>
      </c>
      <c r="D5996" s="3" t="s">
        <v>80</v>
      </c>
      <c r="E5996" s="3" t="s">
        <v>10</v>
      </c>
      <c r="F5996" s="5">
        <v>315</v>
      </c>
      <c r="G5996" s="5">
        <v>0</v>
      </c>
      <c r="H5996" s="6">
        <v>17457.21</v>
      </c>
      <c r="I5996" s="22">
        <v>0</v>
      </c>
      <c r="J5996" s="24">
        <f t="shared" si="279"/>
        <v>0</v>
      </c>
      <c r="K5996" s="25">
        <f t="shared" si="281"/>
        <v>1.0000000000000009</v>
      </c>
      <c r="L5996" s="27"/>
      <c r="M5996" s="28"/>
      <c r="N5996" s="28"/>
      <c r="O5996" s="20" t="s">
        <v>7530</v>
      </c>
      <c r="P5996" s="27" t="str">
        <f t="shared" si="280"/>
        <v>vermelho</v>
      </c>
    </row>
    <row r="5997" spans="1:16" ht="25.5">
      <c r="A5997" s="3" t="s">
        <v>4</v>
      </c>
      <c r="B5997" s="3" t="s">
        <v>4814</v>
      </c>
      <c r="C5997" s="4">
        <v>217</v>
      </c>
      <c r="D5997" s="3" t="s">
        <v>91</v>
      </c>
      <c r="E5997" s="3" t="s">
        <v>16</v>
      </c>
      <c r="F5997" s="5">
        <v>132</v>
      </c>
      <c r="G5997" s="5">
        <v>0</v>
      </c>
      <c r="H5997" s="6">
        <v>6620.52</v>
      </c>
      <c r="I5997" s="22">
        <v>0</v>
      </c>
      <c r="J5997" s="24">
        <f t="shared" si="279"/>
        <v>0</v>
      </c>
      <c r="K5997" s="25">
        <f t="shared" si="281"/>
        <v>1.0000000000000009</v>
      </c>
      <c r="L5997" s="27"/>
      <c r="M5997" s="28"/>
      <c r="N5997" s="28"/>
      <c r="O5997" s="20" t="s">
        <v>7530</v>
      </c>
      <c r="P5997" s="27" t="str">
        <f t="shared" si="280"/>
        <v>vermelho</v>
      </c>
    </row>
    <row r="5998" spans="1:16" ht="25.5">
      <c r="A5998" s="3" t="s">
        <v>4</v>
      </c>
      <c r="B5998" s="3" t="s">
        <v>4815</v>
      </c>
      <c r="C5998" s="4">
        <v>19</v>
      </c>
      <c r="D5998" s="3" t="s">
        <v>72</v>
      </c>
      <c r="E5998" s="3" t="s">
        <v>41</v>
      </c>
      <c r="F5998" s="5">
        <v>60</v>
      </c>
      <c r="G5998" s="5">
        <v>0</v>
      </c>
      <c r="H5998" s="6">
        <v>2687.4</v>
      </c>
      <c r="I5998" s="22">
        <v>0</v>
      </c>
      <c r="J5998" s="24">
        <f t="shared" si="279"/>
        <v>0</v>
      </c>
      <c r="K5998" s="25">
        <f t="shared" si="281"/>
        <v>1.0000000000000009</v>
      </c>
      <c r="L5998" s="27"/>
      <c r="M5998" s="28"/>
      <c r="N5998" s="28"/>
      <c r="O5998" s="20" t="s">
        <v>7530</v>
      </c>
      <c r="P5998" s="27" t="str">
        <f t="shared" si="280"/>
        <v>vermelho</v>
      </c>
    </row>
    <row r="5999" spans="1:16" ht="38.25">
      <c r="A5999" s="3" t="s">
        <v>4</v>
      </c>
      <c r="B5999" s="3" t="s">
        <v>4816</v>
      </c>
      <c r="C5999" s="4">
        <v>320</v>
      </c>
      <c r="D5999" s="3" t="s">
        <v>218</v>
      </c>
      <c r="E5999" s="3" t="s">
        <v>49</v>
      </c>
      <c r="F5999" s="5">
        <v>60</v>
      </c>
      <c r="G5999" s="5">
        <v>0</v>
      </c>
      <c r="H5999" s="6">
        <v>3563.4</v>
      </c>
      <c r="I5999" s="22">
        <v>0</v>
      </c>
      <c r="J5999" s="24">
        <f t="shared" si="279"/>
        <v>0</v>
      </c>
      <c r="K5999" s="25">
        <f t="shared" si="281"/>
        <v>1.0000000000000009</v>
      </c>
      <c r="L5999" s="27"/>
      <c r="M5999" s="28"/>
      <c r="N5999" s="28"/>
      <c r="O5999" s="20" t="s">
        <v>7530</v>
      </c>
      <c r="P5999" s="27" t="str">
        <f t="shared" si="280"/>
        <v>vermelho</v>
      </c>
    </row>
    <row r="6000" spans="1:16" ht="25.5">
      <c r="A6000" s="3" t="s">
        <v>4</v>
      </c>
      <c r="B6000" s="3" t="s">
        <v>4817</v>
      </c>
      <c r="C6000" s="4">
        <v>296</v>
      </c>
      <c r="D6000" s="3" t="s">
        <v>282</v>
      </c>
      <c r="E6000" s="3" t="s">
        <v>49</v>
      </c>
      <c r="F6000" s="5">
        <v>72</v>
      </c>
      <c r="G6000" s="5">
        <v>0</v>
      </c>
      <c r="H6000" s="6">
        <v>4331.04</v>
      </c>
      <c r="I6000" s="22">
        <v>0</v>
      </c>
      <c r="J6000" s="24">
        <f t="shared" si="279"/>
        <v>0</v>
      </c>
      <c r="K6000" s="25">
        <f t="shared" si="281"/>
        <v>1.0000000000000009</v>
      </c>
      <c r="L6000" s="27"/>
      <c r="M6000" s="28"/>
      <c r="N6000" s="28"/>
      <c r="O6000" s="20" t="s">
        <v>7530</v>
      </c>
      <c r="P6000" s="27" t="str">
        <f t="shared" si="280"/>
        <v>vermelho</v>
      </c>
    </row>
    <row r="6001" spans="1:16" ht="25.5">
      <c r="A6001" s="3" t="s">
        <v>4</v>
      </c>
      <c r="B6001" s="3" t="s">
        <v>4818</v>
      </c>
      <c r="C6001" s="4">
        <v>19</v>
      </c>
      <c r="D6001" s="3" t="s">
        <v>72</v>
      </c>
      <c r="E6001" s="3" t="s">
        <v>41</v>
      </c>
      <c r="F6001" s="5">
        <v>126</v>
      </c>
      <c r="G6001" s="5">
        <v>0</v>
      </c>
      <c r="H6001" s="6">
        <v>6537.42</v>
      </c>
      <c r="I6001" s="22">
        <v>0</v>
      </c>
      <c r="J6001" s="24">
        <f t="shared" si="279"/>
        <v>0</v>
      </c>
      <c r="K6001" s="25">
        <f t="shared" si="281"/>
        <v>1.0000000000000009</v>
      </c>
      <c r="L6001" s="27"/>
      <c r="M6001" s="28"/>
      <c r="N6001" s="28"/>
      <c r="O6001" s="20" t="s">
        <v>7530</v>
      </c>
      <c r="P6001" s="27" t="str">
        <f t="shared" si="280"/>
        <v>vermelho</v>
      </c>
    </row>
    <row r="6002" spans="1:16" ht="25.5">
      <c r="A6002" s="3" t="s">
        <v>4</v>
      </c>
      <c r="B6002" s="3" t="s">
        <v>4819</v>
      </c>
      <c r="C6002" s="4">
        <v>115</v>
      </c>
      <c r="D6002" s="3" t="s">
        <v>3681</v>
      </c>
      <c r="E6002" s="3" t="s">
        <v>13</v>
      </c>
      <c r="F6002" s="5">
        <v>0</v>
      </c>
      <c r="G6002" s="5">
        <v>0</v>
      </c>
      <c r="H6002" s="6">
        <v>0</v>
      </c>
      <c r="I6002" s="22">
        <v>0</v>
      </c>
      <c r="J6002" s="24">
        <f t="shared" si="279"/>
        <v>0</v>
      </c>
      <c r="K6002" s="25">
        <f t="shared" si="281"/>
        <v>1.0000000000000009</v>
      </c>
      <c r="L6002" s="27"/>
      <c r="M6002" s="28"/>
      <c r="N6002" s="28"/>
      <c r="O6002" s="20" t="s">
        <v>7530</v>
      </c>
      <c r="P6002" s="27" t="str">
        <f t="shared" si="280"/>
        <v>vermelho</v>
      </c>
    </row>
    <row r="6003" spans="1:16" ht="25.5">
      <c r="A6003" s="3" t="s">
        <v>4</v>
      </c>
      <c r="B6003" s="3" t="s">
        <v>4820</v>
      </c>
      <c r="C6003" s="4">
        <v>299</v>
      </c>
      <c r="D6003" s="3" t="s">
        <v>111</v>
      </c>
      <c r="E6003" s="3" t="s">
        <v>49</v>
      </c>
      <c r="F6003" s="5">
        <v>60</v>
      </c>
      <c r="G6003" s="5">
        <v>0</v>
      </c>
      <c r="H6003" s="6">
        <v>3180.12</v>
      </c>
      <c r="I6003" s="22">
        <v>0</v>
      </c>
      <c r="J6003" s="24">
        <f t="shared" si="279"/>
        <v>0</v>
      </c>
      <c r="K6003" s="25">
        <f t="shared" si="281"/>
        <v>1.0000000000000009</v>
      </c>
      <c r="L6003" s="27"/>
      <c r="M6003" s="28"/>
      <c r="N6003" s="28"/>
      <c r="O6003" s="20" t="s">
        <v>7530</v>
      </c>
      <c r="P6003" s="27" t="str">
        <f t="shared" si="280"/>
        <v>vermelho</v>
      </c>
    </row>
    <row r="6004" spans="1:16" ht="38.25">
      <c r="A6004" s="3" t="s">
        <v>4</v>
      </c>
      <c r="B6004" s="3" t="s">
        <v>4821</v>
      </c>
      <c r="C6004" s="4">
        <v>371</v>
      </c>
      <c r="D6004" s="3" t="s">
        <v>82</v>
      </c>
      <c r="E6004" s="3" t="s">
        <v>49</v>
      </c>
      <c r="F6004" s="5">
        <v>204</v>
      </c>
      <c r="G6004" s="5">
        <v>0</v>
      </c>
      <c r="H6004" s="6">
        <v>10772.28</v>
      </c>
      <c r="I6004" s="22">
        <v>0</v>
      </c>
      <c r="J6004" s="24">
        <f t="shared" si="279"/>
        <v>0</v>
      </c>
      <c r="K6004" s="25">
        <f t="shared" si="281"/>
        <v>1.0000000000000009</v>
      </c>
      <c r="L6004" s="27"/>
      <c r="M6004" s="28"/>
      <c r="N6004" s="28"/>
      <c r="O6004" s="20" t="s">
        <v>7530</v>
      </c>
      <c r="P6004" s="27" t="str">
        <f t="shared" si="280"/>
        <v>vermelho</v>
      </c>
    </row>
    <row r="6005" spans="1:16" ht="25.5">
      <c r="A6005" s="3" t="s">
        <v>4</v>
      </c>
      <c r="B6005" s="3" t="s">
        <v>4822</v>
      </c>
      <c r="C6005" s="4">
        <v>261</v>
      </c>
      <c r="D6005" s="3" t="s">
        <v>9</v>
      </c>
      <c r="E6005" s="3" t="s">
        <v>10</v>
      </c>
      <c r="F6005" s="5">
        <v>93</v>
      </c>
      <c r="G6005" s="5">
        <v>0</v>
      </c>
      <c r="H6005" s="6">
        <v>4695.42</v>
      </c>
      <c r="I6005" s="22">
        <v>0</v>
      </c>
      <c r="J6005" s="24">
        <f t="shared" si="279"/>
        <v>0</v>
      </c>
      <c r="K6005" s="25">
        <f t="shared" si="281"/>
        <v>1.0000000000000009</v>
      </c>
      <c r="L6005" s="27"/>
      <c r="M6005" s="28"/>
      <c r="N6005" s="28"/>
      <c r="O6005" s="20" t="s">
        <v>7530</v>
      </c>
      <c r="P6005" s="27" t="str">
        <f t="shared" si="280"/>
        <v>vermelho</v>
      </c>
    </row>
    <row r="6006" spans="1:16" ht="25.5">
      <c r="A6006" s="3" t="s">
        <v>4</v>
      </c>
      <c r="B6006" s="3" t="s">
        <v>4823</v>
      </c>
      <c r="C6006" s="4">
        <v>266</v>
      </c>
      <c r="D6006" s="3" t="s">
        <v>80</v>
      </c>
      <c r="E6006" s="3" t="s">
        <v>10</v>
      </c>
      <c r="F6006" s="5">
        <v>450</v>
      </c>
      <c r="G6006" s="5">
        <v>0</v>
      </c>
      <c r="H6006" s="6">
        <v>25874.19</v>
      </c>
      <c r="I6006" s="22">
        <v>0</v>
      </c>
      <c r="J6006" s="24">
        <f t="shared" si="279"/>
        <v>0</v>
      </c>
      <c r="K6006" s="25">
        <f t="shared" si="281"/>
        <v>1.0000000000000009</v>
      </c>
      <c r="L6006" s="27"/>
      <c r="M6006" s="28"/>
      <c r="N6006" s="28"/>
      <c r="O6006" s="20" t="s">
        <v>7530</v>
      </c>
      <c r="P6006" s="27" t="str">
        <f t="shared" si="280"/>
        <v>vermelho</v>
      </c>
    </row>
    <row r="6007" spans="1:16" ht="25.5">
      <c r="A6007" s="3" t="s">
        <v>4</v>
      </c>
      <c r="B6007" s="3" t="s">
        <v>4824</v>
      </c>
      <c r="C6007" s="4">
        <v>296</v>
      </c>
      <c r="D6007" s="3" t="s">
        <v>282</v>
      </c>
      <c r="E6007" s="3" t="s">
        <v>16</v>
      </c>
      <c r="F6007" s="5">
        <v>75</v>
      </c>
      <c r="G6007" s="5">
        <v>0</v>
      </c>
      <c r="H6007" s="6">
        <v>3944.37</v>
      </c>
      <c r="I6007" s="22">
        <v>0</v>
      </c>
      <c r="J6007" s="24">
        <f t="shared" si="279"/>
        <v>0</v>
      </c>
      <c r="K6007" s="25">
        <f t="shared" si="281"/>
        <v>1.0000000000000009</v>
      </c>
      <c r="L6007" s="27"/>
      <c r="M6007" s="28"/>
      <c r="N6007" s="28"/>
      <c r="O6007" s="20" t="s">
        <v>7530</v>
      </c>
      <c r="P6007" s="27" t="str">
        <f t="shared" si="280"/>
        <v>vermelho</v>
      </c>
    </row>
    <row r="6008" spans="1:16" ht="25.5">
      <c r="A6008" s="3" t="s">
        <v>4</v>
      </c>
      <c r="B6008" s="3" t="s">
        <v>4825</v>
      </c>
      <c r="C6008" s="4">
        <v>218</v>
      </c>
      <c r="D6008" s="3" t="s">
        <v>104</v>
      </c>
      <c r="E6008" s="3" t="s">
        <v>16</v>
      </c>
      <c r="F6008" s="5">
        <v>168</v>
      </c>
      <c r="G6008" s="5">
        <v>0</v>
      </c>
      <c r="H6008" s="6">
        <v>9189.6</v>
      </c>
      <c r="I6008" s="22">
        <v>0</v>
      </c>
      <c r="J6008" s="24">
        <f t="shared" si="279"/>
        <v>0</v>
      </c>
      <c r="K6008" s="25">
        <f t="shared" si="281"/>
        <v>1.0000000000000009</v>
      </c>
      <c r="L6008" s="27"/>
      <c r="M6008" s="28"/>
      <c r="N6008" s="28"/>
      <c r="O6008" s="20" t="s">
        <v>7530</v>
      </c>
      <c r="P6008" s="27" t="str">
        <f t="shared" si="280"/>
        <v>vermelho</v>
      </c>
    </row>
    <row r="6009" spans="1:16" ht="25.5">
      <c r="A6009" s="3" t="s">
        <v>4</v>
      </c>
      <c r="B6009" s="3" t="s">
        <v>4826</v>
      </c>
      <c r="C6009" s="4">
        <v>53</v>
      </c>
      <c r="D6009" s="3" t="s">
        <v>34</v>
      </c>
      <c r="E6009" s="3" t="s">
        <v>16</v>
      </c>
      <c r="F6009" s="5">
        <v>180</v>
      </c>
      <c r="G6009" s="5">
        <v>0</v>
      </c>
      <c r="H6009" s="6">
        <v>12556.32</v>
      </c>
      <c r="I6009" s="22">
        <v>0</v>
      </c>
      <c r="J6009" s="24">
        <f t="shared" si="279"/>
        <v>0</v>
      </c>
      <c r="K6009" s="25">
        <f t="shared" si="281"/>
        <v>1.0000000000000009</v>
      </c>
      <c r="L6009" s="27"/>
      <c r="M6009" s="28"/>
      <c r="N6009" s="28"/>
      <c r="O6009" s="20" t="s">
        <v>7530</v>
      </c>
      <c r="P6009" s="27" t="str">
        <f t="shared" si="280"/>
        <v>vermelho</v>
      </c>
    </row>
    <row r="6010" spans="1:16">
      <c r="A6010" s="3" t="s">
        <v>4</v>
      </c>
      <c r="B6010" s="3" t="s">
        <v>4827</v>
      </c>
      <c r="C6010" s="4">
        <v>264</v>
      </c>
      <c r="D6010" s="3" t="s">
        <v>40</v>
      </c>
      <c r="E6010" s="3" t="s">
        <v>10</v>
      </c>
      <c r="F6010" s="5">
        <v>48</v>
      </c>
      <c r="G6010" s="5">
        <v>0</v>
      </c>
      <c r="H6010" s="6">
        <v>2800.7640000000001</v>
      </c>
      <c r="I6010" s="22">
        <v>0</v>
      </c>
      <c r="J6010" s="24">
        <f t="shared" si="279"/>
        <v>0</v>
      </c>
      <c r="K6010" s="25">
        <f t="shared" si="281"/>
        <v>1.0000000000000009</v>
      </c>
      <c r="L6010" s="27"/>
      <c r="M6010" s="28"/>
      <c r="N6010" s="28"/>
      <c r="O6010" s="20" t="s">
        <v>7530</v>
      </c>
      <c r="P6010" s="27" t="str">
        <f t="shared" si="280"/>
        <v>vermelho</v>
      </c>
    </row>
    <row r="6011" spans="1:16">
      <c r="A6011" s="3" t="s">
        <v>4</v>
      </c>
      <c r="B6011" s="3" t="s">
        <v>4828</v>
      </c>
      <c r="C6011" s="4">
        <v>232</v>
      </c>
      <c r="D6011" s="3" t="s">
        <v>174</v>
      </c>
      <c r="E6011" s="3" t="s">
        <v>16</v>
      </c>
      <c r="F6011" s="5">
        <v>144</v>
      </c>
      <c r="G6011" s="5">
        <v>0</v>
      </c>
      <c r="H6011" s="6">
        <v>8691.24</v>
      </c>
      <c r="I6011" s="22">
        <v>0</v>
      </c>
      <c r="J6011" s="24">
        <f t="shared" si="279"/>
        <v>0</v>
      </c>
      <c r="K6011" s="25">
        <f t="shared" si="281"/>
        <v>1.0000000000000009</v>
      </c>
      <c r="L6011" s="27"/>
      <c r="M6011" s="28"/>
      <c r="N6011" s="28"/>
      <c r="O6011" s="20" t="s">
        <v>7530</v>
      </c>
      <c r="P6011" s="27" t="str">
        <f t="shared" si="280"/>
        <v>vermelho</v>
      </c>
    </row>
    <row r="6012" spans="1:16" ht="25.5">
      <c r="A6012" s="3" t="s">
        <v>4</v>
      </c>
      <c r="B6012" s="3" t="s">
        <v>4829</v>
      </c>
      <c r="C6012" s="4">
        <v>337</v>
      </c>
      <c r="D6012" s="3" t="s">
        <v>202</v>
      </c>
      <c r="E6012" s="3" t="s">
        <v>16</v>
      </c>
      <c r="F6012" s="5">
        <v>324</v>
      </c>
      <c r="G6012" s="5">
        <v>0</v>
      </c>
      <c r="H6012" s="6">
        <v>16302</v>
      </c>
      <c r="I6012" s="22">
        <v>0</v>
      </c>
      <c r="J6012" s="24">
        <f t="shared" si="279"/>
        <v>0</v>
      </c>
      <c r="K6012" s="25">
        <f t="shared" si="281"/>
        <v>1.0000000000000009</v>
      </c>
      <c r="L6012" s="27"/>
      <c r="M6012" s="28"/>
      <c r="N6012" s="28"/>
      <c r="O6012" s="20" t="s">
        <v>7530</v>
      </c>
      <c r="P6012" s="27" t="str">
        <f t="shared" si="280"/>
        <v>vermelho</v>
      </c>
    </row>
    <row r="6013" spans="1:16" ht="25.5">
      <c r="A6013" s="3" t="s">
        <v>4</v>
      </c>
      <c r="B6013" s="3" t="s">
        <v>4830</v>
      </c>
      <c r="C6013" s="4">
        <v>93</v>
      </c>
      <c r="D6013" s="3" t="s">
        <v>20</v>
      </c>
      <c r="E6013" s="3" t="s">
        <v>7</v>
      </c>
      <c r="F6013" s="5">
        <v>0</v>
      </c>
      <c r="G6013" s="5">
        <v>0</v>
      </c>
      <c r="H6013" s="6">
        <v>0</v>
      </c>
      <c r="I6013" s="22">
        <v>0</v>
      </c>
      <c r="J6013" s="24">
        <f t="shared" si="279"/>
        <v>0</v>
      </c>
      <c r="K6013" s="25">
        <f t="shared" si="281"/>
        <v>1.0000000000000009</v>
      </c>
      <c r="L6013" s="27"/>
      <c r="M6013" s="28"/>
      <c r="N6013" s="28"/>
      <c r="O6013" s="20" t="s">
        <v>7530</v>
      </c>
      <c r="P6013" s="27" t="str">
        <f t="shared" si="280"/>
        <v>vermelho</v>
      </c>
    </row>
    <row r="6014" spans="1:16" ht="38.25">
      <c r="A6014" s="3" t="s">
        <v>4</v>
      </c>
      <c r="B6014" s="3" t="s">
        <v>4831</v>
      </c>
      <c r="C6014" s="4">
        <v>45</v>
      </c>
      <c r="D6014" s="3" t="s">
        <v>23</v>
      </c>
      <c r="E6014" s="3" t="s">
        <v>7</v>
      </c>
      <c r="F6014" s="5">
        <v>75</v>
      </c>
      <c r="G6014" s="5">
        <v>0</v>
      </c>
      <c r="H6014" s="6">
        <v>4274.25</v>
      </c>
      <c r="I6014" s="22">
        <v>0</v>
      </c>
      <c r="J6014" s="24">
        <f t="shared" si="279"/>
        <v>0</v>
      </c>
      <c r="K6014" s="25">
        <f t="shared" si="281"/>
        <v>1.0000000000000009</v>
      </c>
      <c r="L6014" s="27"/>
      <c r="M6014" s="28"/>
      <c r="N6014" s="28"/>
      <c r="O6014" s="20">
        <v>2113.5</v>
      </c>
      <c r="P6014" s="27" t="str">
        <f t="shared" si="280"/>
        <v>vermelho</v>
      </c>
    </row>
    <row r="6015" spans="1:16" ht="25.5">
      <c r="A6015" s="3" t="s">
        <v>4</v>
      </c>
      <c r="B6015" s="3" t="s">
        <v>4832</v>
      </c>
      <c r="C6015" s="4">
        <v>273</v>
      </c>
      <c r="D6015" s="3" t="s">
        <v>149</v>
      </c>
      <c r="E6015" s="3" t="s">
        <v>41</v>
      </c>
      <c r="F6015" s="5">
        <v>72</v>
      </c>
      <c r="G6015" s="5">
        <v>0</v>
      </c>
      <c r="H6015" s="6">
        <v>3216.24</v>
      </c>
      <c r="I6015" s="22">
        <v>0</v>
      </c>
      <c r="J6015" s="24">
        <f t="shared" si="279"/>
        <v>0</v>
      </c>
      <c r="K6015" s="25">
        <f t="shared" si="281"/>
        <v>1.0000000000000009</v>
      </c>
      <c r="L6015" s="27"/>
      <c r="M6015" s="28"/>
      <c r="N6015" s="28"/>
      <c r="O6015" s="20" t="s">
        <v>7530</v>
      </c>
      <c r="P6015" s="27" t="str">
        <f t="shared" si="280"/>
        <v>vermelho</v>
      </c>
    </row>
    <row r="6016" spans="1:16" ht="25.5">
      <c r="A6016" s="3" t="s">
        <v>4</v>
      </c>
      <c r="B6016" s="3" t="s">
        <v>4833</v>
      </c>
      <c r="C6016" s="4">
        <v>187</v>
      </c>
      <c r="D6016" s="3" t="s">
        <v>96</v>
      </c>
      <c r="E6016" s="3" t="s">
        <v>7</v>
      </c>
      <c r="F6016" s="5">
        <v>72</v>
      </c>
      <c r="G6016" s="5">
        <v>0</v>
      </c>
      <c r="H6016" s="6">
        <v>3803.28</v>
      </c>
      <c r="I6016" s="22">
        <v>0</v>
      </c>
      <c r="J6016" s="24">
        <f t="shared" si="279"/>
        <v>0</v>
      </c>
      <c r="K6016" s="25">
        <f t="shared" si="281"/>
        <v>1.0000000000000009</v>
      </c>
      <c r="L6016" s="27"/>
      <c r="M6016" s="28"/>
      <c r="N6016" s="28"/>
      <c r="O6016" s="20" t="s">
        <v>7530</v>
      </c>
      <c r="P6016" s="27" t="str">
        <f t="shared" si="280"/>
        <v>vermelho</v>
      </c>
    </row>
    <row r="6017" spans="1:16" ht="25.5">
      <c r="A6017" s="3" t="s">
        <v>4</v>
      </c>
      <c r="B6017" s="3" t="s">
        <v>4834</v>
      </c>
      <c r="C6017" s="4">
        <v>15</v>
      </c>
      <c r="D6017" s="3" t="s">
        <v>18</v>
      </c>
      <c r="E6017" s="3" t="s">
        <v>16</v>
      </c>
      <c r="F6017" s="5">
        <v>60</v>
      </c>
      <c r="G6017" s="5">
        <v>0</v>
      </c>
      <c r="H6017" s="6">
        <v>3999</v>
      </c>
      <c r="I6017" s="22">
        <v>0</v>
      </c>
      <c r="J6017" s="24">
        <f t="shared" si="279"/>
        <v>0</v>
      </c>
      <c r="K6017" s="25">
        <f t="shared" si="281"/>
        <v>1.0000000000000009</v>
      </c>
      <c r="L6017" s="27"/>
      <c r="M6017" s="28"/>
      <c r="N6017" s="28"/>
      <c r="O6017" s="20" t="s">
        <v>7530</v>
      </c>
      <c r="P6017" s="27" t="str">
        <f t="shared" si="280"/>
        <v>vermelho</v>
      </c>
    </row>
    <row r="6018" spans="1:16" ht="25.5">
      <c r="A6018" s="3" t="s">
        <v>4</v>
      </c>
      <c r="B6018" s="3" t="s">
        <v>4835</v>
      </c>
      <c r="C6018" s="4">
        <v>315</v>
      </c>
      <c r="D6018" s="3" t="s">
        <v>63</v>
      </c>
      <c r="E6018" s="3" t="s">
        <v>7</v>
      </c>
      <c r="F6018" s="5">
        <v>54</v>
      </c>
      <c r="G6018" s="5">
        <v>0</v>
      </c>
      <c r="H6018" s="6">
        <v>2765.7</v>
      </c>
      <c r="I6018" s="22">
        <v>0</v>
      </c>
      <c r="J6018" s="24">
        <f t="shared" si="279"/>
        <v>0</v>
      </c>
      <c r="K6018" s="25">
        <f t="shared" si="281"/>
        <v>1.0000000000000009</v>
      </c>
      <c r="L6018" s="27"/>
      <c r="M6018" s="28"/>
      <c r="N6018" s="28"/>
      <c r="O6018" s="20" t="s">
        <v>7530</v>
      </c>
      <c r="P6018" s="27" t="str">
        <f t="shared" si="280"/>
        <v>vermelho</v>
      </c>
    </row>
    <row r="6019" spans="1:16" ht="25.5">
      <c r="A6019" s="3" t="s">
        <v>4</v>
      </c>
      <c r="B6019" s="3" t="s">
        <v>4836</v>
      </c>
      <c r="C6019" s="4">
        <v>208</v>
      </c>
      <c r="D6019" s="3" t="s">
        <v>15</v>
      </c>
      <c r="E6019" s="3" t="s">
        <v>16</v>
      </c>
      <c r="F6019" s="5">
        <v>132</v>
      </c>
      <c r="G6019" s="5">
        <v>0</v>
      </c>
      <c r="H6019" s="6">
        <v>7462.68</v>
      </c>
      <c r="I6019" s="22">
        <v>0</v>
      </c>
      <c r="J6019" s="24">
        <f t="shared" ref="J6019:J6082" si="282">I6019/$I$6364</f>
        <v>0</v>
      </c>
      <c r="K6019" s="25">
        <f t="shared" si="281"/>
        <v>1.0000000000000009</v>
      </c>
      <c r="L6019" s="27"/>
      <c r="M6019" s="28"/>
      <c r="N6019" s="28"/>
      <c r="O6019" s="20" t="s">
        <v>7530</v>
      </c>
      <c r="P6019" s="27" t="str">
        <f t="shared" ref="P6019:P6082" si="283">IF(O6019&lt;=0,"vermelho",IFERROR(IF(O6019/I6019&lt;=0.5098,"amarelo",IF(O6019/I6019&lt;1,"laranja","verde")),"vermelho"))</f>
        <v>vermelho</v>
      </c>
    </row>
    <row r="6020" spans="1:16" ht="25.5">
      <c r="A6020" s="3" t="s">
        <v>4</v>
      </c>
      <c r="B6020" s="3" t="s">
        <v>4837</v>
      </c>
      <c r="C6020" s="4">
        <v>296</v>
      </c>
      <c r="D6020" s="3" t="s">
        <v>282</v>
      </c>
      <c r="E6020" s="3" t="s">
        <v>16</v>
      </c>
      <c r="F6020" s="5">
        <v>201</v>
      </c>
      <c r="G6020" s="5">
        <v>0</v>
      </c>
      <c r="H6020" s="6">
        <v>10134.51</v>
      </c>
      <c r="I6020" s="22">
        <v>0</v>
      </c>
      <c r="J6020" s="24">
        <f t="shared" si="282"/>
        <v>0</v>
      </c>
      <c r="K6020" s="25">
        <f t="shared" ref="K6020:K6083" si="284">J6020+K6019</f>
        <v>1.0000000000000009</v>
      </c>
      <c r="L6020" s="27"/>
      <c r="M6020" s="28"/>
      <c r="N6020" s="28"/>
      <c r="O6020" s="20" t="s">
        <v>7530</v>
      </c>
      <c r="P6020" s="27" t="str">
        <f t="shared" si="283"/>
        <v>vermelho</v>
      </c>
    </row>
    <row r="6021" spans="1:16" ht="25.5">
      <c r="A6021" s="3" t="s">
        <v>4</v>
      </c>
      <c r="B6021" s="3" t="s">
        <v>4838</v>
      </c>
      <c r="C6021" s="4">
        <v>327</v>
      </c>
      <c r="D6021" s="3" t="s">
        <v>100</v>
      </c>
      <c r="E6021" s="3" t="s">
        <v>7</v>
      </c>
      <c r="F6021" s="5">
        <v>120</v>
      </c>
      <c r="G6021" s="5">
        <v>0</v>
      </c>
      <c r="H6021" s="6">
        <v>7786.8</v>
      </c>
      <c r="I6021" s="22">
        <v>0</v>
      </c>
      <c r="J6021" s="24">
        <f t="shared" si="282"/>
        <v>0</v>
      </c>
      <c r="K6021" s="25">
        <f t="shared" si="284"/>
        <v>1.0000000000000009</v>
      </c>
      <c r="L6021" s="27"/>
      <c r="M6021" s="28"/>
      <c r="N6021" s="28"/>
      <c r="O6021" s="20" t="s">
        <v>7530</v>
      </c>
      <c r="P6021" s="27" t="str">
        <f t="shared" si="283"/>
        <v>vermelho</v>
      </c>
    </row>
    <row r="6022" spans="1:16" ht="25.5">
      <c r="A6022" s="3" t="s">
        <v>4</v>
      </c>
      <c r="B6022" s="3" t="s">
        <v>4839</v>
      </c>
      <c r="C6022" s="4">
        <v>273</v>
      </c>
      <c r="D6022" s="3" t="s">
        <v>149</v>
      </c>
      <c r="E6022" s="3" t="s">
        <v>10</v>
      </c>
      <c r="F6022" s="5">
        <v>216</v>
      </c>
      <c r="G6022" s="5">
        <v>0</v>
      </c>
      <c r="H6022" s="6">
        <v>8551.44</v>
      </c>
      <c r="I6022" s="22">
        <v>0</v>
      </c>
      <c r="J6022" s="24">
        <f t="shared" si="282"/>
        <v>0</v>
      </c>
      <c r="K6022" s="25">
        <f t="shared" si="284"/>
        <v>1.0000000000000009</v>
      </c>
      <c r="L6022" s="27"/>
      <c r="M6022" s="28"/>
      <c r="N6022" s="28"/>
      <c r="O6022" s="20" t="s">
        <v>7530</v>
      </c>
      <c r="P6022" s="27" t="str">
        <f t="shared" si="283"/>
        <v>vermelho</v>
      </c>
    </row>
    <row r="6023" spans="1:16">
      <c r="A6023" s="3" t="s">
        <v>4</v>
      </c>
      <c r="B6023" s="3" t="s">
        <v>4840</v>
      </c>
      <c r="C6023" s="4">
        <v>315</v>
      </c>
      <c r="D6023" s="3" t="s">
        <v>63</v>
      </c>
      <c r="E6023" s="3" t="s">
        <v>7</v>
      </c>
      <c r="F6023" s="5">
        <v>123</v>
      </c>
      <c r="G6023" s="5">
        <v>0</v>
      </c>
      <c r="H6023" s="6">
        <v>8104.77</v>
      </c>
      <c r="I6023" s="22">
        <v>0</v>
      </c>
      <c r="J6023" s="24">
        <f t="shared" si="282"/>
        <v>0</v>
      </c>
      <c r="K6023" s="25">
        <f t="shared" si="284"/>
        <v>1.0000000000000009</v>
      </c>
      <c r="L6023" s="27"/>
      <c r="M6023" s="28"/>
      <c r="N6023" s="28"/>
      <c r="O6023" s="20">
        <v>1947.6</v>
      </c>
      <c r="P6023" s="27" t="str">
        <f t="shared" si="283"/>
        <v>vermelho</v>
      </c>
    </row>
    <row r="6024" spans="1:16" ht="25.5">
      <c r="A6024" s="3" t="s">
        <v>4</v>
      </c>
      <c r="B6024" s="3" t="s">
        <v>4841</v>
      </c>
      <c r="C6024" s="4">
        <v>41</v>
      </c>
      <c r="D6024" s="3" t="s">
        <v>178</v>
      </c>
      <c r="E6024" s="3" t="s">
        <v>41</v>
      </c>
      <c r="F6024" s="5">
        <v>276</v>
      </c>
      <c r="G6024" s="5">
        <v>0</v>
      </c>
      <c r="H6024" s="6">
        <v>15593.64</v>
      </c>
      <c r="I6024" s="22">
        <v>0</v>
      </c>
      <c r="J6024" s="24">
        <f t="shared" si="282"/>
        <v>0</v>
      </c>
      <c r="K6024" s="25">
        <f t="shared" si="284"/>
        <v>1.0000000000000009</v>
      </c>
      <c r="L6024" s="27"/>
      <c r="M6024" s="28"/>
      <c r="N6024" s="28"/>
      <c r="O6024" s="20" t="s">
        <v>7530</v>
      </c>
      <c r="P6024" s="27" t="str">
        <f t="shared" si="283"/>
        <v>vermelho</v>
      </c>
    </row>
    <row r="6025" spans="1:16" ht="25.5">
      <c r="A6025" s="3" t="s">
        <v>4</v>
      </c>
      <c r="B6025" s="3" t="s">
        <v>4842</v>
      </c>
      <c r="C6025" s="4">
        <v>240</v>
      </c>
      <c r="D6025" s="3" t="s">
        <v>69</v>
      </c>
      <c r="E6025" s="3" t="s">
        <v>16</v>
      </c>
      <c r="F6025" s="5">
        <v>132</v>
      </c>
      <c r="G6025" s="5">
        <v>0</v>
      </c>
      <c r="H6025" s="6">
        <v>7864.08</v>
      </c>
      <c r="I6025" s="22">
        <v>0</v>
      </c>
      <c r="J6025" s="24">
        <f t="shared" si="282"/>
        <v>0</v>
      </c>
      <c r="K6025" s="25">
        <f t="shared" si="284"/>
        <v>1.0000000000000009</v>
      </c>
      <c r="L6025" s="27"/>
      <c r="M6025" s="28"/>
      <c r="N6025" s="28"/>
      <c r="O6025" s="20" t="s">
        <v>7530</v>
      </c>
      <c r="P6025" s="27" t="str">
        <f t="shared" si="283"/>
        <v>vermelho</v>
      </c>
    </row>
    <row r="6026" spans="1:16" ht="25.5">
      <c r="A6026" s="3" t="s">
        <v>4</v>
      </c>
      <c r="B6026" s="3" t="s">
        <v>4843</v>
      </c>
      <c r="C6026" s="4">
        <v>61</v>
      </c>
      <c r="D6026" s="3" t="s">
        <v>48</v>
      </c>
      <c r="E6026" s="3" t="s">
        <v>49</v>
      </c>
      <c r="F6026" s="5">
        <v>465</v>
      </c>
      <c r="G6026" s="5">
        <v>0</v>
      </c>
      <c r="H6026" s="6">
        <v>26063.1</v>
      </c>
      <c r="I6026" s="22">
        <v>0</v>
      </c>
      <c r="J6026" s="24">
        <f t="shared" si="282"/>
        <v>0</v>
      </c>
      <c r="K6026" s="25">
        <f t="shared" si="284"/>
        <v>1.0000000000000009</v>
      </c>
      <c r="L6026" s="27"/>
      <c r="M6026" s="28"/>
      <c r="N6026" s="28"/>
      <c r="O6026" s="20" t="s">
        <v>7530</v>
      </c>
      <c r="P6026" s="27" t="str">
        <f t="shared" si="283"/>
        <v>vermelho</v>
      </c>
    </row>
    <row r="6027" spans="1:16" ht="25.5">
      <c r="A6027" s="3" t="s">
        <v>4</v>
      </c>
      <c r="B6027" s="3" t="s">
        <v>4844</v>
      </c>
      <c r="C6027" s="4">
        <v>296</v>
      </c>
      <c r="D6027" s="3" t="s">
        <v>282</v>
      </c>
      <c r="E6027" s="3" t="s">
        <v>7</v>
      </c>
      <c r="F6027" s="5">
        <v>303</v>
      </c>
      <c r="G6027" s="5">
        <v>0</v>
      </c>
      <c r="H6027" s="6">
        <v>15862.17</v>
      </c>
      <c r="I6027" s="22">
        <v>0</v>
      </c>
      <c r="J6027" s="24">
        <f t="shared" si="282"/>
        <v>0</v>
      </c>
      <c r="K6027" s="25">
        <f t="shared" si="284"/>
        <v>1.0000000000000009</v>
      </c>
      <c r="L6027" s="27"/>
      <c r="M6027" s="28"/>
      <c r="N6027" s="28"/>
      <c r="O6027" s="20" t="s">
        <v>7530</v>
      </c>
      <c r="P6027" s="27" t="str">
        <f t="shared" si="283"/>
        <v>vermelho</v>
      </c>
    </row>
    <row r="6028" spans="1:16" ht="25.5">
      <c r="A6028" s="3" t="s">
        <v>4</v>
      </c>
      <c r="B6028" s="3" t="s">
        <v>4845</v>
      </c>
      <c r="C6028" s="4">
        <v>261</v>
      </c>
      <c r="D6028" s="3" t="s">
        <v>9</v>
      </c>
      <c r="E6028" s="3" t="s">
        <v>10</v>
      </c>
      <c r="F6028" s="5">
        <v>150</v>
      </c>
      <c r="G6028" s="5">
        <v>0</v>
      </c>
      <c r="H6028" s="6">
        <v>8513.58</v>
      </c>
      <c r="I6028" s="22">
        <v>0</v>
      </c>
      <c r="J6028" s="24">
        <f t="shared" si="282"/>
        <v>0</v>
      </c>
      <c r="K6028" s="25">
        <f t="shared" si="284"/>
        <v>1.0000000000000009</v>
      </c>
      <c r="L6028" s="27"/>
      <c r="M6028" s="28"/>
      <c r="N6028" s="28"/>
      <c r="O6028" s="20" t="s">
        <v>7530</v>
      </c>
      <c r="P6028" s="27" t="str">
        <f t="shared" si="283"/>
        <v>vermelho</v>
      </c>
    </row>
    <row r="6029" spans="1:16" ht="25.5">
      <c r="A6029" s="3" t="s">
        <v>4</v>
      </c>
      <c r="B6029" s="3" t="s">
        <v>4846</v>
      </c>
      <c r="C6029" s="4">
        <v>296</v>
      </c>
      <c r="D6029" s="3" t="s">
        <v>282</v>
      </c>
      <c r="E6029" s="3" t="s">
        <v>16</v>
      </c>
      <c r="F6029" s="5">
        <v>60</v>
      </c>
      <c r="G6029" s="5">
        <v>0</v>
      </c>
      <c r="H6029" s="6">
        <v>3023.4</v>
      </c>
      <c r="I6029" s="22">
        <v>0</v>
      </c>
      <c r="J6029" s="24">
        <f t="shared" si="282"/>
        <v>0</v>
      </c>
      <c r="K6029" s="25">
        <f t="shared" si="284"/>
        <v>1.0000000000000009</v>
      </c>
      <c r="L6029" s="27"/>
      <c r="M6029" s="28"/>
      <c r="N6029" s="28"/>
      <c r="O6029" s="20" t="s">
        <v>7530</v>
      </c>
      <c r="P6029" s="27" t="str">
        <f t="shared" si="283"/>
        <v>vermelho</v>
      </c>
    </row>
    <row r="6030" spans="1:16" ht="25.5">
      <c r="A6030" s="3" t="s">
        <v>4</v>
      </c>
      <c r="B6030" s="3" t="s">
        <v>4847</v>
      </c>
      <c r="C6030" s="4">
        <v>41</v>
      </c>
      <c r="D6030" s="3" t="s">
        <v>178</v>
      </c>
      <c r="E6030" s="3" t="s">
        <v>41</v>
      </c>
      <c r="F6030" s="5">
        <v>48</v>
      </c>
      <c r="G6030" s="5">
        <v>0</v>
      </c>
      <c r="H6030" s="6">
        <v>2207.52</v>
      </c>
      <c r="I6030" s="22">
        <v>0</v>
      </c>
      <c r="J6030" s="24">
        <f t="shared" si="282"/>
        <v>0</v>
      </c>
      <c r="K6030" s="25">
        <f t="shared" si="284"/>
        <v>1.0000000000000009</v>
      </c>
      <c r="L6030" s="27"/>
      <c r="M6030" s="28"/>
      <c r="N6030" s="28"/>
      <c r="O6030" s="20" t="s">
        <v>7530</v>
      </c>
      <c r="P6030" s="27" t="str">
        <f t="shared" si="283"/>
        <v>vermelho</v>
      </c>
    </row>
    <row r="6031" spans="1:16" ht="38.25">
      <c r="A6031" s="3" t="s">
        <v>4</v>
      </c>
      <c r="B6031" s="3" t="s">
        <v>4848</v>
      </c>
      <c r="C6031" s="4">
        <v>38</v>
      </c>
      <c r="D6031" s="3" t="s">
        <v>184</v>
      </c>
      <c r="E6031" s="3" t="s">
        <v>49</v>
      </c>
      <c r="F6031" s="5">
        <v>276</v>
      </c>
      <c r="G6031" s="5">
        <v>0</v>
      </c>
      <c r="H6031" s="6">
        <v>18783.84</v>
      </c>
      <c r="I6031" s="22">
        <v>0</v>
      </c>
      <c r="J6031" s="24">
        <f t="shared" si="282"/>
        <v>0</v>
      </c>
      <c r="K6031" s="25">
        <f t="shared" si="284"/>
        <v>1.0000000000000009</v>
      </c>
      <c r="L6031" s="27"/>
      <c r="M6031" s="28"/>
      <c r="N6031" s="28"/>
      <c r="O6031" s="20" t="s">
        <v>7530</v>
      </c>
      <c r="P6031" s="27" t="str">
        <f t="shared" si="283"/>
        <v>vermelho</v>
      </c>
    </row>
    <row r="6032" spans="1:16" ht="25.5">
      <c r="A6032" s="3" t="s">
        <v>4</v>
      </c>
      <c r="B6032" s="3" t="s">
        <v>4849</v>
      </c>
      <c r="C6032" s="4">
        <v>194</v>
      </c>
      <c r="D6032" s="3" t="s">
        <v>145</v>
      </c>
      <c r="E6032" s="3" t="s">
        <v>16</v>
      </c>
      <c r="F6032" s="5">
        <v>309</v>
      </c>
      <c r="G6032" s="5">
        <v>0</v>
      </c>
      <c r="H6032" s="6">
        <v>17000.91</v>
      </c>
      <c r="I6032" s="22">
        <v>0</v>
      </c>
      <c r="J6032" s="24">
        <f t="shared" si="282"/>
        <v>0</v>
      </c>
      <c r="K6032" s="25">
        <f t="shared" si="284"/>
        <v>1.0000000000000009</v>
      </c>
      <c r="L6032" s="27"/>
      <c r="M6032" s="28"/>
      <c r="N6032" s="28"/>
      <c r="O6032" s="20" t="s">
        <v>7530</v>
      </c>
      <c r="P6032" s="27" t="str">
        <f t="shared" si="283"/>
        <v>vermelho</v>
      </c>
    </row>
    <row r="6033" spans="1:16" ht="25.5">
      <c r="A6033" s="3" t="s">
        <v>4</v>
      </c>
      <c r="B6033" s="3" t="s">
        <v>4850</v>
      </c>
      <c r="C6033" s="4">
        <v>74</v>
      </c>
      <c r="D6033" s="3" t="s">
        <v>6</v>
      </c>
      <c r="E6033" s="3" t="s">
        <v>7</v>
      </c>
      <c r="F6033" s="5">
        <v>189</v>
      </c>
      <c r="G6033" s="5">
        <v>0</v>
      </c>
      <c r="H6033" s="6">
        <v>13057.11</v>
      </c>
      <c r="I6033" s="22">
        <v>0</v>
      </c>
      <c r="J6033" s="24">
        <f t="shared" si="282"/>
        <v>0</v>
      </c>
      <c r="K6033" s="25">
        <f t="shared" si="284"/>
        <v>1.0000000000000009</v>
      </c>
      <c r="L6033" s="27"/>
      <c r="M6033" s="28"/>
      <c r="N6033" s="28"/>
      <c r="O6033" s="20" t="s">
        <v>7530</v>
      </c>
      <c r="P6033" s="27" t="str">
        <f t="shared" si="283"/>
        <v>vermelho</v>
      </c>
    </row>
    <row r="6034" spans="1:16" ht="25.5">
      <c r="A6034" s="3" t="s">
        <v>4</v>
      </c>
      <c r="B6034" s="3" t="s">
        <v>4851</v>
      </c>
      <c r="C6034" s="4">
        <v>337</v>
      </c>
      <c r="D6034" s="3" t="s">
        <v>202</v>
      </c>
      <c r="E6034" s="3" t="s">
        <v>16</v>
      </c>
      <c r="F6034" s="5">
        <v>162</v>
      </c>
      <c r="G6034" s="5">
        <v>0</v>
      </c>
      <c r="H6034" s="6">
        <v>9145.6200000000008</v>
      </c>
      <c r="I6034" s="22">
        <v>0</v>
      </c>
      <c r="J6034" s="24">
        <f t="shared" si="282"/>
        <v>0</v>
      </c>
      <c r="K6034" s="25">
        <f t="shared" si="284"/>
        <v>1.0000000000000009</v>
      </c>
      <c r="L6034" s="27"/>
      <c r="M6034" s="28"/>
      <c r="N6034" s="28"/>
      <c r="O6034" s="20" t="s">
        <v>7530</v>
      </c>
      <c r="P6034" s="27" t="str">
        <f t="shared" si="283"/>
        <v>vermelho</v>
      </c>
    </row>
    <row r="6035" spans="1:16" ht="25.5">
      <c r="A6035" s="3" t="s">
        <v>4</v>
      </c>
      <c r="B6035" s="3" t="s">
        <v>4852</v>
      </c>
      <c r="C6035" s="4">
        <v>317</v>
      </c>
      <c r="D6035" s="3" t="s">
        <v>78</v>
      </c>
      <c r="E6035" s="3" t="s">
        <v>10</v>
      </c>
      <c r="F6035" s="5">
        <v>102</v>
      </c>
      <c r="G6035" s="5">
        <v>0</v>
      </c>
      <c r="H6035" s="6">
        <v>5731.86</v>
      </c>
      <c r="I6035" s="22">
        <v>0</v>
      </c>
      <c r="J6035" s="24">
        <f t="shared" si="282"/>
        <v>0</v>
      </c>
      <c r="K6035" s="25">
        <f t="shared" si="284"/>
        <v>1.0000000000000009</v>
      </c>
      <c r="L6035" s="27"/>
      <c r="M6035" s="28"/>
      <c r="N6035" s="28"/>
      <c r="O6035" s="20">
        <v>5730.12</v>
      </c>
      <c r="P6035" s="27" t="str">
        <f t="shared" si="283"/>
        <v>vermelho</v>
      </c>
    </row>
    <row r="6036" spans="1:16" ht="38.25">
      <c r="A6036" s="3" t="s">
        <v>4</v>
      </c>
      <c r="B6036" s="3" t="s">
        <v>4853</v>
      </c>
      <c r="C6036" s="4">
        <v>31</v>
      </c>
      <c r="D6036" s="3" t="s">
        <v>194</v>
      </c>
      <c r="E6036" s="3" t="s">
        <v>16</v>
      </c>
      <c r="F6036" s="5">
        <v>105</v>
      </c>
      <c r="G6036" s="5">
        <v>0</v>
      </c>
      <c r="H6036" s="6">
        <v>6634.02</v>
      </c>
      <c r="I6036" s="22">
        <v>0</v>
      </c>
      <c r="J6036" s="24">
        <f t="shared" si="282"/>
        <v>0</v>
      </c>
      <c r="K6036" s="25">
        <f t="shared" si="284"/>
        <v>1.0000000000000009</v>
      </c>
      <c r="L6036" s="27"/>
      <c r="M6036" s="28"/>
      <c r="N6036" s="28"/>
      <c r="O6036" s="20" t="s">
        <v>7530</v>
      </c>
      <c r="P6036" s="27" t="str">
        <f t="shared" si="283"/>
        <v>vermelho</v>
      </c>
    </row>
    <row r="6037" spans="1:16" ht="38.25">
      <c r="A6037" s="3" t="s">
        <v>4</v>
      </c>
      <c r="B6037" s="3" t="s">
        <v>4854</v>
      </c>
      <c r="C6037" s="4">
        <v>371</v>
      </c>
      <c r="D6037" s="3" t="s">
        <v>82</v>
      </c>
      <c r="E6037" s="3" t="s">
        <v>49</v>
      </c>
      <c r="F6037" s="5">
        <v>96</v>
      </c>
      <c r="G6037" s="5">
        <v>0</v>
      </c>
      <c r="H6037" s="6">
        <v>4831.2</v>
      </c>
      <c r="I6037" s="22">
        <v>0</v>
      </c>
      <c r="J6037" s="24">
        <f t="shared" si="282"/>
        <v>0</v>
      </c>
      <c r="K6037" s="25">
        <f t="shared" si="284"/>
        <v>1.0000000000000009</v>
      </c>
      <c r="L6037" s="27"/>
      <c r="M6037" s="28"/>
      <c r="N6037" s="28"/>
      <c r="O6037" s="20" t="s">
        <v>7530</v>
      </c>
      <c r="P6037" s="27" t="str">
        <f t="shared" si="283"/>
        <v>vermelho</v>
      </c>
    </row>
    <row r="6038" spans="1:16" ht="25.5">
      <c r="A6038" s="3" t="s">
        <v>4</v>
      </c>
      <c r="B6038" s="3" t="s">
        <v>4855</v>
      </c>
      <c r="C6038" s="4">
        <v>178</v>
      </c>
      <c r="D6038" s="3" t="s">
        <v>74</v>
      </c>
      <c r="E6038" s="3" t="s">
        <v>7</v>
      </c>
      <c r="F6038" s="5">
        <v>324</v>
      </c>
      <c r="G6038" s="5">
        <v>0</v>
      </c>
      <c r="H6038" s="6">
        <v>19186.560000000001</v>
      </c>
      <c r="I6038" s="22">
        <v>0</v>
      </c>
      <c r="J6038" s="24">
        <f t="shared" si="282"/>
        <v>0</v>
      </c>
      <c r="K6038" s="25">
        <f t="shared" si="284"/>
        <v>1.0000000000000009</v>
      </c>
      <c r="L6038" s="27"/>
      <c r="M6038" s="28"/>
      <c r="N6038" s="28"/>
      <c r="O6038" s="20">
        <v>9900.48</v>
      </c>
      <c r="P6038" s="27" t="str">
        <f t="shared" si="283"/>
        <v>vermelho</v>
      </c>
    </row>
    <row r="6039" spans="1:16" ht="25.5">
      <c r="A6039" s="3" t="s">
        <v>4</v>
      </c>
      <c r="B6039" s="3" t="s">
        <v>4856</v>
      </c>
      <c r="C6039" s="4">
        <v>197</v>
      </c>
      <c r="D6039" s="3" t="s">
        <v>66</v>
      </c>
      <c r="E6039" s="3" t="s">
        <v>41</v>
      </c>
      <c r="F6039" s="5">
        <v>174</v>
      </c>
      <c r="G6039" s="5">
        <v>0</v>
      </c>
      <c r="H6039" s="6">
        <v>9860.9699999999993</v>
      </c>
      <c r="I6039" s="22">
        <v>0</v>
      </c>
      <c r="J6039" s="24">
        <f t="shared" si="282"/>
        <v>0</v>
      </c>
      <c r="K6039" s="25">
        <f t="shared" si="284"/>
        <v>1.0000000000000009</v>
      </c>
      <c r="L6039" s="27"/>
      <c r="M6039" s="28"/>
      <c r="N6039" s="28"/>
      <c r="O6039" s="20" t="s">
        <v>7530</v>
      </c>
      <c r="P6039" s="27" t="str">
        <f t="shared" si="283"/>
        <v>vermelho</v>
      </c>
    </row>
    <row r="6040" spans="1:16" ht="25.5">
      <c r="A6040" s="3" t="s">
        <v>4</v>
      </c>
      <c r="B6040" s="3" t="s">
        <v>4857</v>
      </c>
      <c r="C6040" s="4">
        <v>328</v>
      </c>
      <c r="D6040" s="3" t="s">
        <v>215</v>
      </c>
      <c r="E6040" s="3" t="s">
        <v>41</v>
      </c>
      <c r="F6040" s="5">
        <v>60</v>
      </c>
      <c r="G6040" s="5">
        <v>0</v>
      </c>
      <c r="H6040" s="6">
        <v>2925.3960000000002</v>
      </c>
      <c r="I6040" s="22">
        <v>0</v>
      </c>
      <c r="J6040" s="24">
        <f t="shared" si="282"/>
        <v>0</v>
      </c>
      <c r="K6040" s="25">
        <f t="shared" si="284"/>
        <v>1.0000000000000009</v>
      </c>
      <c r="L6040" s="27"/>
      <c r="M6040" s="28"/>
      <c r="N6040" s="28"/>
      <c r="O6040" s="20" t="s">
        <v>7530</v>
      </c>
      <c r="P6040" s="27" t="str">
        <f t="shared" si="283"/>
        <v>vermelho</v>
      </c>
    </row>
    <row r="6041" spans="1:16" ht="25.5">
      <c r="A6041" s="3" t="s">
        <v>4</v>
      </c>
      <c r="B6041" s="3" t="s">
        <v>4858</v>
      </c>
      <c r="C6041" s="4">
        <v>266</v>
      </c>
      <c r="D6041" s="3" t="s">
        <v>80</v>
      </c>
      <c r="E6041" s="3" t="s">
        <v>10</v>
      </c>
      <c r="F6041" s="5">
        <v>378</v>
      </c>
      <c r="G6041" s="5">
        <v>0</v>
      </c>
      <c r="H6041" s="6">
        <v>21940.38</v>
      </c>
      <c r="I6041" s="22">
        <v>0</v>
      </c>
      <c r="J6041" s="24">
        <f t="shared" si="282"/>
        <v>0</v>
      </c>
      <c r="K6041" s="25">
        <f t="shared" si="284"/>
        <v>1.0000000000000009</v>
      </c>
      <c r="L6041" s="27"/>
      <c r="M6041" s="28"/>
      <c r="N6041" s="28"/>
      <c r="O6041" s="20" t="s">
        <v>7530</v>
      </c>
      <c r="P6041" s="27" t="str">
        <f t="shared" si="283"/>
        <v>vermelho</v>
      </c>
    </row>
    <row r="6042" spans="1:16" ht="25.5">
      <c r="A6042" s="3" t="s">
        <v>4</v>
      </c>
      <c r="B6042" s="3" t="s">
        <v>4859</v>
      </c>
      <c r="C6042" s="4">
        <v>337</v>
      </c>
      <c r="D6042" s="3" t="s">
        <v>202</v>
      </c>
      <c r="E6042" s="3" t="s">
        <v>16</v>
      </c>
      <c r="F6042" s="5">
        <v>132</v>
      </c>
      <c r="G6042" s="5">
        <v>0</v>
      </c>
      <c r="H6042" s="6">
        <v>6840.84</v>
      </c>
      <c r="I6042" s="22">
        <v>0</v>
      </c>
      <c r="J6042" s="24">
        <f t="shared" si="282"/>
        <v>0</v>
      </c>
      <c r="K6042" s="25">
        <f t="shared" si="284"/>
        <v>1.0000000000000009</v>
      </c>
      <c r="L6042" s="27"/>
      <c r="M6042" s="28"/>
      <c r="N6042" s="28"/>
      <c r="O6042" s="20" t="s">
        <v>7530</v>
      </c>
      <c r="P6042" s="27" t="str">
        <f t="shared" si="283"/>
        <v>vermelho</v>
      </c>
    </row>
    <row r="6043" spans="1:16" ht="25.5">
      <c r="A6043" s="3" t="s">
        <v>4</v>
      </c>
      <c r="B6043" s="3" t="s">
        <v>4860</v>
      </c>
      <c r="C6043" s="4">
        <v>297</v>
      </c>
      <c r="D6043" s="3" t="s">
        <v>115</v>
      </c>
      <c r="E6043" s="3" t="s">
        <v>41</v>
      </c>
      <c r="F6043" s="5">
        <v>132</v>
      </c>
      <c r="G6043" s="5">
        <v>0</v>
      </c>
      <c r="H6043" s="6">
        <v>6070.92</v>
      </c>
      <c r="I6043" s="22">
        <v>0</v>
      </c>
      <c r="J6043" s="24">
        <f t="shared" si="282"/>
        <v>0</v>
      </c>
      <c r="K6043" s="25">
        <f t="shared" si="284"/>
        <v>1.0000000000000009</v>
      </c>
      <c r="L6043" s="27"/>
      <c r="M6043" s="28"/>
      <c r="N6043" s="28"/>
      <c r="O6043" s="20" t="s">
        <v>7530</v>
      </c>
      <c r="P6043" s="27" t="str">
        <f t="shared" si="283"/>
        <v>vermelho</v>
      </c>
    </row>
    <row r="6044" spans="1:16">
      <c r="A6044" s="3" t="s">
        <v>4</v>
      </c>
      <c r="B6044" s="3" t="s">
        <v>4861</v>
      </c>
      <c r="C6044" s="4">
        <v>232</v>
      </c>
      <c r="D6044" s="3" t="s">
        <v>174</v>
      </c>
      <c r="E6044" s="3" t="s">
        <v>16</v>
      </c>
      <c r="F6044" s="5">
        <v>72</v>
      </c>
      <c r="G6044" s="5">
        <v>0</v>
      </c>
      <c r="H6044" s="6">
        <v>3308.4</v>
      </c>
      <c r="I6044" s="22">
        <v>0</v>
      </c>
      <c r="J6044" s="24">
        <f t="shared" si="282"/>
        <v>0</v>
      </c>
      <c r="K6044" s="25">
        <f t="shared" si="284"/>
        <v>1.0000000000000009</v>
      </c>
      <c r="L6044" s="27"/>
      <c r="M6044" s="28"/>
      <c r="N6044" s="28"/>
      <c r="O6044" s="20" t="s">
        <v>7530</v>
      </c>
      <c r="P6044" s="27" t="str">
        <f t="shared" si="283"/>
        <v>vermelho</v>
      </c>
    </row>
    <row r="6045" spans="1:16" ht="25.5">
      <c r="A6045" s="3" t="s">
        <v>4</v>
      </c>
      <c r="B6045" s="3" t="s">
        <v>4862</v>
      </c>
      <c r="C6045" s="4">
        <v>296</v>
      </c>
      <c r="D6045" s="3" t="s">
        <v>282</v>
      </c>
      <c r="E6045" s="3" t="s">
        <v>10</v>
      </c>
      <c r="F6045" s="5">
        <v>84</v>
      </c>
      <c r="G6045" s="5">
        <v>0</v>
      </c>
      <c r="H6045" s="6">
        <v>4811.88</v>
      </c>
      <c r="I6045" s="22">
        <v>0</v>
      </c>
      <c r="J6045" s="24">
        <f t="shared" si="282"/>
        <v>0</v>
      </c>
      <c r="K6045" s="25">
        <f t="shared" si="284"/>
        <v>1.0000000000000009</v>
      </c>
      <c r="L6045" s="27"/>
      <c r="M6045" s="28"/>
      <c r="N6045" s="28"/>
      <c r="O6045" s="20" t="s">
        <v>7530</v>
      </c>
      <c r="P6045" s="27" t="str">
        <f t="shared" si="283"/>
        <v>vermelho</v>
      </c>
    </row>
    <row r="6046" spans="1:16" ht="38.25">
      <c r="A6046" s="3" t="s">
        <v>4</v>
      </c>
      <c r="B6046" s="3" t="s">
        <v>4863</v>
      </c>
      <c r="C6046" s="4">
        <v>371</v>
      </c>
      <c r="D6046" s="3" t="s">
        <v>82</v>
      </c>
      <c r="E6046" s="3" t="s">
        <v>49</v>
      </c>
      <c r="F6046" s="5">
        <v>96</v>
      </c>
      <c r="G6046" s="5">
        <v>0</v>
      </c>
      <c r="H6046" s="6">
        <v>4205.3999999999996</v>
      </c>
      <c r="I6046" s="22">
        <v>0</v>
      </c>
      <c r="J6046" s="24">
        <f t="shared" si="282"/>
        <v>0</v>
      </c>
      <c r="K6046" s="25">
        <f t="shared" si="284"/>
        <v>1.0000000000000009</v>
      </c>
      <c r="L6046" s="27"/>
      <c r="M6046" s="28"/>
      <c r="N6046" s="28"/>
      <c r="O6046" s="20" t="s">
        <v>7530</v>
      </c>
      <c r="P6046" s="27" t="str">
        <f t="shared" si="283"/>
        <v>vermelho</v>
      </c>
    </row>
    <row r="6047" spans="1:16" ht="38.25">
      <c r="A6047" s="3" t="s">
        <v>4</v>
      </c>
      <c r="B6047" s="3" t="s">
        <v>4864</v>
      </c>
      <c r="C6047" s="4">
        <v>371</v>
      </c>
      <c r="D6047" s="3" t="s">
        <v>82</v>
      </c>
      <c r="E6047" s="3" t="s">
        <v>49</v>
      </c>
      <c r="F6047" s="5">
        <v>78</v>
      </c>
      <c r="G6047" s="5">
        <v>0</v>
      </c>
      <c r="H6047" s="6">
        <v>4511.1000000000004</v>
      </c>
      <c r="I6047" s="22">
        <v>0</v>
      </c>
      <c r="J6047" s="24">
        <f t="shared" si="282"/>
        <v>0</v>
      </c>
      <c r="K6047" s="25">
        <f t="shared" si="284"/>
        <v>1.0000000000000009</v>
      </c>
      <c r="L6047" s="27"/>
      <c r="M6047" s="28"/>
      <c r="N6047" s="28"/>
      <c r="O6047" s="20" t="s">
        <v>7530</v>
      </c>
      <c r="P6047" s="27" t="str">
        <f t="shared" si="283"/>
        <v>vermelho</v>
      </c>
    </row>
    <row r="6048" spans="1:16" ht="25.5">
      <c r="A6048" s="3" t="s">
        <v>4</v>
      </c>
      <c r="B6048" s="3" t="s">
        <v>4865</v>
      </c>
      <c r="C6048" s="4">
        <v>217</v>
      </c>
      <c r="D6048" s="3" t="s">
        <v>91</v>
      </c>
      <c r="E6048" s="3" t="s">
        <v>16</v>
      </c>
      <c r="F6048" s="5">
        <v>48</v>
      </c>
      <c r="G6048" s="5">
        <v>0</v>
      </c>
      <c r="H6048" s="6">
        <v>2702.76</v>
      </c>
      <c r="I6048" s="22">
        <v>0</v>
      </c>
      <c r="J6048" s="24">
        <f t="shared" si="282"/>
        <v>0</v>
      </c>
      <c r="K6048" s="25">
        <f t="shared" si="284"/>
        <v>1.0000000000000009</v>
      </c>
      <c r="L6048" s="27"/>
      <c r="M6048" s="28"/>
      <c r="N6048" s="28"/>
      <c r="O6048" s="20" t="s">
        <v>7530</v>
      </c>
      <c r="P6048" s="27" t="str">
        <f t="shared" si="283"/>
        <v>vermelho</v>
      </c>
    </row>
    <row r="6049" spans="1:16" ht="25.5">
      <c r="A6049" s="3" t="s">
        <v>4</v>
      </c>
      <c r="B6049" s="3" t="s">
        <v>4866</v>
      </c>
      <c r="C6049" s="4">
        <v>187</v>
      </c>
      <c r="D6049" s="3" t="s">
        <v>96</v>
      </c>
      <c r="E6049" s="3" t="s">
        <v>7</v>
      </c>
      <c r="F6049" s="5">
        <v>192</v>
      </c>
      <c r="G6049" s="5">
        <v>0</v>
      </c>
      <c r="H6049" s="6">
        <v>10681.56</v>
      </c>
      <c r="I6049" s="22">
        <v>0</v>
      </c>
      <c r="J6049" s="24">
        <f t="shared" si="282"/>
        <v>0</v>
      </c>
      <c r="K6049" s="25">
        <f t="shared" si="284"/>
        <v>1.0000000000000009</v>
      </c>
      <c r="L6049" s="27"/>
      <c r="M6049" s="28"/>
      <c r="N6049" s="28"/>
      <c r="O6049" s="20" t="s">
        <v>7530</v>
      </c>
      <c r="P6049" s="27" t="str">
        <f t="shared" si="283"/>
        <v>vermelho</v>
      </c>
    </row>
    <row r="6050" spans="1:16" ht="25.5">
      <c r="A6050" s="3" t="s">
        <v>4</v>
      </c>
      <c r="B6050" s="3" t="s">
        <v>4867</v>
      </c>
      <c r="C6050" s="4">
        <v>266</v>
      </c>
      <c r="D6050" s="3" t="s">
        <v>80</v>
      </c>
      <c r="E6050" s="3" t="s">
        <v>10</v>
      </c>
      <c r="F6050" s="5">
        <v>93</v>
      </c>
      <c r="G6050" s="5">
        <v>0</v>
      </c>
      <c r="H6050" s="6">
        <v>6281.85</v>
      </c>
      <c r="I6050" s="22">
        <v>0</v>
      </c>
      <c r="J6050" s="24">
        <f t="shared" si="282"/>
        <v>0</v>
      </c>
      <c r="K6050" s="25">
        <f t="shared" si="284"/>
        <v>1.0000000000000009</v>
      </c>
      <c r="L6050" s="27"/>
      <c r="M6050" s="28"/>
      <c r="N6050" s="28"/>
      <c r="O6050" s="20" t="s">
        <v>7530</v>
      </c>
      <c r="P6050" s="27" t="str">
        <f t="shared" si="283"/>
        <v>vermelho</v>
      </c>
    </row>
    <row r="6051" spans="1:16" ht="38.25">
      <c r="A6051" s="3" t="s">
        <v>4</v>
      </c>
      <c r="B6051" s="3" t="s">
        <v>4868</v>
      </c>
      <c r="C6051" s="4">
        <v>371</v>
      </c>
      <c r="D6051" s="3" t="s">
        <v>82</v>
      </c>
      <c r="E6051" s="3" t="s">
        <v>49</v>
      </c>
      <c r="F6051" s="5">
        <v>318</v>
      </c>
      <c r="G6051" s="5">
        <v>0</v>
      </c>
      <c r="H6051" s="6">
        <v>14256.066000000001</v>
      </c>
      <c r="I6051" s="22">
        <v>0</v>
      </c>
      <c r="J6051" s="24">
        <f t="shared" si="282"/>
        <v>0</v>
      </c>
      <c r="K6051" s="25">
        <f t="shared" si="284"/>
        <v>1.0000000000000009</v>
      </c>
      <c r="L6051" s="27"/>
      <c r="M6051" s="28"/>
      <c r="N6051" s="28"/>
      <c r="O6051" s="20" t="s">
        <v>7530</v>
      </c>
      <c r="P6051" s="27" t="str">
        <f t="shared" si="283"/>
        <v>vermelho</v>
      </c>
    </row>
    <row r="6052" spans="1:16" ht="25.5">
      <c r="A6052" s="3" t="s">
        <v>4</v>
      </c>
      <c r="B6052" s="3" t="s">
        <v>4869</v>
      </c>
      <c r="C6052" s="4">
        <v>23</v>
      </c>
      <c r="D6052" s="3" t="s">
        <v>87</v>
      </c>
      <c r="E6052" s="3" t="s">
        <v>7</v>
      </c>
      <c r="F6052" s="5">
        <v>174</v>
      </c>
      <c r="G6052" s="5">
        <v>0</v>
      </c>
      <c r="H6052" s="6">
        <v>9698.34</v>
      </c>
      <c r="I6052" s="22">
        <v>0</v>
      </c>
      <c r="J6052" s="24">
        <f t="shared" si="282"/>
        <v>0</v>
      </c>
      <c r="K6052" s="25">
        <f t="shared" si="284"/>
        <v>1.0000000000000009</v>
      </c>
      <c r="L6052" s="27"/>
      <c r="M6052" s="28"/>
      <c r="N6052" s="28"/>
      <c r="O6052" s="20" t="s">
        <v>7530</v>
      </c>
      <c r="P6052" s="27" t="str">
        <f t="shared" si="283"/>
        <v>vermelho</v>
      </c>
    </row>
    <row r="6053" spans="1:16" ht="25.5">
      <c r="A6053" s="3" t="s">
        <v>4</v>
      </c>
      <c r="B6053" s="3" t="s">
        <v>4870</v>
      </c>
      <c r="C6053" s="4">
        <v>23</v>
      </c>
      <c r="D6053" s="3" t="s">
        <v>87</v>
      </c>
      <c r="E6053" s="3" t="s">
        <v>7</v>
      </c>
      <c r="F6053" s="5">
        <v>60</v>
      </c>
      <c r="G6053" s="5">
        <v>0</v>
      </c>
      <c r="H6053" s="6">
        <v>3409.32</v>
      </c>
      <c r="I6053" s="22">
        <v>0</v>
      </c>
      <c r="J6053" s="24">
        <f t="shared" si="282"/>
        <v>0</v>
      </c>
      <c r="K6053" s="25">
        <f t="shared" si="284"/>
        <v>1.0000000000000009</v>
      </c>
      <c r="L6053" s="27"/>
      <c r="M6053" s="28"/>
      <c r="N6053" s="28"/>
      <c r="O6053" s="20" t="s">
        <v>7530</v>
      </c>
      <c r="P6053" s="27" t="str">
        <f t="shared" si="283"/>
        <v>vermelho</v>
      </c>
    </row>
    <row r="6054" spans="1:16" ht="25.5">
      <c r="A6054" s="3" t="s">
        <v>4</v>
      </c>
      <c r="B6054" s="3" t="s">
        <v>4871</v>
      </c>
      <c r="C6054" s="4">
        <v>296</v>
      </c>
      <c r="D6054" s="3" t="s">
        <v>282</v>
      </c>
      <c r="E6054" s="3" t="s">
        <v>49</v>
      </c>
      <c r="F6054" s="5">
        <v>72</v>
      </c>
      <c r="G6054" s="5">
        <v>0</v>
      </c>
      <c r="H6054" s="6">
        <v>3654.3</v>
      </c>
      <c r="I6054" s="22">
        <v>0</v>
      </c>
      <c r="J6054" s="24">
        <f t="shared" si="282"/>
        <v>0</v>
      </c>
      <c r="K6054" s="25">
        <f t="shared" si="284"/>
        <v>1.0000000000000009</v>
      </c>
      <c r="L6054" s="27"/>
      <c r="M6054" s="28"/>
      <c r="N6054" s="28"/>
      <c r="O6054" s="20" t="s">
        <v>7530</v>
      </c>
      <c r="P6054" s="27" t="str">
        <f t="shared" si="283"/>
        <v>vermelho</v>
      </c>
    </row>
    <row r="6055" spans="1:16" ht="25.5">
      <c r="A6055" s="3" t="s">
        <v>4</v>
      </c>
      <c r="B6055" s="3" t="s">
        <v>4872</v>
      </c>
      <c r="C6055" s="4">
        <v>337</v>
      </c>
      <c r="D6055" s="3" t="s">
        <v>202</v>
      </c>
      <c r="E6055" s="3" t="s">
        <v>16</v>
      </c>
      <c r="F6055" s="5">
        <v>120</v>
      </c>
      <c r="G6055" s="5">
        <v>0</v>
      </c>
      <c r="H6055" s="6">
        <v>7369.08</v>
      </c>
      <c r="I6055" s="22">
        <v>0</v>
      </c>
      <c r="J6055" s="24">
        <f t="shared" si="282"/>
        <v>0</v>
      </c>
      <c r="K6055" s="25">
        <f t="shared" si="284"/>
        <v>1.0000000000000009</v>
      </c>
      <c r="L6055" s="27"/>
      <c r="M6055" s="28"/>
      <c r="N6055" s="28"/>
      <c r="O6055" s="20" t="s">
        <v>7530</v>
      </c>
      <c r="P6055" s="27" t="str">
        <f t="shared" si="283"/>
        <v>vermelho</v>
      </c>
    </row>
    <row r="6056" spans="1:16" ht="25.5">
      <c r="A6056" s="3" t="s">
        <v>4</v>
      </c>
      <c r="B6056" s="3" t="s">
        <v>4873</v>
      </c>
      <c r="C6056" s="4">
        <v>337</v>
      </c>
      <c r="D6056" s="3" t="s">
        <v>202</v>
      </c>
      <c r="E6056" s="3" t="s">
        <v>16</v>
      </c>
      <c r="F6056" s="5">
        <v>120</v>
      </c>
      <c r="G6056" s="5">
        <v>0</v>
      </c>
      <c r="H6056" s="6">
        <v>5170.8</v>
      </c>
      <c r="I6056" s="22">
        <v>0</v>
      </c>
      <c r="J6056" s="24">
        <f t="shared" si="282"/>
        <v>0</v>
      </c>
      <c r="K6056" s="25">
        <f t="shared" si="284"/>
        <v>1.0000000000000009</v>
      </c>
      <c r="L6056" s="27"/>
      <c r="M6056" s="28"/>
      <c r="N6056" s="28"/>
      <c r="O6056" s="20" t="s">
        <v>7530</v>
      </c>
      <c r="P6056" s="27" t="str">
        <f t="shared" si="283"/>
        <v>vermelho</v>
      </c>
    </row>
    <row r="6057" spans="1:16" ht="38.25">
      <c r="A6057" s="3" t="s">
        <v>4</v>
      </c>
      <c r="B6057" s="3" t="s">
        <v>4874</v>
      </c>
      <c r="C6057" s="4">
        <v>34</v>
      </c>
      <c r="D6057" s="3" t="s">
        <v>54</v>
      </c>
      <c r="E6057" s="3" t="s">
        <v>49</v>
      </c>
      <c r="F6057" s="5">
        <v>303</v>
      </c>
      <c r="G6057" s="5">
        <v>0</v>
      </c>
      <c r="H6057" s="6">
        <v>18737.97</v>
      </c>
      <c r="I6057" s="22">
        <v>0</v>
      </c>
      <c r="J6057" s="24">
        <f t="shared" si="282"/>
        <v>0</v>
      </c>
      <c r="K6057" s="25">
        <f t="shared" si="284"/>
        <v>1.0000000000000009</v>
      </c>
      <c r="L6057" s="27"/>
      <c r="M6057" s="28"/>
      <c r="N6057" s="28"/>
      <c r="O6057" s="20" t="s">
        <v>7530</v>
      </c>
      <c r="P6057" s="27" t="str">
        <f t="shared" si="283"/>
        <v>vermelho</v>
      </c>
    </row>
    <row r="6058" spans="1:16" ht="25.5">
      <c r="A6058" s="3" t="s">
        <v>4</v>
      </c>
      <c r="B6058" s="3" t="s">
        <v>4875</v>
      </c>
      <c r="C6058" s="4">
        <v>315</v>
      </c>
      <c r="D6058" s="3" t="s">
        <v>63</v>
      </c>
      <c r="E6058" s="3" t="s">
        <v>7</v>
      </c>
      <c r="F6058" s="5">
        <v>168</v>
      </c>
      <c r="G6058" s="5">
        <v>0</v>
      </c>
      <c r="H6058" s="6">
        <v>9619.68</v>
      </c>
      <c r="I6058" s="22">
        <v>0</v>
      </c>
      <c r="J6058" s="24">
        <f t="shared" si="282"/>
        <v>0</v>
      </c>
      <c r="K6058" s="25">
        <f t="shared" si="284"/>
        <v>1.0000000000000009</v>
      </c>
      <c r="L6058" s="27"/>
      <c r="M6058" s="28"/>
      <c r="N6058" s="28"/>
      <c r="O6058" s="20" t="s">
        <v>7530</v>
      </c>
      <c r="P6058" s="27" t="str">
        <f t="shared" si="283"/>
        <v>vermelho</v>
      </c>
    </row>
    <row r="6059" spans="1:16" ht="25.5">
      <c r="A6059" s="3" t="s">
        <v>4</v>
      </c>
      <c r="B6059" s="3" t="s">
        <v>4876</v>
      </c>
      <c r="C6059" s="4">
        <v>53</v>
      </c>
      <c r="D6059" s="3" t="s">
        <v>34</v>
      </c>
      <c r="E6059" s="3" t="s">
        <v>16</v>
      </c>
      <c r="F6059" s="5">
        <v>144</v>
      </c>
      <c r="G6059" s="5">
        <v>0</v>
      </c>
      <c r="H6059" s="6">
        <v>6310.08</v>
      </c>
      <c r="I6059" s="22">
        <v>0</v>
      </c>
      <c r="J6059" s="24">
        <f t="shared" si="282"/>
        <v>0</v>
      </c>
      <c r="K6059" s="25">
        <f t="shared" si="284"/>
        <v>1.0000000000000009</v>
      </c>
      <c r="L6059" s="27"/>
      <c r="M6059" s="28"/>
      <c r="N6059" s="28"/>
      <c r="O6059" s="20" t="s">
        <v>7530</v>
      </c>
      <c r="P6059" s="27" t="str">
        <f t="shared" si="283"/>
        <v>vermelho</v>
      </c>
    </row>
    <row r="6060" spans="1:16" ht="25.5">
      <c r="A6060" s="3" t="s">
        <v>4</v>
      </c>
      <c r="B6060" s="3" t="s">
        <v>4877</v>
      </c>
      <c r="C6060" s="4">
        <v>93</v>
      </c>
      <c r="D6060" s="3" t="s">
        <v>20</v>
      </c>
      <c r="E6060" s="3" t="s">
        <v>7</v>
      </c>
      <c r="F6060" s="5">
        <v>156</v>
      </c>
      <c r="G6060" s="5">
        <v>0</v>
      </c>
      <c r="H6060" s="6">
        <v>8184.24</v>
      </c>
      <c r="I6060" s="22">
        <v>0</v>
      </c>
      <c r="J6060" s="24">
        <f t="shared" si="282"/>
        <v>0</v>
      </c>
      <c r="K6060" s="25">
        <f t="shared" si="284"/>
        <v>1.0000000000000009</v>
      </c>
      <c r="L6060" s="27"/>
      <c r="M6060" s="28"/>
      <c r="N6060" s="28"/>
      <c r="O6060" s="20" t="s">
        <v>7530</v>
      </c>
      <c r="P6060" s="27" t="str">
        <f t="shared" si="283"/>
        <v>vermelho</v>
      </c>
    </row>
    <row r="6061" spans="1:16" ht="25.5">
      <c r="A6061" s="3" t="s">
        <v>4</v>
      </c>
      <c r="B6061" s="3" t="s">
        <v>4878</v>
      </c>
      <c r="C6061" s="4">
        <v>273</v>
      </c>
      <c r="D6061" s="3" t="s">
        <v>149</v>
      </c>
      <c r="E6061" s="3" t="s">
        <v>16</v>
      </c>
      <c r="F6061" s="5">
        <v>0</v>
      </c>
      <c r="G6061" s="5">
        <v>0</v>
      </c>
      <c r="H6061" s="6">
        <v>0</v>
      </c>
      <c r="I6061" s="22">
        <v>0</v>
      </c>
      <c r="J6061" s="24">
        <f t="shared" si="282"/>
        <v>0</v>
      </c>
      <c r="K6061" s="25">
        <f t="shared" si="284"/>
        <v>1.0000000000000009</v>
      </c>
      <c r="L6061" s="27"/>
      <c r="M6061" s="28"/>
      <c r="N6061" s="28"/>
      <c r="O6061" s="20" t="s">
        <v>7530</v>
      </c>
      <c r="P6061" s="27" t="str">
        <f t="shared" si="283"/>
        <v>vermelho</v>
      </c>
    </row>
    <row r="6062" spans="1:16" ht="25.5">
      <c r="A6062" s="3" t="s">
        <v>4</v>
      </c>
      <c r="B6062" s="3" t="s">
        <v>4879</v>
      </c>
      <c r="C6062" s="4">
        <v>321</v>
      </c>
      <c r="D6062" s="3" t="s">
        <v>136</v>
      </c>
      <c r="E6062" s="3" t="s">
        <v>41</v>
      </c>
      <c r="F6062" s="5">
        <v>132</v>
      </c>
      <c r="G6062" s="5">
        <v>0</v>
      </c>
      <c r="H6062" s="6">
        <v>7631.58</v>
      </c>
      <c r="I6062" s="22">
        <v>0</v>
      </c>
      <c r="J6062" s="24">
        <f t="shared" si="282"/>
        <v>0</v>
      </c>
      <c r="K6062" s="25">
        <f t="shared" si="284"/>
        <v>1.0000000000000009</v>
      </c>
      <c r="L6062" s="27"/>
      <c r="M6062" s="28"/>
      <c r="N6062" s="28"/>
      <c r="O6062" s="20" t="s">
        <v>7530</v>
      </c>
      <c r="P6062" s="27" t="str">
        <f t="shared" si="283"/>
        <v>vermelho</v>
      </c>
    </row>
    <row r="6063" spans="1:16" ht="25.5">
      <c r="A6063" s="3" t="s">
        <v>4</v>
      </c>
      <c r="B6063" s="3" t="s">
        <v>4880</v>
      </c>
      <c r="C6063" s="4">
        <v>317</v>
      </c>
      <c r="D6063" s="3" t="s">
        <v>78</v>
      </c>
      <c r="E6063" s="3" t="s">
        <v>10</v>
      </c>
      <c r="F6063" s="5">
        <v>162</v>
      </c>
      <c r="G6063" s="5">
        <v>0</v>
      </c>
      <c r="H6063" s="6">
        <v>6306.42</v>
      </c>
      <c r="I6063" s="22">
        <v>0</v>
      </c>
      <c r="J6063" s="24">
        <f t="shared" si="282"/>
        <v>0</v>
      </c>
      <c r="K6063" s="25">
        <f t="shared" si="284"/>
        <v>1.0000000000000009</v>
      </c>
      <c r="L6063" s="27"/>
      <c r="M6063" s="28"/>
      <c r="N6063" s="28"/>
      <c r="O6063" s="20" t="s">
        <v>7530</v>
      </c>
      <c r="P6063" s="27" t="str">
        <f t="shared" si="283"/>
        <v>vermelho</v>
      </c>
    </row>
    <row r="6064" spans="1:16" ht="25.5">
      <c r="A6064" s="3" t="s">
        <v>4</v>
      </c>
      <c r="B6064" s="3" t="s">
        <v>4881</v>
      </c>
      <c r="C6064" s="4">
        <v>334</v>
      </c>
      <c r="D6064" s="3" t="s">
        <v>531</v>
      </c>
      <c r="E6064" s="3" t="s">
        <v>7</v>
      </c>
      <c r="F6064" s="5">
        <v>129</v>
      </c>
      <c r="G6064" s="5">
        <v>0</v>
      </c>
      <c r="H6064" s="6">
        <v>7053.96</v>
      </c>
      <c r="I6064" s="22">
        <v>0</v>
      </c>
      <c r="J6064" s="24">
        <f t="shared" si="282"/>
        <v>0</v>
      </c>
      <c r="K6064" s="25">
        <f t="shared" si="284"/>
        <v>1.0000000000000009</v>
      </c>
      <c r="L6064" s="27"/>
      <c r="M6064" s="28"/>
      <c r="N6064" s="28"/>
      <c r="O6064" s="20" t="s">
        <v>7530</v>
      </c>
      <c r="P6064" s="27" t="str">
        <f t="shared" si="283"/>
        <v>vermelho</v>
      </c>
    </row>
    <row r="6065" spans="1:16" ht="38.25">
      <c r="A6065" s="3" t="s">
        <v>4</v>
      </c>
      <c r="B6065" s="3" t="s">
        <v>4882</v>
      </c>
      <c r="C6065" s="4">
        <v>45</v>
      </c>
      <c r="D6065" s="3" t="s">
        <v>23</v>
      </c>
      <c r="E6065" s="3" t="s">
        <v>7</v>
      </c>
      <c r="F6065" s="5">
        <v>111</v>
      </c>
      <c r="G6065" s="5">
        <v>0</v>
      </c>
      <c r="H6065" s="6">
        <v>5472.57</v>
      </c>
      <c r="I6065" s="22">
        <v>0</v>
      </c>
      <c r="J6065" s="24">
        <f t="shared" si="282"/>
        <v>0</v>
      </c>
      <c r="K6065" s="25">
        <f t="shared" si="284"/>
        <v>1.0000000000000009</v>
      </c>
      <c r="L6065" s="27"/>
      <c r="M6065" s="28"/>
      <c r="N6065" s="28"/>
      <c r="O6065" s="20" t="s">
        <v>7530</v>
      </c>
      <c r="P6065" s="27" t="str">
        <f t="shared" si="283"/>
        <v>vermelho</v>
      </c>
    </row>
    <row r="6066" spans="1:16" ht="25.5">
      <c r="A6066" s="3" t="s">
        <v>4</v>
      </c>
      <c r="B6066" s="3" t="s">
        <v>4883</v>
      </c>
      <c r="C6066" s="4">
        <v>327</v>
      </c>
      <c r="D6066" s="3" t="s">
        <v>100</v>
      </c>
      <c r="E6066" s="3" t="s">
        <v>7</v>
      </c>
      <c r="F6066" s="5">
        <v>111</v>
      </c>
      <c r="G6066" s="5">
        <v>0</v>
      </c>
      <c r="H6066" s="6">
        <v>7312.89</v>
      </c>
      <c r="I6066" s="22">
        <v>0</v>
      </c>
      <c r="J6066" s="24">
        <f t="shared" si="282"/>
        <v>0</v>
      </c>
      <c r="K6066" s="25">
        <f t="shared" si="284"/>
        <v>1.0000000000000009</v>
      </c>
      <c r="L6066" s="27"/>
      <c r="M6066" s="28"/>
      <c r="N6066" s="28"/>
      <c r="O6066" s="20" t="s">
        <v>7530</v>
      </c>
      <c r="P6066" s="27" t="str">
        <f t="shared" si="283"/>
        <v>vermelho</v>
      </c>
    </row>
    <row r="6067" spans="1:16" ht="25.5">
      <c r="A6067" s="3" t="s">
        <v>4</v>
      </c>
      <c r="B6067" s="3" t="s">
        <v>4884</v>
      </c>
      <c r="C6067" s="4">
        <v>31</v>
      </c>
      <c r="D6067" s="3" t="s">
        <v>194</v>
      </c>
      <c r="E6067" s="3" t="s">
        <v>16</v>
      </c>
      <c r="F6067" s="5">
        <v>96</v>
      </c>
      <c r="G6067" s="5">
        <v>0</v>
      </c>
      <c r="H6067" s="6">
        <v>5531.04</v>
      </c>
      <c r="I6067" s="22">
        <v>0</v>
      </c>
      <c r="J6067" s="24">
        <f t="shared" si="282"/>
        <v>0</v>
      </c>
      <c r="K6067" s="25">
        <f t="shared" si="284"/>
        <v>1.0000000000000009</v>
      </c>
      <c r="L6067" s="27"/>
      <c r="M6067" s="28"/>
      <c r="N6067" s="28"/>
      <c r="O6067" s="20" t="s">
        <v>7530</v>
      </c>
      <c r="P6067" s="27" t="str">
        <f t="shared" si="283"/>
        <v>vermelho</v>
      </c>
    </row>
    <row r="6068" spans="1:16" ht="38.25">
      <c r="A6068" s="3" t="s">
        <v>4</v>
      </c>
      <c r="B6068" s="3" t="s">
        <v>4885</v>
      </c>
      <c r="C6068" s="4">
        <v>371</v>
      </c>
      <c r="D6068" s="3" t="s">
        <v>82</v>
      </c>
      <c r="E6068" s="3" t="s">
        <v>49</v>
      </c>
      <c r="F6068" s="5">
        <v>363</v>
      </c>
      <c r="G6068" s="5">
        <v>0</v>
      </c>
      <c r="H6068" s="6">
        <v>16554.876</v>
      </c>
      <c r="I6068" s="22">
        <v>0</v>
      </c>
      <c r="J6068" s="24">
        <f t="shared" si="282"/>
        <v>0</v>
      </c>
      <c r="K6068" s="25">
        <f t="shared" si="284"/>
        <v>1.0000000000000009</v>
      </c>
      <c r="L6068" s="27"/>
      <c r="M6068" s="28"/>
      <c r="N6068" s="28"/>
      <c r="O6068" s="20" t="s">
        <v>7530</v>
      </c>
      <c r="P6068" s="27" t="str">
        <f t="shared" si="283"/>
        <v>vermelho</v>
      </c>
    </row>
    <row r="6069" spans="1:16" ht="25.5">
      <c r="A6069" s="3" t="s">
        <v>4</v>
      </c>
      <c r="B6069" s="3" t="s">
        <v>4886</v>
      </c>
      <c r="C6069" s="4">
        <v>297</v>
      </c>
      <c r="D6069" s="3" t="s">
        <v>115</v>
      </c>
      <c r="E6069" s="3" t="s">
        <v>41</v>
      </c>
      <c r="F6069" s="5">
        <v>138</v>
      </c>
      <c r="G6069" s="5">
        <v>0</v>
      </c>
      <c r="H6069" s="6">
        <v>8351.7540000000008</v>
      </c>
      <c r="I6069" s="22">
        <v>0</v>
      </c>
      <c r="J6069" s="24">
        <f t="shared" si="282"/>
        <v>0</v>
      </c>
      <c r="K6069" s="25">
        <f t="shared" si="284"/>
        <v>1.0000000000000009</v>
      </c>
      <c r="L6069" s="27"/>
      <c r="M6069" s="28"/>
      <c r="N6069" s="28"/>
      <c r="O6069" s="20" t="s">
        <v>7530</v>
      </c>
      <c r="P6069" s="27" t="str">
        <f t="shared" si="283"/>
        <v>vermelho</v>
      </c>
    </row>
    <row r="6070" spans="1:16" ht="25.5">
      <c r="A6070" s="3" t="s">
        <v>4</v>
      </c>
      <c r="B6070" s="3" t="s">
        <v>4887</v>
      </c>
      <c r="C6070" s="4">
        <v>194</v>
      </c>
      <c r="D6070" s="3" t="s">
        <v>145</v>
      </c>
      <c r="E6070" s="3" t="s">
        <v>16</v>
      </c>
      <c r="F6070" s="5">
        <v>132</v>
      </c>
      <c r="G6070" s="5">
        <v>0</v>
      </c>
      <c r="H6070" s="6">
        <v>8483.76</v>
      </c>
      <c r="I6070" s="22">
        <v>0</v>
      </c>
      <c r="J6070" s="24">
        <f t="shared" si="282"/>
        <v>0</v>
      </c>
      <c r="K6070" s="25">
        <f t="shared" si="284"/>
        <v>1.0000000000000009</v>
      </c>
      <c r="L6070" s="27"/>
      <c r="M6070" s="28"/>
      <c r="N6070" s="28"/>
      <c r="O6070" s="20" t="s">
        <v>7530</v>
      </c>
      <c r="P6070" s="27" t="str">
        <f t="shared" si="283"/>
        <v>vermelho</v>
      </c>
    </row>
    <row r="6071" spans="1:16" ht="25.5">
      <c r="A6071" s="3" t="s">
        <v>4</v>
      </c>
      <c r="B6071" s="3" t="s">
        <v>4888</v>
      </c>
      <c r="C6071" s="4">
        <v>187</v>
      </c>
      <c r="D6071" s="3" t="s">
        <v>96</v>
      </c>
      <c r="E6071" s="3" t="s">
        <v>7</v>
      </c>
      <c r="F6071" s="5">
        <v>84</v>
      </c>
      <c r="G6071" s="5">
        <v>0</v>
      </c>
      <c r="H6071" s="6">
        <v>4696.3530000000001</v>
      </c>
      <c r="I6071" s="22">
        <v>0</v>
      </c>
      <c r="J6071" s="24">
        <f t="shared" si="282"/>
        <v>0</v>
      </c>
      <c r="K6071" s="25">
        <f t="shared" si="284"/>
        <v>1.0000000000000009</v>
      </c>
      <c r="L6071" s="27"/>
      <c r="M6071" s="28"/>
      <c r="N6071" s="28"/>
      <c r="O6071" s="20" t="s">
        <v>7530</v>
      </c>
      <c r="P6071" s="27" t="str">
        <f t="shared" si="283"/>
        <v>vermelho</v>
      </c>
    </row>
    <row r="6072" spans="1:16" ht="25.5">
      <c r="A6072" s="3" t="s">
        <v>4</v>
      </c>
      <c r="B6072" s="3" t="s">
        <v>4889</v>
      </c>
      <c r="C6072" s="4">
        <v>335</v>
      </c>
      <c r="D6072" s="3" t="s">
        <v>36</v>
      </c>
      <c r="E6072" s="3" t="s">
        <v>7</v>
      </c>
      <c r="F6072" s="5">
        <v>132</v>
      </c>
      <c r="G6072" s="5">
        <v>0</v>
      </c>
      <c r="H6072" s="6">
        <v>8626.68</v>
      </c>
      <c r="I6072" s="22">
        <v>0</v>
      </c>
      <c r="J6072" s="24">
        <f t="shared" si="282"/>
        <v>0</v>
      </c>
      <c r="K6072" s="25">
        <f t="shared" si="284"/>
        <v>1.0000000000000009</v>
      </c>
      <c r="L6072" s="27"/>
      <c r="M6072" s="28"/>
      <c r="N6072" s="28"/>
      <c r="O6072" s="20" t="s">
        <v>7530</v>
      </c>
      <c r="P6072" s="27" t="str">
        <f t="shared" si="283"/>
        <v>vermelho</v>
      </c>
    </row>
    <row r="6073" spans="1:16" ht="51">
      <c r="A6073" s="3" t="s">
        <v>4</v>
      </c>
      <c r="B6073" s="3" t="s">
        <v>4890</v>
      </c>
      <c r="C6073" s="4">
        <v>282</v>
      </c>
      <c r="D6073" s="3" t="s">
        <v>12</v>
      </c>
      <c r="E6073" s="3" t="s">
        <v>13</v>
      </c>
      <c r="F6073" s="5">
        <v>24</v>
      </c>
      <c r="G6073" s="5">
        <v>0</v>
      </c>
      <c r="H6073" s="6">
        <v>1523.76</v>
      </c>
      <c r="I6073" s="22">
        <v>0</v>
      </c>
      <c r="J6073" s="24">
        <f t="shared" si="282"/>
        <v>0</v>
      </c>
      <c r="K6073" s="25">
        <f t="shared" si="284"/>
        <v>1.0000000000000009</v>
      </c>
      <c r="L6073" s="27"/>
      <c r="M6073" s="28"/>
      <c r="N6073" s="28"/>
      <c r="O6073" s="20" t="s">
        <v>7530</v>
      </c>
      <c r="P6073" s="27" t="str">
        <f t="shared" si="283"/>
        <v>vermelho</v>
      </c>
    </row>
    <row r="6074" spans="1:16" ht="38.25">
      <c r="A6074" s="3" t="s">
        <v>4</v>
      </c>
      <c r="B6074" s="3" t="s">
        <v>4891</v>
      </c>
      <c r="C6074" s="4">
        <v>328</v>
      </c>
      <c r="D6074" s="3" t="s">
        <v>215</v>
      </c>
      <c r="E6074" s="3" t="s">
        <v>41</v>
      </c>
      <c r="F6074" s="5">
        <v>204</v>
      </c>
      <c r="G6074" s="5">
        <v>0</v>
      </c>
      <c r="H6074" s="6">
        <v>11707.08</v>
      </c>
      <c r="I6074" s="22">
        <v>0</v>
      </c>
      <c r="J6074" s="24">
        <f t="shared" si="282"/>
        <v>0</v>
      </c>
      <c r="K6074" s="25">
        <f t="shared" si="284"/>
        <v>1.0000000000000009</v>
      </c>
      <c r="L6074" s="27"/>
      <c r="M6074" s="28"/>
      <c r="N6074" s="28"/>
      <c r="O6074" s="20" t="s">
        <v>7530</v>
      </c>
      <c r="P6074" s="27" t="str">
        <f t="shared" si="283"/>
        <v>vermelho</v>
      </c>
    </row>
    <row r="6075" spans="1:16" ht="25.5">
      <c r="A6075" s="3" t="s">
        <v>4</v>
      </c>
      <c r="B6075" s="3" t="s">
        <v>4892</v>
      </c>
      <c r="C6075" s="4">
        <v>187</v>
      </c>
      <c r="D6075" s="3" t="s">
        <v>96</v>
      </c>
      <c r="E6075" s="3" t="s">
        <v>7</v>
      </c>
      <c r="F6075" s="5">
        <v>378</v>
      </c>
      <c r="G6075" s="5">
        <v>0</v>
      </c>
      <c r="H6075" s="6">
        <v>22173.18</v>
      </c>
      <c r="I6075" s="22">
        <v>0</v>
      </c>
      <c r="J6075" s="24">
        <f t="shared" si="282"/>
        <v>0</v>
      </c>
      <c r="K6075" s="25">
        <f t="shared" si="284"/>
        <v>1.0000000000000009</v>
      </c>
      <c r="L6075" s="27"/>
      <c r="M6075" s="28"/>
      <c r="N6075" s="28"/>
      <c r="O6075" s="20" t="s">
        <v>7530</v>
      </c>
      <c r="P6075" s="27" t="str">
        <f t="shared" si="283"/>
        <v>vermelho</v>
      </c>
    </row>
    <row r="6076" spans="1:16" ht="25.5">
      <c r="A6076" s="3" t="s">
        <v>4</v>
      </c>
      <c r="B6076" s="3" t="s">
        <v>4893</v>
      </c>
      <c r="C6076" s="4">
        <v>317</v>
      </c>
      <c r="D6076" s="3" t="s">
        <v>78</v>
      </c>
      <c r="E6076" s="3" t="s">
        <v>10</v>
      </c>
      <c r="F6076" s="5">
        <v>204</v>
      </c>
      <c r="G6076" s="5">
        <v>0</v>
      </c>
      <c r="H6076" s="6">
        <v>12624.48</v>
      </c>
      <c r="I6076" s="22">
        <v>0</v>
      </c>
      <c r="J6076" s="24">
        <f t="shared" si="282"/>
        <v>0</v>
      </c>
      <c r="K6076" s="25">
        <f t="shared" si="284"/>
        <v>1.0000000000000009</v>
      </c>
      <c r="L6076" s="27"/>
      <c r="M6076" s="28"/>
      <c r="N6076" s="28"/>
      <c r="O6076" s="20">
        <v>7376.64</v>
      </c>
      <c r="P6076" s="27" t="str">
        <f t="shared" si="283"/>
        <v>vermelho</v>
      </c>
    </row>
    <row r="6077" spans="1:16">
      <c r="A6077" s="3" t="s">
        <v>4</v>
      </c>
      <c r="B6077" s="3" t="s">
        <v>4894</v>
      </c>
      <c r="C6077" s="4">
        <v>217</v>
      </c>
      <c r="D6077" s="3" t="s">
        <v>91</v>
      </c>
      <c r="E6077" s="3" t="s">
        <v>16</v>
      </c>
      <c r="F6077" s="5">
        <v>48</v>
      </c>
      <c r="G6077" s="5">
        <v>0</v>
      </c>
      <c r="H6077" s="6">
        <v>3203.52</v>
      </c>
      <c r="I6077" s="22">
        <v>0</v>
      </c>
      <c r="J6077" s="24">
        <f t="shared" si="282"/>
        <v>0</v>
      </c>
      <c r="K6077" s="25">
        <f t="shared" si="284"/>
        <v>1.0000000000000009</v>
      </c>
      <c r="L6077" s="27"/>
      <c r="M6077" s="28"/>
      <c r="N6077" s="28"/>
      <c r="O6077" s="20" t="s">
        <v>7530</v>
      </c>
      <c r="P6077" s="27" t="str">
        <f t="shared" si="283"/>
        <v>vermelho</v>
      </c>
    </row>
    <row r="6078" spans="1:16" ht="25.5">
      <c r="A6078" s="3" t="s">
        <v>4</v>
      </c>
      <c r="B6078" s="3" t="s">
        <v>4895</v>
      </c>
      <c r="C6078" s="4">
        <v>299</v>
      </c>
      <c r="D6078" s="3" t="s">
        <v>111</v>
      </c>
      <c r="E6078" s="3" t="s">
        <v>49</v>
      </c>
      <c r="F6078" s="5">
        <v>330</v>
      </c>
      <c r="G6078" s="5">
        <v>0</v>
      </c>
      <c r="H6078" s="6">
        <v>18180.12</v>
      </c>
      <c r="I6078" s="22">
        <v>0</v>
      </c>
      <c r="J6078" s="24">
        <f t="shared" si="282"/>
        <v>0</v>
      </c>
      <c r="K6078" s="25">
        <f t="shared" si="284"/>
        <v>1.0000000000000009</v>
      </c>
      <c r="L6078" s="27"/>
      <c r="M6078" s="28"/>
      <c r="N6078" s="28"/>
      <c r="O6078" s="20">
        <v>13403.76</v>
      </c>
      <c r="P6078" s="27" t="str">
        <f t="shared" si="283"/>
        <v>vermelho</v>
      </c>
    </row>
    <row r="6079" spans="1:16" ht="38.25">
      <c r="A6079" s="3" t="s">
        <v>4</v>
      </c>
      <c r="B6079" s="3" t="s">
        <v>4896</v>
      </c>
      <c r="C6079" s="4">
        <v>328</v>
      </c>
      <c r="D6079" s="3" t="s">
        <v>215</v>
      </c>
      <c r="E6079" s="3" t="s">
        <v>41</v>
      </c>
      <c r="F6079" s="5">
        <v>81</v>
      </c>
      <c r="G6079" s="5">
        <v>0</v>
      </c>
      <c r="H6079" s="6">
        <v>3563.2710000000002</v>
      </c>
      <c r="I6079" s="22">
        <v>0</v>
      </c>
      <c r="J6079" s="24">
        <f t="shared" si="282"/>
        <v>0</v>
      </c>
      <c r="K6079" s="25">
        <f t="shared" si="284"/>
        <v>1.0000000000000009</v>
      </c>
      <c r="L6079" s="27"/>
      <c r="M6079" s="28"/>
      <c r="N6079" s="28"/>
      <c r="O6079" s="20" t="s">
        <v>7530</v>
      </c>
      <c r="P6079" s="27" t="str">
        <f t="shared" si="283"/>
        <v>vermelho</v>
      </c>
    </row>
    <row r="6080" spans="1:16" ht="25.5">
      <c r="A6080" s="3" t="s">
        <v>4</v>
      </c>
      <c r="B6080" s="3" t="s">
        <v>4897</v>
      </c>
      <c r="C6080" s="4">
        <v>299</v>
      </c>
      <c r="D6080" s="3" t="s">
        <v>111</v>
      </c>
      <c r="E6080" s="3" t="s">
        <v>49</v>
      </c>
      <c r="F6080" s="5">
        <v>114</v>
      </c>
      <c r="G6080" s="5">
        <v>0</v>
      </c>
      <c r="H6080" s="6">
        <v>5014.8599999999997</v>
      </c>
      <c r="I6080" s="22">
        <v>0</v>
      </c>
      <c r="J6080" s="24">
        <f t="shared" si="282"/>
        <v>0</v>
      </c>
      <c r="K6080" s="25">
        <f t="shared" si="284"/>
        <v>1.0000000000000009</v>
      </c>
      <c r="L6080" s="27"/>
      <c r="M6080" s="28"/>
      <c r="N6080" s="28"/>
      <c r="O6080" s="20" t="s">
        <v>7530</v>
      </c>
      <c r="P6080" s="27" t="str">
        <f t="shared" si="283"/>
        <v>vermelho</v>
      </c>
    </row>
    <row r="6081" spans="1:16">
      <c r="A6081" s="3" t="s">
        <v>4</v>
      </c>
      <c r="B6081" s="3" t="s">
        <v>4898</v>
      </c>
      <c r="C6081" s="4">
        <v>217</v>
      </c>
      <c r="D6081" s="3" t="s">
        <v>91</v>
      </c>
      <c r="E6081" s="3" t="s">
        <v>16</v>
      </c>
      <c r="F6081" s="5">
        <v>84</v>
      </c>
      <c r="G6081" s="5">
        <v>0</v>
      </c>
      <c r="H6081" s="6">
        <v>4026</v>
      </c>
      <c r="I6081" s="22">
        <v>0</v>
      </c>
      <c r="J6081" s="24">
        <f t="shared" si="282"/>
        <v>0</v>
      </c>
      <c r="K6081" s="25">
        <f t="shared" si="284"/>
        <v>1.0000000000000009</v>
      </c>
      <c r="L6081" s="27"/>
      <c r="M6081" s="28"/>
      <c r="N6081" s="28"/>
      <c r="O6081" s="20" t="s">
        <v>7530</v>
      </c>
      <c r="P6081" s="27" t="str">
        <f t="shared" si="283"/>
        <v>vermelho</v>
      </c>
    </row>
    <row r="6082" spans="1:16" ht="25.5">
      <c r="A6082" s="3" t="s">
        <v>4</v>
      </c>
      <c r="B6082" s="3" t="s">
        <v>4899</v>
      </c>
      <c r="C6082" s="4">
        <v>270</v>
      </c>
      <c r="D6082" s="3" t="s">
        <v>266</v>
      </c>
      <c r="E6082" s="3" t="s">
        <v>49</v>
      </c>
      <c r="F6082" s="5">
        <v>132</v>
      </c>
      <c r="G6082" s="5">
        <v>0</v>
      </c>
      <c r="H6082" s="6">
        <v>8194.68</v>
      </c>
      <c r="I6082" s="22">
        <v>0</v>
      </c>
      <c r="J6082" s="24">
        <f t="shared" si="282"/>
        <v>0</v>
      </c>
      <c r="K6082" s="25">
        <f t="shared" si="284"/>
        <v>1.0000000000000009</v>
      </c>
      <c r="L6082" s="27"/>
      <c r="M6082" s="28"/>
      <c r="N6082" s="28"/>
      <c r="O6082" s="20" t="s">
        <v>7530</v>
      </c>
      <c r="P6082" s="27" t="str">
        <f t="shared" si="283"/>
        <v>vermelho</v>
      </c>
    </row>
    <row r="6083" spans="1:16">
      <c r="A6083" s="3" t="s">
        <v>4</v>
      </c>
      <c r="B6083" s="3" t="s">
        <v>4900</v>
      </c>
      <c r="C6083" s="4">
        <v>217</v>
      </c>
      <c r="D6083" s="3" t="s">
        <v>91</v>
      </c>
      <c r="E6083" s="3" t="s">
        <v>16</v>
      </c>
      <c r="F6083" s="5">
        <v>168</v>
      </c>
      <c r="G6083" s="5">
        <v>0</v>
      </c>
      <c r="H6083" s="6">
        <v>9352.7999999999993</v>
      </c>
      <c r="I6083" s="22">
        <v>0</v>
      </c>
      <c r="J6083" s="24">
        <f t="shared" ref="J6083:J6146" si="285">I6083/$I$6364</f>
        <v>0</v>
      </c>
      <c r="K6083" s="25">
        <f t="shared" si="284"/>
        <v>1.0000000000000009</v>
      </c>
      <c r="L6083" s="27"/>
      <c r="M6083" s="28"/>
      <c r="N6083" s="28"/>
      <c r="O6083" s="20" t="s">
        <v>7530</v>
      </c>
      <c r="P6083" s="27" t="str">
        <f t="shared" ref="P6083:P6146" si="286">IF(O6083&lt;=0,"vermelho",IFERROR(IF(O6083/I6083&lt;=0.5098,"amarelo",IF(O6083/I6083&lt;1,"laranja","verde")),"vermelho"))</f>
        <v>vermelho</v>
      </c>
    </row>
    <row r="6084" spans="1:16" ht="25.5">
      <c r="A6084" s="3" t="s">
        <v>4</v>
      </c>
      <c r="B6084" s="3" t="s">
        <v>4901</v>
      </c>
      <c r="C6084" s="4">
        <v>335</v>
      </c>
      <c r="D6084" s="3" t="s">
        <v>36</v>
      </c>
      <c r="E6084" s="3" t="s">
        <v>7</v>
      </c>
      <c r="F6084" s="5">
        <v>60</v>
      </c>
      <c r="G6084" s="5">
        <v>0</v>
      </c>
      <c r="H6084" s="6">
        <v>2967.6</v>
      </c>
      <c r="I6084" s="22">
        <v>0</v>
      </c>
      <c r="J6084" s="24">
        <f t="shared" si="285"/>
        <v>0</v>
      </c>
      <c r="K6084" s="25">
        <f t="shared" ref="K6084:K6147" si="287">J6084+K6083</f>
        <v>1.0000000000000009</v>
      </c>
      <c r="L6084" s="27"/>
      <c r="M6084" s="28"/>
      <c r="N6084" s="28">
        <v>3.7057775439564566E-2</v>
      </c>
      <c r="O6084" s="20">
        <v>4897.8</v>
      </c>
      <c r="P6084" s="27" t="str">
        <f t="shared" si="286"/>
        <v>vermelho</v>
      </c>
    </row>
    <row r="6085" spans="1:16" ht="38.25">
      <c r="A6085" s="3" t="s">
        <v>4</v>
      </c>
      <c r="B6085" s="3" t="s">
        <v>4902</v>
      </c>
      <c r="C6085" s="4">
        <v>38</v>
      </c>
      <c r="D6085" s="3" t="s">
        <v>184</v>
      </c>
      <c r="E6085" s="3" t="s">
        <v>49</v>
      </c>
      <c r="F6085" s="5">
        <v>96</v>
      </c>
      <c r="G6085" s="5">
        <v>0</v>
      </c>
      <c r="H6085" s="6">
        <v>4644.7560000000003</v>
      </c>
      <c r="I6085" s="22">
        <v>0</v>
      </c>
      <c r="J6085" s="24">
        <f t="shared" si="285"/>
        <v>0</v>
      </c>
      <c r="K6085" s="25">
        <f t="shared" si="287"/>
        <v>1.0000000000000009</v>
      </c>
      <c r="L6085" s="27"/>
      <c r="M6085" s="28"/>
      <c r="N6085" s="28"/>
      <c r="O6085" s="20" t="s">
        <v>7530</v>
      </c>
      <c r="P6085" s="27" t="str">
        <f t="shared" si="286"/>
        <v>vermelho</v>
      </c>
    </row>
    <row r="6086" spans="1:16" ht="38.25">
      <c r="A6086" s="3" t="s">
        <v>4</v>
      </c>
      <c r="B6086" s="3" t="s">
        <v>4903</v>
      </c>
      <c r="C6086" s="4">
        <v>38</v>
      </c>
      <c r="D6086" s="3" t="s">
        <v>184</v>
      </c>
      <c r="E6086" s="3" t="s">
        <v>49</v>
      </c>
      <c r="F6086" s="5">
        <v>72</v>
      </c>
      <c r="G6086" s="5">
        <v>0</v>
      </c>
      <c r="H6086" s="6">
        <v>2676</v>
      </c>
      <c r="I6086" s="22">
        <v>0</v>
      </c>
      <c r="J6086" s="24">
        <f t="shared" si="285"/>
        <v>0</v>
      </c>
      <c r="K6086" s="25">
        <f t="shared" si="287"/>
        <v>1.0000000000000009</v>
      </c>
      <c r="L6086" s="27"/>
      <c r="M6086" s="28"/>
      <c r="N6086" s="28"/>
      <c r="O6086" s="20" t="s">
        <v>7530</v>
      </c>
      <c r="P6086" s="27" t="str">
        <f t="shared" si="286"/>
        <v>vermelho</v>
      </c>
    </row>
    <row r="6087" spans="1:16" ht="25.5">
      <c r="A6087" s="3" t="s">
        <v>4</v>
      </c>
      <c r="B6087" s="3" t="s">
        <v>4904</v>
      </c>
      <c r="C6087" s="4">
        <v>296</v>
      </c>
      <c r="D6087" s="3" t="s">
        <v>282</v>
      </c>
      <c r="E6087" s="3" t="s">
        <v>7</v>
      </c>
      <c r="F6087" s="5">
        <v>477</v>
      </c>
      <c r="G6087" s="5">
        <v>0</v>
      </c>
      <c r="H6087" s="6">
        <v>17802</v>
      </c>
      <c r="I6087" s="22">
        <v>0</v>
      </c>
      <c r="J6087" s="24">
        <f t="shared" si="285"/>
        <v>0</v>
      </c>
      <c r="K6087" s="25">
        <f t="shared" si="287"/>
        <v>1.0000000000000009</v>
      </c>
      <c r="L6087" s="27"/>
      <c r="M6087" s="28"/>
      <c r="N6087" s="28"/>
      <c r="O6087" s="20" t="s">
        <v>7530</v>
      </c>
      <c r="P6087" s="27" t="str">
        <f t="shared" si="286"/>
        <v>vermelho</v>
      </c>
    </row>
    <row r="6088" spans="1:16" ht="25.5">
      <c r="A6088" s="3" t="s">
        <v>4</v>
      </c>
      <c r="B6088" s="3" t="s">
        <v>4904</v>
      </c>
      <c r="C6088" s="4">
        <v>296</v>
      </c>
      <c r="D6088" s="3" t="s">
        <v>282</v>
      </c>
      <c r="E6088" s="3" t="s">
        <v>10</v>
      </c>
      <c r="F6088" s="5">
        <v>279</v>
      </c>
      <c r="G6088" s="5">
        <v>0</v>
      </c>
      <c r="H6088" s="6">
        <v>14704.24</v>
      </c>
      <c r="I6088" s="22">
        <v>0</v>
      </c>
      <c r="J6088" s="24">
        <f t="shared" si="285"/>
        <v>0</v>
      </c>
      <c r="K6088" s="25">
        <f t="shared" si="287"/>
        <v>1.0000000000000009</v>
      </c>
      <c r="L6088" s="27"/>
      <c r="M6088" s="28"/>
      <c r="N6088" s="28"/>
      <c r="O6088" s="20" t="s">
        <v>7530</v>
      </c>
      <c r="P6088" s="27" t="str">
        <f t="shared" si="286"/>
        <v>vermelho</v>
      </c>
    </row>
    <row r="6089" spans="1:16" ht="38.25">
      <c r="A6089" s="3" t="s">
        <v>4</v>
      </c>
      <c r="B6089" s="3" t="s">
        <v>4905</v>
      </c>
      <c r="C6089" s="4">
        <v>266</v>
      </c>
      <c r="D6089" s="3" t="s">
        <v>80</v>
      </c>
      <c r="E6089" s="3" t="s">
        <v>10</v>
      </c>
      <c r="F6089" s="5">
        <v>75</v>
      </c>
      <c r="G6089" s="5">
        <v>0</v>
      </c>
      <c r="H6089" s="6">
        <v>3634.77</v>
      </c>
      <c r="I6089" s="22">
        <v>0</v>
      </c>
      <c r="J6089" s="24">
        <f t="shared" si="285"/>
        <v>0</v>
      </c>
      <c r="K6089" s="25">
        <f t="shared" si="287"/>
        <v>1.0000000000000009</v>
      </c>
      <c r="L6089" s="27"/>
      <c r="M6089" s="28"/>
      <c r="N6089" s="28"/>
      <c r="O6089" s="20" t="s">
        <v>7530</v>
      </c>
      <c r="P6089" s="27" t="str">
        <f t="shared" si="286"/>
        <v>vermelho</v>
      </c>
    </row>
    <row r="6090" spans="1:16" ht="25.5">
      <c r="A6090" s="3" t="s">
        <v>4</v>
      </c>
      <c r="B6090" s="3" t="s">
        <v>4906</v>
      </c>
      <c r="C6090" s="4">
        <v>317</v>
      </c>
      <c r="D6090" s="3" t="s">
        <v>78</v>
      </c>
      <c r="E6090" s="3" t="s">
        <v>10</v>
      </c>
      <c r="F6090" s="5">
        <v>48</v>
      </c>
      <c r="G6090" s="5">
        <v>0</v>
      </c>
      <c r="H6090" s="6">
        <v>3267.6</v>
      </c>
      <c r="I6090" s="22">
        <v>0</v>
      </c>
      <c r="J6090" s="24">
        <f t="shared" si="285"/>
        <v>0</v>
      </c>
      <c r="K6090" s="25">
        <f t="shared" si="287"/>
        <v>1.0000000000000009</v>
      </c>
      <c r="L6090" s="27"/>
      <c r="M6090" s="28"/>
      <c r="N6090" s="28"/>
      <c r="O6090" s="20" t="s">
        <v>7530</v>
      </c>
      <c r="P6090" s="27" t="str">
        <f t="shared" si="286"/>
        <v>vermelho</v>
      </c>
    </row>
    <row r="6091" spans="1:16">
      <c r="A6091" s="3" t="s">
        <v>4</v>
      </c>
      <c r="B6091" s="3" t="s">
        <v>4907</v>
      </c>
      <c r="C6091" s="4">
        <v>15</v>
      </c>
      <c r="D6091" s="3" t="s">
        <v>18</v>
      </c>
      <c r="E6091" s="3" t="s">
        <v>16</v>
      </c>
      <c r="F6091" s="5">
        <v>5556</v>
      </c>
      <c r="G6091" s="5">
        <v>0</v>
      </c>
      <c r="H6091" s="6">
        <v>317956.02</v>
      </c>
      <c r="I6091" s="22">
        <v>0</v>
      </c>
      <c r="J6091" s="24">
        <f t="shared" si="285"/>
        <v>0</v>
      </c>
      <c r="K6091" s="25">
        <f t="shared" si="287"/>
        <v>1.0000000000000009</v>
      </c>
      <c r="L6091" s="27"/>
      <c r="M6091" s="28"/>
      <c r="N6091" s="28"/>
      <c r="O6091" s="20" t="s">
        <v>7530</v>
      </c>
      <c r="P6091" s="27" t="str">
        <f t="shared" si="286"/>
        <v>vermelho</v>
      </c>
    </row>
    <row r="6092" spans="1:16" ht="25.5">
      <c r="A6092" s="3" t="s">
        <v>4</v>
      </c>
      <c r="B6092" s="3" t="s">
        <v>4908</v>
      </c>
      <c r="C6092" s="4">
        <v>273</v>
      </c>
      <c r="D6092" s="3" t="s">
        <v>149</v>
      </c>
      <c r="E6092" s="3" t="s">
        <v>10</v>
      </c>
      <c r="F6092" s="5">
        <v>84</v>
      </c>
      <c r="G6092" s="5">
        <v>0</v>
      </c>
      <c r="H6092" s="6">
        <v>3768.42</v>
      </c>
      <c r="I6092" s="22">
        <v>0</v>
      </c>
      <c r="J6092" s="24">
        <f t="shared" si="285"/>
        <v>0</v>
      </c>
      <c r="K6092" s="25">
        <f t="shared" si="287"/>
        <v>1.0000000000000009</v>
      </c>
      <c r="L6092" s="27"/>
      <c r="M6092" s="28"/>
      <c r="N6092" s="28"/>
      <c r="O6092" s="20" t="s">
        <v>7530</v>
      </c>
      <c r="P6092" s="27" t="str">
        <f t="shared" si="286"/>
        <v>vermelho</v>
      </c>
    </row>
    <row r="6093" spans="1:16" ht="25.5">
      <c r="A6093" s="3" t="s">
        <v>4</v>
      </c>
      <c r="B6093" s="3" t="s">
        <v>4909</v>
      </c>
      <c r="C6093" s="4">
        <v>217</v>
      </c>
      <c r="D6093" s="3" t="s">
        <v>91</v>
      </c>
      <c r="E6093" s="3" t="s">
        <v>16</v>
      </c>
      <c r="F6093" s="5">
        <v>177</v>
      </c>
      <c r="G6093" s="5">
        <v>0</v>
      </c>
      <c r="H6093" s="6">
        <v>9872.5499999999993</v>
      </c>
      <c r="I6093" s="22">
        <v>0</v>
      </c>
      <c r="J6093" s="24">
        <f t="shared" si="285"/>
        <v>0</v>
      </c>
      <c r="K6093" s="25">
        <f t="shared" si="287"/>
        <v>1.0000000000000009</v>
      </c>
      <c r="L6093" s="27"/>
      <c r="M6093" s="28"/>
      <c r="N6093" s="28"/>
      <c r="O6093" s="20" t="s">
        <v>7530</v>
      </c>
      <c r="P6093" s="27" t="str">
        <f t="shared" si="286"/>
        <v>vermelho</v>
      </c>
    </row>
    <row r="6094" spans="1:16" ht="25.5">
      <c r="A6094" s="3" t="s">
        <v>4</v>
      </c>
      <c r="B6094" s="3" t="s">
        <v>4910</v>
      </c>
      <c r="C6094" s="4">
        <v>53</v>
      </c>
      <c r="D6094" s="3" t="s">
        <v>34</v>
      </c>
      <c r="E6094" s="3" t="s">
        <v>16</v>
      </c>
      <c r="F6094" s="5">
        <v>108</v>
      </c>
      <c r="G6094" s="5">
        <v>0</v>
      </c>
      <c r="H6094" s="6">
        <v>5806.68</v>
      </c>
      <c r="I6094" s="22">
        <v>0</v>
      </c>
      <c r="J6094" s="24">
        <f t="shared" si="285"/>
        <v>0</v>
      </c>
      <c r="K6094" s="25">
        <f t="shared" si="287"/>
        <v>1.0000000000000009</v>
      </c>
      <c r="L6094" s="27"/>
      <c r="M6094" s="28"/>
      <c r="N6094" s="28"/>
      <c r="O6094" s="20" t="s">
        <v>7530</v>
      </c>
      <c r="P6094" s="27" t="str">
        <f t="shared" si="286"/>
        <v>vermelho</v>
      </c>
    </row>
    <row r="6095" spans="1:16" ht="38.25">
      <c r="A6095" s="3" t="s">
        <v>4</v>
      </c>
      <c r="B6095" s="3" t="s">
        <v>4911</v>
      </c>
      <c r="C6095" s="4">
        <v>371</v>
      </c>
      <c r="D6095" s="3" t="s">
        <v>82</v>
      </c>
      <c r="E6095" s="3" t="s">
        <v>49</v>
      </c>
      <c r="F6095" s="5">
        <v>60</v>
      </c>
      <c r="G6095" s="5">
        <v>0</v>
      </c>
      <c r="H6095" s="6">
        <v>3495.84</v>
      </c>
      <c r="I6095" s="22">
        <v>0</v>
      </c>
      <c r="J6095" s="24">
        <f t="shared" si="285"/>
        <v>0</v>
      </c>
      <c r="K6095" s="25">
        <f t="shared" si="287"/>
        <v>1.0000000000000009</v>
      </c>
      <c r="L6095" s="27"/>
      <c r="M6095" s="28"/>
      <c r="N6095" s="28"/>
      <c r="O6095" s="20" t="s">
        <v>7530</v>
      </c>
      <c r="P6095" s="27" t="str">
        <f t="shared" si="286"/>
        <v>vermelho</v>
      </c>
    </row>
    <row r="6096" spans="1:16">
      <c r="A6096" s="3" t="s">
        <v>4</v>
      </c>
      <c r="B6096" s="3" t="s">
        <v>4912</v>
      </c>
      <c r="C6096" s="4">
        <v>232</v>
      </c>
      <c r="D6096" s="3" t="s">
        <v>174</v>
      </c>
      <c r="E6096" s="3" t="s">
        <v>16</v>
      </c>
      <c r="F6096" s="5">
        <v>168</v>
      </c>
      <c r="G6096" s="5">
        <v>0</v>
      </c>
      <c r="H6096" s="6">
        <v>8208.24</v>
      </c>
      <c r="I6096" s="22">
        <v>0</v>
      </c>
      <c r="J6096" s="24">
        <f t="shared" si="285"/>
        <v>0</v>
      </c>
      <c r="K6096" s="25">
        <f t="shared" si="287"/>
        <v>1.0000000000000009</v>
      </c>
      <c r="L6096" s="27"/>
      <c r="M6096" s="28"/>
      <c r="N6096" s="28"/>
      <c r="O6096" s="20" t="s">
        <v>7530</v>
      </c>
      <c r="P6096" s="27" t="str">
        <f t="shared" si="286"/>
        <v>vermelho</v>
      </c>
    </row>
    <row r="6097" spans="1:16" ht="38.25">
      <c r="A6097" s="3" t="s">
        <v>4</v>
      </c>
      <c r="B6097" s="3" t="s">
        <v>4913</v>
      </c>
      <c r="C6097" s="4">
        <v>371</v>
      </c>
      <c r="D6097" s="3" t="s">
        <v>82</v>
      </c>
      <c r="E6097" s="3" t="s">
        <v>49</v>
      </c>
      <c r="F6097" s="5">
        <v>240</v>
      </c>
      <c r="G6097" s="5">
        <v>0</v>
      </c>
      <c r="H6097" s="6">
        <v>11655.811</v>
      </c>
      <c r="I6097" s="22">
        <v>0</v>
      </c>
      <c r="J6097" s="24">
        <f t="shared" si="285"/>
        <v>0</v>
      </c>
      <c r="K6097" s="25">
        <f t="shared" si="287"/>
        <v>1.0000000000000009</v>
      </c>
      <c r="L6097" s="27"/>
      <c r="M6097" s="28"/>
      <c r="N6097" s="28"/>
      <c r="O6097" s="20" t="s">
        <v>7530</v>
      </c>
      <c r="P6097" s="27" t="str">
        <f t="shared" si="286"/>
        <v>vermelho</v>
      </c>
    </row>
    <row r="6098" spans="1:16" ht="25.5">
      <c r="A6098" s="3" t="s">
        <v>4</v>
      </c>
      <c r="B6098" s="3" t="s">
        <v>4914</v>
      </c>
      <c r="C6098" s="4">
        <v>302</v>
      </c>
      <c r="D6098" s="3" t="s">
        <v>293</v>
      </c>
      <c r="E6098" s="3" t="s">
        <v>49</v>
      </c>
      <c r="F6098" s="5">
        <v>630</v>
      </c>
      <c r="G6098" s="5">
        <v>0</v>
      </c>
      <c r="H6098" s="6">
        <v>36921.72</v>
      </c>
      <c r="I6098" s="22">
        <v>0</v>
      </c>
      <c r="J6098" s="24">
        <f t="shared" si="285"/>
        <v>0</v>
      </c>
      <c r="K6098" s="25">
        <f t="shared" si="287"/>
        <v>1.0000000000000009</v>
      </c>
      <c r="L6098" s="27"/>
      <c r="M6098" s="28"/>
      <c r="N6098" s="28"/>
      <c r="O6098" s="20" t="s">
        <v>7530</v>
      </c>
      <c r="P6098" s="27" t="str">
        <f t="shared" si="286"/>
        <v>vermelho</v>
      </c>
    </row>
    <row r="6099" spans="1:16">
      <c r="A6099" s="3" t="s">
        <v>4</v>
      </c>
      <c r="B6099" s="3" t="s">
        <v>4915</v>
      </c>
      <c r="C6099" s="4">
        <v>231</v>
      </c>
      <c r="D6099" s="3" t="s">
        <v>52</v>
      </c>
      <c r="E6099" s="3" t="s">
        <v>7</v>
      </c>
      <c r="F6099" s="5">
        <v>252</v>
      </c>
      <c r="G6099" s="5">
        <v>0</v>
      </c>
      <c r="H6099" s="6">
        <v>15184.272000000001</v>
      </c>
      <c r="I6099" s="22">
        <v>0</v>
      </c>
      <c r="J6099" s="24">
        <f t="shared" si="285"/>
        <v>0</v>
      </c>
      <c r="K6099" s="25">
        <f t="shared" si="287"/>
        <v>1.0000000000000009</v>
      </c>
      <c r="L6099" s="27"/>
      <c r="M6099" s="28"/>
      <c r="N6099" s="28"/>
      <c r="O6099" s="20" t="s">
        <v>7530</v>
      </c>
      <c r="P6099" s="27" t="str">
        <f t="shared" si="286"/>
        <v>vermelho</v>
      </c>
    </row>
    <row r="6100" spans="1:16" ht="25.5">
      <c r="A6100" s="3" t="s">
        <v>4</v>
      </c>
      <c r="B6100" s="3" t="s">
        <v>4916</v>
      </c>
      <c r="C6100" s="4">
        <v>41</v>
      </c>
      <c r="D6100" s="3" t="s">
        <v>178</v>
      </c>
      <c r="E6100" s="3" t="s">
        <v>41</v>
      </c>
      <c r="F6100" s="5">
        <v>180</v>
      </c>
      <c r="G6100" s="5">
        <v>0</v>
      </c>
      <c r="H6100" s="6">
        <v>11270.76</v>
      </c>
      <c r="I6100" s="22">
        <v>0</v>
      </c>
      <c r="J6100" s="24">
        <f t="shared" si="285"/>
        <v>0</v>
      </c>
      <c r="K6100" s="25">
        <f t="shared" si="287"/>
        <v>1.0000000000000009</v>
      </c>
      <c r="L6100" s="27"/>
      <c r="M6100" s="28"/>
      <c r="N6100" s="28"/>
      <c r="O6100" s="20" t="s">
        <v>7530</v>
      </c>
      <c r="P6100" s="27" t="str">
        <f t="shared" si="286"/>
        <v>vermelho</v>
      </c>
    </row>
    <row r="6101" spans="1:16" ht="25.5">
      <c r="A6101" s="3" t="s">
        <v>4</v>
      </c>
      <c r="B6101" s="3" t="s">
        <v>4917</v>
      </c>
      <c r="C6101" s="4">
        <v>299</v>
      </c>
      <c r="D6101" s="3" t="s">
        <v>111</v>
      </c>
      <c r="E6101" s="3" t="s">
        <v>49</v>
      </c>
      <c r="F6101" s="5">
        <v>216</v>
      </c>
      <c r="G6101" s="5">
        <v>0</v>
      </c>
      <c r="H6101" s="6">
        <v>13393.44</v>
      </c>
      <c r="I6101" s="22">
        <v>0</v>
      </c>
      <c r="J6101" s="24">
        <f t="shared" si="285"/>
        <v>0</v>
      </c>
      <c r="K6101" s="25">
        <f t="shared" si="287"/>
        <v>1.0000000000000009</v>
      </c>
      <c r="L6101" s="27"/>
      <c r="M6101" s="28"/>
      <c r="N6101" s="28"/>
      <c r="O6101" s="20" t="s">
        <v>7530</v>
      </c>
      <c r="P6101" s="27" t="str">
        <f t="shared" si="286"/>
        <v>vermelho</v>
      </c>
    </row>
    <row r="6102" spans="1:16">
      <c r="A6102" s="3" t="s">
        <v>4</v>
      </c>
      <c r="B6102" s="3" t="s">
        <v>4918</v>
      </c>
      <c r="C6102" s="4">
        <v>232</v>
      </c>
      <c r="D6102" s="3" t="s">
        <v>174</v>
      </c>
      <c r="E6102" s="3" t="s">
        <v>16</v>
      </c>
      <c r="F6102" s="5">
        <v>84</v>
      </c>
      <c r="G6102" s="5">
        <v>0</v>
      </c>
      <c r="H6102" s="6">
        <v>4934.16</v>
      </c>
      <c r="I6102" s="22">
        <v>0</v>
      </c>
      <c r="J6102" s="24">
        <f t="shared" si="285"/>
        <v>0</v>
      </c>
      <c r="K6102" s="25">
        <f t="shared" si="287"/>
        <v>1.0000000000000009</v>
      </c>
      <c r="L6102" s="27"/>
      <c r="M6102" s="28"/>
      <c r="N6102" s="28"/>
      <c r="O6102" s="20" t="s">
        <v>7530</v>
      </c>
      <c r="P6102" s="27" t="str">
        <f t="shared" si="286"/>
        <v>vermelho</v>
      </c>
    </row>
    <row r="6103" spans="1:16">
      <c r="A6103" s="3" t="s">
        <v>4</v>
      </c>
      <c r="B6103" s="3" t="s">
        <v>4919</v>
      </c>
      <c r="C6103" s="4">
        <v>231</v>
      </c>
      <c r="D6103" s="3" t="s">
        <v>52</v>
      </c>
      <c r="E6103" s="3" t="s">
        <v>7</v>
      </c>
      <c r="F6103" s="5">
        <v>240</v>
      </c>
      <c r="G6103" s="5">
        <v>0</v>
      </c>
      <c r="H6103" s="6">
        <v>15395.13</v>
      </c>
      <c r="I6103" s="22">
        <v>0</v>
      </c>
      <c r="J6103" s="24">
        <f t="shared" si="285"/>
        <v>0</v>
      </c>
      <c r="K6103" s="25">
        <f t="shared" si="287"/>
        <v>1.0000000000000009</v>
      </c>
      <c r="L6103" s="27"/>
      <c r="M6103" s="28"/>
      <c r="N6103" s="28"/>
      <c r="O6103" s="20" t="s">
        <v>7530</v>
      </c>
      <c r="P6103" s="27" t="str">
        <f t="shared" si="286"/>
        <v>vermelho</v>
      </c>
    </row>
    <row r="6104" spans="1:16" ht="38.25">
      <c r="A6104" s="3" t="s">
        <v>4</v>
      </c>
      <c r="B6104" s="3" t="s">
        <v>4920</v>
      </c>
      <c r="C6104" s="4">
        <v>34</v>
      </c>
      <c r="D6104" s="3" t="s">
        <v>54</v>
      </c>
      <c r="E6104" s="3" t="s">
        <v>49</v>
      </c>
      <c r="F6104" s="5">
        <v>96</v>
      </c>
      <c r="G6104" s="5">
        <v>0</v>
      </c>
      <c r="H6104" s="6">
        <v>6568.68</v>
      </c>
      <c r="I6104" s="22">
        <v>0</v>
      </c>
      <c r="J6104" s="24">
        <f t="shared" si="285"/>
        <v>0</v>
      </c>
      <c r="K6104" s="25">
        <f t="shared" si="287"/>
        <v>1.0000000000000009</v>
      </c>
      <c r="L6104" s="27"/>
      <c r="M6104" s="28"/>
      <c r="N6104" s="28"/>
      <c r="O6104" s="20" t="s">
        <v>7530</v>
      </c>
      <c r="P6104" s="27" t="str">
        <f t="shared" si="286"/>
        <v>vermelho</v>
      </c>
    </row>
    <row r="6105" spans="1:16" ht="25.5">
      <c r="A6105" s="3" t="s">
        <v>4</v>
      </c>
      <c r="B6105" s="3" t="s">
        <v>4921</v>
      </c>
      <c r="C6105" s="4">
        <v>194</v>
      </c>
      <c r="D6105" s="3" t="s">
        <v>145</v>
      </c>
      <c r="E6105" s="3" t="s">
        <v>16</v>
      </c>
      <c r="F6105" s="5">
        <v>216</v>
      </c>
      <c r="G6105" s="5">
        <v>0</v>
      </c>
      <c r="H6105" s="6">
        <v>11719.08</v>
      </c>
      <c r="I6105" s="22">
        <v>0</v>
      </c>
      <c r="J6105" s="24">
        <f t="shared" si="285"/>
        <v>0</v>
      </c>
      <c r="K6105" s="25">
        <f t="shared" si="287"/>
        <v>1.0000000000000009</v>
      </c>
      <c r="L6105" s="27"/>
      <c r="M6105" s="28"/>
      <c r="N6105" s="28"/>
      <c r="O6105" s="20">
        <v>21789.24</v>
      </c>
      <c r="P6105" s="27" t="str">
        <f t="shared" si="286"/>
        <v>vermelho</v>
      </c>
    </row>
    <row r="6106" spans="1:16" ht="25.5">
      <c r="A6106" s="3" t="s">
        <v>4</v>
      </c>
      <c r="B6106" s="3" t="s">
        <v>4922</v>
      </c>
      <c r="C6106" s="4">
        <v>273</v>
      </c>
      <c r="D6106" s="3" t="s">
        <v>149</v>
      </c>
      <c r="E6106" s="3" t="s">
        <v>16</v>
      </c>
      <c r="F6106" s="5">
        <v>120</v>
      </c>
      <c r="G6106" s="5">
        <v>0</v>
      </c>
      <c r="H6106" s="6">
        <v>6028.44</v>
      </c>
      <c r="I6106" s="22">
        <v>0</v>
      </c>
      <c r="J6106" s="24">
        <f t="shared" si="285"/>
        <v>0</v>
      </c>
      <c r="K6106" s="25">
        <f t="shared" si="287"/>
        <v>1.0000000000000009</v>
      </c>
      <c r="L6106" s="27"/>
      <c r="M6106" s="28"/>
      <c r="N6106" s="28"/>
      <c r="O6106" s="20" t="s">
        <v>7530</v>
      </c>
      <c r="P6106" s="27" t="str">
        <f t="shared" si="286"/>
        <v>vermelho</v>
      </c>
    </row>
    <row r="6107" spans="1:16" ht="25.5">
      <c r="A6107" s="3" t="s">
        <v>4</v>
      </c>
      <c r="B6107" s="3" t="s">
        <v>4923</v>
      </c>
      <c r="C6107" s="4">
        <v>187</v>
      </c>
      <c r="D6107" s="3" t="s">
        <v>96</v>
      </c>
      <c r="E6107" s="3" t="s">
        <v>7</v>
      </c>
      <c r="F6107" s="5">
        <v>264</v>
      </c>
      <c r="G6107" s="5">
        <v>0</v>
      </c>
      <c r="H6107" s="6">
        <v>15793.92</v>
      </c>
      <c r="I6107" s="22">
        <v>0</v>
      </c>
      <c r="J6107" s="24">
        <f t="shared" si="285"/>
        <v>0</v>
      </c>
      <c r="K6107" s="25">
        <f t="shared" si="287"/>
        <v>1.0000000000000009</v>
      </c>
      <c r="L6107" s="27"/>
      <c r="M6107" s="28"/>
      <c r="N6107" s="28"/>
      <c r="O6107" s="20" t="s">
        <v>7530</v>
      </c>
      <c r="P6107" s="27" t="str">
        <f t="shared" si="286"/>
        <v>vermelho</v>
      </c>
    </row>
    <row r="6108" spans="1:16" ht="38.25">
      <c r="A6108" s="3" t="s">
        <v>4</v>
      </c>
      <c r="B6108" s="3" t="s">
        <v>4924</v>
      </c>
      <c r="C6108" s="4">
        <v>371</v>
      </c>
      <c r="D6108" s="3" t="s">
        <v>82</v>
      </c>
      <c r="E6108" s="3" t="s">
        <v>49</v>
      </c>
      <c r="F6108" s="5">
        <v>102</v>
      </c>
      <c r="G6108" s="5">
        <v>0</v>
      </c>
      <c r="H6108" s="6">
        <v>4815.7039999999997</v>
      </c>
      <c r="I6108" s="22">
        <v>0</v>
      </c>
      <c r="J6108" s="24">
        <f t="shared" si="285"/>
        <v>0</v>
      </c>
      <c r="K6108" s="25">
        <f t="shared" si="287"/>
        <v>1.0000000000000009</v>
      </c>
      <c r="L6108" s="27"/>
      <c r="M6108" s="28"/>
      <c r="N6108" s="28"/>
      <c r="O6108" s="20" t="s">
        <v>7530</v>
      </c>
      <c r="P6108" s="27" t="str">
        <f t="shared" si="286"/>
        <v>vermelho</v>
      </c>
    </row>
    <row r="6109" spans="1:16">
      <c r="A6109" s="3" t="s">
        <v>4</v>
      </c>
      <c r="B6109" s="3" t="s">
        <v>4925</v>
      </c>
      <c r="C6109" s="4">
        <v>315</v>
      </c>
      <c r="D6109" s="3" t="s">
        <v>63</v>
      </c>
      <c r="E6109" s="3" t="s">
        <v>7</v>
      </c>
      <c r="F6109" s="5">
        <v>48</v>
      </c>
      <c r="G6109" s="5">
        <v>0</v>
      </c>
      <c r="H6109" s="6">
        <v>2974.2</v>
      </c>
      <c r="I6109" s="22">
        <v>0</v>
      </c>
      <c r="J6109" s="24">
        <f t="shared" si="285"/>
        <v>0</v>
      </c>
      <c r="K6109" s="25">
        <f t="shared" si="287"/>
        <v>1.0000000000000009</v>
      </c>
      <c r="L6109" s="27"/>
      <c r="M6109" s="28"/>
      <c r="N6109" s="28"/>
      <c r="O6109" s="20" t="s">
        <v>7530</v>
      </c>
      <c r="P6109" s="27" t="str">
        <f t="shared" si="286"/>
        <v>vermelho</v>
      </c>
    </row>
    <row r="6110" spans="1:16" ht="25.5">
      <c r="A6110" s="3" t="s">
        <v>4930</v>
      </c>
      <c r="B6110" s="3" t="s">
        <v>4931</v>
      </c>
      <c r="C6110" s="4">
        <v>41</v>
      </c>
      <c r="D6110" s="3" t="s">
        <v>178</v>
      </c>
      <c r="E6110" s="3" t="s">
        <v>7</v>
      </c>
      <c r="F6110" s="5">
        <v>14976</v>
      </c>
      <c r="G6110" s="5">
        <v>0</v>
      </c>
      <c r="H6110" s="6">
        <v>917456.64</v>
      </c>
      <c r="I6110" s="22">
        <v>0</v>
      </c>
      <c r="J6110" s="24">
        <f t="shared" si="285"/>
        <v>0</v>
      </c>
      <c r="K6110" s="25">
        <f t="shared" si="287"/>
        <v>1.0000000000000009</v>
      </c>
      <c r="L6110" s="27"/>
      <c r="M6110" s="28"/>
      <c r="N6110" s="28"/>
      <c r="O6110" s="20">
        <v>1024829.92</v>
      </c>
      <c r="P6110" s="27" t="str">
        <f t="shared" si="286"/>
        <v>vermelho</v>
      </c>
    </row>
    <row r="6111" spans="1:16" ht="25.5">
      <c r="A6111" s="3" t="s">
        <v>5024</v>
      </c>
      <c r="B6111" s="3" t="s">
        <v>5025</v>
      </c>
      <c r="C6111" s="4">
        <v>299</v>
      </c>
      <c r="D6111" s="3" t="s">
        <v>111</v>
      </c>
      <c r="E6111" s="3" t="s">
        <v>13</v>
      </c>
      <c r="F6111" s="5">
        <v>96</v>
      </c>
      <c r="G6111" s="5">
        <v>0</v>
      </c>
      <c r="H6111" s="6">
        <v>3999.36</v>
      </c>
      <c r="I6111" s="22">
        <v>0</v>
      </c>
      <c r="J6111" s="24">
        <f t="shared" si="285"/>
        <v>0</v>
      </c>
      <c r="K6111" s="25">
        <f t="shared" si="287"/>
        <v>1.0000000000000009</v>
      </c>
      <c r="L6111" s="27"/>
      <c r="M6111" s="28"/>
      <c r="N6111" s="28"/>
      <c r="O6111" s="20">
        <v>6030.9859999999999</v>
      </c>
      <c r="P6111" s="27" t="str">
        <f t="shared" si="286"/>
        <v>vermelho</v>
      </c>
    </row>
    <row r="6112" spans="1:16" ht="25.5">
      <c r="A6112" s="3" t="s">
        <v>5152</v>
      </c>
      <c r="B6112" s="3" t="s">
        <v>5153</v>
      </c>
      <c r="C6112" s="4">
        <v>337</v>
      </c>
      <c r="D6112" s="3" t="s">
        <v>202</v>
      </c>
      <c r="E6112" s="3" t="s">
        <v>41</v>
      </c>
      <c r="F6112" s="5">
        <v>1662</v>
      </c>
      <c r="G6112" s="5">
        <v>0</v>
      </c>
      <c r="H6112" s="6">
        <v>98074.2</v>
      </c>
      <c r="I6112" s="22">
        <v>0</v>
      </c>
      <c r="J6112" s="24">
        <f t="shared" si="285"/>
        <v>0</v>
      </c>
      <c r="K6112" s="25">
        <f t="shared" si="287"/>
        <v>1.0000000000000009</v>
      </c>
      <c r="L6112" s="27"/>
      <c r="M6112" s="28"/>
      <c r="N6112" s="28"/>
      <c r="O6112" s="20" t="s">
        <v>7530</v>
      </c>
      <c r="P6112" s="27" t="str">
        <f t="shared" si="286"/>
        <v>vermelho</v>
      </c>
    </row>
    <row r="6113" spans="1:16" ht="25.5">
      <c r="A6113" s="3" t="s">
        <v>5164</v>
      </c>
      <c r="B6113" s="3" t="s">
        <v>5165</v>
      </c>
      <c r="C6113" s="4">
        <v>41</v>
      </c>
      <c r="D6113" s="3" t="s">
        <v>178</v>
      </c>
      <c r="E6113" s="3" t="s">
        <v>7</v>
      </c>
      <c r="F6113" s="5">
        <v>0</v>
      </c>
      <c r="G6113" s="5">
        <v>0</v>
      </c>
      <c r="H6113" s="6">
        <v>0</v>
      </c>
      <c r="I6113" s="22">
        <v>0</v>
      </c>
      <c r="J6113" s="24">
        <f t="shared" si="285"/>
        <v>0</v>
      </c>
      <c r="K6113" s="25">
        <f t="shared" si="287"/>
        <v>1.0000000000000009</v>
      </c>
      <c r="L6113" s="27"/>
      <c r="M6113" s="28"/>
      <c r="N6113" s="28"/>
      <c r="O6113" s="20" t="s">
        <v>7530</v>
      </c>
      <c r="P6113" s="27" t="str">
        <f t="shared" si="286"/>
        <v>vermelho</v>
      </c>
    </row>
    <row r="6114" spans="1:16" ht="38.25">
      <c r="A6114" s="3" t="s">
        <v>5248</v>
      </c>
      <c r="B6114" s="3" t="s">
        <v>5249</v>
      </c>
      <c r="C6114" s="4">
        <v>11</v>
      </c>
      <c r="D6114" s="3" t="s">
        <v>61</v>
      </c>
      <c r="E6114" s="3" t="s">
        <v>16</v>
      </c>
      <c r="F6114" s="5">
        <v>132</v>
      </c>
      <c r="G6114" s="5">
        <v>0</v>
      </c>
      <c r="H6114" s="6">
        <v>8396.4</v>
      </c>
      <c r="I6114" s="22">
        <v>0</v>
      </c>
      <c r="J6114" s="24">
        <f t="shared" si="285"/>
        <v>0</v>
      </c>
      <c r="K6114" s="25">
        <f t="shared" si="287"/>
        <v>1.0000000000000009</v>
      </c>
      <c r="L6114" s="27"/>
      <c r="M6114" s="28"/>
      <c r="N6114" s="28"/>
      <c r="O6114" s="20">
        <v>18154.936000000002</v>
      </c>
      <c r="P6114" s="27" t="str">
        <f t="shared" si="286"/>
        <v>vermelho</v>
      </c>
    </row>
    <row r="6115" spans="1:16" ht="25.5">
      <c r="A6115" s="3" t="s">
        <v>5300</v>
      </c>
      <c r="B6115" s="3" t="s">
        <v>5301</v>
      </c>
      <c r="C6115" s="4">
        <v>317</v>
      </c>
      <c r="D6115" s="3" t="s">
        <v>78</v>
      </c>
      <c r="E6115" s="3" t="s">
        <v>10</v>
      </c>
      <c r="F6115" s="5">
        <v>156</v>
      </c>
      <c r="G6115" s="5">
        <v>0</v>
      </c>
      <c r="H6115" s="6">
        <v>8242.44</v>
      </c>
      <c r="I6115" s="22">
        <v>0</v>
      </c>
      <c r="J6115" s="24">
        <f t="shared" si="285"/>
        <v>0</v>
      </c>
      <c r="K6115" s="25">
        <f t="shared" si="287"/>
        <v>1.0000000000000009</v>
      </c>
      <c r="L6115" s="27"/>
      <c r="M6115" s="28"/>
      <c r="N6115" s="28"/>
      <c r="O6115" s="20">
        <v>94508.68</v>
      </c>
      <c r="P6115" s="27" t="str">
        <f t="shared" si="286"/>
        <v>vermelho</v>
      </c>
    </row>
    <row r="6116" spans="1:16" ht="38.25">
      <c r="A6116" s="3" t="s">
        <v>5364</v>
      </c>
      <c r="B6116" s="3" t="s">
        <v>5365</v>
      </c>
      <c r="C6116" s="4">
        <v>11</v>
      </c>
      <c r="D6116" s="3" t="s">
        <v>61</v>
      </c>
      <c r="E6116" s="3" t="s">
        <v>49</v>
      </c>
      <c r="F6116" s="5">
        <v>324</v>
      </c>
      <c r="G6116" s="5">
        <v>0</v>
      </c>
      <c r="H6116" s="6">
        <v>18948.36</v>
      </c>
      <c r="I6116" s="22">
        <v>0</v>
      </c>
      <c r="J6116" s="24">
        <f t="shared" si="285"/>
        <v>0</v>
      </c>
      <c r="K6116" s="25">
        <f t="shared" si="287"/>
        <v>1.0000000000000009</v>
      </c>
      <c r="L6116" s="27"/>
      <c r="M6116" s="28"/>
      <c r="N6116" s="28"/>
      <c r="O6116" s="20">
        <v>16662.394</v>
      </c>
      <c r="P6116" s="27" t="str">
        <f t="shared" si="286"/>
        <v>vermelho</v>
      </c>
    </row>
    <row r="6117" spans="1:16" ht="25.5">
      <c r="A6117" s="3" t="s">
        <v>5529</v>
      </c>
      <c r="B6117" s="3" t="s">
        <v>5530</v>
      </c>
      <c r="C6117" s="4">
        <v>316</v>
      </c>
      <c r="D6117" s="3" t="s">
        <v>247</v>
      </c>
      <c r="E6117" s="3" t="s">
        <v>7</v>
      </c>
      <c r="F6117" s="5">
        <v>542</v>
      </c>
      <c r="G6117" s="5">
        <v>0</v>
      </c>
      <c r="H6117" s="6">
        <v>20876.78</v>
      </c>
      <c r="I6117" s="22">
        <v>0</v>
      </c>
      <c r="J6117" s="24">
        <f t="shared" si="285"/>
        <v>0</v>
      </c>
      <c r="K6117" s="25">
        <f t="shared" si="287"/>
        <v>1.0000000000000009</v>
      </c>
      <c r="L6117" s="27"/>
      <c r="M6117" s="28"/>
      <c r="N6117" s="28"/>
      <c r="O6117" s="20">
        <v>6238.8</v>
      </c>
      <c r="P6117" s="27" t="str">
        <f t="shared" si="286"/>
        <v>vermelho</v>
      </c>
    </row>
    <row r="6118" spans="1:16" ht="25.5">
      <c r="A6118" s="3" t="s">
        <v>5818</v>
      </c>
      <c r="B6118" s="3" t="s">
        <v>5819</v>
      </c>
      <c r="C6118" s="4">
        <v>316</v>
      </c>
      <c r="D6118" s="3" t="s">
        <v>247</v>
      </c>
      <c r="E6118" s="3" t="s">
        <v>10</v>
      </c>
      <c r="F6118" s="5">
        <v>144</v>
      </c>
      <c r="G6118" s="5">
        <v>0</v>
      </c>
      <c r="H6118" s="6">
        <v>7513.68</v>
      </c>
      <c r="I6118" s="22">
        <v>0</v>
      </c>
      <c r="J6118" s="24">
        <f t="shared" si="285"/>
        <v>0</v>
      </c>
      <c r="K6118" s="25">
        <f t="shared" si="287"/>
        <v>1.0000000000000009</v>
      </c>
      <c r="L6118" s="27"/>
      <c r="M6118" s="28"/>
      <c r="N6118" s="28"/>
      <c r="O6118" s="20" t="s">
        <v>7530</v>
      </c>
      <c r="P6118" s="27" t="str">
        <f t="shared" si="286"/>
        <v>vermelho</v>
      </c>
    </row>
    <row r="6119" spans="1:16" ht="25.5">
      <c r="A6119" s="3" t="s">
        <v>5818</v>
      </c>
      <c r="B6119" s="3" t="s">
        <v>5819</v>
      </c>
      <c r="C6119" s="4">
        <v>296</v>
      </c>
      <c r="D6119" s="3" t="s">
        <v>282</v>
      </c>
      <c r="E6119" s="3" t="s">
        <v>10</v>
      </c>
      <c r="F6119" s="5">
        <v>240</v>
      </c>
      <c r="G6119" s="5">
        <v>0</v>
      </c>
      <c r="H6119" s="6">
        <v>12757.8</v>
      </c>
      <c r="I6119" s="22">
        <v>0</v>
      </c>
      <c r="J6119" s="24">
        <f t="shared" si="285"/>
        <v>0</v>
      </c>
      <c r="K6119" s="25">
        <f t="shared" si="287"/>
        <v>1.0000000000000009</v>
      </c>
      <c r="L6119" s="27"/>
      <c r="M6119" s="28"/>
      <c r="N6119" s="28"/>
      <c r="O6119" s="20" t="s">
        <v>7530</v>
      </c>
      <c r="P6119" s="27" t="str">
        <f t="shared" si="286"/>
        <v>vermelho</v>
      </c>
    </row>
    <row r="6120" spans="1:16">
      <c r="A6120" s="3" t="s">
        <v>5941</v>
      </c>
      <c r="B6120" s="3" t="s">
        <v>5942</v>
      </c>
      <c r="C6120" s="4">
        <v>334</v>
      </c>
      <c r="D6120" s="3" t="s">
        <v>531</v>
      </c>
      <c r="E6120" s="3" t="s">
        <v>7</v>
      </c>
      <c r="F6120" s="5">
        <v>179</v>
      </c>
      <c r="G6120" s="5">
        <v>0</v>
      </c>
      <c r="H6120" s="6">
        <v>10192.08</v>
      </c>
      <c r="I6120" s="22">
        <v>0</v>
      </c>
      <c r="J6120" s="24">
        <f t="shared" si="285"/>
        <v>0</v>
      </c>
      <c r="K6120" s="25">
        <f t="shared" si="287"/>
        <v>1.0000000000000009</v>
      </c>
      <c r="L6120" s="27"/>
      <c r="M6120" s="28"/>
      <c r="N6120" s="28"/>
      <c r="O6120" s="20">
        <v>14426.04</v>
      </c>
      <c r="P6120" s="27" t="str">
        <f t="shared" si="286"/>
        <v>vermelho</v>
      </c>
    </row>
    <row r="6121" spans="1:16">
      <c r="A6121" s="3" t="s">
        <v>6145</v>
      </c>
      <c r="B6121" s="3" t="s">
        <v>6146</v>
      </c>
      <c r="C6121" s="4">
        <v>264</v>
      </c>
      <c r="D6121" s="3" t="s">
        <v>40</v>
      </c>
      <c r="E6121" s="3" t="s">
        <v>10</v>
      </c>
      <c r="F6121" s="5">
        <v>677</v>
      </c>
      <c r="G6121" s="5">
        <v>0</v>
      </c>
      <c r="H6121" s="6">
        <v>34436.589999999997</v>
      </c>
      <c r="I6121" s="22">
        <v>0</v>
      </c>
      <c r="J6121" s="24">
        <f t="shared" si="285"/>
        <v>0</v>
      </c>
      <c r="K6121" s="25">
        <f t="shared" si="287"/>
        <v>1.0000000000000009</v>
      </c>
      <c r="L6121" s="27"/>
      <c r="M6121" s="28"/>
      <c r="N6121" s="28"/>
      <c r="O6121" s="20" t="s">
        <v>7530</v>
      </c>
      <c r="P6121" s="27" t="str">
        <f t="shared" si="286"/>
        <v>vermelho</v>
      </c>
    </row>
    <row r="6122" spans="1:16" ht="25.5">
      <c r="A6122" s="3" t="s">
        <v>6293</v>
      </c>
      <c r="B6122" s="3" t="s">
        <v>6294</v>
      </c>
      <c r="C6122" s="4">
        <v>74</v>
      </c>
      <c r="D6122" s="3" t="s">
        <v>6</v>
      </c>
      <c r="E6122" s="3" t="s">
        <v>7</v>
      </c>
      <c r="F6122" s="5">
        <v>84</v>
      </c>
      <c r="G6122" s="5">
        <v>0</v>
      </c>
      <c r="H6122" s="6">
        <v>4315.0200000000004</v>
      </c>
      <c r="I6122" s="22">
        <v>0</v>
      </c>
      <c r="J6122" s="24">
        <f t="shared" si="285"/>
        <v>0</v>
      </c>
      <c r="K6122" s="25">
        <f t="shared" si="287"/>
        <v>1.0000000000000009</v>
      </c>
      <c r="L6122" s="27"/>
      <c r="M6122" s="28"/>
      <c r="N6122" s="28"/>
      <c r="O6122" s="20">
        <v>6299.88</v>
      </c>
      <c r="P6122" s="27" t="str">
        <f t="shared" si="286"/>
        <v>vermelho</v>
      </c>
    </row>
    <row r="6123" spans="1:16" ht="25.5">
      <c r="A6123" s="3" t="s">
        <v>6334</v>
      </c>
      <c r="B6123" s="3" t="s">
        <v>6335</v>
      </c>
      <c r="C6123" s="4">
        <v>296</v>
      </c>
      <c r="D6123" s="3" t="s">
        <v>282</v>
      </c>
      <c r="E6123" s="3" t="s">
        <v>16</v>
      </c>
      <c r="F6123" s="5">
        <v>162</v>
      </c>
      <c r="G6123" s="5">
        <v>0</v>
      </c>
      <c r="H6123" s="6">
        <v>8487.48</v>
      </c>
      <c r="I6123" s="22">
        <v>0</v>
      </c>
      <c r="J6123" s="24">
        <f t="shared" si="285"/>
        <v>0</v>
      </c>
      <c r="K6123" s="25">
        <f t="shared" si="287"/>
        <v>1.0000000000000009</v>
      </c>
      <c r="L6123" s="27"/>
      <c r="M6123" s="28"/>
      <c r="N6123" s="28"/>
      <c r="O6123" s="20">
        <v>10824.996999999999</v>
      </c>
      <c r="P6123" s="27" t="str">
        <f t="shared" si="286"/>
        <v>vermelho</v>
      </c>
    </row>
    <row r="6124" spans="1:16" ht="25.5">
      <c r="A6124" s="3" t="s">
        <v>6454</v>
      </c>
      <c r="B6124" s="3" t="s">
        <v>6455</v>
      </c>
      <c r="C6124" s="4">
        <v>296</v>
      </c>
      <c r="D6124" s="3" t="s">
        <v>282</v>
      </c>
      <c r="E6124" s="3" t="s">
        <v>16</v>
      </c>
      <c r="F6124" s="5">
        <v>102</v>
      </c>
      <c r="G6124" s="5">
        <v>0</v>
      </c>
      <c r="H6124" s="6">
        <v>5043.78</v>
      </c>
      <c r="I6124" s="22">
        <v>0</v>
      </c>
      <c r="J6124" s="24">
        <f t="shared" si="285"/>
        <v>0</v>
      </c>
      <c r="K6124" s="25">
        <f t="shared" si="287"/>
        <v>1.0000000000000009</v>
      </c>
      <c r="L6124" s="27"/>
      <c r="M6124" s="28"/>
      <c r="N6124" s="28"/>
      <c r="O6124" s="20" t="s">
        <v>7530</v>
      </c>
      <c r="P6124" s="27" t="str">
        <f t="shared" si="286"/>
        <v>vermelho</v>
      </c>
    </row>
    <row r="6125" spans="1:16">
      <c r="A6125" s="3" t="s">
        <v>6485</v>
      </c>
      <c r="B6125" s="3" t="s">
        <v>6486</v>
      </c>
      <c r="C6125" s="4">
        <v>264</v>
      </c>
      <c r="D6125" s="3" t="s">
        <v>40</v>
      </c>
      <c r="E6125" s="3" t="s">
        <v>10</v>
      </c>
      <c r="F6125" s="5">
        <v>258</v>
      </c>
      <c r="G6125" s="5">
        <v>0</v>
      </c>
      <c r="H6125" s="6">
        <v>11289.66</v>
      </c>
      <c r="I6125" s="22">
        <v>0</v>
      </c>
      <c r="J6125" s="24">
        <f t="shared" si="285"/>
        <v>0</v>
      </c>
      <c r="K6125" s="25">
        <f t="shared" si="287"/>
        <v>1.0000000000000009</v>
      </c>
      <c r="L6125" s="27"/>
      <c r="M6125" s="28"/>
      <c r="N6125" s="28"/>
      <c r="O6125" s="20" t="s">
        <v>7530</v>
      </c>
      <c r="P6125" s="27" t="str">
        <f t="shared" si="286"/>
        <v>vermelho</v>
      </c>
    </row>
    <row r="6126" spans="1:16" ht="38.25">
      <c r="A6126" s="3" t="s">
        <v>6507</v>
      </c>
      <c r="B6126" s="3" t="s">
        <v>6508</v>
      </c>
      <c r="C6126" s="4">
        <v>371</v>
      </c>
      <c r="D6126" s="3" t="s">
        <v>82</v>
      </c>
      <c r="E6126" s="3" t="s">
        <v>49</v>
      </c>
      <c r="F6126" s="5">
        <v>210</v>
      </c>
      <c r="G6126" s="5">
        <v>0</v>
      </c>
      <c r="H6126" s="6">
        <v>15588.9</v>
      </c>
      <c r="I6126" s="22">
        <v>0</v>
      </c>
      <c r="J6126" s="24">
        <f t="shared" si="285"/>
        <v>0</v>
      </c>
      <c r="K6126" s="25">
        <f t="shared" si="287"/>
        <v>1.0000000000000009</v>
      </c>
      <c r="L6126" s="27"/>
      <c r="M6126" s="28"/>
      <c r="N6126" s="28"/>
      <c r="O6126" s="20" t="s">
        <v>7530</v>
      </c>
      <c r="P6126" s="27" t="str">
        <f t="shared" si="286"/>
        <v>vermelho</v>
      </c>
    </row>
    <row r="6127" spans="1:16" ht="38.25">
      <c r="A6127" s="3" t="s">
        <v>6507</v>
      </c>
      <c r="B6127" s="3" t="s">
        <v>6508</v>
      </c>
      <c r="C6127" s="4">
        <v>371</v>
      </c>
      <c r="D6127" s="3" t="s">
        <v>82</v>
      </c>
      <c r="E6127" s="3" t="s">
        <v>16</v>
      </c>
      <c r="F6127" s="5">
        <v>951</v>
      </c>
      <c r="G6127" s="5">
        <v>0</v>
      </c>
      <c r="H6127" s="6">
        <v>48602.67</v>
      </c>
      <c r="I6127" s="22">
        <v>0</v>
      </c>
      <c r="J6127" s="24">
        <f t="shared" si="285"/>
        <v>0</v>
      </c>
      <c r="K6127" s="25">
        <f t="shared" si="287"/>
        <v>1.0000000000000009</v>
      </c>
      <c r="L6127" s="27"/>
      <c r="M6127" s="28"/>
      <c r="N6127" s="28"/>
      <c r="O6127" s="20" t="s">
        <v>7530</v>
      </c>
      <c r="P6127" s="27" t="str">
        <f t="shared" si="286"/>
        <v>vermelho</v>
      </c>
    </row>
    <row r="6128" spans="1:16" ht="25.5">
      <c r="A6128" s="3" t="s">
        <v>6507</v>
      </c>
      <c r="B6128" s="3" t="s">
        <v>6508</v>
      </c>
      <c r="C6128" s="4">
        <v>296</v>
      </c>
      <c r="D6128" s="3" t="s">
        <v>282</v>
      </c>
      <c r="E6128" s="3" t="s">
        <v>16</v>
      </c>
      <c r="F6128" s="5">
        <v>144</v>
      </c>
      <c r="G6128" s="5">
        <v>0</v>
      </c>
      <c r="H6128" s="6">
        <v>7773.24</v>
      </c>
      <c r="I6128" s="22">
        <v>0</v>
      </c>
      <c r="J6128" s="24">
        <f t="shared" si="285"/>
        <v>0</v>
      </c>
      <c r="K6128" s="25">
        <f t="shared" si="287"/>
        <v>1.0000000000000009</v>
      </c>
      <c r="L6128" s="27"/>
      <c r="M6128" s="28"/>
      <c r="N6128" s="28"/>
      <c r="O6128" s="20" t="s">
        <v>7530</v>
      </c>
      <c r="P6128" s="27" t="str">
        <f t="shared" si="286"/>
        <v>vermelho</v>
      </c>
    </row>
    <row r="6129" spans="1:16" ht="25.5">
      <c r="A6129" s="3" t="s">
        <v>6561</v>
      </c>
      <c r="B6129" s="3" t="s">
        <v>6562</v>
      </c>
      <c r="C6129" s="4">
        <v>320</v>
      </c>
      <c r="D6129" s="3" t="s">
        <v>218</v>
      </c>
      <c r="E6129" s="3" t="s">
        <v>49</v>
      </c>
      <c r="F6129" s="5">
        <v>240</v>
      </c>
      <c r="G6129" s="5">
        <v>0</v>
      </c>
      <c r="H6129" s="6">
        <v>14792.1</v>
      </c>
      <c r="I6129" s="22">
        <v>0</v>
      </c>
      <c r="J6129" s="24">
        <f t="shared" si="285"/>
        <v>0</v>
      </c>
      <c r="K6129" s="25">
        <f t="shared" si="287"/>
        <v>1.0000000000000009</v>
      </c>
      <c r="L6129" s="27"/>
      <c r="M6129" s="28"/>
      <c r="N6129" s="28"/>
      <c r="O6129" s="20" t="s">
        <v>7530</v>
      </c>
      <c r="P6129" s="27" t="str">
        <f t="shared" si="286"/>
        <v>vermelho</v>
      </c>
    </row>
    <row r="6130" spans="1:16" ht="25.5">
      <c r="A6130" s="3" t="s">
        <v>6565</v>
      </c>
      <c r="B6130" s="3" t="s">
        <v>6566</v>
      </c>
      <c r="C6130" s="4">
        <v>296</v>
      </c>
      <c r="D6130" s="3" t="s">
        <v>282</v>
      </c>
      <c r="E6130" s="3" t="s">
        <v>16</v>
      </c>
      <c r="F6130" s="5">
        <v>642</v>
      </c>
      <c r="G6130" s="5">
        <v>0</v>
      </c>
      <c r="H6130" s="6">
        <v>30069.54</v>
      </c>
      <c r="I6130" s="22">
        <v>0</v>
      </c>
      <c r="J6130" s="24">
        <f t="shared" si="285"/>
        <v>0</v>
      </c>
      <c r="K6130" s="25">
        <f t="shared" si="287"/>
        <v>1.0000000000000009</v>
      </c>
      <c r="L6130" s="27"/>
      <c r="M6130" s="28"/>
      <c r="N6130" s="28"/>
      <c r="O6130" s="20" t="s">
        <v>7530</v>
      </c>
      <c r="P6130" s="27" t="str">
        <f t="shared" si="286"/>
        <v>vermelho</v>
      </c>
    </row>
    <row r="6131" spans="1:16" ht="25.5">
      <c r="A6131" s="3" t="s">
        <v>6605</v>
      </c>
      <c r="B6131" s="3" t="s">
        <v>6606</v>
      </c>
      <c r="C6131" s="4">
        <v>316</v>
      </c>
      <c r="D6131" s="3" t="s">
        <v>247</v>
      </c>
      <c r="E6131" s="3" t="s">
        <v>7</v>
      </c>
      <c r="F6131" s="5">
        <v>420</v>
      </c>
      <c r="G6131" s="5">
        <v>0</v>
      </c>
      <c r="H6131" s="6">
        <v>16116.24</v>
      </c>
      <c r="I6131" s="22">
        <v>0</v>
      </c>
      <c r="J6131" s="24">
        <f t="shared" si="285"/>
        <v>0</v>
      </c>
      <c r="K6131" s="25">
        <f t="shared" si="287"/>
        <v>1.0000000000000009</v>
      </c>
      <c r="L6131" s="27"/>
      <c r="M6131" s="28"/>
      <c r="N6131" s="28"/>
      <c r="O6131" s="20" t="s">
        <v>7530</v>
      </c>
      <c r="P6131" s="27" t="str">
        <f t="shared" si="286"/>
        <v>vermelho</v>
      </c>
    </row>
    <row r="6132" spans="1:16" ht="25.5">
      <c r="A6132" s="3" t="s">
        <v>6605</v>
      </c>
      <c r="B6132" s="3" t="s">
        <v>6606</v>
      </c>
      <c r="C6132" s="4">
        <v>296</v>
      </c>
      <c r="D6132" s="3" t="s">
        <v>282</v>
      </c>
      <c r="E6132" s="3" t="s">
        <v>7</v>
      </c>
      <c r="F6132" s="5">
        <v>408</v>
      </c>
      <c r="G6132" s="5">
        <v>0</v>
      </c>
      <c r="H6132" s="6">
        <v>16320.72</v>
      </c>
      <c r="I6132" s="22">
        <v>0</v>
      </c>
      <c r="J6132" s="24">
        <f t="shared" si="285"/>
        <v>0</v>
      </c>
      <c r="K6132" s="25">
        <f t="shared" si="287"/>
        <v>1.0000000000000009</v>
      </c>
      <c r="L6132" s="27"/>
      <c r="M6132" s="28"/>
      <c r="N6132" s="28"/>
      <c r="O6132" s="20" t="s">
        <v>7530</v>
      </c>
      <c r="P6132" s="27" t="str">
        <f t="shared" si="286"/>
        <v>vermelho</v>
      </c>
    </row>
    <row r="6133" spans="1:16" ht="25.5">
      <c r="A6133" s="3" t="s">
        <v>6730</v>
      </c>
      <c r="B6133" s="3" t="s">
        <v>6731</v>
      </c>
      <c r="C6133" s="4">
        <v>273</v>
      </c>
      <c r="D6133" s="3" t="s">
        <v>149</v>
      </c>
      <c r="E6133" s="3" t="s">
        <v>10</v>
      </c>
      <c r="F6133" s="5">
        <v>396</v>
      </c>
      <c r="G6133" s="5">
        <v>0</v>
      </c>
      <c r="H6133" s="6">
        <v>19834.259999999998</v>
      </c>
      <c r="I6133" s="22">
        <v>0</v>
      </c>
      <c r="J6133" s="24">
        <f t="shared" si="285"/>
        <v>0</v>
      </c>
      <c r="K6133" s="25">
        <f t="shared" si="287"/>
        <v>1.0000000000000009</v>
      </c>
      <c r="L6133" s="27"/>
      <c r="M6133" s="28"/>
      <c r="N6133" s="28"/>
      <c r="O6133" s="20" t="s">
        <v>7530</v>
      </c>
      <c r="P6133" s="27" t="str">
        <f t="shared" si="286"/>
        <v>vermelho</v>
      </c>
    </row>
    <row r="6134" spans="1:16" ht="25.5">
      <c r="A6134" s="3" t="s">
        <v>6863</v>
      </c>
      <c r="B6134" s="3" t="s">
        <v>6864</v>
      </c>
      <c r="C6134" s="4">
        <v>273</v>
      </c>
      <c r="D6134" s="3" t="s">
        <v>149</v>
      </c>
      <c r="E6134" s="3" t="s">
        <v>10</v>
      </c>
      <c r="F6134" s="5">
        <v>228</v>
      </c>
      <c r="G6134" s="5">
        <v>0</v>
      </c>
      <c r="H6134" s="6">
        <v>10554.96</v>
      </c>
      <c r="I6134" s="22">
        <v>0</v>
      </c>
      <c r="J6134" s="24">
        <f t="shared" si="285"/>
        <v>0</v>
      </c>
      <c r="K6134" s="25">
        <f t="shared" si="287"/>
        <v>1.0000000000000009</v>
      </c>
      <c r="L6134" s="27"/>
      <c r="M6134" s="28"/>
      <c r="N6134" s="28"/>
      <c r="O6134" s="20" t="s">
        <v>7530</v>
      </c>
      <c r="P6134" s="27" t="str">
        <f t="shared" si="286"/>
        <v>vermelho</v>
      </c>
    </row>
    <row r="6135" spans="1:16">
      <c r="A6135" s="3" t="s">
        <v>6908</v>
      </c>
      <c r="B6135" s="3" t="s">
        <v>6909</v>
      </c>
      <c r="C6135" s="4">
        <v>264</v>
      </c>
      <c r="D6135" s="3" t="s">
        <v>40</v>
      </c>
      <c r="E6135" s="3" t="s">
        <v>10</v>
      </c>
      <c r="F6135" s="5">
        <v>288</v>
      </c>
      <c r="G6135" s="5">
        <v>0</v>
      </c>
      <c r="H6135" s="6">
        <v>16087.68</v>
      </c>
      <c r="I6135" s="22">
        <v>0</v>
      </c>
      <c r="J6135" s="24">
        <f t="shared" si="285"/>
        <v>0</v>
      </c>
      <c r="K6135" s="25">
        <f t="shared" si="287"/>
        <v>1.0000000000000009</v>
      </c>
      <c r="L6135" s="27"/>
      <c r="M6135" s="28"/>
      <c r="N6135" s="28"/>
      <c r="O6135" s="20">
        <v>1963.44</v>
      </c>
      <c r="P6135" s="27" t="str">
        <f t="shared" si="286"/>
        <v>vermelho</v>
      </c>
    </row>
    <row r="6136" spans="1:16" ht="25.5">
      <c r="A6136" s="3" t="s">
        <v>7016</v>
      </c>
      <c r="B6136" s="3" t="s">
        <v>7017</v>
      </c>
      <c r="C6136" s="4">
        <v>273</v>
      </c>
      <c r="D6136" s="3" t="s">
        <v>149</v>
      </c>
      <c r="E6136" s="3" t="s">
        <v>10</v>
      </c>
      <c r="F6136" s="5">
        <v>108</v>
      </c>
      <c r="G6136" s="5">
        <v>0</v>
      </c>
      <c r="H6136" s="6">
        <v>5554.2</v>
      </c>
      <c r="I6136" s="22">
        <v>0</v>
      </c>
      <c r="J6136" s="24">
        <f t="shared" si="285"/>
        <v>0</v>
      </c>
      <c r="K6136" s="25">
        <f t="shared" si="287"/>
        <v>1.0000000000000009</v>
      </c>
      <c r="L6136" s="27"/>
      <c r="M6136" s="28"/>
      <c r="N6136" s="28"/>
      <c r="O6136" s="20" t="s">
        <v>7530</v>
      </c>
      <c r="P6136" s="27" t="str">
        <f t="shared" si="286"/>
        <v>vermelho</v>
      </c>
    </row>
    <row r="6137" spans="1:16" ht="25.5">
      <c r="A6137" s="3" t="s">
        <v>7022</v>
      </c>
      <c r="B6137" s="3" t="s">
        <v>7023</v>
      </c>
      <c r="C6137" s="4">
        <v>240</v>
      </c>
      <c r="D6137" s="3" t="s">
        <v>69</v>
      </c>
      <c r="E6137" s="3" t="s">
        <v>16</v>
      </c>
      <c r="F6137" s="5">
        <v>162</v>
      </c>
      <c r="G6137" s="5">
        <v>0</v>
      </c>
      <c r="H6137" s="6">
        <v>8833.59</v>
      </c>
      <c r="I6137" s="22">
        <v>0</v>
      </c>
      <c r="J6137" s="24">
        <f t="shared" si="285"/>
        <v>0</v>
      </c>
      <c r="K6137" s="25">
        <f t="shared" si="287"/>
        <v>1.0000000000000009</v>
      </c>
      <c r="L6137" s="27"/>
      <c r="M6137" s="28"/>
      <c r="N6137" s="28"/>
      <c r="O6137" s="20">
        <v>9449.25</v>
      </c>
      <c r="P6137" s="27" t="str">
        <f t="shared" si="286"/>
        <v>vermelho</v>
      </c>
    </row>
    <row r="6138" spans="1:16" ht="25.5">
      <c r="A6138" s="3" t="s">
        <v>7030</v>
      </c>
      <c r="B6138" s="3" t="s">
        <v>7031</v>
      </c>
      <c r="C6138" s="4">
        <v>296</v>
      </c>
      <c r="D6138" s="3" t="s">
        <v>282</v>
      </c>
      <c r="E6138" s="3" t="s">
        <v>10</v>
      </c>
      <c r="F6138" s="5">
        <v>0</v>
      </c>
      <c r="G6138" s="5">
        <v>0</v>
      </c>
      <c r="H6138" s="6">
        <v>0</v>
      </c>
      <c r="I6138" s="22">
        <v>0</v>
      </c>
      <c r="J6138" s="24">
        <f t="shared" si="285"/>
        <v>0</v>
      </c>
      <c r="K6138" s="25">
        <f t="shared" si="287"/>
        <v>1.0000000000000009</v>
      </c>
      <c r="L6138" s="27"/>
      <c r="M6138" s="28"/>
      <c r="N6138" s="28"/>
      <c r="O6138" s="20" t="s">
        <v>7530</v>
      </c>
      <c r="P6138" s="27" t="str">
        <f t="shared" si="286"/>
        <v>vermelho</v>
      </c>
    </row>
    <row r="6139" spans="1:16" ht="25.5">
      <c r="A6139" s="3" t="s">
        <v>7053</v>
      </c>
      <c r="B6139" s="3" t="s">
        <v>7054</v>
      </c>
      <c r="C6139" s="4">
        <v>310</v>
      </c>
      <c r="D6139" s="3" t="s">
        <v>2523</v>
      </c>
      <c r="E6139" s="3" t="s">
        <v>13</v>
      </c>
      <c r="F6139" s="5">
        <v>0</v>
      </c>
      <c r="G6139" s="5">
        <v>0</v>
      </c>
      <c r="H6139" s="6">
        <v>0</v>
      </c>
      <c r="I6139" s="22">
        <v>0</v>
      </c>
      <c r="J6139" s="24">
        <f t="shared" si="285"/>
        <v>0</v>
      </c>
      <c r="K6139" s="25">
        <f t="shared" si="287"/>
        <v>1.0000000000000009</v>
      </c>
      <c r="L6139" s="27"/>
      <c r="M6139" s="28"/>
      <c r="N6139" s="28"/>
      <c r="O6139" s="20">
        <v>0</v>
      </c>
      <c r="P6139" s="27" t="str">
        <f t="shared" si="286"/>
        <v>vermelho</v>
      </c>
    </row>
    <row r="6140" spans="1:16" ht="25.5">
      <c r="A6140" s="3" t="s">
        <v>7053</v>
      </c>
      <c r="B6140" s="3" t="s">
        <v>7054</v>
      </c>
      <c r="C6140" s="4">
        <v>163</v>
      </c>
      <c r="D6140" s="3" t="s">
        <v>7055</v>
      </c>
      <c r="E6140" s="3" t="s">
        <v>41</v>
      </c>
      <c r="F6140" s="5">
        <v>0</v>
      </c>
      <c r="G6140" s="5">
        <v>0</v>
      </c>
      <c r="H6140" s="6">
        <v>0</v>
      </c>
      <c r="I6140" s="22">
        <v>0</v>
      </c>
      <c r="J6140" s="24">
        <f t="shared" si="285"/>
        <v>0</v>
      </c>
      <c r="K6140" s="25">
        <f t="shared" si="287"/>
        <v>1.0000000000000009</v>
      </c>
      <c r="L6140" s="27"/>
      <c r="M6140" s="28"/>
      <c r="N6140" s="28"/>
      <c r="O6140" s="20">
        <v>0</v>
      </c>
      <c r="P6140" s="27" t="str">
        <f t="shared" si="286"/>
        <v>vermelho</v>
      </c>
    </row>
    <row r="6141" spans="1:16" ht="25.5">
      <c r="A6141" s="3" t="s">
        <v>7071</v>
      </c>
      <c r="B6141" s="3" t="s">
        <v>7072</v>
      </c>
      <c r="C6141" s="4">
        <v>273</v>
      </c>
      <c r="D6141" s="3" t="s">
        <v>149</v>
      </c>
      <c r="E6141" s="3" t="s">
        <v>10</v>
      </c>
      <c r="F6141" s="5">
        <v>216</v>
      </c>
      <c r="G6141" s="5">
        <v>0</v>
      </c>
      <c r="H6141" s="6">
        <v>10682.46</v>
      </c>
      <c r="I6141" s="22">
        <v>0</v>
      </c>
      <c r="J6141" s="24">
        <f t="shared" si="285"/>
        <v>0</v>
      </c>
      <c r="K6141" s="25">
        <f t="shared" si="287"/>
        <v>1.0000000000000009</v>
      </c>
      <c r="L6141" s="27"/>
      <c r="M6141" s="28"/>
      <c r="N6141" s="28"/>
      <c r="O6141" s="20" t="s">
        <v>7530</v>
      </c>
      <c r="P6141" s="27" t="str">
        <f t="shared" si="286"/>
        <v>vermelho</v>
      </c>
    </row>
    <row r="6142" spans="1:16" ht="25.5">
      <c r="A6142" s="3" t="s">
        <v>7077</v>
      </c>
      <c r="B6142" s="3" t="s">
        <v>7078</v>
      </c>
      <c r="C6142" s="4">
        <v>299</v>
      </c>
      <c r="D6142" s="3" t="s">
        <v>111</v>
      </c>
      <c r="E6142" s="3" t="s">
        <v>49</v>
      </c>
      <c r="F6142" s="5">
        <v>138</v>
      </c>
      <c r="G6142" s="5">
        <v>0</v>
      </c>
      <c r="H6142" s="6">
        <v>7856.8559999999998</v>
      </c>
      <c r="I6142" s="22">
        <v>0</v>
      </c>
      <c r="J6142" s="24">
        <f t="shared" si="285"/>
        <v>0</v>
      </c>
      <c r="K6142" s="25">
        <f t="shared" si="287"/>
        <v>1.0000000000000009</v>
      </c>
      <c r="L6142" s="27"/>
      <c r="M6142" s="28"/>
      <c r="N6142" s="28"/>
      <c r="O6142" s="20" t="s">
        <v>7530</v>
      </c>
      <c r="P6142" s="27" t="str">
        <f t="shared" si="286"/>
        <v>vermelho</v>
      </c>
    </row>
    <row r="6143" spans="1:16" ht="25.5">
      <c r="A6143" s="3" t="s">
        <v>7095</v>
      </c>
      <c r="B6143" s="3" t="s">
        <v>7096</v>
      </c>
      <c r="C6143" s="4">
        <v>30</v>
      </c>
      <c r="D6143" s="3" t="s">
        <v>4121</v>
      </c>
      <c r="E6143" s="3" t="s">
        <v>7</v>
      </c>
      <c r="F6143" s="5">
        <v>5460</v>
      </c>
      <c r="G6143" s="5">
        <v>0</v>
      </c>
      <c r="H6143" s="6">
        <v>211264.44</v>
      </c>
      <c r="I6143" s="22">
        <v>0</v>
      </c>
      <c r="J6143" s="24">
        <f t="shared" si="285"/>
        <v>0</v>
      </c>
      <c r="K6143" s="25">
        <f t="shared" si="287"/>
        <v>1.0000000000000009</v>
      </c>
      <c r="L6143" s="27"/>
      <c r="M6143" s="28"/>
      <c r="N6143" s="28"/>
      <c r="O6143" s="20" t="s">
        <v>7530</v>
      </c>
      <c r="P6143" s="27" t="str">
        <f t="shared" si="286"/>
        <v>vermelho</v>
      </c>
    </row>
    <row r="6144" spans="1:16" ht="25.5">
      <c r="A6144" s="3" t="s">
        <v>7095</v>
      </c>
      <c r="B6144" s="3" t="s">
        <v>7096</v>
      </c>
      <c r="C6144" s="4">
        <v>30</v>
      </c>
      <c r="D6144" s="3" t="s">
        <v>4121</v>
      </c>
      <c r="E6144" s="3" t="s">
        <v>13</v>
      </c>
      <c r="F6144" s="5">
        <v>0</v>
      </c>
      <c r="G6144" s="5">
        <v>0</v>
      </c>
      <c r="H6144" s="6">
        <v>0</v>
      </c>
      <c r="I6144" s="22">
        <v>0</v>
      </c>
      <c r="J6144" s="24">
        <f t="shared" si="285"/>
        <v>0</v>
      </c>
      <c r="K6144" s="25">
        <f t="shared" si="287"/>
        <v>1.0000000000000009</v>
      </c>
      <c r="L6144" s="27"/>
      <c r="M6144" s="28"/>
      <c r="N6144" s="28"/>
      <c r="O6144" s="20" t="s">
        <v>7530</v>
      </c>
      <c r="P6144" s="27" t="str">
        <f t="shared" si="286"/>
        <v>vermelho</v>
      </c>
    </row>
    <row r="6145" spans="1:16" ht="25.5">
      <c r="A6145" s="3" t="s">
        <v>7097</v>
      </c>
      <c r="B6145" s="3" t="s">
        <v>7098</v>
      </c>
      <c r="C6145" s="4">
        <v>328</v>
      </c>
      <c r="D6145" s="3" t="s">
        <v>215</v>
      </c>
      <c r="E6145" s="3" t="s">
        <v>41</v>
      </c>
      <c r="F6145" s="5">
        <v>201</v>
      </c>
      <c r="G6145" s="5">
        <v>0</v>
      </c>
      <c r="H6145" s="6">
        <v>10623.99</v>
      </c>
      <c r="I6145" s="22">
        <v>0</v>
      </c>
      <c r="J6145" s="24">
        <f t="shared" si="285"/>
        <v>0</v>
      </c>
      <c r="K6145" s="25">
        <f t="shared" si="287"/>
        <v>1.0000000000000009</v>
      </c>
      <c r="L6145" s="27"/>
      <c r="M6145" s="28"/>
      <c r="N6145" s="28"/>
      <c r="O6145" s="20" t="s">
        <v>7530</v>
      </c>
      <c r="P6145" s="27" t="str">
        <f t="shared" si="286"/>
        <v>vermelho</v>
      </c>
    </row>
    <row r="6146" spans="1:16" ht="25.5">
      <c r="A6146" s="3" t="s">
        <v>7099</v>
      </c>
      <c r="B6146" s="3" t="s">
        <v>7100</v>
      </c>
      <c r="C6146" s="4">
        <v>93</v>
      </c>
      <c r="D6146" s="3" t="s">
        <v>20</v>
      </c>
      <c r="E6146" s="3" t="s">
        <v>7</v>
      </c>
      <c r="F6146" s="5">
        <v>132</v>
      </c>
      <c r="G6146" s="5">
        <v>0</v>
      </c>
      <c r="H6146" s="6">
        <v>7816.2</v>
      </c>
      <c r="I6146" s="22">
        <v>0</v>
      </c>
      <c r="J6146" s="24">
        <f t="shared" si="285"/>
        <v>0</v>
      </c>
      <c r="K6146" s="25">
        <f t="shared" si="287"/>
        <v>1.0000000000000009</v>
      </c>
      <c r="L6146" s="27"/>
      <c r="M6146" s="28"/>
      <c r="N6146" s="28"/>
      <c r="O6146" s="20" t="s">
        <v>7530</v>
      </c>
      <c r="P6146" s="27" t="str">
        <f t="shared" si="286"/>
        <v>vermelho</v>
      </c>
    </row>
    <row r="6147" spans="1:16" ht="25.5">
      <c r="A6147" s="3" t="s">
        <v>7101</v>
      </c>
      <c r="B6147" s="3" t="s">
        <v>7102</v>
      </c>
      <c r="C6147" s="4">
        <v>39</v>
      </c>
      <c r="D6147" s="3" t="s">
        <v>26</v>
      </c>
      <c r="E6147" s="3" t="s">
        <v>13</v>
      </c>
      <c r="F6147" s="5">
        <v>144</v>
      </c>
      <c r="G6147" s="5">
        <v>0</v>
      </c>
      <c r="H6147" s="6">
        <v>6344.7839999999997</v>
      </c>
      <c r="I6147" s="22">
        <v>0</v>
      </c>
      <c r="J6147" s="24">
        <f t="shared" ref="J6147:J6210" si="288">I6147/$I$6364</f>
        <v>0</v>
      </c>
      <c r="K6147" s="25">
        <f t="shared" si="287"/>
        <v>1.0000000000000009</v>
      </c>
      <c r="L6147" s="27"/>
      <c r="M6147" s="28"/>
      <c r="N6147" s="28"/>
      <c r="O6147" s="20" t="s">
        <v>7530</v>
      </c>
      <c r="P6147" s="27" t="str">
        <f t="shared" ref="P6147:P6210" si="289">IF(O6147&lt;=0,"vermelho",IFERROR(IF(O6147/I6147&lt;=0.5098,"amarelo",IF(O6147/I6147&lt;1,"laranja","verde")),"vermelho"))</f>
        <v>vermelho</v>
      </c>
    </row>
    <row r="6148" spans="1:16">
      <c r="A6148" s="3" t="s">
        <v>7103</v>
      </c>
      <c r="B6148" s="3" t="s">
        <v>7104</v>
      </c>
      <c r="C6148" s="4">
        <v>15</v>
      </c>
      <c r="D6148" s="3" t="s">
        <v>18</v>
      </c>
      <c r="E6148" s="3" t="s">
        <v>16</v>
      </c>
      <c r="F6148" s="5">
        <v>504</v>
      </c>
      <c r="G6148" s="5">
        <v>0</v>
      </c>
      <c r="H6148" s="6">
        <v>25145.279999999999</v>
      </c>
      <c r="I6148" s="22">
        <v>0</v>
      </c>
      <c r="J6148" s="24">
        <f t="shared" si="288"/>
        <v>0</v>
      </c>
      <c r="K6148" s="25">
        <f t="shared" ref="K6148:K6211" si="290">J6148+K6147</f>
        <v>1.0000000000000009</v>
      </c>
      <c r="L6148" s="27"/>
      <c r="M6148" s="28"/>
      <c r="N6148" s="28"/>
      <c r="O6148" s="20">
        <v>9717.84</v>
      </c>
      <c r="P6148" s="27" t="str">
        <f t="shared" si="289"/>
        <v>vermelho</v>
      </c>
    </row>
    <row r="6149" spans="1:16" ht="25.5">
      <c r="A6149" s="3" t="s">
        <v>7105</v>
      </c>
      <c r="B6149" s="3" t="s">
        <v>7106</v>
      </c>
      <c r="C6149" s="4">
        <v>93</v>
      </c>
      <c r="D6149" s="3" t="s">
        <v>20</v>
      </c>
      <c r="E6149" s="3" t="s">
        <v>7</v>
      </c>
      <c r="F6149" s="5">
        <v>84</v>
      </c>
      <c r="G6149" s="5">
        <v>0</v>
      </c>
      <c r="H6149" s="6">
        <v>4633.4399999999996</v>
      </c>
      <c r="I6149" s="22">
        <v>0</v>
      </c>
      <c r="J6149" s="24">
        <f t="shared" si="288"/>
        <v>0</v>
      </c>
      <c r="K6149" s="25">
        <f t="shared" si="290"/>
        <v>1.0000000000000009</v>
      </c>
      <c r="L6149" s="27"/>
      <c r="M6149" s="28"/>
      <c r="N6149" s="28"/>
      <c r="O6149" s="20" t="s">
        <v>7530</v>
      </c>
      <c r="P6149" s="27" t="str">
        <f t="shared" si="289"/>
        <v>vermelho</v>
      </c>
    </row>
    <row r="6150" spans="1:16" ht="25.5">
      <c r="A6150" s="3" t="s">
        <v>7107</v>
      </c>
      <c r="B6150" s="3" t="s">
        <v>7108</v>
      </c>
      <c r="C6150" s="4">
        <v>317</v>
      </c>
      <c r="D6150" s="3" t="s">
        <v>78</v>
      </c>
      <c r="E6150" s="3" t="s">
        <v>10</v>
      </c>
      <c r="F6150" s="5">
        <v>180</v>
      </c>
      <c r="G6150" s="5">
        <v>0</v>
      </c>
      <c r="H6150" s="6">
        <v>9597</v>
      </c>
      <c r="I6150" s="22">
        <v>0</v>
      </c>
      <c r="J6150" s="24">
        <f t="shared" si="288"/>
        <v>0</v>
      </c>
      <c r="K6150" s="25">
        <f t="shared" si="290"/>
        <v>1.0000000000000009</v>
      </c>
      <c r="L6150" s="27"/>
      <c r="M6150" s="28"/>
      <c r="N6150" s="28"/>
      <c r="O6150" s="20" t="s">
        <v>7530</v>
      </c>
      <c r="P6150" s="27" t="str">
        <f t="shared" si="289"/>
        <v>vermelho</v>
      </c>
    </row>
    <row r="6151" spans="1:16" ht="38.25">
      <c r="A6151" s="3" t="s">
        <v>7109</v>
      </c>
      <c r="B6151" s="3" t="s">
        <v>7110</v>
      </c>
      <c r="C6151" s="4">
        <v>11</v>
      </c>
      <c r="D6151" s="3" t="s">
        <v>61</v>
      </c>
      <c r="E6151" s="3" t="s">
        <v>10</v>
      </c>
      <c r="F6151" s="5">
        <v>180</v>
      </c>
      <c r="G6151" s="5">
        <v>0</v>
      </c>
      <c r="H6151" s="6">
        <v>10006.56</v>
      </c>
      <c r="I6151" s="22">
        <v>0</v>
      </c>
      <c r="J6151" s="24">
        <f t="shared" si="288"/>
        <v>0</v>
      </c>
      <c r="K6151" s="25">
        <f t="shared" si="290"/>
        <v>1.0000000000000009</v>
      </c>
      <c r="L6151" s="27"/>
      <c r="M6151" s="28"/>
      <c r="N6151" s="28"/>
      <c r="O6151" s="20" t="s">
        <v>7530</v>
      </c>
      <c r="P6151" s="27" t="str">
        <f t="shared" si="289"/>
        <v>vermelho</v>
      </c>
    </row>
    <row r="6152" spans="1:16" ht="38.25">
      <c r="A6152" s="3" t="s">
        <v>7111</v>
      </c>
      <c r="B6152" s="3" t="s">
        <v>7112</v>
      </c>
      <c r="C6152" s="4">
        <v>11</v>
      </c>
      <c r="D6152" s="3" t="s">
        <v>61</v>
      </c>
      <c r="E6152" s="3" t="s">
        <v>10</v>
      </c>
      <c r="F6152" s="5">
        <v>288</v>
      </c>
      <c r="G6152" s="5">
        <v>0</v>
      </c>
      <c r="H6152" s="6">
        <v>14867.64</v>
      </c>
      <c r="I6152" s="22">
        <v>0</v>
      </c>
      <c r="J6152" s="24">
        <f t="shared" si="288"/>
        <v>0</v>
      </c>
      <c r="K6152" s="25">
        <f t="shared" si="290"/>
        <v>1.0000000000000009</v>
      </c>
      <c r="L6152" s="27"/>
      <c r="M6152" s="28"/>
      <c r="N6152" s="28"/>
      <c r="O6152" s="20" t="s">
        <v>7530</v>
      </c>
      <c r="P6152" s="27" t="str">
        <f t="shared" si="289"/>
        <v>vermelho</v>
      </c>
    </row>
    <row r="6153" spans="1:16" ht="25.5">
      <c r="A6153" s="3" t="s">
        <v>7113</v>
      </c>
      <c r="B6153" s="3" t="s">
        <v>7114</v>
      </c>
      <c r="C6153" s="4">
        <v>23</v>
      </c>
      <c r="D6153" s="3" t="s">
        <v>87</v>
      </c>
      <c r="E6153" s="3" t="s">
        <v>7</v>
      </c>
      <c r="F6153" s="5">
        <v>96</v>
      </c>
      <c r="G6153" s="5">
        <v>0</v>
      </c>
      <c r="H6153" s="6">
        <v>4586.4359999999997</v>
      </c>
      <c r="I6153" s="22">
        <v>0</v>
      </c>
      <c r="J6153" s="24">
        <f t="shared" si="288"/>
        <v>0</v>
      </c>
      <c r="K6153" s="25">
        <f t="shared" si="290"/>
        <v>1.0000000000000009</v>
      </c>
      <c r="L6153" s="27"/>
      <c r="M6153" s="28"/>
      <c r="N6153" s="28"/>
      <c r="O6153" s="20" t="s">
        <v>7530</v>
      </c>
      <c r="P6153" s="27" t="str">
        <f t="shared" si="289"/>
        <v>vermelho</v>
      </c>
    </row>
    <row r="6154" spans="1:16" ht="25.5">
      <c r="A6154" s="3" t="s">
        <v>7115</v>
      </c>
      <c r="B6154" s="3" t="s">
        <v>7116</v>
      </c>
      <c r="C6154" s="4">
        <v>74</v>
      </c>
      <c r="D6154" s="3" t="s">
        <v>6</v>
      </c>
      <c r="E6154" s="3" t="s">
        <v>7</v>
      </c>
      <c r="F6154" s="5">
        <v>48</v>
      </c>
      <c r="G6154" s="5">
        <v>0</v>
      </c>
      <c r="H6154" s="6">
        <v>3095.52</v>
      </c>
      <c r="I6154" s="22">
        <v>0</v>
      </c>
      <c r="J6154" s="24">
        <f t="shared" si="288"/>
        <v>0</v>
      </c>
      <c r="K6154" s="25">
        <f t="shared" si="290"/>
        <v>1.0000000000000009</v>
      </c>
      <c r="L6154" s="27"/>
      <c r="M6154" s="28"/>
      <c r="N6154" s="28"/>
      <c r="O6154" s="20" t="s">
        <v>7530</v>
      </c>
      <c r="P6154" s="27" t="str">
        <f t="shared" si="289"/>
        <v>vermelho</v>
      </c>
    </row>
    <row r="6155" spans="1:16" ht="38.25">
      <c r="A6155" s="3" t="s">
        <v>7117</v>
      </c>
      <c r="B6155" s="3" t="s">
        <v>7118</v>
      </c>
      <c r="C6155" s="4">
        <v>301</v>
      </c>
      <c r="D6155" s="3" t="s">
        <v>519</v>
      </c>
      <c r="E6155" s="3" t="s">
        <v>16</v>
      </c>
      <c r="F6155" s="5">
        <v>663</v>
      </c>
      <c r="G6155" s="5">
        <v>0</v>
      </c>
      <c r="H6155" s="6">
        <v>38222.19</v>
      </c>
      <c r="I6155" s="22">
        <v>0</v>
      </c>
      <c r="J6155" s="24">
        <f t="shared" si="288"/>
        <v>0</v>
      </c>
      <c r="K6155" s="25">
        <f t="shared" si="290"/>
        <v>1.0000000000000009</v>
      </c>
      <c r="L6155" s="27"/>
      <c r="M6155" s="28"/>
      <c r="N6155" s="28"/>
      <c r="O6155" s="20" t="s">
        <v>7530</v>
      </c>
      <c r="P6155" s="27" t="str">
        <f t="shared" si="289"/>
        <v>vermelho</v>
      </c>
    </row>
    <row r="6156" spans="1:16" ht="51">
      <c r="A6156" s="3" t="s">
        <v>7119</v>
      </c>
      <c r="B6156" s="3" t="s">
        <v>7120</v>
      </c>
      <c r="C6156" s="4">
        <v>282</v>
      </c>
      <c r="D6156" s="3" t="s">
        <v>12</v>
      </c>
      <c r="E6156" s="3" t="s">
        <v>13</v>
      </c>
      <c r="F6156" s="5">
        <v>264</v>
      </c>
      <c r="G6156" s="5">
        <v>0</v>
      </c>
      <c r="H6156" s="6">
        <v>16890.815999999999</v>
      </c>
      <c r="I6156" s="22">
        <v>0</v>
      </c>
      <c r="J6156" s="24">
        <f t="shared" si="288"/>
        <v>0</v>
      </c>
      <c r="K6156" s="25">
        <f t="shared" si="290"/>
        <v>1.0000000000000009</v>
      </c>
      <c r="L6156" s="27"/>
      <c r="M6156" s="28"/>
      <c r="N6156" s="28"/>
      <c r="O6156" s="20" t="s">
        <v>7530</v>
      </c>
      <c r="P6156" s="27" t="str">
        <f t="shared" si="289"/>
        <v>vermelho</v>
      </c>
    </row>
    <row r="6157" spans="1:16" ht="25.5">
      <c r="A6157" s="3" t="s">
        <v>7121</v>
      </c>
      <c r="B6157" s="3" t="s">
        <v>7122</v>
      </c>
      <c r="C6157" s="4">
        <v>317</v>
      </c>
      <c r="D6157" s="3" t="s">
        <v>78</v>
      </c>
      <c r="E6157" s="3" t="s">
        <v>10</v>
      </c>
      <c r="F6157" s="5">
        <v>132</v>
      </c>
      <c r="G6157" s="5">
        <v>0</v>
      </c>
      <c r="H6157" s="6">
        <v>7941.6</v>
      </c>
      <c r="I6157" s="22">
        <v>0</v>
      </c>
      <c r="J6157" s="24">
        <f t="shared" si="288"/>
        <v>0</v>
      </c>
      <c r="K6157" s="25">
        <f t="shared" si="290"/>
        <v>1.0000000000000009</v>
      </c>
      <c r="L6157" s="27"/>
      <c r="M6157" s="28"/>
      <c r="N6157" s="28"/>
      <c r="O6157" s="20" t="s">
        <v>7530</v>
      </c>
      <c r="P6157" s="27" t="str">
        <f t="shared" si="289"/>
        <v>vermelho</v>
      </c>
    </row>
    <row r="6158" spans="1:16" ht="38.25">
      <c r="A6158" s="3" t="s">
        <v>7123</v>
      </c>
      <c r="B6158" s="3" t="s">
        <v>7124</v>
      </c>
      <c r="C6158" s="4">
        <v>143</v>
      </c>
      <c r="D6158" s="3" t="s">
        <v>44</v>
      </c>
      <c r="E6158" s="3" t="s">
        <v>41</v>
      </c>
      <c r="F6158" s="5">
        <v>252</v>
      </c>
      <c r="G6158" s="5">
        <v>0</v>
      </c>
      <c r="H6158" s="6">
        <v>13986.147000000001</v>
      </c>
      <c r="I6158" s="22">
        <v>0</v>
      </c>
      <c r="J6158" s="24">
        <f t="shared" si="288"/>
        <v>0</v>
      </c>
      <c r="K6158" s="25">
        <f t="shared" si="290"/>
        <v>1.0000000000000009</v>
      </c>
      <c r="L6158" s="27"/>
      <c r="M6158" s="28"/>
      <c r="N6158" s="28"/>
      <c r="O6158" s="20" t="s">
        <v>7530</v>
      </c>
      <c r="P6158" s="27" t="str">
        <f t="shared" si="289"/>
        <v>vermelho</v>
      </c>
    </row>
    <row r="6159" spans="1:16">
      <c r="A6159" s="3" t="s">
        <v>7125</v>
      </c>
      <c r="B6159" s="3" t="s">
        <v>7126</v>
      </c>
      <c r="C6159" s="4">
        <v>167</v>
      </c>
      <c r="D6159" s="3" t="s">
        <v>251</v>
      </c>
      <c r="E6159" s="3" t="s">
        <v>49</v>
      </c>
      <c r="F6159" s="5">
        <v>303</v>
      </c>
      <c r="G6159" s="5">
        <v>0</v>
      </c>
      <c r="H6159" s="6">
        <v>13987.92</v>
      </c>
      <c r="I6159" s="22">
        <v>0</v>
      </c>
      <c r="J6159" s="24">
        <f t="shared" si="288"/>
        <v>0</v>
      </c>
      <c r="K6159" s="25">
        <f t="shared" si="290"/>
        <v>1.0000000000000009</v>
      </c>
      <c r="L6159" s="27"/>
      <c r="M6159" s="28"/>
      <c r="N6159" s="28"/>
      <c r="O6159" s="20" t="s">
        <v>7530</v>
      </c>
      <c r="P6159" s="27" t="str">
        <f t="shared" si="289"/>
        <v>vermelho</v>
      </c>
    </row>
    <row r="6160" spans="1:16" ht="25.5">
      <c r="A6160" s="3" t="s">
        <v>7127</v>
      </c>
      <c r="B6160" s="3" t="s">
        <v>7128</v>
      </c>
      <c r="C6160" s="4">
        <v>316</v>
      </c>
      <c r="D6160" s="3" t="s">
        <v>247</v>
      </c>
      <c r="E6160" s="3" t="s">
        <v>10</v>
      </c>
      <c r="F6160" s="5">
        <v>348</v>
      </c>
      <c r="G6160" s="5">
        <v>0</v>
      </c>
      <c r="H6160" s="6">
        <v>14435.28</v>
      </c>
      <c r="I6160" s="22">
        <v>0</v>
      </c>
      <c r="J6160" s="24">
        <f t="shared" si="288"/>
        <v>0</v>
      </c>
      <c r="K6160" s="25">
        <f t="shared" si="290"/>
        <v>1.0000000000000009</v>
      </c>
      <c r="L6160" s="27"/>
      <c r="M6160" s="28"/>
      <c r="N6160" s="28"/>
      <c r="O6160" s="20" t="s">
        <v>7530</v>
      </c>
      <c r="P6160" s="27" t="str">
        <f t="shared" si="289"/>
        <v>vermelho</v>
      </c>
    </row>
    <row r="6161" spans="1:16" ht="25.5">
      <c r="A6161" s="3" t="s">
        <v>7129</v>
      </c>
      <c r="B6161" s="3" t="s">
        <v>7130</v>
      </c>
      <c r="C6161" s="4">
        <v>61</v>
      </c>
      <c r="D6161" s="3" t="s">
        <v>48</v>
      </c>
      <c r="E6161" s="3" t="s">
        <v>49</v>
      </c>
      <c r="F6161" s="5">
        <v>312</v>
      </c>
      <c r="G6161" s="5">
        <v>0</v>
      </c>
      <c r="H6161" s="6">
        <v>16235.88</v>
      </c>
      <c r="I6161" s="22">
        <v>0</v>
      </c>
      <c r="J6161" s="24">
        <f t="shared" si="288"/>
        <v>0</v>
      </c>
      <c r="K6161" s="25">
        <f t="shared" si="290"/>
        <v>1.0000000000000009</v>
      </c>
      <c r="L6161" s="27"/>
      <c r="M6161" s="28"/>
      <c r="N6161" s="28"/>
      <c r="O6161" s="20" t="s">
        <v>7530</v>
      </c>
      <c r="P6161" s="27" t="str">
        <f t="shared" si="289"/>
        <v>vermelho</v>
      </c>
    </row>
    <row r="6162" spans="1:16" ht="38.25">
      <c r="A6162" s="3" t="s">
        <v>7131</v>
      </c>
      <c r="B6162" s="3" t="s">
        <v>7132</v>
      </c>
      <c r="C6162" s="4">
        <v>301</v>
      </c>
      <c r="D6162" s="3" t="s">
        <v>519</v>
      </c>
      <c r="E6162" s="3" t="s">
        <v>16</v>
      </c>
      <c r="F6162" s="5">
        <v>156</v>
      </c>
      <c r="G6162" s="5">
        <v>0</v>
      </c>
      <c r="H6162" s="6">
        <v>8747.73</v>
      </c>
      <c r="I6162" s="22">
        <v>0</v>
      </c>
      <c r="J6162" s="24">
        <f t="shared" si="288"/>
        <v>0</v>
      </c>
      <c r="K6162" s="25">
        <f t="shared" si="290"/>
        <v>1.0000000000000009</v>
      </c>
      <c r="L6162" s="27"/>
      <c r="M6162" s="28"/>
      <c r="N6162" s="28"/>
      <c r="O6162" s="20" t="s">
        <v>7530</v>
      </c>
      <c r="P6162" s="27" t="str">
        <f t="shared" si="289"/>
        <v>vermelho</v>
      </c>
    </row>
    <row r="6163" spans="1:16" ht="25.5">
      <c r="A6163" s="3" t="s">
        <v>7133</v>
      </c>
      <c r="B6163" s="3" t="s">
        <v>7134</v>
      </c>
      <c r="C6163" s="4">
        <v>328</v>
      </c>
      <c r="D6163" s="3" t="s">
        <v>215</v>
      </c>
      <c r="E6163" s="3" t="s">
        <v>41</v>
      </c>
      <c r="F6163" s="5">
        <v>204</v>
      </c>
      <c r="G6163" s="5">
        <v>0</v>
      </c>
      <c r="H6163" s="6">
        <v>10749.972</v>
      </c>
      <c r="I6163" s="22">
        <v>0</v>
      </c>
      <c r="J6163" s="24">
        <f t="shared" si="288"/>
        <v>0</v>
      </c>
      <c r="K6163" s="25">
        <f t="shared" si="290"/>
        <v>1.0000000000000009</v>
      </c>
      <c r="L6163" s="27"/>
      <c r="M6163" s="28"/>
      <c r="N6163" s="28"/>
      <c r="O6163" s="20" t="s">
        <v>7530</v>
      </c>
      <c r="P6163" s="27" t="str">
        <f t="shared" si="289"/>
        <v>vermelho</v>
      </c>
    </row>
    <row r="6164" spans="1:16" ht="38.25">
      <c r="A6164" s="3" t="s">
        <v>7135</v>
      </c>
      <c r="B6164" s="3" t="s">
        <v>7136</v>
      </c>
      <c r="C6164" s="4">
        <v>34</v>
      </c>
      <c r="D6164" s="3" t="s">
        <v>54</v>
      </c>
      <c r="E6164" s="3" t="s">
        <v>49</v>
      </c>
      <c r="F6164" s="5">
        <v>402</v>
      </c>
      <c r="G6164" s="5">
        <v>0</v>
      </c>
      <c r="H6164" s="6">
        <v>23882.16</v>
      </c>
      <c r="I6164" s="22">
        <v>0</v>
      </c>
      <c r="J6164" s="24">
        <f t="shared" si="288"/>
        <v>0</v>
      </c>
      <c r="K6164" s="25">
        <f t="shared" si="290"/>
        <v>1.0000000000000009</v>
      </c>
      <c r="L6164" s="27"/>
      <c r="M6164" s="28"/>
      <c r="N6164" s="28"/>
      <c r="O6164" s="20" t="s">
        <v>7530</v>
      </c>
      <c r="P6164" s="27" t="str">
        <f t="shared" si="289"/>
        <v>vermelho</v>
      </c>
    </row>
    <row r="6165" spans="1:16" ht="38.25">
      <c r="A6165" s="3" t="s">
        <v>7137</v>
      </c>
      <c r="B6165" s="3" t="s">
        <v>7138</v>
      </c>
      <c r="C6165" s="4">
        <v>11</v>
      </c>
      <c r="D6165" s="3" t="s">
        <v>61</v>
      </c>
      <c r="E6165" s="3" t="s">
        <v>10</v>
      </c>
      <c r="F6165" s="5">
        <v>120</v>
      </c>
      <c r="G6165" s="5">
        <v>0</v>
      </c>
      <c r="H6165" s="6">
        <v>7428.48</v>
      </c>
      <c r="I6165" s="22">
        <v>0</v>
      </c>
      <c r="J6165" s="24">
        <f t="shared" si="288"/>
        <v>0</v>
      </c>
      <c r="K6165" s="25">
        <f t="shared" si="290"/>
        <v>1.0000000000000009</v>
      </c>
      <c r="L6165" s="27"/>
      <c r="M6165" s="28"/>
      <c r="N6165" s="28"/>
      <c r="O6165" s="20" t="s">
        <v>7530</v>
      </c>
      <c r="P6165" s="27" t="str">
        <f t="shared" si="289"/>
        <v>vermelho</v>
      </c>
    </row>
    <row r="6166" spans="1:16" ht="25.5">
      <c r="A6166" s="3" t="s">
        <v>7139</v>
      </c>
      <c r="B6166" s="3" t="s">
        <v>7140</v>
      </c>
      <c r="C6166" s="4">
        <v>317</v>
      </c>
      <c r="D6166" s="3" t="s">
        <v>78</v>
      </c>
      <c r="E6166" s="3" t="s">
        <v>10</v>
      </c>
      <c r="F6166" s="5">
        <v>696</v>
      </c>
      <c r="G6166" s="5">
        <v>0</v>
      </c>
      <c r="H6166" s="6">
        <v>39002.94</v>
      </c>
      <c r="I6166" s="22">
        <v>0</v>
      </c>
      <c r="J6166" s="24">
        <f t="shared" si="288"/>
        <v>0</v>
      </c>
      <c r="K6166" s="25">
        <f t="shared" si="290"/>
        <v>1.0000000000000009</v>
      </c>
      <c r="L6166" s="27"/>
      <c r="M6166" s="28"/>
      <c r="N6166" s="28"/>
      <c r="O6166" s="20" t="s">
        <v>7530</v>
      </c>
      <c r="P6166" s="27" t="str">
        <f t="shared" si="289"/>
        <v>vermelho</v>
      </c>
    </row>
    <row r="6167" spans="1:16" ht="25.5">
      <c r="A6167" s="3" t="s">
        <v>7141</v>
      </c>
      <c r="B6167" s="3" t="s">
        <v>7142</v>
      </c>
      <c r="C6167" s="4">
        <v>197</v>
      </c>
      <c r="D6167" s="3" t="s">
        <v>66</v>
      </c>
      <c r="E6167" s="3" t="s">
        <v>41</v>
      </c>
      <c r="F6167" s="5">
        <v>546</v>
      </c>
      <c r="G6167" s="5">
        <v>0</v>
      </c>
      <c r="H6167" s="6">
        <v>37306.019999999997</v>
      </c>
      <c r="I6167" s="22">
        <v>0</v>
      </c>
      <c r="J6167" s="24">
        <f t="shared" si="288"/>
        <v>0</v>
      </c>
      <c r="K6167" s="25">
        <f t="shared" si="290"/>
        <v>1.0000000000000009</v>
      </c>
      <c r="L6167" s="27"/>
      <c r="M6167" s="28"/>
      <c r="N6167" s="28"/>
      <c r="O6167" s="20" t="s">
        <v>7530</v>
      </c>
      <c r="P6167" s="27" t="str">
        <f t="shared" si="289"/>
        <v>vermelho</v>
      </c>
    </row>
    <row r="6168" spans="1:16" ht="25.5">
      <c r="A6168" s="3" t="s">
        <v>7143</v>
      </c>
      <c r="B6168" s="3" t="s">
        <v>7144</v>
      </c>
      <c r="C6168" s="4">
        <v>266</v>
      </c>
      <c r="D6168" s="3" t="s">
        <v>80</v>
      </c>
      <c r="E6168" s="3" t="s">
        <v>10</v>
      </c>
      <c r="F6168" s="5">
        <v>264</v>
      </c>
      <c r="G6168" s="5">
        <v>0</v>
      </c>
      <c r="H6168" s="6">
        <v>16358.88</v>
      </c>
      <c r="I6168" s="22">
        <v>0</v>
      </c>
      <c r="J6168" s="24">
        <f t="shared" si="288"/>
        <v>0</v>
      </c>
      <c r="K6168" s="25">
        <f t="shared" si="290"/>
        <v>1.0000000000000009</v>
      </c>
      <c r="L6168" s="27"/>
      <c r="M6168" s="28"/>
      <c r="N6168" s="28"/>
      <c r="O6168" s="20" t="s">
        <v>7530</v>
      </c>
      <c r="P6168" s="27" t="str">
        <f t="shared" si="289"/>
        <v>vermelho</v>
      </c>
    </row>
    <row r="6169" spans="1:16" ht="25.5">
      <c r="A6169" s="3" t="s">
        <v>7145</v>
      </c>
      <c r="B6169" s="3" t="s">
        <v>7146</v>
      </c>
      <c r="C6169" s="4">
        <v>197</v>
      </c>
      <c r="D6169" s="3" t="s">
        <v>66</v>
      </c>
      <c r="E6169" s="3" t="s">
        <v>41</v>
      </c>
      <c r="F6169" s="5">
        <v>60</v>
      </c>
      <c r="G6169" s="5">
        <v>0</v>
      </c>
      <c r="H6169" s="6">
        <v>2531.712</v>
      </c>
      <c r="I6169" s="22">
        <v>0</v>
      </c>
      <c r="J6169" s="24">
        <f t="shared" si="288"/>
        <v>0</v>
      </c>
      <c r="K6169" s="25">
        <f t="shared" si="290"/>
        <v>1.0000000000000009</v>
      </c>
      <c r="L6169" s="27"/>
      <c r="M6169" s="28"/>
      <c r="N6169" s="28"/>
      <c r="O6169" s="20" t="s">
        <v>7530</v>
      </c>
      <c r="P6169" s="27" t="str">
        <f t="shared" si="289"/>
        <v>vermelho</v>
      </c>
    </row>
    <row r="6170" spans="1:16" ht="25.5">
      <c r="A6170" s="3" t="s">
        <v>7147</v>
      </c>
      <c r="B6170" s="3" t="s">
        <v>7148</v>
      </c>
      <c r="C6170" s="4">
        <v>178</v>
      </c>
      <c r="D6170" s="3" t="s">
        <v>74</v>
      </c>
      <c r="E6170" s="3" t="s">
        <v>7</v>
      </c>
      <c r="F6170" s="5">
        <v>192</v>
      </c>
      <c r="G6170" s="5">
        <v>0</v>
      </c>
      <c r="H6170" s="6">
        <v>11458.368</v>
      </c>
      <c r="I6170" s="22">
        <v>0</v>
      </c>
      <c r="J6170" s="24">
        <f t="shared" si="288"/>
        <v>0</v>
      </c>
      <c r="K6170" s="25">
        <f t="shared" si="290"/>
        <v>1.0000000000000009</v>
      </c>
      <c r="L6170" s="27"/>
      <c r="M6170" s="28"/>
      <c r="N6170" s="28"/>
      <c r="O6170" s="20" t="s">
        <v>7530</v>
      </c>
      <c r="P6170" s="27" t="str">
        <f t="shared" si="289"/>
        <v>vermelho</v>
      </c>
    </row>
    <row r="6171" spans="1:16" ht="25.5">
      <c r="A6171" s="3" t="s">
        <v>7149</v>
      </c>
      <c r="B6171" s="3" t="s">
        <v>7150</v>
      </c>
      <c r="C6171" s="4">
        <v>337</v>
      </c>
      <c r="D6171" s="3" t="s">
        <v>202</v>
      </c>
      <c r="E6171" s="3" t="s">
        <v>16</v>
      </c>
      <c r="F6171" s="5">
        <v>2760</v>
      </c>
      <c r="G6171" s="5">
        <v>0</v>
      </c>
      <c r="H6171" s="6">
        <v>133730.51999999999</v>
      </c>
      <c r="I6171" s="22">
        <v>0</v>
      </c>
      <c r="J6171" s="24">
        <f t="shared" si="288"/>
        <v>0</v>
      </c>
      <c r="K6171" s="25">
        <f t="shared" si="290"/>
        <v>1.0000000000000009</v>
      </c>
      <c r="L6171" s="27"/>
      <c r="M6171" s="28"/>
      <c r="N6171" s="28"/>
      <c r="O6171" s="20" t="s">
        <v>7530</v>
      </c>
      <c r="P6171" s="27" t="str">
        <f t="shared" si="289"/>
        <v>vermelho</v>
      </c>
    </row>
    <row r="6172" spans="1:16" ht="38.25">
      <c r="A6172" s="3" t="s">
        <v>7151</v>
      </c>
      <c r="B6172" s="3" t="s">
        <v>6300</v>
      </c>
      <c r="C6172" s="4">
        <v>371</v>
      </c>
      <c r="D6172" s="3" t="s">
        <v>82</v>
      </c>
      <c r="E6172" s="3" t="s">
        <v>49</v>
      </c>
      <c r="F6172" s="5">
        <v>120</v>
      </c>
      <c r="G6172" s="5">
        <v>0</v>
      </c>
      <c r="H6172" s="6">
        <v>6052.32</v>
      </c>
      <c r="I6172" s="22">
        <v>0</v>
      </c>
      <c r="J6172" s="24">
        <f t="shared" si="288"/>
        <v>0</v>
      </c>
      <c r="K6172" s="25">
        <f t="shared" si="290"/>
        <v>1.0000000000000009</v>
      </c>
      <c r="L6172" s="27"/>
      <c r="M6172" s="28"/>
      <c r="N6172" s="28"/>
      <c r="O6172" s="20" t="s">
        <v>7530</v>
      </c>
      <c r="P6172" s="27" t="str">
        <f t="shared" si="289"/>
        <v>vermelho</v>
      </c>
    </row>
    <row r="6173" spans="1:16" ht="38.25">
      <c r="A6173" s="3" t="s">
        <v>7152</v>
      </c>
      <c r="B6173" s="3" t="s">
        <v>7153</v>
      </c>
      <c r="C6173" s="4">
        <v>34</v>
      </c>
      <c r="D6173" s="3" t="s">
        <v>54</v>
      </c>
      <c r="E6173" s="3" t="s">
        <v>49</v>
      </c>
      <c r="F6173" s="5">
        <v>168</v>
      </c>
      <c r="G6173" s="5">
        <v>0</v>
      </c>
      <c r="H6173" s="6">
        <v>10186.32</v>
      </c>
      <c r="I6173" s="22">
        <v>0</v>
      </c>
      <c r="J6173" s="24">
        <f t="shared" si="288"/>
        <v>0</v>
      </c>
      <c r="K6173" s="25">
        <f t="shared" si="290"/>
        <v>1.0000000000000009</v>
      </c>
      <c r="L6173" s="27"/>
      <c r="M6173" s="28"/>
      <c r="N6173" s="28"/>
      <c r="O6173" s="20" t="s">
        <v>7530</v>
      </c>
      <c r="P6173" s="27" t="str">
        <f t="shared" si="289"/>
        <v>vermelho</v>
      </c>
    </row>
    <row r="6174" spans="1:16" ht="25.5">
      <c r="A6174" s="3" t="s">
        <v>7154</v>
      </c>
      <c r="B6174" s="3" t="s">
        <v>7155</v>
      </c>
      <c r="C6174" s="4">
        <v>297</v>
      </c>
      <c r="D6174" s="3" t="s">
        <v>115</v>
      </c>
      <c r="E6174" s="3" t="s">
        <v>41</v>
      </c>
      <c r="F6174" s="5">
        <v>492</v>
      </c>
      <c r="G6174" s="5">
        <v>0</v>
      </c>
      <c r="H6174" s="6">
        <v>21652.560000000001</v>
      </c>
      <c r="I6174" s="22">
        <v>0</v>
      </c>
      <c r="J6174" s="24">
        <f t="shared" si="288"/>
        <v>0</v>
      </c>
      <c r="K6174" s="25">
        <f t="shared" si="290"/>
        <v>1.0000000000000009</v>
      </c>
      <c r="L6174" s="27"/>
      <c r="M6174" s="28"/>
      <c r="N6174" s="28"/>
      <c r="O6174" s="20" t="s">
        <v>7530</v>
      </c>
      <c r="P6174" s="27" t="str">
        <f t="shared" si="289"/>
        <v>vermelho</v>
      </c>
    </row>
    <row r="6175" spans="1:16" ht="51">
      <c r="A6175" s="3" t="s">
        <v>7156</v>
      </c>
      <c r="B6175" s="3" t="s">
        <v>7157</v>
      </c>
      <c r="C6175" s="4">
        <v>282</v>
      </c>
      <c r="D6175" s="3" t="s">
        <v>12</v>
      </c>
      <c r="E6175" s="3" t="s">
        <v>13</v>
      </c>
      <c r="F6175" s="5">
        <v>360</v>
      </c>
      <c r="G6175" s="5">
        <v>0</v>
      </c>
      <c r="H6175" s="6">
        <v>16116</v>
      </c>
      <c r="I6175" s="22">
        <v>0</v>
      </c>
      <c r="J6175" s="24">
        <f t="shared" si="288"/>
        <v>0</v>
      </c>
      <c r="K6175" s="25">
        <f t="shared" si="290"/>
        <v>1.0000000000000009</v>
      </c>
      <c r="L6175" s="27"/>
      <c r="M6175" s="28"/>
      <c r="N6175" s="28"/>
      <c r="O6175" s="20" t="s">
        <v>7530</v>
      </c>
      <c r="P6175" s="27" t="str">
        <f t="shared" si="289"/>
        <v>vermelho</v>
      </c>
    </row>
    <row r="6176" spans="1:16" ht="25.5">
      <c r="A6176" s="3" t="s">
        <v>7158</v>
      </c>
      <c r="B6176" s="3" t="s">
        <v>7159</v>
      </c>
      <c r="C6176" s="4">
        <v>39</v>
      </c>
      <c r="D6176" s="3" t="s">
        <v>26</v>
      </c>
      <c r="E6176" s="3" t="s">
        <v>13</v>
      </c>
      <c r="F6176" s="5">
        <v>648</v>
      </c>
      <c r="G6176" s="5">
        <v>0</v>
      </c>
      <c r="H6176" s="6">
        <v>24292.560000000001</v>
      </c>
      <c r="I6176" s="22">
        <v>0</v>
      </c>
      <c r="J6176" s="24">
        <f t="shared" si="288"/>
        <v>0</v>
      </c>
      <c r="K6176" s="25">
        <f t="shared" si="290"/>
        <v>1.0000000000000009</v>
      </c>
      <c r="L6176" s="27"/>
      <c r="M6176" s="28"/>
      <c r="N6176" s="28"/>
      <c r="O6176" s="20" t="s">
        <v>7530</v>
      </c>
      <c r="P6176" s="27" t="str">
        <f t="shared" si="289"/>
        <v>vermelho</v>
      </c>
    </row>
    <row r="6177" spans="1:16" ht="25.5">
      <c r="A6177" s="3" t="s">
        <v>7160</v>
      </c>
      <c r="B6177" s="3" t="s">
        <v>7161</v>
      </c>
      <c r="C6177" s="4">
        <v>197</v>
      </c>
      <c r="D6177" s="3" t="s">
        <v>66</v>
      </c>
      <c r="E6177" s="3" t="s">
        <v>41</v>
      </c>
      <c r="F6177" s="5">
        <v>72</v>
      </c>
      <c r="G6177" s="5">
        <v>0</v>
      </c>
      <c r="H6177" s="6">
        <v>3887.04</v>
      </c>
      <c r="I6177" s="22">
        <v>0</v>
      </c>
      <c r="J6177" s="24">
        <f t="shared" si="288"/>
        <v>0</v>
      </c>
      <c r="K6177" s="25">
        <f t="shared" si="290"/>
        <v>1.0000000000000009</v>
      </c>
      <c r="L6177" s="27"/>
      <c r="M6177" s="28"/>
      <c r="N6177" s="28"/>
      <c r="O6177" s="20" t="s">
        <v>7530</v>
      </c>
      <c r="P6177" s="27" t="str">
        <f t="shared" si="289"/>
        <v>vermelho</v>
      </c>
    </row>
    <row r="6178" spans="1:16">
      <c r="A6178" s="3" t="s">
        <v>7162</v>
      </c>
      <c r="B6178" s="3" t="s">
        <v>7163</v>
      </c>
      <c r="C6178" s="4">
        <v>167</v>
      </c>
      <c r="D6178" s="3" t="s">
        <v>251</v>
      </c>
      <c r="E6178" s="3" t="s">
        <v>49</v>
      </c>
      <c r="F6178" s="5">
        <v>96</v>
      </c>
      <c r="G6178" s="5">
        <v>0</v>
      </c>
      <c r="H6178" s="6">
        <v>6224.16</v>
      </c>
      <c r="I6178" s="22">
        <v>0</v>
      </c>
      <c r="J6178" s="24">
        <f t="shared" si="288"/>
        <v>0</v>
      </c>
      <c r="K6178" s="25">
        <f t="shared" si="290"/>
        <v>1.0000000000000009</v>
      </c>
      <c r="L6178" s="27"/>
      <c r="M6178" s="28"/>
      <c r="N6178" s="28"/>
      <c r="O6178" s="20" t="s">
        <v>7530</v>
      </c>
      <c r="P6178" s="27" t="str">
        <f t="shared" si="289"/>
        <v>vermelho</v>
      </c>
    </row>
    <row r="6179" spans="1:16" ht="25.5">
      <c r="A6179" s="3" t="s">
        <v>7164</v>
      </c>
      <c r="B6179" s="3" t="s">
        <v>7165</v>
      </c>
      <c r="C6179" s="4">
        <v>178</v>
      </c>
      <c r="D6179" s="3" t="s">
        <v>74</v>
      </c>
      <c r="E6179" s="3" t="s">
        <v>7</v>
      </c>
      <c r="F6179" s="5">
        <v>1104</v>
      </c>
      <c r="G6179" s="5">
        <v>0</v>
      </c>
      <c r="H6179" s="6">
        <v>61028.28</v>
      </c>
      <c r="I6179" s="22">
        <v>0</v>
      </c>
      <c r="J6179" s="24">
        <f t="shared" si="288"/>
        <v>0</v>
      </c>
      <c r="K6179" s="25">
        <f t="shared" si="290"/>
        <v>1.0000000000000009</v>
      </c>
      <c r="L6179" s="27"/>
      <c r="M6179" s="28"/>
      <c r="N6179" s="28"/>
      <c r="O6179" s="20" t="s">
        <v>7530</v>
      </c>
      <c r="P6179" s="27" t="str">
        <f t="shared" si="289"/>
        <v>vermelho</v>
      </c>
    </row>
    <row r="6180" spans="1:16" ht="25.5">
      <c r="A6180" s="3" t="s">
        <v>7166</v>
      </c>
      <c r="B6180" s="3" t="s">
        <v>7167</v>
      </c>
      <c r="C6180" s="4">
        <v>316</v>
      </c>
      <c r="D6180" s="3" t="s">
        <v>247</v>
      </c>
      <c r="E6180" s="3" t="s">
        <v>10</v>
      </c>
      <c r="F6180" s="5">
        <v>1188</v>
      </c>
      <c r="G6180" s="5">
        <v>0</v>
      </c>
      <c r="H6180" s="6">
        <v>54773.508999999998</v>
      </c>
      <c r="I6180" s="22">
        <v>0</v>
      </c>
      <c r="J6180" s="24">
        <f t="shared" si="288"/>
        <v>0</v>
      </c>
      <c r="K6180" s="25">
        <f t="shared" si="290"/>
        <v>1.0000000000000009</v>
      </c>
      <c r="L6180" s="27"/>
      <c r="M6180" s="28"/>
      <c r="N6180" s="28"/>
      <c r="O6180" s="20" t="s">
        <v>7530</v>
      </c>
      <c r="P6180" s="27" t="str">
        <f t="shared" si="289"/>
        <v>vermelho</v>
      </c>
    </row>
    <row r="6181" spans="1:16" ht="25.5">
      <c r="A6181" s="3" t="s">
        <v>7168</v>
      </c>
      <c r="B6181" s="3" t="s">
        <v>7169</v>
      </c>
      <c r="C6181" s="4">
        <v>31</v>
      </c>
      <c r="D6181" s="3" t="s">
        <v>194</v>
      </c>
      <c r="E6181" s="3" t="s">
        <v>16</v>
      </c>
      <c r="F6181" s="5">
        <v>144</v>
      </c>
      <c r="G6181" s="5">
        <v>0</v>
      </c>
      <c r="H6181" s="6">
        <v>7605.12</v>
      </c>
      <c r="I6181" s="22">
        <v>0</v>
      </c>
      <c r="J6181" s="24">
        <f t="shared" si="288"/>
        <v>0</v>
      </c>
      <c r="K6181" s="25">
        <f t="shared" si="290"/>
        <v>1.0000000000000009</v>
      </c>
      <c r="L6181" s="27"/>
      <c r="M6181" s="28"/>
      <c r="N6181" s="28"/>
      <c r="O6181" s="20" t="s">
        <v>7530</v>
      </c>
      <c r="P6181" s="27" t="str">
        <f t="shared" si="289"/>
        <v>vermelho</v>
      </c>
    </row>
    <row r="6182" spans="1:16">
      <c r="A6182" s="3" t="s">
        <v>7170</v>
      </c>
      <c r="B6182" s="3" t="s">
        <v>7171</v>
      </c>
      <c r="C6182" s="4">
        <v>231</v>
      </c>
      <c r="D6182" s="3" t="s">
        <v>52</v>
      </c>
      <c r="E6182" s="3" t="s">
        <v>7</v>
      </c>
      <c r="F6182" s="5">
        <v>1212</v>
      </c>
      <c r="G6182" s="5">
        <v>0</v>
      </c>
      <c r="H6182" s="6">
        <v>73139.91</v>
      </c>
      <c r="I6182" s="22">
        <v>0</v>
      </c>
      <c r="J6182" s="24">
        <f t="shared" si="288"/>
        <v>0</v>
      </c>
      <c r="K6182" s="25">
        <f t="shared" si="290"/>
        <v>1.0000000000000009</v>
      </c>
      <c r="L6182" s="27"/>
      <c r="M6182" s="28"/>
      <c r="N6182" s="28"/>
      <c r="O6182" s="20" t="s">
        <v>7530</v>
      </c>
      <c r="P6182" s="27" t="str">
        <f t="shared" si="289"/>
        <v>vermelho</v>
      </c>
    </row>
    <row r="6183" spans="1:16" ht="25.5">
      <c r="A6183" s="3" t="s">
        <v>7172</v>
      </c>
      <c r="B6183" s="3" t="s">
        <v>7173</v>
      </c>
      <c r="C6183" s="4">
        <v>39</v>
      </c>
      <c r="D6183" s="3" t="s">
        <v>26</v>
      </c>
      <c r="E6183" s="3" t="s">
        <v>13</v>
      </c>
      <c r="F6183" s="5">
        <v>1386</v>
      </c>
      <c r="G6183" s="5">
        <v>0</v>
      </c>
      <c r="H6183" s="6">
        <v>85441.14</v>
      </c>
      <c r="I6183" s="22">
        <v>0</v>
      </c>
      <c r="J6183" s="24">
        <f t="shared" si="288"/>
        <v>0</v>
      </c>
      <c r="K6183" s="25">
        <f t="shared" si="290"/>
        <v>1.0000000000000009</v>
      </c>
      <c r="L6183" s="27"/>
      <c r="M6183" s="28"/>
      <c r="N6183" s="28"/>
      <c r="O6183" s="20" t="s">
        <v>7530</v>
      </c>
      <c r="P6183" s="27" t="str">
        <f t="shared" si="289"/>
        <v>vermelho</v>
      </c>
    </row>
    <row r="6184" spans="1:16" ht="51">
      <c r="A6184" s="3" t="s">
        <v>7174</v>
      </c>
      <c r="B6184" s="3" t="s">
        <v>7175</v>
      </c>
      <c r="C6184" s="4">
        <v>282</v>
      </c>
      <c r="D6184" s="3" t="s">
        <v>12</v>
      </c>
      <c r="E6184" s="3" t="s">
        <v>13</v>
      </c>
      <c r="F6184" s="5">
        <v>189</v>
      </c>
      <c r="G6184" s="5">
        <v>0</v>
      </c>
      <c r="H6184" s="6">
        <v>11272.11</v>
      </c>
      <c r="I6184" s="22">
        <v>0</v>
      </c>
      <c r="J6184" s="24">
        <f t="shared" si="288"/>
        <v>0</v>
      </c>
      <c r="K6184" s="25">
        <f t="shared" si="290"/>
        <v>1.0000000000000009</v>
      </c>
      <c r="L6184" s="27"/>
      <c r="M6184" s="28"/>
      <c r="N6184" s="28"/>
      <c r="O6184" s="20" t="s">
        <v>7530</v>
      </c>
      <c r="P6184" s="27" t="str">
        <f t="shared" si="289"/>
        <v>vermelho</v>
      </c>
    </row>
    <row r="6185" spans="1:16" ht="25.5">
      <c r="A6185" s="3" t="s">
        <v>7176</v>
      </c>
      <c r="B6185" s="3" t="s">
        <v>7177</v>
      </c>
      <c r="C6185" s="4">
        <v>317</v>
      </c>
      <c r="D6185" s="3" t="s">
        <v>78</v>
      </c>
      <c r="E6185" s="3" t="s">
        <v>10</v>
      </c>
      <c r="F6185" s="5">
        <v>115</v>
      </c>
      <c r="G6185" s="5">
        <v>0</v>
      </c>
      <c r="H6185" s="6">
        <v>5284.25</v>
      </c>
      <c r="I6185" s="22">
        <v>0</v>
      </c>
      <c r="J6185" s="24">
        <f t="shared" si="288"/>
        <v>0</v>
      </c>
      <c r="K6185" s="25">
        <f t="shared" si="290"/>
        <v>1.0000000000000009</v>
      </c>
      <c r="L6185" s="27"/>
      <c r="M6185" s="28"/>
      <c r="N6185" s="28"/>
      <c r="O6185" s="20" t="s">
        <v>7530</v>
      </c>
      <c r="P6185" s="27" t="str">
        <f t="shared" si="289"/>
        <v>vermelho</v>
      </c>
    </row>
    <row r="6186" spans="1:16" ht="38.25">
      <c r="A6186" s="3" t="s">
        <v>7178</v>
      </c>
      <c r="B6186" s="3" t="s">
        <v>7179</v>
      </c>
      <c r="C6186" s="4">
        <v>45</v>
      </c>
      <c r="D6186" s="3" t="s">
        <v>23</v>
      </c>
      <c r="E6186" s="3" t="s">
        <v>7</v>
      </c>
      <c r="F6186" s="5">
        <v>774</v>
      </c>
      <c r="G6186" s="5">
        <v>0</v>
      </c>
      <c r="H6186" s="6">
        <v>46225.26</v>
      </c>
      <c r="I6186" s="22">
        <v>0</v>
      </c>
      <c r="J6186" s="24">
        <f t="shared" si="288"/>
        <v>0</v>
      </c>
      <c r="K6186" s="25">
        <f t="shared" si="290"/>
        <v>1.0000000000000009</v>
      </c>
      <c r="L6186" s="27"/>
      <c r="M6186" s="28"/>
      <c r="N6186" s="28"/>
      <c r="O6186" s="20" t="s">
        <v>7530</v>
      </c>
      <c r="P6186" s="27" t="str">
        <f t="shared" si="289"/>
        <v>vermelho</v>
      </c>
    </row>
    <row r="6187" spans="1:16" ht="25.5">
      <c r="A6187" s="3" t="s">
        <v>7180</v>
      </c>
      <c r="B6187" s="3" t="s">
        <v>7181</v>
      </c>
      <c r="C6187" s="4">
        <v>218</v>
      </c>
      <c r="D6187" s="3" t="s">
        <v>104</v>
      </c>
      <c r="E6187" s="3" t="s">
        <v>16</v>
      </c>
      <c r="F6187" s="5">
        <v>228</v>
      </c>
      <c r="G6187" s="5">
        <v>0</v>
      </c>
      <c r="H6187" s="6">
        <v>10842.84</v>
      </c>
      <c r="I6187" s="22">
        <v>0</v>
      </c>
      <c r="J6187" s="24">
        <f t="shared" si="288"/>
        <v>0</v>
      </c>
      <c r="K6187" s="25">
        <f t="shared" si="290"/>
        <v>1.0000000000000009</v>
      </c>
      <c r="L6187" s="27"/>
      <c r="M6187" s="28"/>
      <c r="N6187" s="28"/>
      <c r="O6187" s="20" t="s">
        <v>7530</v>
      </c>
      <c r="P6187" s="27" t="str">
        <f t="shared" si="289"/>
        <v>vermelho</v>
      </c>
    </row>
    <row r="6188" spans="1:16">
      <c r="A6188" s="3" t="s">
        <v>7182</v>
      </c>
      <c r="B6188" s="3" t="s">
        <v>7183</v>
      </c>
      <c r="C6188" s="4">
        <v>231</v>
      </c>
      <c r="D6188" s="3" t="s">
        <v>52</v>
      </c>
      <c r="E6188" s="3" t="s">
        <v>7</v>
      </c>
      <c r="F6188" s="5">
        <v>1227</v>
      </c>
      <c r="G6188" s="5">
        <v>0</v>
      </c>
      <c r="H6188" s="6">
        <v>74450.7</v>
      </c>
      <c r="I6188" s="22">
        <v>0</v>
      </c>
      <c r="J6188" s="24">
        <f t="shared" si="288"/>
        <v>0</v>
      </c>
      <c r="K6188" s="25">
        <f t="shared" si="290"/>
        <v>1.0000000000000009</v>
      </c>
      <c r="L6188" s="27"/>
      <c r="M6188" s="28"/>
      <c r="N6188" s="28"/>
      <c r="O6188" s="20" t="s">
        <v>7530</v>
      </c>
      <c r="P6188" s="27" t="str">
        <f t="shared" si="289"/>
        <v>vermelho</v>
      </c>
    </row>
    <row r="6189" spans="1:16" ht="25.5">
      <c r="A6189" s="3" t="s">
        <v>7184</v>
      </c>
      <c r="B6189" s="3" t="s">
        <v>7185</v>
      </c>
      <c r="C6189" s="4">
        <v>167</v>
      </c>
      <c r="D6189" s="3" t="s">
        <v>251</v>
      </c>
      <c r="E6189" s="3" t="s">
        <v>49</v>
      </c>
      <c r="F6189" s="5">
        <v>144</v>
      </c>
      <c r="G6189" s="5">
        <v>0</v>
      </c>
      <c r="H6189" s="6">
        <v>6835.92</v>
      </c>
      <c r="I6189" s="22">
        <v>0</v>
      </c>
      <c r="J6189" s="24">
        <f t="shared" si="288"/>
        <v>0</v>
      </c>
      <c r="K6189" s="25">
        <f t="shared" si="290"/>
        <v>1.0000000000000009</v>
      </c>
      <c r="L6189" s="27"/>
      <c r="M6189" s="28"/>
      <c r="N6189" s="28"/>
      <c r="O6189" s="20" t="s">
        <v>7530</v>
      </c>
      <c r="P6189" s="27" t="str">
        <f t="shared" si="289"/>
        <v>vermelho</v>
      </c>
    </row>
    <row r="6190" spans="1:16" ht="25.5">
      <c r="A6190" s="3" t="s">
        <v>7186</v>
      </c>
      <c r="B6190" s="3" t="s">
        <v>7187</v>
      </c>
      <c r="C6190" s="4">
        <v>74</v>
      </c>
      <c r="D6190" s="3" t="s">
        <v>6</v>
      </c>
      <c r="E6190" s="3" t="s">
        <v>7</v>
      </c>
      <c r="F6190" s="5">
        <v>303</v>
      </c>
      <c r="G6190" s="5">
        <v>0</v>
      </c>
      <c r="H6190" s="6">
        <v>19348.2</v>
      </c>
      <c r="I6190" s="22">
        <v>0</v>
      </c>
      <c r="J6190" s="24">
        <f t="shared" si="288"/>
        <v>0</v>
      </c>
      <c r="K6190" s="25">
        <f t="shared" si="290"/>
        <v>1.0000000000000009</v>
      </c>
      <c r="L6190" s="27"/>
      <c r="M6190" s="28"/>
      <c r="N6190" s="28"/>
      <c r="O6190" s="20" t="s">
        <v>7530</v>
      </c>
      <c r="P6190" s="27" t="str">
        <f t="shared" si="289"/>
        <v>vermelho</v>
      </c>
    </row>
    <row r="6191" spans="1:16" ht="25.5">
      <c r="A6191" s="3" t="s">
        <v>7188</v>
      </c>
      <c r="B6191" s="3" t="s">
        <v>7189</v>
      </c>
      <c r="C6191" s="4">
        <v>208</v>
      </c>
      <c r="D6191" s="3" t="s">
        <v>15</v>
      </c>
      <c r="E6191" s="3" t="s">
        <v>16</v>
      </c>
      <c r="F6191" s="5">
        <v>372</v>
      </c>
      <c r="G6191" s="5">
        <v>0</v>
      </c>
      <c r="H6191" s="6">
        <v>20790.36</v>
      </c>
      <c r="I6191" s="22">
        <v>0</v>
      </c>
      <c r="J6191" s="24">
        <f t="shared" si="288"/>
        <v>0</v>
      </c>
      <c r="K6191" s="25">
        <f t="shared" si="290"/>
        <v>1.0000000000000009</v>
      </c>
      <c r="L6191" s="27"/>
      <c r="M6191" s="28"/>
      <c r="N6191" s="28"/>
      <c r="O6191" s="20" t="s">
        <v>7530</v>
      </c>
      <c r="P6191" s="27" t="str">
        <f t="shared" si="289"/>
        <v>vermelho</v>
      </c>
    </row>
    <row r="6192" spans="1:16">
      <c r="A6192" s="3" t="s">
        <v>7190</v>
      </c>
      <c r="B6192" s="3" t="s">
        <v>7191</v>
      </c>
      <c r="C6192" s="4">
        <v>167</v>
      </c>
      <c r="D6192" s="3" t="s">
        <v>251</v>
      </c>
      <c r="E6192" s="3" t="s">
        <v>49</v>
      </c>
      <c r="F6192" s="5">
        <v>354</v>
      </c>
      <c r="G6192" s="5">
        <v>0</v>
      </c>
      <c r="H6192" s="6">
        <v>19021.349999999999</v>
      </c>
      <c r="I6192" s="22">
        <v>0</v>
      </c>
      <c r="J6192" s="24">
        <f t="shared" si="288"/>
        <v>0</v>
      </c>
      <c r="K6192" s="25">
        <f t="shared" si="290"/>
        <v>1.0000000000000009</v>
      </c>
      <c r="L6192" s="27"/>
      <c r="M6192" s="28"/>
      <c r="N6192" s="28"/>
      <c r="O6192" s="20">
        <v>13144.62</v>
      </c>
      <c r="P6192" s="27" t="str">
        <f t="shared" si="289"/>
        <v>vermelho</v>
      </c>
    </row>
    <row r="6193" spans="1:16">
      <c r="A6193" s="3" t="s">
        <v>7192</v>
      </c>
      <c r="B6193" s="3" t="s">
        <v>7193</v>
      </c>
      <c r="C6193" s="4">
        <v>232</v>
      </c>
      <c r="D6193" s="3" t="s">
        <v>174</v>
      </c>
      <c r="E6193" s="3" t="s">
        <v>16</v>
      </c>
      <c r="F6193" s="5">
        <v>164</v>
      </c>
      <c r="G6193" s="5">
        <v>0</v>
      </c>
      <c r="H6193" s="6">
        <v>7381.24</v>
      </c>
      <c r="I6193" s="22">
        <v>0</v>
      </c>
      <c r="J6193" s="24">
        <f t="shared" si="288"/>
        <v>0</v>
      </c>
      <c r="K6193" s="25">
        <f t="shared" si="290"/>
        <v>1.0000000000000009</v>
      </c>
      <c r="L6193" s="27"/>
      <c r="M6193" s="28"/>
      <c r="N6193" s="28"/>
      <c r="O6193" s="20" t="s">
        <v>7530</v>
      </c>
      <c r="P6193" s="27" t="str">
        <f t="shared" si="289"/>
        <v>vermelho</v>
      </c>
    </row>
    <row r="6194" spans="1:16">
      <c r="A6194" s="3" t="s">
        <v>7194</v>
      </c>
      <c r="B6194" s="3" t="s">
        <v>7195</v>
      </c>
      <c r="C6194" s="4">
        <v>315</v>
      </c>
      <c r="D6194" s="3" t="s">
        <v>63</v>
      </c>
      <c r="E6194" s="3" t="s">
        <v>7</v>
      </c>
      <c r="F6194" s="5">
        <v>54</v>
      </c>
      <c r="G6194" s="5">
        <v>0</v>
      </c>
      <c r="H6194" s="6">
        <v>3233.46</v>
      </c>
      <c r="I6194" s="22">
        <v>0</v>
      </c>
      <c r="J6194" s="24">
        <f t="shared" si="288"/>
        <v>0</v>
      </c>
      <c r="K6194" s="25">
        <f t="shared" si="290"/>
        <v>1.0000000000000009</v>
      </c>
      <c r="L6194" s="27"/>
      <c r="M6194" s="28"/>
      <c r="N6194" s="28"/>
      <c r="O6194" s="20" t="s">
        <v>7530</v>
      </c>
      <c r="P6194" s="27" t="str">
        <f t="shared" si="289"/>
        <v>vermelho</v>
      </c>
    </row>
    <row r="6195" spans="1:16" ht="38.25">
      <c r="A6195" s="3" t="s">
        <v>7196</v>
      </c>
      <c r="B6195" s="3" t="s">
        <v>7197</v>
      </c>
      <c r="C6195" s="4">
        <v>371</v>
      </c>
      <c r="D6195" s="3" t="s">
        <v>82</v>
      </c>
      <c r="E6195" s="3" t="s">
        <v>49</v>
      </c>
      <c r="F6195" s="5">
        <v>504</v>
      </c>
      <c r="G6195" s="5">
        <v>0</v>
      </c>
      <c r="H6195" s="6">
        <v>26014.560000000001</v>
      </c>
      <c r="I6195" s="22">
        <v>0</v>
      </c>
      <c r="J6195" s="24">
        <f t="shared" si="288"/>
        <v>0</v>
      </c>
      <c r="K6195" s="25">
        <f t="shared" si="290"/>
        <v>1.0000000000000009</v>
      </c>
      <c r="L6195" s="27"/>
      <c r="M6195" s="28"/>
      <c r="N6195" s="28"/>
      <c r="O6195" s="20" t="s">
        <v>7530</v>
      </c>
      <c r="P6195" s="27" t="str">
        <f t="shared" si="289"/>
        <v>vermelho</v>
      </c>
    </row>
    <row r="6196" spans="1:16" ht="25.5">
      <c r="A6196" s="3" t="s">
        <v>7198</v>
      </c>
      <c r="B6196" s="3" t="s">
        <v>7199</v>
      </c>
      <c r="C6196" s="4">
        <v>267</v>
      </c>
      <c r="D6196" s="3" t="s">
        <v>125</v>
      </c>
      <c r="E6196" s="3" t="s">
        <v>16</v>
      </c>
      <c r="F6196" s="5">
        <v>450</v>
      </c>
      <c r="G6196" s="5">
        <v>0</v>
      </c>
      <c r="H6196" s="6">
        <v>24535.11</v>
      </c>
      <c r="I6196" s="22">
        <v>0</v>
      </c>
      <c r="J6196" s="24">
        <f t="shared" si="288"/>
        <v>0</v>
      </c>
      <c r="K6196" s="25">
        <f t="shared" si="290"/>
        <v>1.0000000000000009</v>
      </c>
      <c r="L6196" s="27"/>
      <c r="M6196" s="28"/>
      <c r="N6196" s="28"/>
      <c r="O6196" s="20" t="s">
        <v>7530</v>
      </c>
      <c r="P6196" s="27" t="str">
        <f t="shared" si="289"/>
        <v>vermelho</v>
      </c>
    </row>
    <row r="6197" spans="1:16" ht="25.5">
      <c r="A6197" s="3" t="s">
        <v>7200</v>
      </c>
      <c r="B6197" s="3" t="s">
        <v>7201</v>
      </c>
      <c r="C6197" s="4">
        <v>218</v>
      </c>
      <c r="D6197" s="3" t="s">
        <v>104</v>
      </c>
      <c r="E6197" s="3" t="s">
        <v>16</v>
      </c>
      <c r="F6197" s="5">
        <v>144</v>
      </c>
      <c r="G6197" s="5">
        <v>0</v>
      </c>
      <c r="H6197" s="6">
        <v>6585.48</v>
      </c>
      <c r="I6197" s="22">
        <v>0</v>
      </c>
      <c r="J6197" s="24">
        <f t="shared" si="288"/>
        <v>0</v>
      </c>
      <c r="K6197" s="25">
        <f t="shared" si="290"/>
        <v>1.0000000000000009</v>
      </c>
      <c r="L6197" s="27"/>
      <c r="M6197" s="28"/>
      <c r="N6197" s="28"/>
      <c r="O6197" s="20" t="s">
        <v>7530</v>
      </c>
      <c r="P6197" s="27" t="str">
        <f t="shared" si="289"/>
        <v>vermelho</v>
      </c>
    </row>
    <row r="6198" spans="1:16" ht="25.5">
      <c r="A6198" s="3" t="s">
        <v>7202</v>
      </c>
      <c r="B6198" s="3" t="s">
        <v>7203</v>
      </c>
      <c r="C6198" s="4">
        <v>218</v>
      </c>
      <c r="D6198" s="3" t="s">
        <v>104</v>
      </c>
      <c r="E6198" s="3" t="s">
        <v>16</v>
      </c>
      <c r="F6198" s="5">
        <v>156</v>
      </c>
      <c r="G6198" s="5">
        <v>0</v>
      </c>
      <c r="H6198" s="6">
        <v>7714.44</v>
      </c>
      <c r="I6198" s="22">
        <v>0</v>
      </c>
      <c r="J6198" s="24">
        <f t="shared" si="288"/>
        <v>0</v>
      </c>
      <c r="K6198" s="25">
        <f t="shared" si="290"/>
        <v>1.0000000000000009</v>
      </c>
      <c r="L6198" s="27"/>
      <c r="M6198" s="28"/>
      <c r="N6198" s="28"/>
      <c r="O6198" s="20" t="s">
        <v>7530</v>
      </c>
      <c r="P6198" s="27" t="str">
        <f t="shared" si="289"/>
        <v>vermelho</v>
      </c>
    </row>
    <row r="6199" spans="1:16">
      <c r="A6199" s="3" t="s">
        <v>7204</v>
      </c>
      <c r="B6199" s="3" t="s">
        <v>7205</v>
      </c>
      <c r="C6199" s="4">
        <v>240</v>
      </c>
      <c r="D6199" s="3" t="s">
        <v>69</v>
      </c>
      <c r="E6199" s="3" t="s">
        <v>16</v>
      </c>
      <c r="F6199" s="5">
        <v>132</v>
      </c>
      <c r="G6199" s="5">
        <v>0</v>
      </c>
      <c r="H6199" s="6">
        <v>7305.96</v>
      </c>
      <c r="I6199" s="22">
        <v>0</v>
      </c>
      <c r="J6199" s="24">
        <f t="shared" si="288"/>
        <v>0</v>
      </c>
      <c r="K6199" s="25">
        <f t="shared" si="290"/>
        <v>1.0000000000000009</v>
      </c>
      <c r="L6199" s="27"/>
      <c r="M6199" s="28"/>
      <c r="N6199" s="28"/>
      <c r="O6199" s="20" t="s">
        <v>7530</v>
      </c>
      <c r="P6199" s="27" t="str">
        <f t="shared" si="289"/>
        <v>vermelho</v>
      </c>
    </row>
    <row r="6200" spans="1:16">
      <c r="A6200" s="3" t="s">
        <v>7206</v>
      </c>
      <c r="B6200" s="3" t="s">
        <v>7207</v>
      </c>
      <c r="C6200" s="4">
        <v>240</v>
      </c>
      <c r="D6200" s="3" t="s">
        <v>69</v>
      </c>
      <c r="E6200" s="3" t="s">
        <v>16</v>
      </c>
      <c r="F6200" s="5">
        <v>138</v>
      </c>
      <c r="G6200" s="5">
        <v>0</v>
      </c>
      <c r="H6200" s="6">
        <v>7961.91</v>
      </c>
      <c r="I6200" s="22">
        <v>0</v>
      </c>
      <c r="J6200" s="24">
        <f t="shared" si="288"/>
        <v>0</v>
      </c>
      <c r="K6200" s="25">
        <f t="shared" si="290"/>
        <v>1.0000000000000009</v>
      </c>
      <c r="L6200" s="27"/>
      <c r="M6200" s="28"/>
      <c r="N6200" s="28"/>
      <c r="O6200" s="20" t="s">
        <v>7530</v>
      </c>
      <c r="P6200" s="27" t="str">
        <f t="shared" si="289"/>
        <v>vermelho</v>
      </c>
    </row>
    <row r="6201" spans="1:16" ht="25.5">
      <c r="A6201" s="3" t="s">
        <v>7208</v>
      </c>
      <c r="B6201" s="3" t="s">
        <v>7209</v>
      </c>
      <c r="C6201" s="4">
        <v>337</v>
      </c>
      <c r="D6201" s="3" t="s">
        <v>202</v>
      </c>
      <c r="E6201" s="3" t="s">
        <v>16</v>
      </c>
      <c r="F6201" s="5">
        <v>102</v>
      </c>
      <c r="G6201" s="5">
        <v>0</v>
      </c>
      <c r="H6201" s="6">
        <v>4972.9799999999996</v>
      </c>
      <c r="I6201" s="22">
        <v>0</v>
      </c>
      <c r="J6201" s="24">
        <f t="shared" si="288"/>
        <v>0</v>
      </c>
      <c r="K6201" s="25">
        <f t="shared" si="290"/>
        <v>1.0000000000000009</v>
      </c>
      <c r="L6201" s="27"/>
      <c r="M6201" s="28"/>
      <c r="N6201" s="28"/>
      <c r="O6201" s="20" t="s">
        <v>7530</v>
      </c>
      <c r="P6201" s="27" t="str">
        <f t="shared" si="289"/>
        <v>vermelho</v>
      </c>
    </row>
    <row r="6202" spans="1:16">
      <c r="A6202" s="3" t="s">
        <v>7210</v>
      </c>
      <c r="B6202" s="3" t="s">
        <v>110</v>
      </c>
      <c r="C6202" s="4">
        <v>240</v>
      </c>
      <c r="D6202" s="3" t="s">
        <v>69</v>
      </c>
      <c r="E6202" s="3" t="s">
        <v>16</v>
      </c>
      <c r="F6202" s="5">
        <v>360</v>
      </c>
      <c r="G6202" s="5">
        <v>0</v>
      </c>
      <c r="H6202" s="6">
        <v>20571.84</v>
      </c>
      <c r="I6202" s="22">
        <v>0</v>
      </c>
      <c r="J6202" s="24">
        <f t="shared" si="288"/>
        <v>0</v>
      </c>
      <c r="K6202" s="25">
        <f t="shared" si="290"/>
        <v>1.0000000000000009</v>
      </c>
      <c r="L6202" s="27"/>
      <c r="M6202" s="28"/>
      <c r="N6202" s="28"/>
      <c r="O6202" s="20" t="s">
        <v>7530</v>
      </c>
      <c r="P6202" s="27" t="str">
        <f t="shared" si="289"/>
        <v>vermelho</v>
      </c>
    </row>
    <row r="6203" spans="1:16">
      <c r="A6203" s="3" t="s">
        <v>7211</v>
      </c>
      <c r="B6203" s="3" t="s">
        <v>7212</v>
      </c>
      <c r="C6203" s="4">
        <v>240</v>
      </c>
      <c r="D6203" s="3" t="s">
        <v>69</v>
      </c>
      <c r="E6203" s="3" t="s">
        <v>16</v>
      </c>
      <c r="F6203" s="5">
        <v>375</v>
      </c>
      <c r="G6203" s="5">
        <v>0</v>
      </c>
      <c r="H6203" s="6">
        <v>20795.189999999999</v>
      </c>
      <c r="I6203" s="22">
        <v>0</v>
      </c>
      <c r="J6203" s="24">
        <f t="shared" si="288"/>
        <v>0</v>
      </c>
      <c r="K6203" s="25">
        <f t="shared" si="290"/>
        <v>1.0000000000000009</v>
      </c>
      <c r="L6203" s="27"/>
      <c r="M6203" s="28"/>
      <c r="N6203" s="28"/>
      <c r="O6203" s="20" t="s">
        <v>7530</v>
      </c>
      <c r="P6203" s="27" t="str">
        <f t="shared" si="289"/>
        <v>vermelho</v>
      </c>
    </row>
    <row r="6204" spans="1:16">
      <c r="A6204" s="3" t="s">
        <v>7213</v>
      </c>
      <c r="B6204" s="3" t="s">
        <v>7214</v>
      </c>
      <c r="C6204" s="4">
        <v>240</v>
      </c>
      <c r="D6204" s="3" t="s">
        <v>69</v>
      </c>
      <c r="E6204" s="3" t="s">
        <v>16</v>
      </c>
      <c r="F6204" s="5">
        <v>0</v>
      </c>
      <c r="G6204" s="5">
        <v>0</v>
      </c>
      <c r="H6204" s="6">
        <v>0</v>
      </c>
      <c r="I6204" s="22">
        <v>0</v>
      </c>
      <c r="J6204" s="24">
        <f t="shared" si="288"/>
        <v>0</v>
      </c>
      <c r="K6204" s="25">
        <f t="shared" si="290"/>
        <v>1.0000000000000009</v>
      </c>
      <c r="L6204" s="27"/>
      <c r="M6204" s="28"/>
      <c r="N6204" s="28"/>
      <c r="O6204" s="20" t="s">
        <v>7530</v>
      </c>
      <c r="P6204" s="27" t="str">
        <f t="shared" si="289"/>
        <v>vermelho</v>
      </c>
    </row>
    <row r="6205" spans="1:16" ht="38.25">
      <c r="A6205" s="3" t="s">
        <v>7215</v>
      </c>
      <c r="B6205" s="3" t="s">
        <v>7216</v>
      </c>
      <c r="C6205" s="4">
        <v>45</v>
      </c>
      <c r="D6205" s="3" t="s">
        <v>23</v>
      </c>
      <c r="E6205" s="3" t="s">
        <v>7</v>
      </c>
      <c r="F6205" s="5">
        <v>1488</v>
      </c>
      <c r="G6205" s="5">
        <v>0</v>
      </c>
      <c r="H6205" s="6">
        <v>80556.479999999996</v>
      </c>
      <c r="I6205" s="22">
        <v>0</v>
      </c>
      <c r="J6205" s="24">
        <f t="shared" si="288"/>
        <v>0</v>
      </c>
      <c r="K6205" s="25">
        <f t="shared" si="290"/>
        <v>1.0000000000000009</v>
      </c>
      <c r="L6205" s="27"/>
      <c r="M6205" s="28"/>
      <c r="N6205" s="28"/>
      <c r="O6205" s="20" t="s">
        <v>7530</v>
      </c>
      <c r="P6205" s="27" t="str">
        <f t="shared" si="289"/>
        <v>vermelho</v>
      </c>
    </row>
    <row r="6206" spans="1:16">
      <c r="A6206" s="3" t="s">
        <v>7217</v>
      </c>
      <c r="B6206" s="3" t="s">
        <v>7218</v>
      </c>
      <c r="C6206" s="4">
        <v>240</v>
      </c>
      <c r="D6206" s="3" t="s">
        <v>69</v>
      </c>
      <c r="E6206" s="3" t="s">
        <v>16</v>
      </c>
      <c r="F6206" s="5">
        <v>0</v>
      </c>
      <c r="G6206" s="5">
        <v>0</v>
      </c>
      <c r="H6206" s="6">
        <v>0</v>
      </c>
      <c r="I6206" s="22">
        <v>0</v>
      </c>
      <c r="J6206" s="24">
        <f t="shared" si="288"/>
        <v>0</v>
      </c>
      <c r="K6206" s="25">
        <f t="shared" si="290"/>
        <v>1.0000000000000009</v>
      </c>
      <c r="L6206" s="27"/>
      <c r="M6206" s="28"/>
      <c r="N6206" s="28"/>
      <c r="O6206" s="20" t="s">
        <v>7530</v>
      </c>
      <c r="P6206" s="27" t="str">
        <f t="shared" si="289"/>
        <v>vermelho</v>
      </c>
    </row>
    <row r="6207" spans="1:16">
      <c r="A6207" s="3" t="s">
        <v>7219</v>
      </c>
      <c r="B6207" s="3" t="s">
        <v>7220</v>
      </c>
      <c r="C6207" s="4">
        <v>334</v>
      </c>
      <c r="D6207" s="3" t="s">
        <v>531</v>
      </c>
      <c r="E6207" s="3" t="s">
        <v>7</v>
      </c>
      <c r="F6207" s="5">
        <v>525</v>
      </c>
      <c r="G6207" s="5">
        <v>0</v>
      </c>
      <c r="H6207" s="6">
        <v>29572.29</v>
      </c>
      <c r="I6207" s="22">
        <v>0</v>
      </c>
      <c r="J6207" s="24">
        <f t="shared" si="288"/>
        <v>0</v>
      </c>
      <c r="K6207" s="25">
        <f t="shared" si="290"/>
        <v>1.0000000000000009</v>
      </c>
      <c r="L6207" s="27"/>
      <c r="M6207" s="28"/>
      <c r="N6207" s="28"/>
      <c r="O6207" s="20" t="s">
        <v>7530</v>
      </c>
      <c r="P6207" s="27" t="str">
        <f t="shared" si="289"/>
        <v>vermelho</v>
      </c>
    </row>
    <row r="6208" spans="1:16" ht="25.5">
      <c r="A6208" s="3" t="s">
        <v>7221</v>
      </c>
      <c r="B6208" s="3" t="s">
        <v>7222</v>
      </c>
      <c r="C6208" s="4">
        <v>261</v>
      </c>
      <c r="D6208" s="3" t="s">
        <v>9</v>
      </c>
      <c r="E6208" s="3" t="s">
        <v>10</v>
      </c>
      <c r="F6208" s="5">
        <v>222</v>
      </c>
      <c r="G6208" s="5">
        <v>0</v>
      </c>
      <c r="H6208" s="6">
        <v>12727.74</v>
      </c>
      <c r="I6208" s="22">
        <v>0</v>
      </c>
      <c r="J6208" s="24">
        <f t="shared" si="288"/>
        <v>0</v>
      </c>
      <c r="K6208" s="25">
        <f t="shared" si="290"/>
        <v>1.0000000000000009</v>
      </c>
      <c r="L6208" s="27"/>
      <c r="M6208" s="28"/>
      <c r="N6208" s="28"/>
      <c r="O6208" s="20" t="s">
        <v>7530</v>
      </c>
      <c r="P6208" s="27" t="str">
        <f t="shared" si="289"/>
        <v>vermelho</v>
      </c>
    </row>
    <row r="6209" spans="1:16" ht="38.25">
      <c r="A6209" s="3" t="s">
        <v>7223</v>
      </c>
      <c r="B6209" s="3" t="s">
        <v>7224</v>
      </c>
      <c r="C6209" s="4">
        <v>371</v>
      </c>
      <c r="D6209" s="3" t="s">
        <v>82</v>
      </c>
      <c r="E6209" s="3" t="s">
        <v>49</v>
      </c>
      <c r="F6209" s="5">
        <v>144</v>
      </c>
      <c r="G6209" s="5">
        <v>0</v>
      </c>
      <c r="H6209" s="6">
        <v>6017.76</v>
      </c>
      <c r="I6209" s="22">
        <v>0</v>
      </c>
      <c r="J6209" s="24">
        <f t="shared" si="288"/>
        <v>0</v>
      </c>
      <c r="K6209" s="25">
        <f t="shared" si="290"/>
        <v>1.0000000000000009</v>
      </c>
      <c r="L6209" s="27"/>
      <c r="M6209" s="28"/>
      <c r="N6209" s="28"/>
      <c r="O6209" s="20" t="s">
        <v>7530</v>
      </c>
      <c r="P6209" s="27" t="str">
        <f t="shared" si="289"/>
        <v>vermelho</v>
      </c>
    </row>
    <row r="6210" spans="1:16" ht="25.5">
      <c r="A6210" s="3" t="s">
        <v>7225</v>
      </c>
      <c r="B6210" s="3" t="s">
        <v>7226</v>
      </c>
      <c r="C6210" s="4">
        <v>74</v>
      </c>
      <c r="D6210" s="3" t="s">
        <v>6</v>
      </c>
      <c r="E6210" s="3" t="s">
        <v>7</v>
      </c>
      <c r="F6210" s="5">
        <v>54</v>
      </c>
      <c r="G6210" s="5">
        <v>0</v>
      </c>
      <c r="H6210" s="6">
        <v>2891.34</v>
      </c>
      <c r="I6210" s="22">
        <v>0</v>
      </c>
      <c r="J6210" s="24">
        <f t="shared" si="288"/>
        <v>0</v>
      </c>
      <c r="K6210" s="25">
        <f t="shared" si="290"/>
        <v>1.0000000000000009</v>
      </c>
      <c r="L6210" s="27"/>
      <c r="M6210" s="28"/>
      <c r="N6210" s="28"/>
      <c r="O6210" s="20">
        <v>5561.28</v>
      </c>
      <c r="P6210" s="27" t="str">
        <f t="shared" si="289"/>
        <v>vermelho</v>
      </c>
    </row>
    <row r="6211" spans="1:16" ht="25.5">
      <c r="A6211" s="3" t="s">
        <v>7227</v>
      </c>
      <c r="B6211" s="3" t="s">
        <v>7228</v>
      </c>
      <c r="C6211" s="4">
        <v>23</v>
      </c>
      <c r="D6211" s="3" t="s">
        <v>87</v>
      </c>
      <c r="E6211" s="3" t="s">
        <v>7</v>
      </c>
      <c r="F6211" s="5">
        <v>846</v>
      </c>
      <c r="G6211" s="5">
        <v>0</v>
      </c>
      <c r="H6211" s="6">
        <v>46793.750999999997</v>
      </c>
      <c r="I6211" s="22">
        <v>0</v>
      </c>
      <c r="J6211" s="24">
        <f t="shared" ref="J6211:J6274" si="291">I6211/$I$6364</f>
        <v>0</v>
      </c>
      <c r="K6211" s="25">
        <f t="shared" si="290"/>
        <v>1.0000000000000009</v>
      </c>
      <c r="L6211" s="27"/>
      <c r="M6211" s="28"/>
      <c r="N6211" s="28"/>
      <c r="O6211" s="20" t="s">
        <v>7530</v>
      </c>
      <c r="P6211" s="27" t="str">
        <f t="shared" ref="P6211:P6274" si="292">IF(O6211&lt;=0,"vermelho",IFERROR(IF(O6211/I6211&lt;=0.5098,"amarelo",IF(O6211/I6211&lt;1,"laranja","verde")),"vermelho"))</f>
        <v>vermelho</v>
      </c>
    </row>
    <row r="6212" spans="1:16">
      <c r="A6212" s="3" t="s">
        <v>7229</v>
      </c>
      <c r="B6212" s="3" t="s">
        <v>7230</v>
      </c>
      <c r="C6212" s="4">
        <v>231</v>
      </c>
      <c r="D6212" s="3" t="s">
        <v>52</v>
      </c>
      <c r="E6212" s="3" t="s">
        <v>7</v>
      </c>
      <c r="F6212" s="5">
        <v>329</v>
      </c>
      <c r="G6212" s="5">
        <v>0</v>
      </c>
      <c r="H6212" s="6">
        <v>18922.810000000001</v>
      </c>
      <c r="I6212" s="22">
        <v>0</v>
      </c>
      <c r="J6212" s="24">
        <f t="shared" si="291"/>
        <v>0</v>
      </c>
      <c r="K6212" s="25">
        <f t="shared" ref="K6212:K6275" si="293">J6212+K6211</f>
        <v>1.0000000000000009</v>
      </c>
      <c r="L6212" s="27"/>
      <c r="M6212" s="28"/>
      <c r="N6212" s="28"/>
      <c r="O6212" s="20" t="s">
        <v>7530</v>
      </c>
      <c r="P6212" s="27" t="str">
        <f t="shared" si="292"/>
        <v>vermelho</v>
      </c>
    </row>
    <row r="6213" spans="1:16" ht="38.25">
      <c r="A6213" s="3" t="s">
        <v>7231</v>
      </c>
      <c r="B6213" s="3" t="s">
        <v>7232</v>
      </c>
      <c r="C6213" s="4">
        <v>45</v>
      </c>
      <c r="D6213" s="3" t="s">
        <v>23</v>
      </c>
      <c r="E6213" s="3" t="s">
        <v>7</v>
      </c>
      <c r="F6213" s="5">
        <v>183</v>
      </c>
      <c r="G6213" s="5">
        <v>0</v>
      </c>
      <c r="H6213" s="6">
        <v>8931.69</v>
      </c>
      <c r="I6213" s="22">
        <v>0</v>
      </c>
      <c r="J6213" s="24">
        <f t="shared" si="291"/>
        <v>0</v>
      </c>
      <c r="K6213" s="25">
        <f t="shared" si="293"/>
        <v>1.0000000000000009</v>
      </c>
      <c r="L6213" s="27"/>
      <c r="M6213" s="28"/>
      <c r="N6213" s="28"/>
      <c r="O6213" s="20" t="s">
        <v>7530</v>
      </c>
      <c r="P6213" s="27" t="str">
        <f t="shared" si="292"/>
        <v>vermelho</v>
      </c>
    </row>
    <row r="6214" spans="1:16" ht="25.5">
      <c r="A6214" s="3" t="s">
        <v>7233</v>
      </c>
      <c r="B6214" s="3" t="s">
        <v>7234</v>
      </c>
      <c r="C6214" s="4">
        <v>328</v>
      </c>
      <c r="D6214" s="3" t="s">
        <v>215</v>
      </c>
      <c r="E6214" s="3" t="s">
        <v>41</v>
      </c>
      <c r="F6214" s="5">
        <v>306</v>
      </c>
      <c r="G6214" s="5">
        <v>0</v>
      </c>
      <c r="H6214" s="6">
        <v>17530.259999999998</v>
      </c>
      <c r="I6214" s="22">
        <v>0</v>
      </c>
      <c r="J6214" s="24">
        <f t="shared" si="291"/>
        <v>0</v>
      </c>
      <c r="K6214" s="25">
        <f t="shared" si="293"/>
        <v>1.0000000000000009</v>
      </c>
      <c r="L6214" s="27"/>
      <c r="M6214" s="28"/>
      <c r="N6214" s="28"/>
      <c r="O6214" s="20" t="s">
        <v>7530</v>
      </c>
      <c r="P6214" s="27" t="str">
        <f t="shared" si="292"/>
        <v>vermelho</v>
      </c>
    </row>
    <row r="6215" spans="1:16" ht="25.5">
      <c r="A6215" s="3" t="s">
        <v>7235</v>
      </c>
      <c r="B6215" s="3" t="s">
        <v>7236</v>
      </c>
      <c r="C6215" s="4">
        <v>208</v>
      </c>
      <c r="D6215" s="3" t="s">
        <v>15</v>
      </c>
      <c r="E6215" s="3" t="s">
        <v>16</v>
      </c>
      <c r="F6215" s="5">
        <v>423</v>
      </c>
      <c r="G6215" s="5">
        <v>0</v>
      </c>
      <c r="H6215" s="6">
        <v>22633.35</v>
      </c>
      <c r="I6215" s="22">
        <v>0</v>
      </c>
      <c r="J6215" s="24">
        <f t="shared" si="291"/>
        <v>0</v>
      </c>
      <c r="K6215" s="25">
        <f t="shared" si="293"/>
        <v>1.0000000000000009</v>
      </c>
      <c r="L6215" s="27"/>
      <c r="M6215" s="28"/>
      <c r="N6215" s="28"/>
      <c r="O6215" s="20" t="s">
        <v>7530</v>
      </c>
      <c r="P6215" s="27" t="str">
        <f t="shared" si="292"/>
        <v>vermelho</v>
      </c>
    </row>
    <row r="6216" spans="1:16">
      <c r="A6216" s="3" t="s">
        <v>7237</v>
      </c>
      <c r="B6216" s="3" t="s">
        <v>7238</v>
      </c>
      <c r="C6216" s="4">
        <v>264</v>
      </c>
      <c r="D6216" s="3" t="s">
        <v>40</v>
      </c>
      <c r="E6216" s="3" t="s">
        <v>10</v>
      </c>
      <c r="F6216" s="5">
        <v>2669</v>
      </c>
      <c r="G6216" s="5">
        <v>0</v>
      </c>
      <c r="H6216" s="6">
        <v>63375</v>
      </c>
      <c r="I6216" s="22">
        <v>0</v>
      </c>
      <c r="J6216" s="24">
        <f t="shared" si="291"/>
        <v>0</v>
      </c>
      <c r="K6216" s="25">
        <f t="shared" si="293"/>
        <v>1.0000000000000009</v>
      </c>
      <c r="L6216" s="27"/>
      <c r="M6216" s="28"/>
      <c r="N6216" s="28"/>
      <c r="O6216" s="20">
        <v>22000</v>
      </c>
      <c r="P6216" s="27" t="str">
        <f t="shared" si="292"/>
        <v>vermelho</v>
      </c>
    </row>
    <row r="6217" spans="1:16">
      <c r="A6217" s="3" t="s">
        <v>7239</v>
      </c>
      <c r="B6217" s="3" t="s">
        <v>7240</v>
      </c>
      <c r="C6217" s="4">
        <v>217</v>
      </c>
      <c r="D6217" s="3" t="s">
        <v>91</v>
      </c>
      <c r="E6217" s="3" t="s">
        <v>16</v>
      </c>
      <c r="F6217" s="5">
        <v>72</v>
      </c>
      <c r="G6217" s="5">
        <v>0</v>
      </c>
      <c r="H6217" s="6">
        <v>3205.68</v>
      </c>
      <c r="I6217" s="22">
        <v>0</v>
      </c>
      <c r="J6217" s="24">
        <f t="shared" si="291"/>
        <v>0</v>
      </c>
      <c r="K6217" s="25">
        <f t="shared" si="293"/>
        <v>1.0000000000000009</v>
      </c>
      <c r="L6217" s="27"/>
      <c r="M6217" s="28"/>
      <c r="N6217" s="28"/>
      <c r="O6217" s="20" t="s">
        <v>7530</v>
      </c>
      <c r="P6217" s="27" t="str">
        <f t="shared" si="292"/>
        <v>vermelho</v>
      </c>
    </row>
    <row r="6218" spans="1:16" ht="25.5">
      <c r="A6218" s="3" t="s">
        <v>7241</v>
      </c>
      <c r="B6218" s="3" t="s">
        <v>6880</v>
      </c>
      <c r="C6218" s="4">
        <v>273</v>
      </c>
      <c r="D6218" s="3" t="s">
        <v>149</v>
      </c>
      <c r="E6218" s="3" t="s">
        <v>10</v>
      </c>
      <c r="F6218" s="5">
        <v>225</v>
      </c>
      <c r="G6218" s="5">
        <v>0</v>
      </c>
      <c r="H6218" s="6">
        <v>11945.01</v>
      </c>
      <c r="I6218" s="22">
        <v>0</v>
      </c>
      <c r="J6218" s="24">
        <f t="shared" si="291"/>
        <v>0</v>
      </c>
      <c r="K6218" s="25">
        <f t="shared" si="293"/>
        <v>1.0000000000000009</v>
      </c>
      <c r="L6218" s="27"/>
      <c r="M6218" s="28"/>
      <c r="N6218" s="28"/>
      <c r="O6218" s="20">
        <v>3890.88</v>
      </c>
      <c r="P6218" s="27" t="str">
        <f t="shared" si="292"/>
        <v>vermelho</v>
      </c>
    </row>
    <row r="6219" spans="1:16" ht="25.5">
      <c r="A6219" s="3" t="s">
        <v>7242</v>
      </c>
      <c r="B6219" s="3" t="s">
        <v>7243</v>
      </c>
      <c r="C6219" s="4">
        <v>39</v>
      </c>
      <c r="D6219" s="3" t="s">
        <v>26</v>
      </c>
      <c r="E6219" s="3" t="s">
        <v>13</v>
      </c>
      <c r="F6219" s="5">
        <v>1368</v>
      </c>
      <c r="G6219" s="5">
        <v>0</v>
      </c>
      <c r="H6219" s="6">
        <v>57004.56</v>
      </c>
      <c r="I6219" s="22">
        <v>0</v>
      </c>
      <c r="J6219" s="24">
        <f t="shared" si="291"/>
        <v>0</v>
      </c>
      <c r="K6219" s="25">
        <f t="shared" si="293"/>
        <v>1.0000000000000009</v>
      </c>
      <c r="L6219" s="27"/>
      <c r="M6219" s="28"/>
      <c r="N6219" s="28"/>
      <c r="O6219" s="20" t="s">
        <v>7530</v>
      </c>
      <c r="P6219" s="27" t="str">
        <f t="shared" si="292"/>
        <v>vermelho</v>
      </c>
    </row>
    <row r="6220" spans="1:16">
      <c r="A6220" s="3" t="s">
        <v>7244</v>
      </c>
      <c r="B6220" s="3" t="s">
        <v>7245</v>
      </c>
      <c r="C6220" s="4">
        <v>167</v>
      </c>
      <c r="D6220" s="3" t="s">
        <v>251</v>
      </c>
      <c r="E6220" s="3" t="s">
        <v>49</v>
      </c>
      <c r="F6220" s="5">
        <v>120</v>
      </c>
      <c r="G6220" s="5">
        <v>0</v>
      </c>
      <c r="H6220" s="6">
        <v>5943.36</v>
      </c>
      <c r="I6220" s="22">
        <v>0</v>
      </c>
      <c r="J6220" s="24">
        <f t="shared" si="291"/>
        <v>0</v>
      </c>
      <c r="K6220" s="25">
        <f t="shared" si="293"/>
        <v>1.0000000000000009</v>
      </c>
      <c r="L6220" s="27"/>
      <c r="M6220" s="28"/>
      <c r="N6220" s="28"/>
      <c r="O6220" s="20" t="s">
        <v>7530</v>
      </c>
      <c r="P6220" s="27" t="str">
        <f t="shared" si="292"/>
        <v>vermelho</v>
      </c>
    </row>
    <row r="6221" spans="1:16" ht="25.5">
      <c r="A6221" s="3" t="s">
        <v>7246</v>
      </c>
      <c r="B6221" s="3" t="s">
        <v>7247</v>
      </c>
      <c r="C6221" s="4">
        <v>19</v>
      </c>
      <c r="D6221" s="3" t="s">
        <v>72</v>
      </c>
      <c r="E6221" s="3" t="s">
        <v>41</v>
      </c>
      <c r="F6221" s="5">
        <v>1047</v>
      </c>
      <c r="G6221" s="5">
        <v>0</v>
      </c>
      <c r="H6221" s="6">
        <v>54143.720999999998</v>
      </c>
      <c r="I6221" s="22">
        <v>0</v>
      </c>
      <c r="J6221" s="24">
        <f t="shared" si="291"/>
        <v>0</v>
      </c>
      <c r="K6221" s="25">
        <f t="shared" si="293"/>
        <v>1.0000000000000009</v>
      </c>
      <c r="L6221" s="27"/>
      <c r="M6221" s="28"/>
      <c r="N6221" s="28"/>
      <c r="O6221" s="20" t="s">
        <v>7530</v>
      </c>
      <c r="P6221" s="27" t="str">
        <f t="shared" si="292"/>
        <v>vermelho</v>
      </c>
    </row>
    <row r="6222" spans="1:16" ht="25.5">
      <c r="A6222" s="3" t="s">
        <v>7248</v>
      </c>
      <c r="B6222" s="3" t="s">
        <v>7249</v>
      </c>
      <c r="C6222" s="4">
        <v>194</v>
      </c>
      <c r="D6222" s="3" t="s">
        <v>145</v>
      </c>
      <c r="E6222" s="3" t="s">
        <v>16</v>
      </c>
      <c r="F6222" s="5">
        <v>60</v>
      </c>
      <c r="G6222" s="5">
        <v>0</v>
      </c>
      <c r="H6222" s="6">
        <v>3206.16</v>
      </c>
      <c r="I6222" s="22">
        <v>0</v>
      </c>
      <c r="J6222" s="24">
        <f t="shared" si="291"/>
        <v>0</v>
      </c>
      <c r="K6222" s="25">
        <f t="shared" si="293"/>
        <v>1.0000000000000009</v>
      </c>
      <c r="L6222" s="27"/>
      <c r="M6222" s="28"/>
      <c r="N6222" s="28"/>
      <c r="O6222" s="20" t="s">
        <v>7530</v>
      </c>
      <c r="P6222" s="27" t="str">
        <f t="shared" si="292"/>
        <v>vermelho</v>
      </c>
    </row>
    <row r="6223" spans="1:16">
      <c r="A6223" s="3" t="s">
        <v>7250</v>
      </c>
      <c r="B6223" s="3" t="s">
        <v>7251</v>
      </c>
      <c r="C6223" s="4">
        <v>64</v>
      </c>
      <c r="D6223" s="3" t="s">
        <v>7252</v>
      </c>
      <c r="E6223" s="3" t="s">
        <v>13</v>
      </c>
      <c r="F6223" s="5">
        <v>216</v>
      </c>
      <c r="G6223" s="5">
        <v>0</v>
      </c>
      <c r="H6223" s="6">
        <v>9403.68</v>
      </c>
      <c r="I6223" s="22">
        <v>0</v>
      </c>
      <c r="J6223" s="24">
        <f t="shared" si="291"/>
        <v>0</v>
      </c>
      <c r="K6223" s="25">
        <f t="shared" si="293"/>
        <v>1.0000000000000009</v>
      </c>
      <c r="L6223" s="27"/>
      <c r="M6223" s="28"/>
      <c r="N6223" s="28"/>
      <c r="O6223" s="20" t="s">
        <v>7530</v>
      </c>
      <c r="P6223" s="27" t="str">
        <f t="shared" si="292"/>
        <v>vermelho</v>
      </c>
    </row>
    <row r="6224" spans="1:16">
      <c r="A6224" s="3" t="s">
        <v>7250</v>
      </c>
      <c r="B6224" s="3" t="s">
        <v>7251</v>
      </c>
      <c r="C6224" s="4">
        <v>64</v>
      </c>
      <c r="D6224" s="3" t="s">
        <v>7252</v>
      </c>
      <c r="E6224" s="3" t="s">
        <v>41</v>
      </c>
      <c r="F6224" s="5">
        <v>2820</v>
      </c>
      <c r="G6224" s="5">
        <v>0</v>
      </c>
      <c r="H6224" s="6">
        <v>139384.74</v>
      </c>
      <c r="I6224" s="22">
        <v>0</v>
      </c>
      <c r="J6224" s="24">
        <f t="shared" si="291"/>
        <v>0</v>
      </c>
      <c r="K6224" s="25">
        <f t="shared" si="293"/>
        <v>1.0000000000000009</v>
      </c>
      <c r="L6224" s="27"/>
      <c r="M6224" s="28"/>
      <c r="N6224" s="28"/>
      <c r="O6224" s="20" t="s">
        <v>7530</v>
      </c>
      <c r="P6224" s="27" t="str">
        <f t="shared" si="292"/>
        <v>vermelho</v>
      </c>
    </row>
    <row r="6225" spans="1:16" ht="25.5">
      <c r="A6225" s="3" t="s">
        <v>7253</v>
      </c>
      <c r="B6225" s="3" t="s">
        <v>7254</v>
      </c>
      <c r="C6225" s="4">
        <v>61</v>
      </c>
      <c r="D6225" s="3" t="s">
        <v>48</v>
      </c>
      <c r="E6225" s="3" t="s">
        <v>49</v>
      </c>
      <c r="F6225" s="5">
        <v>1008</v>
      </c>
      <c r="G6225" s="5">
        <v>0</v>
      </c>
      <c r="H6225" s="6">
        <v>49334.508000000002</v>
      </c>
      <c r="I6225" s="22">
        <v>0</v>
      </c>
      <c r="J6225" s="24">
        <f t="shared" si="291"/>
        <v>0</v>
      </c>
      <c r="K6225" s="25">
        <f t="shared" si="293"/>
        <v>1.0000000000000009</v>
      </c>
      <c r="L6225" s="27"/>
      <c r="M6225" s="28"/>
      <c r="N6225" s="28"/>
      <c r="O6225" s="20">
        <v>46219.68</v>
      </c>
      <c r="P6225" s="27" t="str">
        <f t="shared" si="292"/>
        <v>vermelho</v>
      </c>
    </row>
    <row r="6226" spans="1:16" ht="25.5">
      <c r="A6226" s="3" t="s">
        <v>7255</v>
      </c>
      <c r="B6226" s="3" t="s">
        <v>7256</v>
      </c>
      <c r="C6226" s="4">
        <v>61</v>
      </c>
      <c r="D6226" s="3" t="s">
        <v>48</v>
      </c>
      <c r="E6226" s="3" t="s">
        <v>49</v>
      </c>
      <c r="F6226" s="5">
        <v>846</v>
      </c>
      <c r="G6226" s="5">
        <v>0</v>
      </c>
      <c r="H6226" s="6">
        <v>44781.42</v>
      </c>
      <c r="I6226" s="22">
        <v>0</v>
      </c>
      <c r="J6226" s="24">
        <f t="shared" si="291"/>
        <v>0</v>
      </c>
      <c r="K6226" s="25">
        <f t="shared" si="293"/>
        <v>1.0000000000000009</v>
      </c>
      <c r="L6226" s="27"/>
      <c r="M6226" s="28"/>
      <c r="N6226" s="28"/>
      <c r="O6226" s="20" t="s">
        <v>7530</v>
      </c>
      <c r="P6226" s="27" t="str">
        <f t="shared" si="292"/>
        <v>vermelho</v>
      </c>
    </row>
    <row r="6227" spans="1:16">
      <c r="A6227" s="3" t="s">
        <v>7257</v>
      </c>
      <c r="B6227" s="3" t="s">
        <v>7258</v>
      </c>
      <c r="C6227" s="4">
        <v>167</v>
      </c>
      <c r="D6227" s="3" t="s">
        <v>251</v>
      </c>
      <c r="E6227" s="3" t="s">
        <v>49</v>
      </c>
      <c r="F6227" s="5">
        <v>264</v>
      </c>
      <c r="G6227" s="5">
        <v>0</v>
      </c>
      <c r="H6227" s="6">
        <v>15042.24</v>
      </c>
      <c r="I6227" s="22">
        <v>0</v>
      </c>
      <c r="J6227" s="24">
        <f t="shared" si="291"/>
        <v>0</v>
      </c>
      <c r="K6227" s="25">
        <f t="shared" si="293"/>
        <v>1.0000000000000009</v>
      </c>
      <c r="L6227" s="27"/>
      <c r="M6227" s="28"/>
      <c r="N6227" s="28"/>
      <c r="O6227" s="20" t="s">
        <v>7530</v>
      </c>
      <c r="P6227" s="27" t="str">
        <f t="shared" si="292"/>
        <v>vermelho</v>
      </c>
    </row>
    <row r="6228" spans="1:16" ht="25.5">
      <c r="A6228" s="3" t="s">
        <v>7259</v>
      </c>
      <c r="B6228" s="3" t="s">
        <v>7260</v>
      </c>
      <c r="C6228" s="4">
        <v>74</v>
      </c>
      <c r="D6228" s="3" t="s">
        <v>6</v>
      </c>
      <c r="E6228" s="3" t="s">
        <v>7</v>
      </c>
      <c r="F6228" s="5">
        <v>194</v>
      </c>
      <c r="G6228" s="5">
        <v>0</v>
      </c>
      <c r="H6228" s="6">
        <v>11900.3</v>
      </c>
      <c r="I6228" s="22">
        <v>0</v>
      </c>
      <c r="J6228" s="24">
        <f t="shared" si="291"/>
        <v>0</v>
      </c>
      <c r="K6228" s="25">
        <f t="shared" si="293"/>
        <v>1.0000000000000009</v>
      </c>
      <c r="L6228" s="27"/>
      <c r="M6228" s="28"/>
      <c r="N6228" s="28"/>
      <c r="O6228" s="20" t="s">
        <v>7530</v>
      </c>
      <c r="P6228" s="27" t="str">
        <f t="shared" si="292"/>
        <v>vermelho</v>
      </c>
    </row>
    <row r="6229" spans="1:16" ht="25.5">
      <c r="A6229" s="3" t="s">
        <v>7261</v>
      </c>
      <c r="B6229" s="3" t="s">
        <v>7262</v>
      </c>
      <c r="C6229" s="4">
        <v>317</v>
      </c>
      <c r="D6229" s="3" t="s">
        <v>78</v>
      </c>
      <c r="E6229" s="3" t="s">
        <v>10</v>
      </c>
      <c r="F6229" s="5">
        <v>252</v>
      </c>
      <c r="G6229" s="5">
        <v>0</v>
      </c>
      <c r="H6229" s="6">
        <v>15881.76</v>
      </c>
      <c r="I6229" s="22">
        <v>0</v>
      </c>
      <c r="J6229" s="24">
        <f t="shared" si="291"/>
        <v>0</v>
      </c>
      <c r="K6229" s="25">
        <f t="shared" si="293"/>
        <v>1.0000000000000009</v>
      </c>
      <c r="L6229" s="27"/>
      <c r="M6229" s="28"/>
      <c r="N6229" s="28"/>
      <c r="O6229" s="20">
        <v>21845.4</v>
      </c>
      <c r="P6229" s="27" t="str">
        <f t="shared" si="292"/>
        <v>vermelho</v>
      </c>
    </row>
    <row r="6230" spans="1:16" ht="25.5">
      <c r="A6230" s="3" t="s">
        <v>7263</v>
      </c>
      <c r="B6230" s="3" t="s">
        <v>7264</v>
      </c>
      <c r="C6230" s="4">
        <v>296</v>
      </c>
      <c r="D6230" s="3" t="s">
        <v>282</v>
      </c>
      <c r="E6230" s="3" t="s">
        <v>10</v>
      </c>
      <c r="F6230" s="5">
        <v>0</v>
      </c>
      <c r="G6230" s="5">
        <v>0</v>
      </c>
      <c r="H6230" s="6">
        <v>0</v>
      </c>
      <c r="I6230" s="22">
        <v>0</v>
      </c>
      <c r="J6230" s="24">
        <f t="shared" si="291"/>
        <v>0</v>
      </c>
      <c r="K6230" s="25">
        <f t="shared" si="293"/>
        <v>1.0000000000000009</v>
      </c>
      <c r="L6230" s="27"/>
      <c r="M6230" s="28"/>
      <c r="N6230" s="28"/>
      <c r="O6230" s="20" t="s">
        <v>7530</v>
      </c>
      <c r="P6230" s="27" t="str">
        <f t="shared" si="292"/>
        <v>vermelho</v>
      </c>
    </row>
    <row r="6231" spans="1:16">
      <c r="A6231" s="3" t="s">
        <v>7265</v>
      </c>
      <c r="B6231" s="3" t="s">
        <v>7266</v>
      </c>
      <c r="C6231" s="4">
        <v>264</v>
      </c>
      <c r="D6231" s="3" t="s">
        <v>40</v>
      </c>
      <c r="E6231" s="3" t="s">
        <v>10</v>
      </c>
      <c r="F6231" s="5">
        <v>126</v>
      </c>
      <c r="G6231" s="5">
        <v>0</v>
      </c>
      <c r="H6231" s="6">
        <v>7816.89</v>
      </c>
      <c r="I6231" s="22">
        <v>0</v>
      </c>
      <c r="J6231" s="24">
        <f t="shared" si="291"/>
        <v>0</v>
      </c>
      <c r="K6231" s="25">
        <f t="shared" si="293"/>
        <v>1.0000000000000009</v>
      </c>
      <c r="L6231" s="27"/>
      <c r="M6231" s="28"/>
      <c r="N6231" s="28"/>
      <c r="O6231" s="20" t="s">
        <v>7530</v>
      </c>
      <c r="P6231" s="27" t="str">
        <f t="shared" si="292"/>
        <v>vermelho</v>
      </c>
    </row>
    <row r="6232" spans="1:16">
      <c r="A6232" s="3" t="s">
        <v>7265</v>
      </c>
      <c r="B6232" s="3" t="s">
        <v>7266</v>
      </c>
      <c r="C6232" s="4">
        <v>115</v>
      </c>
      <c r="D6232" s="3" t="s">
        <v>3681</v>
      </c>
      <c r="E6232" s="3" t="s">
        <v>13</v>
      </c>
      <c r="F6232" s="5">
        <v>0</v>
      </c>
      <c r="G6232" s="5">
        <v>0</v>
      </c>
      <c r="H6232" s="6">
        <v>0</v>
      </c>
      <c r="I6232" s="22">
        <v>0</v>
      </c>
      <c r="J6232" s="24">
        <f t="shared" si="291"/>
        <v>0</v>
      </c>
      <c r="K6232" s="25">
        <f t="shared" si="293"/>
        <v>1.0000000000000009</v>
      </c>
      <c r="L6232" s="27"/>
      <c r="M6232" s="28"/>
      <c r="N6232" s="28"/>
      <c r="O6232" s="20" t="s">
        <v>7530</v>
      </c>
      <c r="P6232" s="27" t="str">
        <f t="shared" si="292"/>
        <v>vermelho</v>
      </c>
    </row>
    <row r="6233" spans="1:16" ht="25.5">
      <c r="A6233" s="3" t="s">
        <v>7267</v>
      </c>
      <c r="B6233" s="3" t="s">
        <v>7268</v>
      </c>
      <c r="C6233" s="4">
        <v>270</v>
      </c>
      <c r="D6233" s="3" t="s">
        <v>266</v>
      </c>
      <c r="E6233" s="3" t="s">
        <v>49</v>
      </c>
      <c r="F6233" s="5">
        <v>108</v>
      </c>
      <c r="G6233" s="5">
        <v>0</v>
      </c>
      <c r="H6233" s="6">
        <v>7404.96</v>
      </c>
      <c r="I6233" s="22">
        <v>0</v>
      </c>
      <c r="J6233" s="24">
        <f t="shared" si="291"/>
        <v>0</v>
      </c>
      <c r="K6233" s="25">
        <f t="shared" si="293"/>
        <v>1.0000000000000009</v>
      </c>
      <c r="L6233" s="27"/>
      <c r="M6233" s="28"/>
      <c r="N6233" s="28"/>
      <c r="O6233" s="20" t="s">
        <v>7530</v>
      </c>
      <c r="P6233" s="27" t="str">
        <f t="shared" si="292"/>
        <v>vermelho</v>
      </c>
    </row>
    <row r="6234" spans="1:16" ht="25.5">
      <c r="A6234" s="3" t="s">
        <v>7269</v>
      </c>
      <c r="B6234" s="3" t="s">
        <v>7270</v>
      </c>
      <c r="C6234" s="4">
        <v>19</v>
      </c>
      <c r="D6234" s="3" t="s">
        <v>72</v>
      </c>
      <c r="E6234" s="3" t="s">
        <v>41</v>
      </c>
      <c r="F6234" s="5">
        <v>264</v>
      </c>
      <c r="G6234" s="5">
        <v>0</v>
      </c>
      <c r="H6234" s="6">
        <v>17013.36</v>
      </c>
      <c r="I6234" s="22">
        <v>0</v>
      </c>
      <c r="J6234" s="24">
        <f t="shared" si="291"/>
        <v>0</v>
      </c>
      <c r="K6234" s="25">
        <f t="shared" si="293"/>
        <v>1.0000000000000009</v>
      </c>
      <c r="L6234" s="27"/>
      <c r="M6234" s="28"/>
      <c r="N6234" s="28"/>
      <c r="O6234" s="20" t="s">
        <v>7530</v>
      </c>
      <c r="P6234" s="27" t="str">
        <f t="shared" si="292"/>
        <v>vermelho</v>
      </c>
    </row>
    <row r="6235" spans="1:16" ht="25.5">
      <c r="A6235" s="3" t="s">
        <v>7271</v>
      </c>
      <c r="B6235" s="3" t="s">
        <v>7272</v>
      </c>
      <c r="C6235" s="4">
        <v>93</v>
      </c>
      <c r="D6235" s="3" t="s">
        <v>20</v>
      </c>
      <c r="E6235" s="3" t="s">
        <v>7</v>
      </c>
      <c r="F6235" s="5">
        <v>126</v>
      </c>
      <c r="G6235" s="5">
        <v>0</v>
      </c>
      <c r="H6235" s="6">
        <v>6591.09</v>
      </c>
      <c r="I6235" s="22">
        <v>0</v>
      </c>
      <c r="J6235" s="24">
        <f t="shared" si="291"/>
        <v>0</v>
      </c>
      <c r="K6235" s="25">
        <f t="shared" si="293"/>
        <v>1.0000000000000009</v>
      </c>
      <c r="L6235" s="27"/>
      <c r="M6235" s="28"/>
      <c r="N6235" s="28"/>
      <c r="O6235" s="20">
        <v>18777.240000000002</v>
      </c>
      <c r="P6235" s="27" t="str">
        <f t="shared" si="292"/>
        <v>vermelho</v>
      </c>
    </row>
    <row r="6236" spans="1:16">
      <c r="A6236" s="3" t="s">
        <v>7273</v>
      </c>
      <c r="B6236" s="3" t="s">
        <v>7274</v>
      </c>
      <c r="C6236" s="4">
        <v>217</v>
      </c>
      <c r="D6236" s="3" t="s">
        <v>91</v>
      </c>
      <c r="E6236" s="3" t="s">
        <v>16</v>
      </c>
      <c r="F6236" s="5">
        <v>570</v>
      </c>
      <c r="G6236" s="5">
        <v>0</v>
      </c>
      <c r="H6236" s="6">
        <v>29458.68</v>
      </c>
      <c r="I6236" s="22">
        <v>0</v>
      </c>
      <c r="J6236" s="24">
        <f t="shared" si="291"/>
        <v>0</v>
      </c>
      <c r="K6236" s="25">
        <f t="shared" si="293"/>
        <v>1.0000000000000009</v>
      </c>
      <c r="L6236" s="27"/>
      <c r="M6236" s="28"/>
      <c r="N6236" s="28"/>
      <c r="O6236" s="20" t="s">
        <v>7530</v>
      </c>
      <c r="P6236" s="27" t="str">
        <f t="shared" si="292"/>
        <v>vermelho</v>
      </c>
    </row>
    <row r="6237" spans="1:16" ht="51">
      <c r="A6237" s="3" t="s">
        <v>7275</v>
      </c>
      <c r="B6237" s="3" t="s">
        <v>7276</v>
      </c>
      <c r="C6237" s="4">
        <v>282</v>
      </c>
      <c r="D6237" s="3" t="s">
        <v>12</v>
      </c>
      <c r="E6237" s="3" t="s">
        <v>13</v>
      </c>
      <c r="F6237" s="5">
        <v>48</v>
      </c>
      <c r="G6237" s="5">
        <v>0</v>
      </c>
      <c r="H6237" s="6">
        <v>1921.4280000000001</v>
      </c>
      <c r="I6237" s="22">
        <v>0</v>
      </c>
      <c r="J6237" s="24">
        <f t="shared" si="291"/>
        <v>0</v>
      </c>
      <c r="K6237" s="25">
        <f t="shared" si="293"/>
        <v>1.0000000000000009</v>
      </c>
      <c r="L6237" s="27"/>
      <c r="M6237" s="28"/>
      <c r="N6237" s="28"/>
      <c r="O6237" s="20" t="s">
        <v>7530</v>
      </c>
      <c r="P6237" s="27" t="str">
        <f t="shared" si="292"/>
        <v>vermelho</v>
      </c>
    </row>
    <row r="6238" spans="1:16" ht="25.5">
      <c r="A6238" s="3" t="s">
        <v>7277</v>
      </c>
      <c r="B6238" s="3" t="s">
        <v>7278</v>
      </c>
      <c r="C6238" s="4">
        <v>273</v>
      </c>
      <c r="D6238" s="3" t="s">
        <v>149</v>
      </c>
      <c r="E6238" s="3" t="s">
        <v>16</v>
      </c>
      <c r="F6238" s="5">
        <v>84</v>
      </c>
      <c r="G6238" s="5">
        <v>0</v>
      </c>
      <c r="H6238" s="6">
        <v>3336.36</v>
      </c>
      <c r="I6238" s="22">
        <v>0</v>
      </c>
      <c r="J6238" s="24">
        <f t="shared" si="291"/>
        <v>0</v>
      </c>
      <c r="K6238" s="25">
        <f t="shared" si="293"/>
        <v>1.0000000000000009</v>
      </c>
      <c r="L6238" s="27"/>
      <c r="M6238" s="28"/>
      <c r="N6238" s="28"/>
      <c r="O6238" s="20" t="s">
        <v>7530</v>
      </c>
      <c r="P6238" s="27" t="str">
        <f t="shared" si="292"/>
        <v>vermelho</v>
      </c>
    </row>
    <row r="6239" spans="1:16" ht="25.5">
      <c r="A6239" s="3" t="s">
        <v>7279</v>
      </c>
      <c r="B6239" s="3" t="s">
        <v>7280</v>
      </c>
      <c r="C6239" s="4">
        <v>328</v>
      </c>
      <c r="D6239" s="3" t="s">
        <v>215</v>
      </c>
      <c r="E6239" s="3" t="s">
        <v>41</v>
      </c>
      <c r="F6239" s="5">
        <v>168</v>
      </c>
      <c r="G6239" s="5">
        <v>0</v>
      </c>
      <c r="H6239" s="6">
        <v>4645.68</v>
      </c>
      <c r="I6239" s="22">
        <v>0</v>
      </c>
      <c r="J6239" s="24">
        <f t="shared" si="291"/>
        <v>0</v>
      </c>
      <c r="K6239" s="25">
        <f t="shared" si="293"/>
        <v>1.0000000000000009</v>
      </c>
      <c r="L6239" s="27"/>
      <c r="M6239" s="28"/>
      <c r="N6239" s="28"/>
      <c r="O6239" s="20" t="s">
        <v>7530</v>
      </c>
      <c r="P6239" s="27" t="str">
        <f t="shared" si="292"/>
        <v>vermelho</v>
      </c>
    </row>
    <row r="6240" spans="1:16">
      <c r="A6240" s="3" t="s">
        <v>7281</v>
      </c>
      <c r="B6240" s="3" t="s">
        <v>7282</v>
      </c>
      <c r="C6240" s="4">
        <v>240</v>
      </c>
      <c r="D6240" s="3" t="s">
        <v>69</v>
      </c>
      <c r="E6240" s="3" t="s">
        <v>16</v>
      </c>
      <c r="F6240" s="5">
        <v>66</v>
      </c>
      <c r="G6240" s="5">
        <v>0</v>
      </c>
      <c r="H6240" s="6">
        <v>3218.46</v>
      </c>
      <c r="I6240" s="22">
        <v>0</v>
      </c>
      <c r="J6240" s="24">
        <f t="shared" si="291"/>
        <v>0</v>
      </c>
      <c r="K6240" s="25">
        <f t="shared" si="293"/>
        <v>1.0000000000000009</v>
      </c>
      <c r="L6240" s="27"/>
      <c r="M6240" s="28"/>
      <c r="N6240" s="28"/>
      <c r="O6240" s="20" t="s">
        <v>7530</v>
      </c>
      <c r="P6240" s="27" t="str">
        <f t="shared" si="292"/>
        <v>vermelho</v>
      </c>
    </row>
    <row r="6241" spans="1:16">
      <c r="A6241" s="3" t="s">
        <v>7283</v>
      </c>
      <c r="B6241" s="3" t="s">
        <v>7284</v>
      </c>
      <c r="C6241" s="4">
        <v>232</v>
      </c>
      <c r="D6241" s="3" t="s">
        <v>174</v>
      </c>
      <c r="E6241" s="3" t="s">
        <v>16</v>
      </c>
      <c r="F6241" s="5">
        <v>2048</v>
      </c>
      <c r="G6241" s="5">
        <v>0</v>
      </c>
      <c r="H6241" s="6">
        <v>86497.94</v>
      </c>
      <c r="I6241" s="22">
        <v>0</v>
      </c>
      <c r="J6241" s="24">
        <f t="shared" si="291"/>
        <v>0</v>
      </c>
      <c r="K6241" s="25">
        <f t="shared" si="293"/>
        <v>1.0000000000000009</v>
      </c>
      <c r="L6241" s="27"/>
      <c r="M6241" s="28"/>
      <c r="N6241" s="28"/>
      <c r="O6241" s="20" t="s">
        <v>7530</v>
      </c>
      <c r="P6241" s="27" t="str">
        <f t="shared" si="292"/>
        <v>vermelho</v>
      </c>
    </row>
    <row r="6242" spans="1:16" ht="25.5">
      <c r="A6242" s="3" t="s">
        <v>7285</v>
      </c>
      <c r="B6242" s="3" t="s">
        <v>7286</v>
      </c>
      <c r="C6242" s="4">
        <v>327</v>
      </c>
      <c r="D6242" s="3" t="s">
        <v>100</v>
      </c>
      <c r="E6242" s="3" t="s">
        <v>7</v>
      </c>
      <c r="F6242" s="5">
        <v>72</v>
      </c>
      <c r="G6242" s="5">
        <v>0</v>
      </c>
      <c r="H6242" s="6">
        <v>4506.3</v>
      </c>
      <c r="I6242" s="22">
        <v>0</v>
      </c>
      <c r="J6242" s="24">
        <f t="shared" si="291"/>
        <v>0</v>
      </c>
      <c r="K6242" s="25">
        <f t="shared" si="293"/>
        <v>1.0000000000000009</v>
      </c>
      <c r="L6242" s="27"/>
      <c r="M6242" s="28"/>
      <c r="N6242" s="28"/>
      <c r="O6242" s="20" t="s">
        <v>7530</v>
      </c>
      <c r="P6242" s="27" t="str">
        <f t="shared" si="292"/>
        <v>vermelho</v>
      </c>
    </row>
    <row r="6243" spans="1:16" ht="25.5">
      <c r="A6243" s="3" t="s">
        <v>7287</v>
      </c>
      <c r="B6243" s="3" t="s">
        <v>7288</v>
      </c>
      <c r="C6243" s="4">
        <v>31</v>
      </c>
      <c r="D6243" s="3" t="s">
        <v>194</v>
      </c>
      <c r="E6243" s="3" t="s">
        <v>16</v>
      </c>
      <c r="F6243" s="5">
        <v>333</v>
      </c>
      <c r="G6243" s="5">
        <v>0</v>
      </c>
      <c r="H6243" s="6">
        <v>19693.59</v>
      </c>
      <c r="I6243" s="22">
        <v>0</v>
      </c>
      <c r="J6243" s="24">
        <f t="shared" si="291"/>
        <v>0</v>
      </c>
      <c r="K6243" s="25">
        <f t="shared" si="293"/>
        <v>1.0000000000000009</v>
      </c>
      <c r="L6243" s="27"/>
      <c r="M6243" s="28"/>
      <c r="N6243" s="28"/>
      <c r="O6243" s="20" t="s">
        <v>7530</v>
      </c>
      <c r="P6243" s="27" t="str">
        <f t="shared" si="292"/>
        <v>vermelho</v>
      </c>
    </row>
    <row r="6244" spans="1:16" ht="25.5">
      <c r="A6244" s="3" t="s">
        <v>7289</v>
      </c>
      <c r="B6244" s="3" t="s">
        <v>7290</v>
      </c>
      <c r="C6244" s="4">
        <v>218</v>
      </c>
      <c r="D6244" s="3" t="s">
        <v>104</v>
      </c>
      <c r="E6244" s="3" t="s">
        <v>16</v>
      </c>
      <c r="F6244" s="5">
        <v>60</v>
      </c>
      <c r="G6244" s="5">
        <v>0</v>
      </c>
      <c r="H6244" s="6">
        <v>3452.64</v>
      </c>
      <c r="I6244" s="22">
        <v>0</v>
      </c>
      <c r="J6244" s="24">
        <f t="shared" si="291"/>
        <v>0</v>
      </c>
      <c r="K6244" s="25">
        <f t="shared" si="293"/>
        <v>1.0000000000000009</v>
      </c>
      <c r="L6244" s="27"/>
      <c r="M6244" s="28"/>
      <c r="N6244" s="28"/>
      <c r="O6244" s="20" t="s">
        <v>7530</v>
      </c>
      <c r="P6244" s="27" t="str">
        <f t="shared" si="292"/>
        <v>vermelho</v>
      </c>
    </row>
    <row r="6245" spans="1:16" ht="38.25">
      <c r="A6245" s="3" t="s">
        <v>7291</v>
      </c>
      <c r="B6245" s="3" t="s">
        <v>7292</v>
      </c>
      <c r="C6245" s="4">
        <v>301</v>
      </c>
      <c r="D6245" s="3" t="s">
        <v>519</v>
      </c>
      <c r="E6245" s="3" t="s">
        <v>16</v>
      </c>
      <c r="F6245" s="5">
        <v>72</v>
      </c>
      <c r="G6245" s="5">
        <v>0</v>
      </c>
      <c r="H6245" s="6">
        <v>5128.4399999999996</v>
      </c>
      <c r="I6245" s="22">
        <v>0</v>
      </c>
      <c r="J6245" s="24">
        <f t="shared" si="291"/>
        <v>0</v>
      </c>
      <c r="K6245" s="25">
        <f t="shared" si="293"/>
        <v>1.0000000000000009</v>
      </c>
      <c r="L6245" s="27"/>
      <c r="M6245" s="28"/>
      <c r="N6245" s="28"/>
      <c r="O6245" s="20" t="s">
        <v>7530</v>
      </c>
      <c r="P6245" s="27" t="str">
        <f t="shared" si="292"/>
        <v>vermelho</v>
      </c>
    </row>
    <row r="6246" spans="1:16" ht="25.5">
      <c r="A6246" s="3" t="s">
        <v>7293</v>
      </c>
      <c r="B6246" s="3" t="s">
        <v>7294</v>
      </c>
      <c r="C6246" s="4">
        <v>266</v>
      </c>
      <c r="D6246" s="3" t="s">
        <v>80</v>
      </c>
      <c r="E6246" s="3" t="s">
        <v>10</v>
      </c>
      <c r="F6246" s="5">
        <v>216</v>
      </c>
      <c r="G6246" s="5">
        <v>0</v>
      </c>
      <c r="H6246" s="6">
        <v>15569.64</v>
      </c>
      <c r="I6246" s="22">
        <v>0</v>
      </c>
      <c r="J6246" s="24">
        <f t="shared" si="291"/>
        <v>0</v>
      </c>
      <c r="K6246" s="25">
        <f t="shared" si="293"/>
        <v>1.0000000000000009</v>
      </c>
      <c r="L6246" s="27"/>
      <c r="M6246" s="28"/>
      <c r="N6246" s="28"/>
      <c r="O6246" s="20" t="s">
        <v>7530</v>
      </c>
      <c r="P6246" s="27" t="str">
        <f t="shared" si="292"/>
        <v>vermelho</v>
      </c>
    </row>
    <row r="6247" spans="1:16" ht="25.5">
      <c r="A6247" s="3" t="s">
        <v>7295</v>
      </c>
      <c r="B6247" s="3" t="s">
        <v>7296</v>
      </c>
      <c r="C6247" s="4">
        <v>194</v>
      </c>
      <c r="D6247" s="3" t="s">
        <v>145</v>
      </c>
      <c r="E6247" s="3" t="s">
        <v>16</v>
      </c>
      <c r="F6247" s="5">
        <v>84</v>
      </c>
      <c r="G6247" s="5">
        <v>0</v>
      </c>
      <c r="H6247" s="6">
        <v>5160.93</v>
      </c>
      <c r="I6247" s="22">
        <v>0</v>
      </c>
      <c r="J6247" s="24">
        <f t="shared" si="291"/>
        <v>0</v>
      </c>
      <c r="K6247" s="25">
        <f t="shared" si="293"/>
        <v>1.0000000000000009</v>
      </c>
      <c r="L6247" s="27"/>
      <c r="M6247" s="28"/>
      <c r="N6247" s="28"/>
      <c r="O6247" s="20" t="s">
        <v>7530</v>
      </c>
      <c r="P6247" s="27" t="str">
        <f t="shared" si="292"/>
        <v>vermelho</v>
      </c>
    </row>
    <row r="6248" spans="1:16" ht="25.5">
      <c r="A6248" s="3" t="s">
        <v>7297</v>
      </c>
      <c r="B6248" s="3" t="s">
        <v>7298</v>
      </c>
      <c r="C6248" s="4">
        <v>266</v>
      </c>
      <c r="D6248" s="3" t="s">
        <v>80</v>
      </c>
      <c r="E6248" s="3" t="s">
        <v>10</v>
      </c>
      <c r="F6248" s="5">
        <v>2631</v>
      </c>
      <c r="G6248" s="5">
        <v>0</v>
      </c>
      <c r="H6248" s="6">
        <v>149447.01</v>
      </c>
      <c r="I6248" s="22">
        <v>0</v>
      </c>
      <c r="J6248" s="24">
        <f t="shared" si="291"/>
        <v>0</v>
      </c>
      <c r="K6248" s="25">
        <f t="shared" si="293"/>
        <v>1.0000000000000009</v>
      </c>
      <c r="L6248" s="27"/>
      <c r="M6248" s="28"/>
      <c r="N6248" s="28"/>
      <c r="O6248" s="20" t="s">
        <v>7530</v>
      </c>
      <c r="P6248" s="27" t="str">
        <f t="shared" si="292"/>
        <v>vermelho</v>
      </c>
    </row>
    <row r="6249" spans="1:16" ht="38.25">
      <c r="A6249" s="3" t="s">
        <v>7299</v>
      </c>
      <c r="B6249" s="3" t="s">
        <v>7300</v>
      </c>
      <c r="C6249" s="4">
        <v>371</v>
      </c>
      <c r="D6249" s="3" t="s">
        <v>82</v>
      </c>
      <c r="E6249" s="3" t="s">
        <v>49</v>
      </c>
      <c r="F6249" s="5">
        <v>63</v>
      </c>
      <c r="G6249" s="5">
        <v>0</v>
      </c>
      <c r="H6249" s="6">
        <v>3113.37</v>
      </c>
      <c r="I6249" s="22">
        <v>0</v>
      </c>
      <c r="J6249" s="24">
        <f t="shared" si="291"/>
        <v>0</v>
      </c>
      <c r="K6249" s="25">
        <f t="shared" si="293"/>
        <v>1.0000000000000009</v>
      </c>
      <c r="L6249" s="27"/>
      <c r="M6249" s="28"/>
      <c r="N6249" s="28"/>
      <c r="O6249" s="20" t="s">
        <v>7530</v>
      </c>
      <c r="P6249" s="27" t="str">
        <f t="shared" si="292"/>
        <v>vermelho</v>
      </c>
    </row>
    <row r="6250" spans="1:16" ht="25.5">
      <c r="A6250" s="3" t="s">
        <v>7301</v>
      </c>
      <c r="B6250" s="3" t="s">
        <v>7302</v>
      </c>
      <c r="C6250" s="4">
        <v>310</v>
      </c>
      <c r="D6250" s="3" t="s">
        <v>2523</v>
      </c>
      <c r="E6250" s="3" t="s">
        <v>41</v>
      </c>
      <c r="F6250" s="5">
        <v>0</v>
      </c>
      <c r="G6250" s="5">
        <v>0</v>
      </c>
      <c r="H6250" s="6">
        <v>0</v>
      </c>
      <c r="I6250" s="22">
        <v>0</v>
      </c>
      <c r="J6250" s="24">
        <f t="shared" si="291"/>
        <v>0</v>
      </c>
      <c r="K6250" s="25">
        <f t="shared" si="293"/>
        <v>1.0000000000000009</v>
      </c>
      <c r="L6250" s="27"/>
      <c r="M6250" s="28"/>
      <c r="N6250" s="28"/>
      <c r="O6250" s="20">
        <v>0</v>
      </c>
      <c r="P6250" s="27" t="str">
        <f t="shared" si="292"/>
        <v>vermelho</v>
      </c>
    </row>
    <row r="6251" spans="1:16" ht="25.5">
      <c r="A6251" s="3" t="s">
        <v>7301</v>
      </c>
      <c r="B6251" s="3" t="s">
        <v>7302</v>
      </c>
      <c r="C6251" s="4">
        <v>310</v>
      </c>
      <c r="D6251" s="3" t="s">
        <v>2523</v>
      </c>
      <c r="E6251" s="3" t="s">
        <v>10</v>
      </c>
      <c r="F6251" s="5">
        <v>100</v>
      </c>
      <c r="G6251" s="5">
        <v>0</v>
      </c>
      <c r="H6251" s="6">
        <v>2000</v>
      </c>
      <c r="I6251" s="22">
        <v>0</v>
      </c>
      <c r="J6251" s="24">
        <f t="shared" si="291"/>
        <v>0</v>
      </c>
      <c r="K6251" s="25">
        <f t="shared" si="293"/>
        <v>1.0000000000000009</v>
      </c>
      <c r="L6251" s="27"/>
      <c r="M6251" s="28"/>
      <c r="N6251" s="28"/>
      <c r="O6251" s="20">
        <v>0</v>
      </c>
      <c r="P6251" s="27" t="str">
        <f t="shared" si="292"/>
        <v>vermelho</v>
      </c>
    </row>
    <row r="6252" spans="1:16" ht="25.5">
      <c r="A6252" s="3" t="s">
        <v>7301</v>
      </c>
      <c r="B6252" s="3" t="s">
        <v>7302</v>
      </c>
      <c r="C6252" s="4">
        <v>310</v>
      </c>
      <c r="D6252" s="3" t="s">
        <v>2523</v>
      </c>
      <c r="E6252" s="3" t="s">
        <v>13</v>
      </c>
      <c r="F6252" s="5">
        <v>0</v>
      </c>
      <c r="G6252" s="5">
        <v>0</v>
      </c>
      <c r="H6252" s="6">
        <v>0</v>
      </c>
      <c r="I6252" s="22">
        <v>0</v>
      </c>
      <c r="J6252" s="24">
        <f t="shared" si="291"/>
        <v>0</v>
      </c>
      <c r="K6252" s="25">
        <f t="shared" si="293"/>
        <v>1.0000000000000009</v>
      </c>
      <c r="L6252" s="27"/>
      <c r="M6252" s="28"/>
      <c r="N6252" s="28"/>
      <c r="O6252" s="20">
        <v>0</v>
      </c>
      <c r="P6252" s="27" t="str">
        <f t="shared" si="292"/>
        <v>vermelho</v>
      </c>
    </row>
    <row r="6253" spans="1:16">
      <c r="A6253" s="3" t="s">
        <v>7303</v>
      </c>
      <c r="B6253" s="3" t="s">
        <v>7304</v>
      </c>
      <c r="C6253" s="4">
        <v>323</v>
      </c>
      <c r="D6253" s="3" t="s">
        <v>3686</v>
      </c>
      <c r="E6253" s="3" t="s">
        <v>7</v>
      </c>
      <c r="F6253" s="5">
        <v>0</v>
      </c>
      <c r="G6253" s="5">
        <v>0</v>
      </c>
      <c r="H6253" s="6">
        <v>0</v>
      </c>
      <c r="I6253" s="22">
        <v>0</v>
      </c>
      <c r="J6253" s="24">
        <f t="shared" si="291"/>
        <v>0</v>
      </c>
      <c r="K6253" s="25">
        <f t="shared" si="293"/>
        <v>1.0000000000000009</v>
      </c>
      <c r="L6253" s="27"/>
      <c r="M6253" s="28"/>
      <c r="N6253" s="28"/>
      <c r="O6253" s="20">
        <v>0</v>
      </c>
      <c r="P6253" s="27" t="str">
        <f t="shared" si="292"/>
        <v>vermelho</v>
      </c>
    </row>
    <row r="6254" spans="1:16">
      <c r="A6254" s="3" t="s">
        <v>7303</v>
      </c>
      <c r="B6254" s="3" t="s">
        <v>7304</v>
      </c>
      <c r="C6254" s="4">
        <v>323</v>
      </c>
      <c r="D6254" s="3" t="s">
        <v>3686</v>
      </c>
      <c r="E6254" s="3" t="s">
        <v>13</v>
      </c>
      <c r="F6254" s="5">
        <v>0</v>
      </c>
      <c r="G6254" s="5">
        <v>0</v>
      </c>
      <c r="H6254" s="6">
        <v>0</v>
      </c>
      <c r="I6254" s="22">
        <v>0</v>
      </c>
      <c r="J6254" s="24">
        <f t="shared" si="291"/>
        <v>0</v>
      </c>
      <c r="K6254" s="25">
        <f t="shared" si="293"/>
        <v>1.0000000000000009</v>
      </c>
      <c r="L6254" s="27"/>
      <c r="M6254" s="28"/>
      <c r="N6254" s="28"/>
      <c r="O6254" s="20">
        <v>0</v>
      </c>
      <c r="P6254" s="27" t="str">
        <f t="shared" si="292"/>
        <v>vermelho</v>
      </c>
    </row>
    <row r="6255" spans="1:16">
      <c r="A6255" s="3" t="s">
        <v>7303</v>
      </c>
      <c r="B6255" s="3" t="s">
        <v>7304</v>
      </c>
      <c r="C6255" s="4">
        <v>323</v>
      </c>
      <c r="D6255" s="3" t="s">
        <v>3686</v>
      </c>
      <c r="E6255" s="3" t="s">
        <v>41</v>
      </c>
      <c r="F6255" s="5">
        <v>0</v>
      </c>
      <c r="G6255" s="5">
        <v>0</v>
      </c>
      <c r="H6255" s="6">
        <v>0</v>
      </c>
      <c r="I6255" s="22">
        <v>0</v>
      </c>
      <c r="J6255" s="24">
        <f t="shared" si="291"/>
        <v>0</v>
      </c>
      <c r="K6255" s="25">
        <f t="shared" si="293"/>
        <v>1.0000000000000009</v>
      </c>
      <c r="L6255" s="27"/>
      <c r="M6255" s="28"/>
      <c r="N6255" s="28"/>
      <c r="O6255" s="20">
        <v>0</v>
      </c>
      <c r="P6255" s="27" t="str">
        <f t="shared" si="292"/>
        <v>vermelho</v>
      </c>
    </row>
    <row r="6256" spans="1:16" ht="25.5">
      <c r="A6256" s="3" t="s">
        <v>7305</v>
      </c>
      <c r="B6256" s="3" t="s">
        <v>7306</v>
      </c>
      <c r="C6256" s="4">
        <v>30</v>
      </c>
      <c r="D6256" s="3" t="s">
        <v>4121</v>
      </c>
      <c r="E6256" s="3" t="s">
        <v>7</v>
      </c>
      <c r="F6256" s="5">
        <v>0</v>
      </c>
      <c r="G6256" s="5">
        <v>0</v>
      </c>
      <c r="H6256" s="6">
        <v>0</v>
      </c>
      <c r="I6256" s="22">
        <v>0</v>
      </c>
      <c r="J6256" s="24">
        <f t="shared" si="291"/>
        <v>0</v>
      </c>
      <c r="K6256" s="25">
        <f t="shared" si="293"/>
        <v>1.0000000000000009</v>
      </c>
      <c r="L6256" s="27"/>
      <c r="M6256" s="28"/>
      <c r="N6256" s="28"/>
      <c r="O6256" s="20" t="s">
        <v>7530</v>
      </c>
      <c r="P6256" s="27" t="str">
        <f t="shared" si="292"/>
        <v>vermelho</v>
      </c>
    </row>
    <row r="6257" spans="1:16" ht="25.5">
      <c r="A6257" s="3" t="s">
        <v>7307</v>
      </c>
      <c r="B6257" s="3" t="s">
        <v>7308</v>
      </c>
      <c r="C6257" s="4">
        <v>309</v>
      </c>
      <c r="D6257" s="3" t="s">
        <v>5109</v>
      </c>
      <c r="E6257" s="3" t="s">
        <v>16</v>
      </c>
      <c r="F6257" s="5">
        <v>0</v>
      </c>
      <c r="G6257" s="5">
        <v>0</v>
      </c>
      <c r="H6257" s="6">
        <v>0</v>
      </c>
      <c r="I6257" s="22">
        <v>0</v>
      </c>
      <c r="J6257" s="24">
        <f t="shared" si="291"/>
        <v>0</v>
      </c>
      <c r="K6257" s="25">
        <f t="shared" si="293"/>
        <v>1.0000000000000009</v>
      </c>
      <c r="L6257" s="27"/>
      <c r="M6257" s="28"/>
      <c r="N6257" s="28"/>
      <c r="O6257" s="20">
        <v>0</v>
      </c>
      <c r="P6257" s="27" t="str">
        <f t="shared" si="292"/>
        <v>vermelho</v>
      </c>
    </row>
    <row r="6258" spans="1:16" ht="25.5">
      <c r="A6258" s="3" t="s">
        <v>7307</v>
      </c>
      <c r="B6258" s="3" t="s">
        <v>7308</v>
      </c>
      <c r="C6258" s="4">
        <v>309</v>
      </c>
      <c r="D6258" s="3" t="s">
        <v>5109</v>
      </c>
      <c r="E6258" s="3" t="s">
        <v>41</v>
      </c>
      <c r="F6258" s="5">
        <v>0</v>
      </c>
      <c r="G6258" s="5">
        <v>0</v>
      </c>
      <c r="H6258" s="6">
        <v>0</v>
      </c>
      <c r="I6258" s="22">
        <v>0</v>
      </c>
      <c r="J6258" s="24">
        <f t="shared" si="291"/>
        <v>0</v>
      </c>
      <c r="K6258" s="25">
        <f t="shared" si="293"/>
        <v>1.0000000000000009</v>
      </c>
      <c r="L6258" s="27"/>
      <c r="M6258" s="28"/>
      <c r="N6258" s="28"/>
      <c r="O6258" s="20">
        <v>0</v>
      </c>
      <c r="P6258" s="27" t="str">
        <f t="shared" si="292"/>
        <v>vermelho</v>
      </c>
    </row>
    <row r="6259" spans="1:16" ht="25.5">
      <c r="A6259" s="3" t="s">
        <v>7307</v>
      </c>
      <c r="B6259" s="3" t="s">
        <v>7308</v>
      </c>
      <c r="C6259" s="4">
        <v>163</v>
      </c>
      <c r="D6259" s="3" t="s">
        <v>7055</v>
      </c>
      <c r="E6259" s="3" t="s">
        <v>41</v>
      </c>
      <c r="F6259" s="5">
        <v>0</v>
      </c>
      <c r="G6259" s="5">
        <v>0</v>
      </c>
      <c r="H6259" s="6">
        <v>0</v>
      </c>
      <c r="I6259" s="22">
        <v>0</v>
      </c>
      <c r="J6259" s="24">
        <f t="shared" si="291"/>
        <v>0</v>
      </c>
      <c r="K6259" s="25">
        <f t="shared" si="293"/>
        <v>1.0000000000000009</v>
      </c>
      <c r="L6259" s="27"/>
      <c r="M6259" s="28"/>
      <c r="N6259" s="28"/>
      <c r="O6259" s="20">
        <v>0</v>
      </c>
      <c r="P6259" s="27" t="str">
        <f t="shared" si="292"/>
        <v>vermelho</v>
      </c>
    </row>
    <row r="6260" spans="1:16" ht="25.5">
      <c r="A6260" s="3" t="s">
        <v>7309</v>
      </c>
      <c r="B6260" s="3" t="s">
        <v>7310</v>
      </c>
      <c r="C6260" s="4">
        <v>273</v>
      </c>
      <c r="D6260" s="3" t="s">
        <v>149</v>
      </c>
      <c r="E6260" s="3" t="s">
        <v>16</v>
      </c>
      <c r="F6260" s="5">
        <v>78</v>
      </c>
      <c r="G6260" s="5">
        <v>0</v>
      </c>
      <c r="H6260" s="6">
        <v>4735.38</v>
      </c>
      <c r="I6260" s="22">
        <v>0</v>
      </c>
      <c r="J6260" s="24">
        <f t="shared" si="291"/>
        <v>0</v>
      </c>
      <c r="K6260" s="25">
        <f t="shared" si="293"/>
        <v>1.0000000000000009</v>
      </c>
      <c r="L6260" s="27"/>
      <c r="M6260" s="28"/>
      <c r="N6260" s="28"/>
      <c r="O6260" s="20" t="s">
        <v>7530</v>
      </c>
      <c r="P6260" s="27" t="str">
        <f t="shared" si="292"/>
        <v>vermelho</v>
      </c>
    </row>
    <row r="6261" spans="1:16" ht="25.5">
      <c r="A6261" s="3" t="s">
        <v>7311</v>
      </c>
      <c r="B6261" s="3" t="s">
        <v>7312</v>
      </c>
      <c r="C6261" s="4">
        <v>316</v>
      </c>
      <c r="D6261" s="3" t="s">
        <v>247</v>
      </c>
      <c r="E6261" s="3" t="s">
        <v>10</v>
      </c>
      <c r="F6261" s="5">
        <v>120</v>
      </c>
      <c r="G6261" s="5">
        <v>0</v>
      </c>
      <c r="H6261" s="6">
        <v>6600.72</v>
      </c>
      <c r="I6261" s="22">
        <v>0</v>
      </c>
      <c r="J6261" s="24">
        <f t="shared" si="291"/>
        <v>0</v>
      </c>
      <c r="K6261" s="25">
        <f t="shared" si="293"/>
        <v>1.0000000000000009</v>
      </c>
      <c r="L6261" s="27"/>
      <c r="M6261" s="28"/>
      <c r="N6261" s="28"/>
      <c r="O6261" s="20" t="s">
        <v>7530</v>
      </c>
      <c r="P6261" s="27" t="str">
        <f t="shared" si="292"/>
        <v>vermelho</v>
      </c>
    </row>
    <row r="6262" spans="1:16" ht="25.5">
      <c r="A6262" s="3" t="s">
        <v>7313</v>
      </c>
      <c r="B6262" s="3" t="s">
        <v>7314</v>
      </c>
      <c r="C6262" s="4">
        <v>296</v>
      </c>
      <c r="D6262" s="3" t="s">
        <v>282</v>
      </c>
      <c r="E6262" s="3" t="s">
        <v>7</v>
      </c>
      <c r="F6262" s="5">
        <v>0</v>
      </c>
      <c r="G6262" s="5">
        <v>0</v>
      </c>
      <c r="H6262" s="6">
        <v>0</v>
      </c>
      <c r="I6262" s="22">
        <v>0</v>
      </c>
      <c r="J6262" s="24">
        <f t="shared" si="291"/>
        <v>0</v>
      </c>
      <c r="K6262" s="25">
        <f t="shared" si="293"/>
        <v>1.0000000000000009</v>
      </c>
      <c r="L6262" s="27"/>
      <c r="M6262" s="28"/>
      <c r="N6262" s="28"/>
      <c r="O6262" s="20" t="s">
        <v>7530</v>
      </c>
      <c r="P6262" s="27" t="str">
        <f t="shared" si="292"/>
        <v>vermelho</v>
      </c>
    </row>
    <row r="6263" spans="1:16" ht="25.5">
      <c r="A6263" s="3" t="s">
        <v>7315</v>
      </c>
      <c r="B6263" s="3" t="s">
        <v>7316</v>
      </c>
      <c r="C6263" s="4">
        <v>327</v>
      </c>
      <c r="D6263" s="3" t="s">
        <v>100</v>
      </c>
      <c r="E6263" s="3" t="s">
        <v>7</v>
      </c>
      <c r="F6263" s="5">
        <v>1725</v>
      </c>
      <c r="G6263" s="5">
        <v>0</v>
      </c>
      <c r="H6263" s="6">
        <v>93460.65</v>
      </c>
      <c r="I6263" s="22">
        <v>0</v>
      </c>
      <c r="J6263" s="24">
        <f t="shared" si="291"/>
        <v>0</v>
      </c>
      <c r="K6263" s="25">
        <f t="shared" si="293"/>
        <v>1.0000000000000009</v>
      </c>
      <c r="L6263" s="27"/>
      <c r="M6263" s="28"/>
      <c r="N6263" s="28"/>
      <c r="O6263" s="20" t="s">
        <v>7530</v>
      </c>
      <c r="P6263" s="27" t="str">
        <f t="shared" si="292"/>
        <v>vermelho</v>
      </c>
    </row>
    <row r="6264" spans="1:16" ht="25.5">
      <c r="A6264" s="3" t="s">
        <v>7317</v>
      </c>
      <c r="B6264" s="3" t="s">
        <v>7318</v>
      </c>
      <c r="C6264" s="4">
        <v>296</v>
      </c>
      <c r="D6264" s="3" t="s">
        <v>282</v>
      </c>
      <c r="E6264" s="3" t="s">
        <v>49</v>
      </c>
      <c r="F6264" s="5">
        <v>228</v>
      </c>
      <c r="G6264" s="5">
        <v>0</v>
      </c>
      <c r="H6264" s="6">
        <v>11314.56</v>
      </c>
      <c r="I6264" s="22">
        <v>0</v>
      </c>
      <c r="J6264" s="24">
        <f t="shared" si="291"/>
        <v>0</v>
      </c>
      <c r="K6264" s="25">
        <f t="shared" si="293"/>
        <v>1.0000000000000009</v>
      </c>
      <c r="L6264" s="27"/>
      <c r="M6264" s="28"/>
      <c r="N6264" s="28"/>
      <c r="O6264" s="20" t="s">
        <v>7530</v>
      </c>
      <c r="P6264" s="27" t="str">
        <f t="shared" si="292"/>
        <v>vermelho</v>
      </c>
    </row>
    <row r="6265" spans="1:16">
      <c r="A6265" s="3" t="s">
        <v>7319</v>
      </c>
      <c r="B6265" s="3" t="s">
        <v>7320</v>
      </c>
      <c r="C6265" s="4">
        <v>264</v>
      </c>
      <c r="D6265" s="3" t="s">
        <v>40</v>
      </c>
      <c r="E6265" s="3" t="s">
        <v>10</v>
      </c>
      <c r="F6265" s="5">
        <v>84</v>
      </c>
      <c r="G6265" s="5">
        <v>0</v>
      </c>
      <c r="H6265" s="6">
        <v>3434.76</v>
      </c>
      <c r="I6265" s="22">
        <v>0</v>
      </c>
      <c r="J6265" s="24">
        <f t="shared" si="291"/>
        <v>0</v>
      </c>
      <c r="K6265" s="25">
        <f t="shared" si="293"/>
        <v>1.0000000000000009</v>
      </c>
      <c r="L6265" s="27"/>
      <c r="M6265" s="28"/>
      <c r="N6265" s="28"/>
      <c r="O6265" s="20" t="s">
        <v>7530</v>
      </c>
      <c r="P6265" s="27" t="str">
        <f t="shared" si="292"/>
        <v>vermelho</v>
      </c>
    </row>
    <row r="6266" spans="1:16">
      <c r="A6266" s="3" t="s">
        <v>7321</v>
      </c>
      <c r="B6266" s="3" t="s">
        <v>7322</v>
      </c>
      <c r="C6266" s="4">
        <v>217</v>
      </c>
      <c r="D6266" s="3" t="s">
        <v>91</v>
      </c>
      <c r="E6266" s="3" t="s">
        <v>16</v>
      </c>
      <c r="F6266" s="5">
        <v>57</v>
      </c>
      <c r="G6266" s="5">
        <v>0</v>
      </c>
      <c r="H6266" s="6">
        <v>3197.13</v>
      </c>
      <c r="I6266" s="22">
        <v>0</v>
      </c>
      <c r="J6266" s="24">
        <f t="shared" si="291"/>
        <v>0</v>
      </c>
      <c r="K6266" s="25">
        <f t="shared" si="293"/>
        <v>1.0000000000000009</v>
      </c>
      <c r="L6266" s="27"/>
      <c r="M6266" s="28"/>
      <c r="N6266" s="28"/>
      <c r="O6266" s="20" t="s">
        <v>7530</v>
      </c>
      <c r="P6266" s="27" t="str">
        <f t="shared" si="292"/>
        <v>vermelho</v>
      </c>
    </row>
    <row r="6267" spans="1:16" ht="25.5">
      <c r="A6267" s="3" t="s">
        <v>7323</v>
      </c>
      <c r="B6267" s="3" t="s">
        <v>7324</v>
      </c>
      <c r="C6267" s="4">
        <v>335</v>
      </c>
      <c r="D6267" s="3" t="s">
        <v>36</v>
      </c>
      <c r="E6267" s="3" t="s">
        <v>7</v>
      </c>
      <c r="F6267" s="5">
        <v>522</v>
      </c>
      <c r="G6267" s="5">
        <v>0</v>
      </c>
      <c r="H6267" s="6">
        <v>32565.9</v>
      </c>
      <c r="I6267" s="22">
        <v>0</v>
      </c>
      <c r="J6267" s="24">
        <f t="shared" si="291"/>
        <v>0</v>
      </c>
      <c r="K6267" s="25">
        <f t="shared" si="293"/>
        <v>1.0000000000000009</v>
      </c>
      <c r="L6267" s="27"/>
      <c r="M6267" s="28"/>
      <c r="N6267" s="28"/>
      <c r="O6267" s="20" t="s">
        <v>7530</v>
      </c>
      <c r="P6267" s="27" t="str">
        <f t="shared" si="292"/>
        <v>vermelho</v>
      </c>
    </row>
    <row r="6268" spans="1:16" ht="25.5">
      <c r="A6268" s="3" t="s">
        <v>7325</v>
      </c>
      <c r="B6268" s="3" t="s">
        <v>7326</v>
      </c>
      <c r="C6268" s="4">
        <v>335</v>
      </c>
      <c r="D6268" s="3" t="s">
        <v>36</v>
      </c>
      <c r="E6268" s="3" t="s">
        <v>7</v>
      </c>
      <c r="F6268" s="5">
        <v>168</v>
      </c>
      <c r="G6268" s="5">
        <v>0</v>
      </c>
      <c r="H6268" s="6">
        <v>10946.76</v>
      </c>
      <c r="I6268" s="22">
        <v>0</v>
      </c>
      <c r="J6268" s="24">
        <f t="shared" si="291"/>
        <v>0</v>
      </c>
      <c r="K6268" s="25">
        <f t="shared" si="293"/>
        <v>1.0000000000000009</v>
      </c>
      <c r="L6268" s="27"/>
      <c r="M6268" s="28"/>
      <c r="N6268" s="28"/>
      <c r="O6268" s="20" t="s">
        <v>7530</v>
      </c>
      <c r="P6268" s="27" t="str">
        <f t="shared" si="292"/>
        <v>vermelho</v>
      </c>
    </row>
    <row r="6269" spans="1:16" ht="25.5">
      <c r="A6269" s="3" t="s">
        <v>7327</v>
      </c>
      <c r="B6269" s="3" t="s">
        <v>7328</v>
      </c>
      <c r="C6269" s="4">
        <v>337</v>
      </c>
      <c r="D6269" s="3" t="s">
        <v>202</v>
      </c>
      <c r="E6269" s="3" t="s">
        <v>16</v>
      </c>
      <c r="F6269" s="5">
        <v>276</v>
      </c>
      <c r="G6269" s="5">
        <v>0</v>
      </c>
      <c r="H6269" s="6">
        <v>14318.04</v>
      </c>
      <c r="I6269" s="22">
        <v>0</v>
      </c>
      <c r="J6269" s="24">
        <f t="shared" si="291"/>
        <v>0</v>
      </c>
      <c r="K6269" s="25">
        <f t="shared" si="293"/>
        <v>1.0000000000000009</v>
      </c>
      <c r="L6269" s="27"/>
      <c r="M6269" s="28"/>
      <c r="N6269" s="28"/>
      <c r="O6269" s="20" t="s">
        <v>7530</v>
      </c>
      <c r="P6269" s="27" t="str">
        <f t="shared" si="292"/>
        <v>vermelho</v>
      </c>
    </row>
    <row r="6270" spans="1:16">
      <c r="A6270" s="3" t="s">
        <v>7329</v>
      </c>
      <c r="B6270" s="3" t="s">
        <v>7330</v>
      </c>
      <c r="C6270" s="4">
        <v>240</v>
      </c>
      <c r="D6270" s="3" t="s">
        <v>69</v>
      </c>
      <c r="E6270" s="3" t="s">
        <v>16</v>
      </c>
      <c r="F6270" s="5">
        <v>72</v>
      </c>
      <c r="G6270" s="5">
        <v>0</v>
      </c>
      <c r="H6270" s="6">
        <v>3978.72</v>
      </c>
      <c r="I6270" s="22">
        <v>0</v>
      </c>
      <c r="J6270" s="24">
        <f t="shared" si="291"/>
        <v>0</v>
      </c>
      <c r="K6270" s="25">
        <f t="shared" si="293"/>
        <v>1.0000000000000009</v>
      </c>
      <c r="L6270" s="27"/>
      <c r="M6270" s="28"/>
      <c r="N6270" s="28"/>
      <c r="O6270" s="20" t="s">
        <v>7530</v>
      </c>
      <c r="P6270" s="27" t="str">
        <f t="shared" si="292"/>
        <v>vermelho</v>
      </c>
    </row>
    <row r="6271" spans="1:16" ht="25.5">
      <c r="A6271" s="3" t="s">
        <v>7331</v>
      </c>
      <c r="B6271" s="3" t="s">
        <v>7332</v>
      </c>
      <c r="C6271" s="4">
        <v>327</v>
      </c>
      <c r="D6271" s="3" t="s">
        <v>100</v>
      </c>
      <c r="E6271" s="3" t="s">
        <v>7</v>
      </c>
      <c r="F6271" s="5">
        <v>60</v>
      </c>
      <c r="G6271" s="5">
        <v>0</v>
      </c>
      <c r="H6271" s="6">
        <v>4151.3999999999996</v>
      </c>
      <c r="I6271" s="22">
        <v>0</v>
      </c>
      <c r="J6271" s="24">
        <f t="shared" si="291"/>
        <v>0</v>
      </c>
      <c r="K6271" s="25">
        <f t="shared" si="293"/>
        <v>1.0000000000000009</v>
      </c>
      <c r="L6271" s="27"/>
      <c r="M6271" s="28"/>
      <c r="N6271" s="28"/>
      <c r="O6271" s="20" t="s">
        <v>7530</v>
      </c>
      <c r="P6271" s="27" t="str">
        <f t="shared" si="292"/>
        <v>vermelho</v>
      </c>
    </row>
    <row r="6272" spans="1:16" ht="38.25">
      <c r="A6272" s="3" t="s">
        <v>7333</v>
      </c>
      <c r="B6272" s="3" t="s">
        <v>7334</v>
      </c>
      <c r="C6272" s="4">
        <v>292</v>
      </c>
      <c r="D6272" s="3" t="s">
        <v>57</v>
      </c>
      <c r="E6272" s="3" t="s">
        <v>49</v>
      </c>
      <c r="F6272" s="5">
        <v>69</v>
      </c>
      <c r="G6272" s="5">
        <v>0</v>
      </c>
      <c r="H6272" s="6">
        <v>3119.0940000000001</v>
      </c>
      <c r="I6272" s="22">
        <v>0</v>
      </c>
      <c r="J6272" s="24">
        <f t="shared" si="291"/>
        <v>0</v>
      </c>
      <c r="K6272" s="25">
        <f t="shared" si="293"/>
        <v>1.0000000000000009</v>
      </c>
      <c r="L6272" s="27"/>
      <c r="M6272" s="28"/>
      <c r="N6272" s="28"/>
      <c r="O6272" s="20" t="s">
        <v>7530</v>
      </c>
      <c r="P6272" s="27" t="str">
        <f t="shared" si="292"/>
        <v>vermelho</v>
      </c>
    </row>
    <row r="6273" spans="1:16" ht="25.5">
      <c r="A6273" s="3" t="s">
        <v>7335</v>
      </c>
      <c r="B6273" s="3" t="s">
        <v>7336</v>
      </c>
      <c r="C6273" s="4">
        <v>317</v>
      </c>
      <c r="D6273" s="3" t="s">
        <v>78</v>
      </c>
      <c r="E6273" s="3" t="s">
        <v>10</v>
      </c>
      <c r="F6273" s="5">
        <v>348</v>
      </c>
      <c r="G6273" s="5">
        <v>0</v>
      </c>
      <c r="H6273" s="6">
        <v>22038.36</v>
      </c>
      <c r="I6273" s="22">
        <v>0</v>
      </c>
      <c r="J6273" s="24">
        <f t="shared" si="291"/>
        <v>0</v>
      </c>
      <c r="K6273" s="25">
        <f t="shared" si="293"/>
        <v>1.0000000000000009</v>
      </c>
      <c r="L6273" s="27"/>
      <c r="M6273" s="28"/>
      <c r="N6273" s="28"/>
      <c r="O6273" s="20" t="s">
        <v>7530</v>
      </c>
      <c r="P6273" s="27" t="str">
        <f t="shared" si="292"/>
        <v>vermelho</v>
      </c>
    </row>
    <row r="6274" spans="1:16" ht="25.5">
      <c r="A6274" s="3" t="s">
        <v>7337</v>
      </c>
      <c r="B6274" s="3" t="s">
        <v>7338</v>
      </c>
      <c r="C6274" s="4">
        <v>273</v>
      </c>
      <c r="D6274" s="3" t="s">
        <v>149</v>
      </c>
      <c r="E6274" s="3" t="s">
        <v>16</v>
      </c>
      <c r="F6274" s="5">
        <v>360</v>
      </c>
      <c r="G6274" s="5">
        <v>0</v>
      </c>
      <c r="H6274" s="6">
        <v>18359.580000000002</v>
      </c>
      <c r="I6274" s="22">
        <v>0</v>
      </c>
      <c r="J6274" s="24">
        <f t="shared" si="291"/>
        <v>0</v>
      </c>
      <c r="K6274" s="25">
        <f t="shared" si="293"/>
        <v>1.0000000000000009</v>
      </c>
      <c r="L6274" s="27"/>
      <c r="M6274" s="28"/>
      <c r="N6274" s="28"/>
      <c r="O6274" s="20" t="s">
        <v>7530</v>
      </c>
      <c r="P6274" s="27" t="str">
        <f t="shared" si="292"/>
        <v>vermelho</v>
      </c>
    </row>
    <row r="6275" spans="1:16">
      <c r="A6275" s="3" t="s">
        <v>7339</v>
      </c>
      <c r="B6275" s="3" t="s">
        <v>7340</v>
      </c>
      <c r="C6275" s="4">
        <v>240</v>
      </c>
      <c r="D6275" s="3" t="s">
        <v>69</v>
      </c>
      <c r="E6275" s="3" t="s">
        <v>16</v>
      </c>
      <c r="F6275" s="5">
        <v>903</v>
      </c>
      <c r="G6275" s="5">
        <v>0</v>
      </c>
      <c r="H6275" s="6">
        <v>50930.01</v>
      </c>
      <c r="I6275" s="22">
        <v>0</v>
      </c>
      <c r="J6275" s="24">
        <f t="shared" ref="J6275:J6338" si="294">I6275/$I$6364</f>
        <v>0</v>
      </c>
      <c r="K6275" s="25">
        <f t="shared" si="293"/>
        <v>1.0000000000000009</v>
      </c>
      <c r="L6275" s="27"/>
      <c r="M6275" s="28"/>
      <c r="N6275" s="28"/>
      <c r="O6275" s="20" t="s">
        <v>7530</v>
      </c>
      <c r="P6275" s="27" t="str">
        <f t="shared" ref="P6275:P6338" si="295">IF(O6275&lt;=0,"vermelho",IFERROR(IF(O6275/I6275&lt;=0.5098,"amarelo",IF(O6275/I6275&lt;1,"laranja","verde")),"vermelho"))</f>
        <v>vermelho</v>
      </c>
    </row>
    <row r="6276" spans="1:16" ht="25.5">
      <c r="A6276" s="3" t="s">
        <v>7341</v>
      </c>
      <c r="B6276" s="3" t="s">
        <v>7342</v>
      </c>
      <c r="C6276" s="4">
        <v>327</v>
      </c>
      <c r="D6276" s="3" t="s">
        <v>100</v>
      </c>
      <c r="E6276" s="3" t="s">
        <v>7</v>
      </c>
      <c r="F6276" s="5">
        <v>48</v>
      </c>
      <c r="G6276" s="5">
        <v>0</v>
      </c>
      <c r="H6276" s="6">
        <v>2987.52</v>
      </c>
      <c r="I6276" s="22">
        <v>0</v>
      </c>
      <c r="J6276" s="24">
        <f t="shared" si="294"/>
        <v>0</v>
      </c>
      <c r="K6276" s="25">
        <f t="shared" ref="K6276:K6339" si="296">J6276+K6275</f>
        <v>1.0000000000000009</v>
      </c>
      <c r="L6276" s="27"/>
      <c r="M6276" s="28"/>
      <c r="N6276" s="28"/>
      <c r="O6276" s="20" t="s">
        <v>7530</v>
      </c>
      <c r="P6276" s="27" t="str">
        <f t="shared" si="295"/>
        <v>vermelho</v>
      </c>
    </row>
    <row r="6277" spans="1:16" ht="25.5">
      <c r="A6277" s="3" t="s">
        <v>7343</v>
      </c>
      <c r="B6277" s="3" t="s">
        <v>7344</v>
      </c>
      <c r="C6277" s="4">
        <v>231</v>
      </c>
      <c r="D6277" s="3" t="s">
        <v>52</v>
      </c>
      <c r="E6277" s="3" t="s">
        <v>7</v>
      </c>
      <c r="F6277" s="5">
        <v>96</v>
      </c>
      <c r="G6277" s="5">
        <v>0</v>
      </c>
      <c r="H6277" s="6">
        <v>5396.04</v>
      </c>
      <c r="I6277" s="22">
        <v>0</v>
      </c>
      <c r="J6277" s="24">
        <f t="shared" si="294"/>
        <v>0</v>
      </c>
      <c r="K6277" s="25">
        <f t="shared" si="296"/>
        <v>1.0000000000000009</v>
      </c>
      <c r="L6277" s="27"/>
      <c r="M6277" s="28"/>
      <c r="N6277" s="28"/>
      <c r="O6277" s="20" t="s">
        <v>7530</v>
      </c>
      <c r="P6277" s="27" t="str">
        <f t="shared" si="295"/>
        <v>vermelho</v>
      </c>
    </row>
    <row r="6278" spans="1:16" ht="25.5">
      <c r="A6278" s="3" t="s">
        <v>7345</v>
      </c>
      <c r="B6278" s="3" t="s">
        <v>6562</v>
      </c>
      <c r="C6278" s="4">
        <v>266</v>
      </c>
      <c r="D6278" s="3" t="s">
        <v>80</v>
      </c>
      <c r="E6278" s="3" t="s">
        <v>10</v>
      </c>
      <c r="F6278" s="5">
        <v>396</v>
      </c>
      <c r="G6278" s="5">
        <v>0</v>
      </c>
      <c r="H6278" s="6">
        <v>23309.22</v>
      </c>
      <c r="I6278" s="22">
        <v>0</v>
      </c>
      <c r="J6278" s="24">
        <f t="shared" si="294"/>
        <v>0</v>
      </c>
      <c r="K6278" s="25">
        <f t="shared" si="296"/>
        <v>1.0000000000000009</v>
      </c>
      <c r="L6278" s="27"/>
      <c r="M6278" s="28"/>
      <c r="N6278" s="28"/>
      <c r="O6278" s="20" t="s">
        <v>7530</v>
      </c>
      <c r="P6278" s="27" t="str">
        <f t="shared" si="295"/>
        <v>vermelho</v>
      </c>
    </row>
    <row r="6279" spans="1:16" ht="38.25">
      <c r="A6279" s="3" t="s">
        <v>7346</v>
      </c>
      <c r="B6279" s="3" t="s">
        <v>7347</v>
      </c>
      <c r="C6279" s="4">
        <v>45</v>
      </c>
      <c r="D6279" s="3" t="s">
        <v>23</v>
      </c>
      <c r="E6279" s="3" t="s">
        <v>7</v>
      </c>
      <c r="F6279" s="5">
        <v>546</v>
      </c>
      <c r="G6279" s="5">
        <v>0</v>
      </c>
      <c r="H6279" s="6">
        <v>30714.3</v>
      </c>
      <c r="I6279" s="22">
        <v>0</v>
      </c>
      <c r="J6279" s="24">
        <f t="shared" si="294"/>
        <v>0</v>
      </c>
      <c r="K6279" s="25">
        <f t="shared" si="296"/>
        <v>1.0000000000000009</v>
      </c>
      <c r="L6279" s="27"/>
      <c r="M6279" s="28"/>
      <c r="N6279" s="28"/>
      <c r="O6279" s="20" t="s">
        <v>7530</v>
      </c>
      <c r="P6279" s="27" t="str">
        <f t="shared" si="295"/>
        <v>vermelho</v>
      </c>
    </row>
    <row r="6280" spans="1:16">
      <c r="A6280" s="3" t="s">
        <v>7348</v>
      </c>
      <c r="B6280" s="3" t="s">
        <v>7349</v>
      </c>
      <c r="C6280" s="4">
        <v>217</v>
      </c>
      <c r="D6280" s="3" t="s">
        <v>91</v>
      </c>
      <c r="E6280" s="3" t="s">
        <v>16</v>
      </c>
      <c r="F6280" s="5">
        <v>132</v>
      </c>
      <c r="G6280" s="5">
        <v>0</v>
      </c>
      <c r="H6280" s="6">
        <v>6680.52</v>
      </c>
      <c r="I6280" s="22">
        <v>0</v>
      </c>
      <c r="J6280" s="24">
        <f t="shared" si="294"/>
        <v>0</v>
      </c>
      <c r="K6280" s="25">
        <f t="shared" si="296"/>
        <v>1.0000000000000009</v>
      </c>
      <c r="L6280" s="27"/>
      <c r="M6280" s="28"/>
      <c r="N6280" s="28"/>
      <c r="O6280" s="20" t="s">
        <v>7530</v>
      </c>
      <c r="P6280" s="27" t="str">
        <f t="shared" si="295"/>
        <v>vermelho</v>
      </c>
    </row>
    <row r="6281" spans="1:16" ht="38.25">
      <c r="A6281" s="3" t="s">
        <v>7350</v>
      </c>
      <c r="B6281" s="3" t="s">
        <v>7351</v>
      </c>
      <c r="C6281" s="4">
        <v>11</v>
      </c>
      <c r="D6281" s="3" t="s">
        <v>61</v>
      </c>
      <c r="E6281" s="3" t="s">
        <v>10</v>
      </c>
      <c r="F6281" s="5">
        <v>168</v>
      </c>
      <c r="G6281" s="5">
        <v>0</v>
      </c>
      <c r="H6281" s="6">
        <v>9524.64</v>
      </c>
      <c r="I6281" s="22">
        <v>0</v>
      </c>
      <c r="J6281" s="24">
        <f t="shared" si="294"/>
        <v>0</v>
      </c>
      <c r="K6281" s="25">
        <f t="shared" si="296"/>
        <v>1.0000000000000009</v>
      </c>
      <c r="L6281" s="27"/>
      <c r="M6281" s="28"/>
      <c r="N6281" s="28"/>
      <c r="O6281" s="20" t="s">
        <v>7530</v>
      </c>
      <c r="P6281" s="27" t="str">
        <f t="shared" si="295"/>
        <v>vermelho</v>
      </c>
    </row>
    <row r="6282" spans="1:16" ht="25.5">
      <c r="A6282" s="3" t="s">
        <v>7352</v>
      </c>
      <c r="B6282" s="3" t="s">
        <v>7353</v>
      </c>
      <c r="C6282" s="4">
        <v>335</v>
      </c>
      <c r="D6282" s="3" t="s">
        <v>36</v>
      </c>
      <c r="E6282" s="3" t="s">
        <v>7</v>
      </c>
      <c r="F6282" s="5">
        <v>486</v>
      </c>
      <c r="G6282" s="5">
        <v>0</v>
      </c>
      <c r="H6282" s="6">
        <v>26509.14</v>
      </c>
      <c r="I6282" s="22">
        <v>0</v>
      </c>
      <c r="J6282" s="24">
        <f t="shared" si="294"/>
        <v>0</v>
      </c>
      <c r="K6282" s="25">
        <f t="shared" si="296"/>
        <v>1.0000000000000009</v>
      </c>
      <c r="L6282" s="27"/>
      <c r="M6282" s="28"/>
      <c r="N6282" s="28"/>
      <c r="O6282" s="20" t="s">
        <v>7530</v>
      </c>
      <c r="P6282" s="27" t="str">
        <f t="shared" si="295"/>
        <v>vermelho</v>
      </c>
    </row>
    <row r="6283" spans="1:16" ht="25.5">
      <c r="A6283" s="3" t="s">
        <v>7354</v>
      </c>
      <c r="B6283" s="3" t="s">
        <v>7355</v>
      </c>
      <c r="C6283" s="4">
        <v>337</v>
      </c>
      <c r="D6283" s="3" t="s">
        <v>202</v>
      </c>
      <c r="E6283" s="3" t="s">
        <v>16</v>
      </c>
      <c r="F6283" s="5">
        <v>120</v>
      </c>
      <c r="G6283" s="5">
        <v>0</v>
      </c>
      <c r="H6283" s="6">
        <v>7605.48</v>
      </c>
      <c r="I6283" s="22">
        <v>0</v>
      </c>
      <c r="J6283" s="24">
        <f t="shared" si="294"/>
        <v>0</v>
      </c>
      <c r="K6283" s="25">
        <f t="shared" si="296"/>
        <v>1.0000000000000009</v>
      </c>
      <c r="L6283" s="27"/>
      <c r="M6283" s="28"/>
      <c r="N6283" s="28"/>
      <c r="O6283" s="20" t="s">
        <v>7530</v>
      </c>
      <c r="P6283" s="27" t="str">
        <f t="shared" si="295"/>
        <v>vermelho</v>
      </c>
    </row>
    <row r="6284" spans="1:16">
      <c r="A6284" s="3" t="s">
        <v>7356</v>
      </c>
      <c r="B6284" s="3" t="s">
        <v>7357</v>
      </c>
      <c r="C6284" s="4">
        <v>217</v>
      </c>
      <c r="D6284" s="3" t="s">
        <v>91</v>
      </c>
      <c r="E6284" s="3" t="s">
        <v>16</v>
      </c>
      <c r="F6284" s="5">
        <v>156</v>
      </c>
      <c r="G6284" s="5">
        <v>0</v>
      </c>
      <c r="H6284" s="6">
        <v>9912.7199999999993</v>
      </c>
      <c r="I6284" s="22">
        <v>0</v>
      </c>
      <c r="J6284" s="24">
        <f t="shared" si="294"/>
        <v>0</v>
      </c>
      <c r="K6284" s="25">
        <f t="shared" si="296"/>
        <v>1.0000000000000009</v>
      </c>
      <c r="L6284" s="27"/>
      <c r="M6284" s="28"/>
      <c r="N6284" s="28"/>
      <c r="O6284" s="20" t="s">
        <v>7530</v>
      </c>
      <c r="P6284" s="27" t="str">
        <f t="shared" si="295"/>
        <v>vermelho</v>
      </c>
    </row>
    <row r="6285" spans="1:16" ht="25.5">
      <c r="A6285" s="3" t="s">
        <v>7358</v>
      </c>
      <c r="B6285" s="3" t="s">
        <v>7359</v>
      </c>
      <c r="C6285" s="4">
        <v>266</v>
      </c>
      <c r="D6285" s="3" t="s">
        <v>80</v>
      </c>
      <c r="E6285" s="3" t="s">
        <v>10</v>
      </c>
      <c r="F6285" s="5">
        <v>528</v>
      </c>
      <c r="G6285" s="5">
        <v>0</v>
      </c>
      <c r="H6285" s="6">
        <v>31427.16</v>
      </c>
      <c r="I6285" s="22">
        <v>0</v>
      </c>
      <c r="J6285" s="24">
        <f t="shared" si="294"/>
        <v>0</v>
      </c>
      <c r="K6285" s="25">
        <f t="shared" si="296"/>
        <v>1.0000000000000009</v>
      </c>
      <c r="L6285" s="27"/>
      <c r="M6285" s="28"/>
      <c r="N6285" s="28"/>
      <c r="O6285" s="20" t="s">
        <v>7530</v>
      </c>
      <c r="P6285" s="27" t="str">
        <f t="shared" si="295"/>
        <v>vermelho</v>
      </c>
    </row>
    <row r="6286" spans="1:16">
      <c r="A6286" s="3" t="s">
        <v>7360</v>
      </c>
      <c r="B6286" s="3" t="s">
        <v>7361</v>
      </c>
      <c r="C6286" s="4">
        <v>334</v>
      </c>
      <c r="D6286" s="3" t="s">
        <v>531</v>
      </c>
      <c r="E6286" s="3" t="s">
        <v>7</v>
      </c>
      <c r="F6286" s="5">
        <v>219</v>
      </c>
      <c r="G6286" s="5">
        <v>0</v>
      </c>
      <c r="H6286" s="6">
        <v>13848.81</v>
      </c>
      <c r="I6286" s="22">
        <v>0</v>
      </c>
      <c r="J6286" s="24">
        <f t="shared" si="294"/>
        <v>0</v>
      </c>
      <c r="K6286" s="25">
        <f t="shared" si="296"/>
        <v>1.0000000000000009</v>
      </c>
      <c r="L6286" s="27"/>
      <c r="M6286" s="28"/>
      <c r="N6286" s="28"/>
      <c r="O6286" s="20" t="s">
        <v>7530</v>
      </c>
      <c r="P6286" s="27" t="str">
        <f t="shared" si="295"/>
        <v>vermelho</v>
      </c>
    </row>
    <row r="6287" spans="1:16" ht="25.5">
      <c r="A6287" s="3" t="s">
        <v>7362</v>
      </c>
      <c r="B6287" s="3" t="s">
        <v>7363</v>
      </c>
      <c r="C6287" s="4">
        <v>273</v>
      </c>
      <c r="D6287" s="3" t="s">
        <v>149</v>
      </c>
      <c r="E6287" s="3" t="s">
        <v>10</v>
      </c>
      <c r="F6287" s="5">
        <v>156</v>
      </c>
      <c r="G6287" s="5">
        <v>0</v>
      </c>
      <c r="H6287" s="6">
        <v>8229.84</v>
      </c>
      <c r="I6287" s="22">
        <v>0</v>
      </c>
      <c r="J6287" s="24">
        <f t="shared" si="294"/>
        <v>0</v>
      </c>
      <c r="K6287" s="25">
        <f t="shared" si="296"/>
        <v>1.0000000000000009</v>
      </c>
      <c r="L6287" s="27"/>
      <c r="M6287" s="28"/>
      <c r="N6287" s="28"/>
      <c r="O6287" s="20" t="s">
        <v>7530</v>
      </c>
      <c r="P6287" s="27" t="str">
        <f t="shared" si="295"/>
        <v>vermelho</v>
      </c>
    </row>
    <row r="6288" spans="1:16" ht="25.5">
      <c r="A6288" s="3" t="s">
        <v>7364</v>
      </c>
      <c r="B6288" s="3" t="s">
        <v>7365</v>
      </c>
      <c r="C6288" s="4">
        <v>273</v>
      </c>
      <c r="D6288" s="3" t="s">
        <v>149</v>
      </c>
      <c r="E6288" s="3" t="s">
        <v>41</v>
      </c>
      <c r="F6288" s="5">
        <v>132</v>
      </c>
      <c r="G6288" s="5">
        <v>0</v>
      </c>
      <c r="H6288" s="6">
        <v>7707.72</v>
      </c>
      <c r="I6288" s="22">
        <v>0</v>
      </c>
      <c r="J6288" s="24">
        <f t="shared" si="294"/>
        <v>0</v>
      </c>
      <c r="K6288" s="25">
        <f t="shared" si="296"/>
        <v>1.0000000000000009</v>
      </c>
      <c r="L6288" s="27"/>
      <c r="M6288" s="28"/>
      <c r="N6288" s="28"/>
      <c r="O6288" s="20" t="s">
        <v>7530</v>
      </c>
      <c r="P6288" s="27" t="str">
        <f t="shared" si="295"/>
        <v>vermelho</v>
      </c>
    </row>
    <row r="6289" spans="1:16">
      <c r="A6289" s="3" t="s">
        <v>7366</v>
      </c>
      <c r="B6289" s="3" t="s">
        <v>7367</v>
      </c>
      <c r="C6289" s="4">
        <v>231</v>
      </c>
      <c r="D6289" s="3" t="s">
        <v>52</v>
      </c>
      <c r="E6289" s="3" t="s">
        <v>7</v>
      </c>
      <c r="F6289" s="5">
        <v>1011</v>
      </c>
      <c r="G6289" s="5">
        <v>0</v>
      </c>
      <c r="H6289" s="6">
        <v>63427.92</v>
      </c>
      <c r="I6289" s="22">
        <v>0</v>
      </c>
      <c r="J6289" s="24">
        <f t="shared" si="294"/>
        <v>0</v>
      </c>
      <c r="K6289" s="25">
        <f t="shared" si="296"/>
        <v>1.0000000000000009</v>
      </c>
      <c r="L6289" s="27"/>
      <c r="M6289" s="28"/>
      <c r="N6289" s="28"/>
      <c r="O6289" s="20" t="s">
        <v>7530</v>
      </c>
      <c r="P6289" s="27" t="str">
        <f t="shared" si="295"/>
        <v>vermelho</v>
      </c>
    </row>
    <row r="6290" spans="1:16">
      <c r="A6290" s="3" t="s">
        <v>7368</v>
      </c>
      <c r="B6290" s="3" t="s">
        <v>7369</v>
      </c>
      <c r="C6290" s="4">
        <v>15</v>
      </c>
      <c r="D6290" s="3" t="s">
        <v>18</v>
      </c>
      <c r="E6290" s="3" t="s">
        <v>16</v>
      </c>
      <c r="F6290" s="5">
        <v>993</v>
      </c>
      <c r="G6290" s="5">
        <v>0</v>
      </c>
      <c r="H6290" s="6">
        <v>50840.52</v>
      </c>
      <c r="I6290" s="22">
        <v>0</v>
      </c>
      <c r="J6290" s="24">
        <f t="shared" si="294"/>
        <v>0</v>
      </c>
      <c r="K6290" s="25">
        <f t="shared" si="296"/>
        <v>1.0000000000000009</v>
      </c>
      <c r="L6290" s="27"/>
      <c r="M6290" s="28"/>
      <c r="N6290" s="28"/>
      <c r="O6290" s="20" t="s">
        <v>7530</v>
      </c>
      <c r="P6290" s="27" t="str">
        <f t="shared" si="295"/>
        <v>vermelho</v>
      </c>
    </row>
    <row r="6291" spans="1:16" ht="25.5">
      <c r="A6291" s="3" t="s">
        <v>7370</v>
      </c>
      <c r="B6291" s="3" t="s">
        <v>7371</v>
      </c>
      <c r="C6291" s="4">
        <v>53</v>
      </c>
      <c r="D6291" s="3" t="s">
        <v>34</v>
      </c>
      <c r="E6291" s="3" t="s">
        <v>16</v>
      </c>
      <c r="F6291" s="5">
        <v>108</v>
      </c>
      <c r="G6291" s="5">
        <v>0</v>
      </c>
      <c r="H6291" s="6">
        <v>5945.4</v>
      </c>
      <c r="I6291" s="22">
        <v>0</v>
      </c>
      <c r="J6291" s="24">
        <f t="shared" si="294"/>
        <v>0</v>
      </c>
      <c r="K6291" s="25">
        <f t="shared" si="296"/>
        <v>1.0000000000000009</v>
      </c>
      <c r="L6291" s="27"/>
      <c r="M6291" s="28"/>
      <c r="N6291" s="28"/>
      <c r="O6291" s="20" t="s">
        <v>7530</v>
      </c>
      <c r="P6291" s="27" t="str">
        <f t="shared" si="295"/>
        <v>vermelho</v>
      </c>
    </row>
    <row r="6292" spans="1:16" ht="25.5">
      <c r="A6292" s="3" t="s">
        <v>7372</v>
      </c>
      <c r="B6292" s="3" t="s">
        <v>7373</v>
      </c>
      <c r="C6292" s="4">
        <v>299</v>
      </c>
      <c r="D6292" s="3" t="s">
        <v>111</v>
      </c>
      <c r="E6292" s="3" t="s">
        <v>49</v>
      </c>
      <c r="F6292" s="5">
        <v>504</v>
      </c>
      <c r="G6292" s="5">
        <v>0</v>
      </c>
      <c r="H6292" s="6">
        <v>20808.78</v>
      </c>
      <c r="I6292" s="22">
        <v>0</v>
      </c>
      <c r="J6292" s="24">
        <f t="shared" si="294"/>
        <v>0</v>
      </c>
      <c r="K6292" s="25">
        <f t="shared" si="296"/>
        <v>1.0000000000000009</v>
      </c>
      <c r="L6292" s="27"/>
      <c r="M6292" s="28"/>
      <c r="N6292" s="28"/>
      <c r="O6292" s="20" t="s">
        <v>7530</v>
      </c>
      <c r="P6292" s="27" t="str">
        <f t="shared" si="295"/>
        <v>vermelho</v>
      </c>
    </row>
    <row r="6293" spans="1:16">
      <c r="A6293" s="3" t="s">
        <v>7374</v>
      </c>
      <c r="B6293" s="3" t="s">
        <v>7375</v>
      </c>
      <c r="C6293" s="4">
        <v>232</v>
      </c>
      <c r="D6293" s="3" t="s">
        <v>174</v>
      </c>
      <c r="E6293" s="3" t="s">
        <v>16</v>
      </c>
      <c r="F6293" s="5">
        <v>879</v>
      </c>
      <c r="G6293" s="5">
        <v>0</v>
      </c>
      <c r="H6293" s="6">
        <v>47959.71</v>
      </c>
      <c r="I6293" s="22">
        <v>0</v>
      </c>
      <c r="J6293" s="24">
        <f t="shared" si="294"/>
        <v>0</v>
      </c>
      <c r="K6293" s="25">
        <f t="shared" si="296"/>
        <v>1.0000000000000009</v>
      </c>
      <c r="L6293" s="27"/>
      <c r="M6293" s="28"/>
      <c r="N6293" s="28"/>
      <c r="O6293" s="20">
        <v>16596.96</v>
      </c>
      <c r="P6293" s="27" t="str">
        <f t="shared" si="295"/>
        <v>vermelho</v>
      </c>
    </row>
    <row r="6294" spans="1:16" ht="25.5">
      <c r="A6294" s="3" t="s">
        <v>7376</v>
      </c>
      <c r="B6294" s="3" t="s">
        <v>7377</v>
      </c>
      <c r="C6294" s="4">
        <v>273</v>
      </c>
      <c r="D6294" s="3" t="s">
        <v>149</v>
      </c>
      <c r="E6294" s="3" t="s">
        <v>16</v>
      </c>
      <c r="F6294" s="5">
        <v>135</v>
      </c>
      <c r="G6294" s="5">
        <v>0</v>
      </c>
      <c r="H6294" s="6">
        <v>7054.92</v>
      </c>
      <c r="I6294" s="22">
        <v>0</v>
      </c>
      <c r="J6294" s="24">
        <f t="shared" si="294"/>
        <v>0</v>
      </c>
      <c r="K6294" s="25">
        <f t="shared" si="296"/>
        <v>1.0000000000000009</v>
      </c>
      <c r="L6294" s="27"/>
      <c r="M6294" s="28"/>
      <c r="N6294" s="28"/>
      <c r="O6294" s="20" t="s">
        <v>7530</v>
      </c>
      <c r="P6294" s="27" t="str">
        <f t="shared" si="295"/>
        <v>vermelho</v>
      </c>
    </row>
    <row r="6295" spans="1:16" ht="38.25">
      <c r="A6295" s="3" t="s">
        <v>7378</v>
      </c>
      <c r="B6295" s="3" t="s">
        <v>7379</v>
      </c>
      <c r="C6295" s="4">
        <v>38</v>
      </c>
      <c r="D6295" s="3" t="s">
        <v>184</v>
      </c>
      <c r="E6295" s="3" t="s">
        <v>49</v>
      </c>
      <c r="F6295" s="5">
        <v>1614</v>
      </c>
      <c r="G6295" s="5">
        <v>0</v>
      </c>
      <c r="H6295" s="6">
        <v>82720.335000000006</v>
      </c>
      <c r="I6295" s="22">
        <v>0</v>
      </c>
      <c r="J6295" s="24">
        <f t="shared" si="294"/>
        <v>0</v>
      </c>
      <c r="K6295" s="25">
        <f t="shared" si="296"/>
        <v>1.0000000000000009</v>
      </c>
      <c r="L6295" s="27"/>
      <c r="M6295" s="28"/>
      <c r="N6295" s="28"/>
      <c r="O6295" s="20" t="s">
        <v>7530</v>
      </c>
      <c r="P6295" s="27" t="str">
        <f t="shared" si="295"/>
        <v>vermelho</v>
      </c>
    </row>
    <row r="6296" spans="1:16">
      <c r="A6296" s="3" t="s">
        <v>7380</v>
      </c>
      <c r="B6296" s="3" t="s">
        <v>7381</v>
      </c>
      <c r="C6296" s="4">
        <v>231</v>
      </c>
      <c r="D6296" s="3" t="s">
        <v>52</v>
      </c>
      <c r="E6296" s="3" t="s">
        <v>7</v>
      </c>
      <c r="F6296" s="5">
        <v>180</v>
      </c>
      <c r="G6296" s="5">
        <v>0</v>
      </c>
      <c r="H6296" s="6">
        <v>6903.72</v>
      </c>
      <c r="I6296" s="22">
        <v>0</v>
      </c>
      <c r="J6296" s="24">
        <f t="shared" si="294"/>
        <v>0</v>
      </c>
      <c r="K6296" s="25">
        <f t="shared" si="296"/>
        <v>1.0000000000000009</v>
      </c>
      <c r="L6296" s="27"/>
      <c r="M6296" s="28"/>
      <c r="N6296" s="28"/>
      <c r="O6296" s="20" t="s">
        <v>7530</v>
      </c>
      <c r="P6296" s="27" t="str">
        <f t="shared" si="295"/>
        <v>vermelho</v>
      </c>
    </row>
    <row r="6297" spans="1:16" ht="38.25">
      <c r="A6297" s="3" t="s">
        <v>7382</v>
      </c>
      <c r="B6297" s="3" t="s">
        <v>7383</v>
      </c>
      <c r="C6297" s="4">
        <v>38</v>
      </c>
      <c r="D6297" s="3" t="s">
        <v>184</v>
      </c>
      <c r="E6297" s="3" t="s">
        <v>49</v>
      </c>
      <c r="F6297" s="5">
        <v>120</v>
      </c>
      <c r="G6297" s="5">
        <v>0</v>
      </c>
      <c r="H6297" s="6">
        <v>7040.16</v>
      </c>
      <c r="I6297" s="22">
        <v>0</v>
      </c>
      <c r="J6297" s="24">
        <f t="shared" si="294"/>
        <v>0</v>
      </c>
      <c r="K6297" s="25">
        <f t="shared" si="296"/>
        <v>1.0000000000000009</v>
      </c>
      <c r="L6297" s="27"/>
      <c r="M6297" s="28"/>
      <c r="N6297" s="28"/>
      <c r="O6297" s="20" t="s">
        <v>7530</v>
      </c>
      <c r="P6297" s="27" t="str">
        <f t="shared" si="295"/>
        <v>vermelho</v>
      </c>
    </row>
    <row r="6298" spans="1:16">
      <c r="A6298" s="3" t="s">
        <v>7384</v>
      </c>
      <c r="B6298" s="3" t="s">
        <v>7385</v>
      </c>
      <c r="C6298" s="4">
        <v>264</v>
      </c>
      <c r="D6298" s="3" t="s">
        <v>40</v>
      </c>
      <c r="E6298" s="3" t="s">
        <v>10</v>
      </c>
      <c r="F6298" s="5">
        <v>377</v>
      </c>
      <c r="G6298" s="5">
        <v>0</v>
      </c>
      <c r="H6298" s="6">
        <v>9324.14</v>
      </c>
      <c r="I6298" s="22">
        <v>0</v>
      </c>
      <c r="J6298" s="24">
        <f t="shared" si="294"/>
        <v>0</v>
      </c>
      <c r="K6298" s="25">
        <f t="shared" si="296"/>
        <v>1.0000000000000009</v>
      </c>
      <c r="L6298" s="27"/>
      <c r="M6298" s="28"/>
      <c r="N6298" s="28"/>
      <c r="O6298" s="20" t="s">
        <v>7530</v>
      </c>
      <c r="P6298" s="27" t="str">
        <f t="shared" si="295"/>
        <v>vermelho</v>
      </c>
    </row>
    <row r="6299" spans="1:16" ht="25.5">
      <c r="A6299" s="3" t="s">
        <v>7386</v>
      </c>
      <c r="B6299" s="3" t="s">
        <v>7387</v>
      </c>
      <c r="C6299" s="4">
        <v>299</v>
      </c>
      <c r="D6299" s="3" t="s">
        <v>111</v>
      </c>
      <c r="E6299" s="3" t="s">
        <v>49</v>
      </c>
      <c r="F6299" s="5">
        <v>288</v>
      </c>
      <c r="G6299" s="5">
        <v>0</v>
      </c>
      <c r="H6299" s="6">
        <v>10139.904</v>
      </c>
      <c r="I6299" s="22">
        <v>0</v>
      </c>
      <c r="J6299" s="24">
        <f t="shared" si="294"/>
        <v>0</v>
      </c>
      <c r="K6299" s="25">
        <f t="shared" si="296"/>
        <v>1.0000000000000009</v>
      </c>
      <c r="L6299" s="27"/>
      <c r="M6299" s="28"/>
      <c r="N6299" s="28"/>
      <c r="O6299" s="20" t="s">
        <v>7530</v>
      </c>
      <c r="P6299" s="27" t="str">
        <f t="shared" si="295"/>
        <v>vermelho</v>
      </c>
    </row>
    <row r="6300" spans="1:16">
      <c r="A6300" s="3" t="s">
        <v>7388</v>
      </c>
      <c r="B6300" s="3" t="s">
        <v>7389</v>
      </c>
      <c r="C6300" s="4">
        <v>264</v>
      </c>
      <c r="D6300" s="3" t="s">
        <v>40</v>
      </c>
      <c r="E6300" s="3" t="s">
        <v>10</v>
      </c>
      <c r="F6300" s="5">
        <v>72</v>
      </c>
      <c r="G6300" s="5">
        <v>0</v>
      </c>
      <c r="H6300" s="6">
        <v>4404.24</v>
      </c>
      <c r="I6300" s="22">
        <v>0</v>
      </c>
      <c r="J6300" s="24">
        <f t="shared" si="294"/>
        <v>0</v>
      </c>
      <c r="K6300" s="25">
        <f t="shared" si="296"/>
        <v>1.0000000000000009</v>
      </c>
      <c r="L6300" s="27"/>
      <c r="M6300" s="28"/>
      <c r="N6300" s="28"/>
      <c r="O6300" s="20" t="s">
        <v>7530</v>
      </c>
      <c r="P6300" s="27" t="str">
        <f t="shared" si="295"/>
        <v>vermelho</v>
      </c>
    </row>
    <row r="6301" spans="1:16">
      <c r="A6301" s="3" t="s">
        <v>7390</v>
      </c>
      <c r="B6301" s="3" t="s">
        <v>7391</v>
      </c>
      <c r="C6301" s="4">
        <v>264</v>
      </c>
      <c r="D6301" s="3" t="s">
        <v>40</v>
      </c>
      <c r="E6301" s="3" t="s">
        <v>10</v>
      </c>
      <c r="F6301" s="5">
        <v>318</v>
      </c>
      <c r="G6301" s="5">
        <v>0</v>
      </c>
      <c r="H6301" s="6">
        <v>18570.18</v>
      </c>
      <c r="I6301" s="22">
        <v>0</v>
      </c>
      <c r="J6301" s="24">
        <f t="shared" si="294"/>
        <v>0</v>
      </c>
      <c r="K6301" s="25">
        <f t="shared" si="296"/>
        <v>1.0000000000000009</v>
      </c>
      <c r="L6301" s="27"/>
      <c r="M6301" s="28"/>
      <c r="N6301" s="28"/>
      <c r="O6301" s="20" t="s">
        <v>7530</v>
      </c>
      <c r="P6301" s="27" t="str">
        <f t="shared" si="295"/>
        <v>vermelho</v>
      </c>
    </row>
    <row r="6302" spans="1:16" ht="25.5">
      <c r="A6302" s="3" t="s">
        <v>7392</v>
      </c>
      <c r="B6302" s="3" t="s">
        <v>7393</v>
      </c>
      <c r="C6302" s="4">
        <v>266</v>
      </c>
      <c r="D6302" s="3" t="s">
        <v>80</v>
      </c>
      <c r="E6302" s="3" t="s">
        <v>10</v>
      </c>
      <c r="F6302" s="5">
        <v>144</v>
      </c>
      <c r="G6302" s="5">
        <v>0</v>
      </c>
      <c r="H6302" s="6">
        <v>6356.88</v>
      </c>
      <c r="I6302" s="22">
        <v>0</v>
      </c>
      <c r="J6302" s="24">
        <f t="shared" si="294"/>
        <v>0</v>
      </c>
      <c r="K6302" s="25">
        <f t="shared" si="296"/>
        <v>1.0000000000000009</v>
      </c>
      <c r="L6302" s="27"/>
      <c r="M6302" s="28"/>
      <c r="N6302" s="28"/>
      <c r="O6302" s="20" t="s">
        <v>7530</v>
      </c>
      <c r="P6302" s="27" t="str">
        <f t="shared" si="295"/>
        <v>vermelho</v>
      </c>
    </row>
    <row r="6303" spans="1:16" ht="38.25">
      <c r="A6303" s="3" t="s">
        <v>7394</v>
      </c>
      <c r="B6303" s="3" t="s">
        <v>7395</v>
      </c>
      <c r="C6303" s="4">
        <v>11</v>
      </c>
      <c r="D6303" s="3" t="s">
        <v>61</v>
      </c>
      <c r="E6303" s="3" t="s">
        <v>10</v>
      </c>
      <c r="F6303" s="5">
        <v>366</v>
      </c>
      <c r="G6303" s="5">
        <v>0</v>
      </c>
      <c r="H6303" s="6">
        <v>17788.34</v>
      </c>
      <c r="I6303" s="22">
        <v>0</v>
      </c>
      <c r="J6303" s="24">
        <f t="shared" si="294"/>
        <v>0</v>
      </c>
      <c r="K6303" s="25">
        <f t="shared" si="296"/>
        <v>1.0000000000000009</v>
      </c>
      <c r="L6303" s="27"/>
      <c r="M6303" s="28"/>
      <c r="N6303" s="28"/>
      <c r="O6303" s="20" t="s">
        <v>7530</v>
      </c>
      <c r="P6303" s="27" t="str">
        <f t="shared" si="295"/>
        <v>vermelho</v>
      </c>
    </row>
    <row r="6304" spans="1:16">
      <c r="A6304" s="3" t="s">
        <v>7396</v>
      </c>
      <c r="B6304" s="3" t="s">
        <v>7397</v>
      </c>
      <c r="C6304" s="4">
        <v>217</v>
      </c>
      <c r="D6304" s="3" t="s">
        <v>91</v>
      </c>
      <c r="E6304" s="3" t="s">
        <v>16</v>
      </c>
      <c r="F6304" s="5">
        <v>114</v>
      </c>
      <c r="G6304" s="5">
        <v>0</v>
      </c>
      <c r="H6304" s="6">
        <v>6069.9</v>
      </c>
      <c r="I6304" s="22">
        <v>0</v>
      </c>
      <c r="J6304" s="24">
        <f t="shared" si="294"/>
        <v>0</v>
      </c>
      <c r="K6304" s="25">
        <f t="shared" si="296"/>
        <v>1.0000000000000009</v>
      </c>
      <c r="L6304" s="27"/>
      <c r="M6304" s="28"/>
      <c r="N6304" s="28"/>
      <c r="O6304" s="20" t="s">
        <v>7530</v>
      </c>
      <c r="P6304" s="27" t="str">
        <f t="shared" si="295"/>
        <v>vermelho</v>
      </c>
    </row>
    <row r="6305" spans="1:16" ht="25.5">
      <c r="A6305" s="3" t="s">
        <v>7398</v>
      </c>
      <c r="B6305" s="3" t="s">
        <v>7399</v>
      </c>
      <c r="C6305" s="4">
        <v>296</v>
      </c>
      <c r="D6305" s="3" t="s">
        <v>282</v>
      </c>
      <c r="E6305" s="3" t="s">
        <v>7</v>
      </c>
      <c r="F6305" s="5">
        <v>186</v>
      </c>
      <c r="G6305" s="5">
        <v>0</v>
      </c>
      <c r="H6305" s="6">
        <v>9187.5300000000007</v>
      </c>
      <c r="I6305" s="22">
        <v>0</v>
      </c>
      <c r="J6305" s="24">
        <f t="shared" si="294"/>
        <v>0</v>
      </c>
      <c r="K6305" s="25">
        <f t="shared" si="296"/>
        <v>1.0000000000000009</v>
      </c>
      <c r="L6305" s="27"/>
      <c r="M6305" s="28"/>
      <c r="N6305" s="28"/>
      <c r="O6305" s="20" t="s">
        <v>7530</v>
      </c>
      <c r="P6305" s="27" t="str">
        <f t="shared" si="295"/>
        <v>vermelho</v>
      </c>
    </row>
    <row r="6306" spans="1:16" ht="38.25">
      <c r="A6306" s="3" t="s">
        <v>7400</v>
      </c>
      <c r="B6306" s="3" t="s">
        <v>7401</v>
      </c>
      <c r="C6306" s="4">
        <v>143</v>
      </c>
      <c r="D6306" s="3" t="s">
        <v>44</v>
      </c>
      <c r="E6306" s="3" t="s">
        <v>41</v>
      </c>
      <c r="F6306" s="5">
        <v>798</v>
      </c>
      <c r="G6306" s="5">
        <v>0</v>
      </c>
      <c r="H6306" s="6">
        <v>41909.46</v>
      </c>
      <c r="I6306" s="22">
        <v>0</v>
      </c>
      <c r="J6306" s="24">
        <f t="shared" si="294"/>
        <v>0</v>
      </c>
      <c r="K6306" s="25">
        <f t="shared" si="296"/>
        <v>1.0000000000000009</v>
      </c>
      <c r="L6306" s="27"/>
      <c r="M6306" s="28"/>
      <c r="N6306" s="28"/>
      <c r="O6306" s="20" t="s">
        <v>7530</v>
      </c>
      <c r="P6306" s="27" t="str">
        <f t="shared" si="295"/>
        <v>vermelho</v>
      </c>
    </row>
    <row r="6307" spans="1:16" ht="25.5">
      <c r="A6307" s="3" t="s">
        <v>7402</v>
      </c>
      <c r="B6307" s="3" t="s">
        <v>7403</v>
      </c>
      <c r="C6307" s="4">
        <v>218</v>
      </c>
      <c r="D6307" s="3" t="s">
        <v>104</v>
      </c>
      <c r="E6307" s="3" t="s">
        <v>16</v>
      </c>
      <c r="F6307" s="5">
        <v>144</v>
      </c>
      <c r="G6307" s="5">
        <v>0</v>
      </c>
      <c r="H6307" s="6">
        <v>6334.56</v>
      </c>
      <c r="I6307" s="22">
        <v>0</v>
      </c>
      <c r="J6307" s="24">
        <f t="shared" si="294"/>
        <v>0</v>
      </c>
      <c r="K6307" s="25">
        <f t="shared" si="296"/>
        <v>1.0000000000000009</v>
      </c>
      <c r="L6307" s="27"/>
      <c r="M6307" s="28"/>
      <c r="N6307" s="28"/>
      <c r="O6307" s="20" t="s">
        <v>7530</v>
      </c>
      <c r="P6307" s="27" t="str">
        <f t="shared" si="295"/>
        <v>vermelho</v>
      </c>
    </row>
    <row r="6308" spans="1:16" ht="25.5">
      <c r="A6308" s="3" t="s">
        <v>7404</v>
      </c>
      <c r="B6308" s="3" t="s">
        <v>7405</v>
      </c>
      <c r="C6308" s="4">
        <v>197</v>
      </c>
      <c r="D6308" s="3" t="s">
        <v>66</v>
      </c>
      <c r="E6308" s="3" t="s">
        <v>41</v>
      </c>
      <c r="F6308" s="5">
        <v>822</v>
      </c>
      <c r="G6308" s="5">
        <v>0</v>
      </c>
      <c r="H6308" s="6">
        <v>43783.78</v>
      </c>
      <c r="I6308" s="22">
        <v>0</v>
      </c>
      <c r="J6308" s="24">
        <f t="shared" si="294"/>
        <v>0</v>
      </c>
      <c r="K6308" s="25">
        <f t="shared" si="296"/>
        <v>1.0000000000000009</v>
      </c>
      <c r="L6308" s="27"/>
      <c r="M6308" s="28"/>
      <c r="N6308" s="28"/>
      <c r="O6308" s="20" t="s">
        <v>7530</v>
      </c>
      <c r="P6308" s="27" t="str">
        <f t="shared" si="295"/>
        <v>vermelho</v>
      </c>
    </row>
    <row r="6309" spans="1:16" ht="25.5">
      <c r="A6309" s="3" t="s">
        <v>7406</v>
      </c>
      <c r="B6309" s="3" t="s">
        <v>7407</v>
      </c>
      <c r="C6309" s="4">
        <v>273</v>
      </c>
      <c r="D6309" s="3" t="s">
        <v>149</v>
      </c>
      <c r="E6309" s="3" t="s">
        <v>16</v>
      </c>
      <c r="F6309" s="5">
        <v>192</v>
      </c>
      <c r="G6309" s="5">
        <v>0</v>
      </c>
      <c r="H6309" s="6">
        <v>9866.4</v>
      </c>
      <c r="I6309" s="22">
        <v>0</v>
      </c>
      <c r="J6309" s="24">
        <f t="shared" si="294"/>
        <v>0</v>
      </c>
      <c r="K6309" s="25">
        <f t="shared" si="296"/>
        <v>1.0000000000000009</v>
      </c>
      <c r="L6309" s="27"/>
      <c r="M6309" s="28"/>
      <c r="N6309" s="28"/>
      <c r="O6309" s="20" t="s">
        <v>7530</v>
      </c>
      <c r="P6309" s="27" t="str">
        <f t="shared" si="295"/>
        <v>vermelho</v>
      </c>
    </row>
    <row r="6310" spans="1:16">
      <c r="A6310" s="3" t="s">
        <v>7408</v>
      </c>
      <c r="B6310" s="3" t="s">
        <v>7409</v>
      </c>
      <c r="C6310" s="4">
        <v>334</v>
      </c>
      <c r="D6310" s="3" t="s">
        <v>531</v>
      </c>
      <c r="E6310" s="3" t="s">
        <v>7</v>
      </c>
      <c r="F6310" s="5">
        <v>228</v>
      </c>
      <c r="G6310" s="5">
        <v>0</v>
      </c>
      <c r="H6310" s="6">
        <v>13371.72</v>
      </c>
      <c r="I6310" s="22">
        <v>0</v>
      </c>
      <c r="J6310" s="24">
        <f t="shared" si="294"/>
        <v>0</v>
      </c>
      <c r="K6310" s="25">
        <f t="shared" si="296"/>
        <v>1.0000000000000009</v>
      </c>
      <c r="L6310" s="27"/>
      <c r="M6310" s="28"/>
      <c r="N6310" s="28"/>
      <c r="O6310" s="20" t="s">
        <v>7530</v>
      </c>
      <c r="P6310" s="27" t="str">
        <f t="shared" si="295"/>
        <v>vermelho</v>
      </c>
    </row>
    <row r="6311" spans="1:16" ht="25.5">
      <c r="A6311" s="3" t="s">
        <v>7410</v>
      </c>
      <c r="B6311" s="3" t="s">
        <v>7411</v>
      </c>
      <c r="C6311" s="4">
        <v>74</v>
      </c>
      <c r="D6311" s="3" t="s">
        <v>6</v>
      </c>
      <c r="E6311" s="3" t="s">
        <v>7</v>
      </c>
      <c r="F6311" s="5">
        <v>660</v>
      </c>
      <c r="G6311" s="5">
        <v>0</v>
      </c>
      <c r="H6311" s="6">
        <v>36723.089999999997</v>
      </c>
      <c r="I6311" s="22">
        <v>0</v>
      </c>
      <c r="J6311" s="24">
        <f t="shared" si="294"/>
        <v>0</v>
      </c>
      <c r="K6311" s="25">
        <f t="shared" si="296"/>
        <v>1.0000000000000009</v>
      </c>
      <c r="L6311" s="27"/>
      <c r="M6311" s="28"/>
      <c r="N6311" s="28"/>
      <c r="O6311" s="20" t="s">
        <v>7530</v>
      </c>
      <c r="P6311" s="27" t="str">
        <f t="shared" si="295"/>
        <v>vermelho</v>
      </c>
    </row>
    <row r="6312" spans="1:16" ht="25.5">
      <c r="A6312" s="3" t="s">
        <v>7412</v>
      </c>
      <c r="B6312" s="3" t="s">
        <v>7413</v>
      </c>
      <c r="C6312" s="4">
        <v>266</v>
      </c>
      <c r="D6312" s="3" t="s">
        <v>80</v>
      </c>
      <c r="E6312" s="3" t="s">
        <v>10</v>
      </c>
      <c r="F6312" s="5">
        <v>900</v>
      </c>
      <c r="G6312" s="5">
        <v>0</v>
      </c>
      <c r="H6312" s="6">
        <v>48754.74</v>
      </c>
      <c r="I6312" s="22">
        <v>0</v>
      </c>
      <c r="J6312" s="24">
        <f t="shared" si="294"/>
        <v>0</v>
      </c>
      <c r="K6312" s="25">
        <f t="shared" si="296"/>
        <v>1.0000000000000009</v>
      </c>
      <c r="L6312" s="27"/>
      <c r="M6312" s="28"/>
      <c r="N6312" s="28"/>
      <c r="O6312" s="20" t="s">
        <v>7530</v>
      </c>
      <c r="P6312" s="27" t="str">
        <f t="shared" si="295"/>
        <v>vermelho</v>
      </c>
    </row>
    <row r="6313" spans="1:16" ht="25.5">
      <c r="A6313" s="3" t="s">
        <v>7414</v>
      </c>
      <c r="B6313" s="3" t="s">
        <v>7415</v>
      </c>
      <c r="C6313" s="4">
        <v>335</v>
      </c>
      <c r="D6313" s="3" t="s">
        <v>36</v>
      </c>
      <c r="E6313" s="3" t="s">
        <v>7</v>
      </c>
      <c r="F6313" s="5">
        <v>1206</v>
      </c>
      <c r="G6313" s="5">
        <v>0</v>
      </c>
      <c r="H6313" s="6">
        <v>65543.039999999994</v>
      </c>
      <c r="I6313" s="22">
        <v>0</v>
      </c>
      <c r="J6313" s="24">
        <f t="shared" si="294"/>
        <v>0</v>
      </c>
      <c r="K6313" s="25">
        <f t="shared" si="296"/>
        <v>1.0000000000000009</v>
      </c>
      <c r="L6313" s="27"/>
      <c r="M6313" s="28"/>
      <c r="N6313" s="28"/>
      <c r="O6313" s="20" t="s">
        <v>7530</v>
      </c>
      <c r="P6313" s="27" t="str">
        <f t="shared" si="295"/>
        <v>vermelho</v>
      </c>
    </row>
    <row r="6314" spans="1:16" ht="25.5">
      <c r="A6314" s="3" t="s">
        <v>7416</v>
      </c>
      <c r="B6314" s="3" t="s">
        <v>7417</v>
      </c>
      <c r="C6314" s="4">
        <v>317</v>
      </c>
      <c r="D6314" s="3" t="s">
        <v>78</v>
      </c>
      <c r="E6314" s="3" t="s">
        <v>10</v>
      </c>
      <c r="F6314" s="5">
        <v>6344</v>
      </c>
      <c r="G6314" s="5">
        <v>0</v>
      </c>
      <c r="H6314" s="6">
        <v>225055.66</v>
      </c>
      <c r="I6314" s="22">
        <v>0</v>
      </c>
      <c r="J6314" s="24">
        <f t="shared" si="294"/>
        <v>0</v>
      </c>
      <c r="K6314" s="25">
        <f t="shared" si="296"/>
        <v>1.0000000000000009</v>
      </c>
      <c r="L6314" s="27"/>
      <c r="M6314" s="28"/>
      <c r="N6314" s="28"/>
      <c r="O6314" s="20" t="s">
        <v>7530</v>
      </c>
      <c r="P6314" s="27" t="str">
        <f t="shared" si="295"/>
        <v>vermelho</v>
      </c>
    </row>
    <row r="6315" spans="1:16" ht="25.5">
      <c r="A6315" s="3" t="s">
        <v>7418</v>
      </c>
      <c r="B6315" s="3" t="s">
        <v>7419</v>
      </c>
      <c r="C6315" s="4">
        <v>317</v>
      </c>
      <c r="D6315" s="3" t="s">
        <v>78</v>
      </c>
      <c r="E6315" s="3" t="s">
        <v>10</v>
      </c>
      <c r="F6315" s="5">
        <v>1560</v>
      </c>
      <c r="G6315" s="5">
        <v>0</v>
      </c>
      <c r="H6315" s="6">
        <v>63694.32</v>
      </c>
      <c r="I6315" s="22">
        <v>0</v>
      </c>
      <c r="J6315" s="24">
        <f t="shared" si="294"/>
        <v>0</v>
      </c>
      <c r="K6315" s="25">
        <f t="shared" si="296"/>
        <v>1.0000000000000009</v>
      </c>
      <c r="L6315" s="27"/>
      <c r="M6315" s="28"/>
      <c r="N6315" s="28"/>
      <c r="O6315" s="20" t="s">
        <v>7530</v>
      </c>
      <c r="P6315" s="27" t="str">
        <f t="shared" si="295"/>
        <v>vermelho</v>
      </c>
    </row>
    <row r="6316" spans="1:16" ht="25.5">
      <c r="A6316" s="3" t="s">
        <v>7420</v>
      </c>
      <c r="B6316" s="3" t="s">
        <v>7421</v>
      </c>
      <c r="C6316" s="4">
        <v>197</v>
      </c>
      <c r="D6316" s="3" t="s">
        <v>66</v>
      </c>
      <c r="E6316" s="3" t="s">
        <v>41</v>
      </c>
      <c r="F6316" s="5">
        <v>873</v>
      </c>
      <c r="G6316" s="5">
        <v>0</v>
      </c>
      <c r="H6316" s="6">
        <v>42242.928</v>
      </c>
      <c r="I6316" s="22">
        <v>0</v>
      </c>
      <c r="J6316" s="24">
        <f t="shared" si="294"/>
        <v>0</v>
      </c>
      <c r="K6316" s="25">
        <f t="shared" si="296"/>
        <v>1.0000000000000009</v>
      </c>
      <c r="L6316" s="27"/>
      <c r="M6316" s="28"/>
      <c r="N6316" s="28"/>
      <c r="O6316" s="20">
        <v>10892.72</v>
      </c>
      <c r="P6316" s="27" t="str">
        <f t="shared" si="295"/>
        <v>vermelho</v>
      </c>
    </row>
    <row r="6317" spans="1:16" ht="25.5">
      <c r="A6317" s="3" t="s">
        <v>7422</v>
      </c>
      <c r="B6317" s="3" t="s">
        <v>7423</v>
      </c>
      <c r="C6317" s="4">
        <v>218</v>
      </c>
      <c r="D6317" s="3" t="s">
        <v>104</v>
      </c>
      <c r="E6317" s="3" t="s">
        <v>16</v>
      </c>
      <c r="F6317" s="5">
        <v>108</v>
      </c>
      <c r="G6317" s="5">
        <v>0</v>
      </c>
      <c r="H6317" s="6">
        <v>5161.2</v>
      </c>
      <c r="I6317" s="22">
        <v>0</v>
      </c>
      <c r="J6317" s="24">
        <f t="shared" si="294"/>
        <v>0</v>
      </c>
      <c r="K6317" s="25">
        <f t="shared" si="296"/>
        <v>1.0000000000000009</v>
      </c>
      <c r="L6317" s="27"/>
      <c r="M6317" s="28"/>
      <c r="N6317" s="28"/>
      <c r="O6317" s="20" t="s">
        <v>7530</v>
      </c>
      <c r="P6317" s="27" t="str">
        <f t="shared" si="295"/>
        <v>vermelho</v>
      </c>
    </row>
    <row r="6318" spans="1:16" ht="25.5">
      <c r="A6318" s="3" t="s">
        <v>7424</v>
      </c>
      <c r="B6318" s="3" t="s">
        <v>7425</v>
      </c>
      <c r="C6318" s="4">
        <v>218</v>
      </c>
      <c r="D6318" s="3" t="s">
        <v>104</v>
      </c>
      <c r="E6318" s="3" t="s">
        <v>16</v>
      </c>
      <c r="F6318" s="5">
        <v>1896</v>
      </c>
      <c r="G6318" s="5">
        <v>0</v>
      </c>
      <c r="H6318" s="6">
        <v>89257.2</v>
      </c>
      <c r="I6318" s="22">
        <v>0</v>
      </c>
      <c r="J6318" s="24">
        <f t="shared" si="294"/>
        <v>0</v>
      </c>
      <c r="K6318" s="25">
        <f t="shared" si="296"/>
        <v>1.0000000000000009</v>
      </c>
      <c r="L6318" s="27"/>
      <c r="M6318" s="28"/>
      <c r="N6318" s="28"/>
      <c r="O6318" s="20" t="s">
        <v>7530</v>
      </c>
      <c r="P6318" s="27" t="str">
        <f t="shared" si="295"/>
        <v>vermelho</v>
      </c>
    </row>
    <row r="6319" spans="1:16" ht="25.5">
      <c r="A6319" s="3" t="s">
        <v>7426</v>
      </c>
      <c r="B6319" s="3" t="s">
        <v>7427</v>
      </c>
      <c r="C6319" s="4">
        <v>208</v>
      </c>
      <c r="D6319" s="3" t="s">
        <v>15</v>
      </c>
      <c r="E6319" s="3" t="s">
        <v>16</v>
      </c>
      <c r="F6319" s="5">
        <v>324</v>
      </c>
      <c r="G6319" s="5">
        <v>0</v>
      </c>
      <c r="H6319" s="6">
        <v>18895.080000000002</v>
      </c>
      <c r="I6319" s="22">
        <v>0</v>
      </c>
      <c r="J6319" s="24">
        <f t="shared" si="294"/>
        <v>0</v>
      </c>
      <c r="K6319" s="25">
        <f t="shared" si="296"/>
        <v>1.0000000000000009</v>
      </c>
      <c r="L6319" s="27"/>
      <c r="M6319" s="28"/>
      <c r="N6319" s="28"/>
      <c r="O6319" s="20">
        <v>8000.07</v>
      </c>
      <c r="P6319" s="27" t="str">
        <f t="shared" si="295"/>
        <v>vermelho</v>
      </c>
    </row>
    <row r="6320" spans="1:16" ht="25.5">
      <c r="A6320" s="3" t="s">
        <v>7428</v>
      </c>
      <c r="B6320" s="3" t="s">
        <v>7429</v>
      </c>
      <c r="C6320" s="4">
        <v>218</v>
      </c>
      <c r="D6320" s="3" t="s">
        <v>104</v>
      </c>
      <c r="E6320" s="3" t="s">
        <v>16</v>
      </c>
      <c r="F6320" s="5">
        <v>14700</v>
      </c>
      <c r="G6320" s="5">
        <v>0</v>
      </c>
      <c r="H6320" s="6">
        <v>658715.4</v>
      </c>
      <c r="I6320" s="22">
        <v>0</v>
      </c>
      <c r="J6320" s="24">
        <f t="shared" si="294"/>
        <v>0</v>
      </c>
      <c r="K6320" s="25">
        <f t="shared" si="296"/>
        <v>1.0000000000000009</v>
      </c>
      <c r="L6320" s="27"/>
      <c r="M6320" s="28"/>
      <c r="N6320" s="28"/>
      <c r="O6320" s="20" t="s">
        <v>7530</v>
      </c>
      <c r="P6320" s="27" t="str">
        <f t="shared" si="295"/>
        <v>vermelho</v>
      </c>
    </row>
    <row r="6321" spans="1:16" ht="51">
      <c r="A6321" s="3" t="s">
        <v>7430</v>
      </c>
      <c r="B6321" s="3" t="s">
        <v>7431</v>
      </c>
      <c r="C6321" s="4">
        <v>282</v>
      </c>
      <c r="D6321" s="3" t="s">
        <v>12</v>
      </c>
      <c r="E6321" s="3" t="s">
        <v>13</v>
      </c>
      <c r="F6321" s="5">
        <v>516</v>
      </c>
      <c r="G6321" s="5">
        <v>0</v>
      </c>
      <c r="H6321" s="6">
        <v>30918</v>
      </c>
      <c r="I6321" s="22">
        <v>0</v>
      </c>
      <c r="J6321" s="24">
        <f t="shared" si="294"/>
        <v>0</v>
      </c>
      <c r="K6321" s="25">
        <f t="shared" si="296"/>
        <v>1.0000000000000009</v>
      </c>
      <c r="L6321" s="27"/>
      <c r="M6321" s="28"/>
      <c r="N6321" s="28"/>
      <c r="O6321" s="20">
        <v>5020.8</v>
      </c>
      <c r="P6321" s="27" t="str">
        <f t="shared" si="295"/>
        <v>vermelho</v>
      </c>
    </row>
    <row r="6322" spans="1:16" ht="25.5">
      <c r="A6322" s="3" t="s">
        <v>7432</v>
      </c>
      <c r="B6322" s="3" t="s">
        <v>7433</v>
      </c>
      <c r="C6322" s="4">
        <v>335</v>
      </c>
      <c r="D6322" s="3" t="s">
        <v>36</v>
      </c>
      <c r="E6322" s="3" t="s">
        <v>7</v>
      </c>
      <c r="F6322" s="5">
        <v>246</v>
      </c>
      <c r="G6322" s="5">
        <v>0</v>
      </c>
      <c r="H6322" s="6">
        <v>11718.48</v>
      </c>
      <c r="I6322" s="22">
        <v>0</v>
      </c>
      <c r="J6322" s="24">
        <f t="shared" si="294"/>
        <v>0</v>
      </c>
      <c r="K6322" s="25">
        <f t="shared" si="296"/>
        <v>1.0000000000000009</v>
      </c>
      <c r="L6322" s="27"/>
      <c r="M6322" s="28"/>
      <c r="N6322" s="28"/>
      <c r="O6322" s="20" t="s">
        <v>7530</v>
      </c>
      <c r="P6322" s="27" t="str">
        <f t="shared" si="295"/>
        <v>vermelho</v>
      </c>
    </row>
    <row r="6323" spans="1:16" ht="25.5">
      <c r="A6323" s="3" t="s">
        <v>7434</v>
      </c>
      <c r="B6323" s="3" t="s">
        <v>7435</v>
      </c>
      <c r="C6323" s="4">
        <v>39</v>
      </c>
      <c r="D6323" s="3" t="s">
        <v>26</v>
      </c>
      <c r="E6323" s="3" t="s">
        <v>13</v>
      </c>
      <c r="F6323" s="5">
        <v>3348</v>
      </c>
      <c r="G6323" s="5">
        <v>0</v>
      </c>
      <c r="H6323" s="6">
        <v>173229.50399999999</v>
      </c>
      <c r="I6323" s="22">
        <v>0</v>
      </c>
      <c r="J6323" s="24">
        <f t="shared" si="294"/>
        <v>0</v>
      </c>
      <c r="K6323" s="25">
        <f t="shared" si="296"/>
        <v>1.0000000000000009</v>
      </c>
      <c r="L6323" s="27"/>
      <c r="M6323" s="28"/>
      <c r="N6323" s="28"/>
      <c r="O6323" s="20" t="s">
        <v>7530</v>
      </c>
      <c r="P6323" s="27" t="str">
        <f t="shared" si="295"/>
        <v>vermelho</v>
      </c>
    </row>
    <row r="6324" spans="1:16" ht="25.5">
      <c r="A6324" s="3" t="s">
        <v>7436</v>
      </c>
      <c r="B6324" s="3" t="s">
        <v>7437</v>
      </c>
      <c r="C6324" s="4">
        <v>317</v>
      </c>
      <c r="D6324" s="3" t="s">
        <v>78</v>
      </c>
      <c r="E6324" s="3" t="s">
        <v>10</v>
      </c>
      <c r="F6324" s="5">
        <v>408</v>
      </c>
      <c r="G6324" s="5">
        <v>0</v>
      </c>
      <c r="H6324" s="6">
        <v>13877.04</v>
      </c>
      <c r="I6324" s="22">
        <v>0</v>
      </c>
      <c r="J6324" s="24">
        <f t="shared" si="294"/>
        <v>0</v>
      </c>
      <c r="K6324" s="25">
        <f t="shared" si="296"/>
        <v>1.0000000000000009</v>
      </c>
      <c r="L6324" s="27"/>
      <c r="M6324" s="28"/>
      <c r="N6324" s="28"/>
      <c r="O6324" s="20" t="s">
        <v>7530</v>
      </c>
      <c r="P6324" s="27" t="str">
        <f t="shared" si="295"/>
        <v>vermelho</v>
      </c>
    </row>
    <row r="6325" spans="1:16" ht="25.5">
      <c r="A6325" s="3" t="s">
        <v>7438</v>
      </c>
      <c r="B6325" s="3" t="s">
        <v>7439</v>
      </c>
      <c r="C6325" s="4">
        <v>39</v>
      </c>
      <c r="D6325" s="3" t="s">
        <v>26</v>
      </c>
      <c r="E6325" s="3" t="s">
        <v>13</v>
      </c>
      <c r="F6325" s="5">
        <v>144</v>
      </c>
      <c r="G6325" s="5">
        <v>0</v>
      </c>
      <c r="H6325" s="6">
        <v>5097.6000000000004</v>
      </c>
      <c r="I6325" s="22">
        <v>0</v>
      </c>
      <c r="J6325" s="24">
        <f t="shared" si="294"/>
        <v>0</v>
      </c>
      <c r="K6325" s="25">
        <f t="shared" si="296"/>
        <v>1.0000000000000009</v>
      </c>
      <c r="L6325" s="27"/>
      <c r="M6325" s="28"/>
      <c r="N6325" s="28"/>
      <c r="O6325" s="20" t="s">
        <v>7530</v>
      </c>
      <c r="P6325" s="27" t="str">
        <f t="shared" si="295"/>
        <v>vermelho</v>
      </c>
    </row>
    <row r="6326" spans="1:16" ht="25.5">
      <c r="A6326" s="3" t="s">
        <v>7440</v>
      </c>
      <c r="B6326" s="3" t="s">
        <v>7441</v>
      </c>
      <c r="C6326" s="4">
        <v>316</v>
      </c>
      <c r="D6326" s="3" t="s">
        <v>247</v>
      </c>
      <c r="E6326" s="3" t="s">
        <v>10</v>
      </c>
      <c r="F6326" s="5">
        <v>383</v>
      </c>
      <c r="G6326" s="5">
        <v>0</v>
      </c>
      <c r="H6326" s="6">
        <v>13616.34</v>
      </c>
      <c r="I6326" s="22">
        <v>0</v>
      </c>
      <c r="J6326" s="24">
        <f t="shared" si="294"/>
        <v>0</v>
      </c>
      <c r="K6326" s="25">
        <f t="shared" si="296"/>
        <v>1.0000000000000009</v>
      </c>
      <c r="L6326" s="27"/>
      <c r="M6326" s="28"/>
      <c r="N6326" s="28"/>
      <c r="O6326" s="20" t="s">
        <v>7530</v>
      </c>
      <c r="P6326" s="27" t="str">
        <f t="shared" si="295"/>
        <v>vermelho</v>
      </c>
    </row>
    <row r="6327" spans="1:16" ht="25.5">
      <c r="A6327" s="3" t="s">
        <v>7442</v>
      </c>
      <c r="B6327" s="3" t="s">
        <v>7443</v>
      </c>
      <c r="C6327" s="4">
        <v>328</v>
      </c>
      <c r="D6327" s="3" t="s">
        <v>215</v>
      </c>
      <c r="E6327" s="3" t="s">
        <v>41</v>
      </c>
      <c r="F6327" s="5">
        <v>96</v>
      </c>
      <c r="G6327" s="5">
        <v>0</v>
      </c>
      <c r="H6327" s="6">
        <v>5387.04</v>
      </c>
      <c r="I6327" s="22">
        <v>0</v>
      </c>
      <c r="J6327" s="24">
        <f t="shared" si="294"/>
        <v>0</v>
      </c>
      <c r="K6327" s="25">
        <f t="shared" si="296"/>
        <v>1.0000000000000009</v>
      </c>
      <c r="L6327" s="27"/>
      <c r="M6327" s="28"/>
      <c r="N6327" s="28"/>
      <c r="O6327" s="20" t="s">
        <v>7530</v>
      </c>
      <c r="P6327" s="27" t="str">
        <f t="shared" si="295"/>
        <v>vermelho</v>
      </c>
    </row>
    <row r="6328" spans="1:16" ht="38.25">
      <c r="A6328" s="3" t="s">
        <v>7444</v>
      </c>
      <c r="B6328" s="3" t="s">
        <v>7445</v>
      </c>
      <c r="C6328" s="4">
        <v>143</v>
      </c>
      <c r="D6328" s="3" t="s">
        <v>44</v>
      </c>
      <c r="E6328" s="3" t="s">
        <v>41</v>
      </c>
      <c r="F6328" s="5">
        <v>240</v>
      </c>
      <c r="G6328" s="5">
        <v>0</v>
      </c>
      <c r="H6328" s="6">
        <v>13071.84</v>
      </c>
      <c r="I6328" s="22">
        <v>0</v>
      </c>
      <c r="J6328" s="24">
        <f t="shared" si="294"/>
        <v>0</v>
      </c>
      <c r="K6328" s="25">
        <f t="shared" si="296"/>
        <v>1.0000000000000009</v>
      </c>
      <c r="L6328" s="27"/>
      <c r="M6328" s="28"/>
      <c r="N6328" s="28"/>
      <c r="O6328" s="20" t="s">
        <v>7530</v>
      </c>
      <c r="P6328" s="27" t="str">
        <f t="shared" si="295"/>
        <v>vermelho</v>
      </c>
    </row>
    <row r="6329" spans="1:16" ht="38.25">
      <c r="A6329" s="3" t="s">
        <v>7446</v>
      </c>
      <c r="B6329" s="3" t="s">
        <v>7447</v>
      </c>
      <c r="C6329" s="4">
        <v>143</v>
      </c>
      <c r="D6329" s="3" t="s">
        <v>44</v>
      </c>
      <c r="E6329" s="3" t="s">
        <v>41</v>
      </c>
      <c r="F6329" s="5">
        <v>81</v>
      </c>
      <c r="G6329" s="5">
        <v>0</v>
      </c>
      <c r="H6329" s="6">
        <v>5731.74</v>
      </c>
      <c r="I6329" s="22">
        <v>0</v>
      </c>
      <c r="J6329" s="24">
        <f t="shared" si="294"/>
        <v>0</v>
      </c>
      <c r="K6329" s="25">
        <f t="shared" si="296"/>
        <v>1.0000000000000009</v>
      </c>
      <c r="L6329" s="27"/>
      <c r="M6329" s="28"/>
      <c r="N6329" s="28"/>
      <c r="O6329" s="20" t="s">
        <v>7530</v>
      </c>
      <c r="P6329" s="27" t="str">
        <f t="shared" si="295"/>
        <v>vermelho</v>
      </c>
    </row>
    <row r="6330" spans="1:16" ht="25.5">
      <c r="A6330" s="3" t="s">
        <v>7448</v>
      </c>
      <c r="B6330" s="3" t="s">
        <v>7449</v>
      </c>
      <c r="C6330" s="4">
        <v>208</v>
      </c>
      <c r="D6330" s="3" t="s">
        <v>15</v>
      </c>
      <c r="E6330" s="3" t="s">
        <v>16</v>
      </c>
      <c r="F6330" s="5">
        <v>1752</v>
      </c>
      <c r="G6330" s="5">
        <v>0</v>
      </c>
      <c r="H6330" s="6">
        <v>83792.759999999995</v>
      </c>
      <c r="I6330" s="22">
        <v>0</v>
      </c>
      <c r="J6330" s="24">
        <f t="shared" si="294"/>
        <v>0</v>
      </c>
      <c r="K6330" s="25">
        <f t="shared" si="296"/>
        <v>1.0000000000000009</v>
      </c>
      <c r="L6330" s="27"/>
      <c r="M6330" s="28"/>
      <c r="N6330" s="28"/>
      <c r="O6330" s="20" t="s">
        <v>7530</v>
      </c>
      <c r="P6330" s="27" t="str">
        <f t="shared" si="295"/>
        <v>vermelho</v>
      </c>
    </row>
    <row r="6331" spans="1:16" ht="25.5">
      <c r="A6331" s="3" t="s">
        <v>7450</v>
      </c>
      <c r="B6331" s="3" t="s">
        <v>5285</v>
      </c>
      <c r="C6331" s="4">
        <v>317</v>
      </c>
      <c r="D6331" s="3" t="s">
        <v>78</v>
      </c>
      <c r="E6331" s="3" t="s">
        <v>10</v>
      </c>
      <c r="F6331" s="5">
        <v>144</v>
      </c>
      <c r="G6331" s="5">
        <v>0</v>
      </c>
      <c r="H6331" s="6">
        <v>7663.68</v>
      </c>
      <c r="I6331" s="22">
        <v>0</v>
      </c>
      <c r="J6331" s="24">
        <f t="shared" si="294"/>
        <v>0</v>
      </c>
      <c r="K6331" s="25">
        <f t="shared" si="296"/>
        <v>1.0000000000000009</v>
      </c>
      <c r="L6331" s="27"/>
      <c r="M6331" s="28"/>
      <c r="N6331" s="28"/>
      <c r="O6331" s="20">
        <v>13253.76</v>
      </c>
      <c r="P6331" s="27" t="str">
        <f t="shared" si="295"/>
        <v>vermelho</v>
      </c>
    </row>
    <row r="6332" spans="1:16">
      <c r="A6332" s="3" t="s">
        <v>7451</v>
      </c>
      <c r="B6332" s="3" t="s">
        <v>7452</v>
      </c>
      <c r="C6332" s="4">
        <v>167</v>
      </c>
      <c r="D6332" s="3" t="s">
        <v>251</v>
      </c>
      <c r="E6332" s="3" t="s">
        <v>49</v>
      </c>
      <c r="F6332" s="5">
        <v>375</v>
      </c>
      <c r="G6332" s="5">
        <v>0</v>
      </c>
      <c r="H6332" s="6">
        <v>20539.22</v>
      </c>
      <c r="I6332" s="22">
        <v>0</v>
      </c>
      <c r="J6332" s="24">
        <f t="shared" si="294"/>
        <v>0</v>
      </c>
      <c r="K6332" s="25">
        <f t="shared" si="296"/>
        <v>1.0000000000000009</v>
      </c>
      <c r="L6332" s="27"/>
      <c r="M6332" s="28"/>
      <c r="N6332" s="28"/>
      <c r="O6332" s="20" t="s">
        <v>7530</v>
      </c>
      <c r="P6332" s="27" t="str">
        <f t="shared" si="295"/>
        <v>vermelho</v>
      </c>
    </row>
    <row r="6333" spans="1:16" ht="25.5">
      <c r="A6333" s="3" t="s">
        <v>7453</v>
      </c>
      <c r="B6333" s="3" t="s">
        <v>7454</v>
      </c>
      <c r="C6333" s="4">
        <v>23</v>
      </c>
      <c r="D6333" s="3" t="s">
        <v>87</v>
      </c>
      <c r="E6333" s="3" t="s">
        <v>7</v>
      </c>
      <c r="F6333" s="5">
        <v>528</v>
      </c>
      <c r="G6333" s="5">
        <v>0</v>
      </c>
      <c r="H6333" s="6">
        <v>28142.16</v>
      </c>
      <c r="I6333" s="22">
        <v>0</v>
      </c>
      <c r="J6333" s="24">
        <f t="shared" si="294"/>
        <v>0</v>
      </c>
      <c r="K6333" s="25">
        <f t="shared" si="296"/>
        <v>1.0000000000000009</v>
      </c>
      <c r="L6333" s="27"/>
      <c r="M6333" s="28"/>
      <c r="N6333" s="28"/>
      <c r="O6333" s="20" t="s">
        <v>7530</v>
      </c>
      <c r="P6333" s="27" t="str">
        <f t="shared" si="295"/>
        <v>vermelho</v>
      </c>
    </row>
    <row r="6334" spans="1:16" ht="25.5">
      <c r="A6334" s="3" t="s">
        <v>7455</v>
      </c>
      <c r="B6334" s="3" t="s">
        <v>7456</v>
      </c>
      <c r="C6334" s="4">
        <v>317</v>
      </c>
      <c r="D6334" s="3" t="s">
        <v>78</v>
      </c>
      <c r="E6334" s="3" t="s">
        <v>10</v>
      </c>
      <c r="F6334" s="5">
        <v>84</v>
      </c>
      <c r="G6334" s="5">
        <v>0</v>
      </c>
      <c r="H6334" s="6">
        <v>4921.4399999999996</v>
      </c>
      <c r="I6334" s="22">
        <v>0</v>
      </c>
      <c r="J6334" s="24">
        <f t="shared" si="294"/>
        <v>0</v>
      </c>
      <c r="K6334" s="25">
        <f t="shared" si="296"/>
        <v>1.0000000000000009</v>
      </c>
      <c r="L6334" s="27"/>
      <c r="M6334" s="28"/>
      <c r="N6334" s="28"/>
      <c r="O6334" s="20" t="s">
        <v>7530</v>
      </c>
      <c r="P6334" s="27" t="str">
        <f t="shared" si="295"/>
        <v>vermelho</v>
      </c>
    </row>
    <row r="6335" spans="1:16" ht="25.5">
      <c r="A6335" s="3" t="s">
        <v>7457</v>
      </c>
      <c r="B6335" s="3" t="s">
        <v>7458</v>
      </c>
      <c r="C6335" s="4">
        <v>39</v>
      </c>
      <c r="D6335" s="3" t="s">
        <v>26</v>
      </c>
      <c r="E6335" s="3" t="s">
        <v>13</v>
      </c>
      <c r="F6335" s="5">
        <v>480</v>
      </c>
      <c r="G6335" s="5">
        <v>0</v>
      </c>
      <c r="H6335" s="6">
        <v>26137.727999999999</v>
      </c>
      <c r="I6335" s="22">
        <v>0</v>
      </c>
      <c r="J6335" s="24">
        <f t="shared" si="294"/>
        <v>0</v>
      </c>
      <c r="K6335" s="25">
        <f t="shared" si="296"/>
        <v>1.0000000000000009</v>
      </c>
      <c r="L6335" s="27"/>
      <c r="M6335" s="28"/>
      <c r="N6335" s="28"/>
      <c r="O6335" s="20">
        <v>35709.54</v>
      </c>
      <c r="P6335" s="27" t="str">
        <f t="shared" si="295"/>
        <v>vermelho</v>
      </c>
    </row>
    <row r="6336" spans="1:16" ht="25.5">
      <c r="A6336" s="3" t="s">
        <v>7459</v>
      </c>
      <c r="B6336" s="3" t="s">
        <v>7460</v>
      </c>
      <c r="C6336" s="4">
        <v>39</v>
      </c>
      <c r="D6336" s="3" t="s">
        <v>26</v>
      </c>
      <c r="E6336" s="3" t="s">
        <v>13</v>
      </c>
      <c r="F6336" s="5">
        <v>135</v>
      </c>
      <c r="G6336" s="5">
        <v>0</v>
      </c>
      <c r="H6336" s="6">
        <v>6866.0190000000002</v>
      </c>
      <c r="I6336" s="22">
        <v>0</v>
      </c>
      <c r="J6336" s="24">
        <f t="shared" si="294"/>
        <v>0</v>
      </c>
      <c r="K6336" s="25">
        <f t="shared" si="296"/>
        <v>1.0000000000000009</v>
      </c>
      <c r="L6336" s="27"/>
      <c r="M6336" s="28"/>
      <c r="N6336" s="28"/>
      <c r="O6336" s="20" t="s">
        <v>7530</v>
      </c>
      <c r="P6336" s="27" t="str">
        <f t="shared" si="295"/>
        <v>vermelho</v>
      </c>
    </row>
    <row r="6337" spans="1:16" ht="38.25">
      <c r="A6337" s="3" t="s">
        <v>7461</v>
      </c>
      <c r="B6337" s="3" t="s">
        <v>7462</v>
      </c>
      <c r="C6337" s="4">
        <v>301</v>
      </c>
      <c r="D6337" s="3" t="s">
        <v>519</v>
      </c>
      <c r="E6337" s="3" t="s">
        <v>16</v>
      </c>
      <c r="F6337" s="5">
        <v>192</v>
      </c>
      <c r="G6337" s="5">
        <v>0</v>
      </c>
      <c r="H6337" s="6">
        <v>6597.6</v>
      </c>
      <c r="I6337" s="22">
        <v>0</v>
      </c>
      <c r="J6337" s="24">
        <f t="shared" si="294"/>
        <v>0</v>
      </c>
      <c r="K6337" s="25">
        <f t="shared" si="296"/>
        <v>1.0000000000000009</v>
      </c>
      <c r="L6337" s="27"/>
      <c r="M6337" s="28"/>
      <c r="N6337" s="28"/>
      <c r="O6337" s="20" t="s">
        <v>7530</v>
      </c>
      <c r="P6337" s="27" t="str">
        <f t="shared" si="295"/>
        <v>vermelho</v>
      </c>
    </row>
    <row r="6338" spans="1:16" ht="38.25">
      <c r="A6338" s="3" t="s">
        <v>7463</v>
      </c>
      <c r="B6338" s="3" t="s">
        <v>7464</v>
      </c>
      <c r="C6338" s="4">
        <v>301</v>
      </c>
      <c r="D6338" s="3" t="s">
        <v>519</v>
      </c>
      <c r="E6338" s="3" t="s">
        <v>16</v>
      </c>
      <c r="F6338" s="5">
        <v>192</v>
      </c>
      <c r="G6338" s="5">
        <v>0</v>
      </c>
      <c r="H6338" s="6">
        <v>12886.08</v>
      </c>
      <c r="I6338" s="22">
        <v>0</v>
      </c>
      <c r="J6338" s="24">
        <f t="shared" si="294"/>
        <v>0</v>
      </c>
      <c r="K6338" s="25">
        <f t="shared" si="296"/>
        <v>1.0000000000000009</v>
      </c>
      <c r="L6338" s="27"/>
      <c r="M6338" s="28"/>
      <c r="N6338" s="28"/>
      <c r="O6338" s="20" t="s">
        <v>7530</v>
      </c>
      <c r="P6338" s="27" t="str">
        <f t="shared" si="295"/>
        <v>vermelho</v>
      </c>
    </row>
    <row r="6339" spans="1:16" ht="51">
      <c r="A6339" s="3" t="s">
        <v>7465</v>
      </c>
      <c r="B6339" s="3" t="s">
        <v>7466</v>
      </c>
      <c r="C6339" s="4">
        <v>282</v>
      </c>
      <c r="D6339" s="3" t="s">
        <v>12</v>
      </c>
      <c r="E6339" s="3" t="s">
        <v>13</v>
      </c>
      <c r="F6339" s="5">
        <v>48</v>
      </c>
      <c r="G6339" s="5">
        <v>0</v>
      </c>
      <c r="H6339" s="6">
        <v>2498.652</v>
      </c>
      <c r="I6339" s="22">
        <v>0</v>
      </c>
      <c r="J6339" s="24">
        <f t="shared" ref="J6339:J6363" si="297">I6339/$I$6364</f>
        <v>0</v>
      </c>
      <c r="K6339" s="25">
        <f t="shared" si="296"/>
        <v>1.0000000000000009</v>
      </c>
      <c r="L6339" s="27"/>
      <c r="M6339" s="28"/>
      <c r="N6339" s="28"/>
      <c r="O6339" s="20" t="s">
        <v>7530</v>
      </c>
      <c r="P6339" s="27" t="str">
        <f t="shared" ref="P6339:P6364" si="298">IF(O6339&lt;=0,"vermelho",IFERROR(IF(O6339/I6339&lt;=0.5098,"amarelo",IF(O6339/I6339&lt;1,"laranja","verde")),"vermelho"))</f>
        <v>vermelho</v>
      </c>
    </row>
    <row r="6340" spans="1:16" ht="25.5">
      <c r="A6340" s="3" t="s">
        <v>7467</v>
      </c>
      <c r="B6340" s="3" t="s">
        <v>7468</v>
      </c>
      <c r="C6340" s="4">
        <v>93</v>
      </c>
      <c r="D6340" s="3" t="s">
        <v>20</v>
      </c>
      <c r="E6340" s="3" t="s">
        <v>7</v>
      </c>
      <c r="F6340" s="5">
        <v>69</v>
      </c>
      <c r="G6340" s="5">
        <v>0</v>
      </c>
      <c r="H6340" s="6">
        <v>3737.31</v>
      </c>
      <c r="I6340" s="22">
        <v>0</v>
      </c>
      <c r="J6340" s="24">
        <f t="shared" si="297"/>
        <v>0</v>
      </c>
      <c r="K6340" s="25">
        <f t="shared" ref="K6340:K6363" si="299">J6340+K6339</f>
        <v>1.0000000000000009</v>
      </c>
      <c r="L6340" s="27"/>
      <c r="M6340" s="28"/>
      <c r="N6340" s="28"/>
      <c r="O6340" s="20" t="s">
        <v>7530</v>
      </c>
      <c r="P6340" s="27" t="str">
        <f t="shared" si="298"/>
        <v>vermelho</v>
      </c>
    </row>
    <row r="6341" spans="1:16" ht="51">
      <c r="A6341" s="3" t="s">
        <v>7469</v>
      </c>
      <c r="B6341" s="3" t="s">
        <v>7470</v>
      </c>
      <c r="C6341" s="4">
        <v>282</v>
      </c>
      <c r="D6341" s="3" t="s">
        <v>12</v>
      </c>
      <c r="E6341" s="3" t="s">
        <v>13</v>
      </c>
      <c r="F6341" s="5">
        <v>471</v>
      </c>
      <c r="G6341" s="5">
        <v>0</v>
      </c>
      <c r="H6341" s="6">
        <v>24069.825000000001</v>
      </c>
      <c r="I6341" s="22">
        <v>0</v>
      </c>
      <c r="J6341" s="24">
        <f t="shared" si="297"/>
        <v>0</v>
      </c>
      <c r="K6341" s="25">
        <f t="shared" si="299"/>
        <v>1.0000000000000009</v>
      </c>
      <c r="L6341" s="27"/>
      <c r="M6341" s="28"/>
      <c r="N6341" s="28"/>
      <c r="O6341" s="20" t="s">
        <v>7530</v>
      </c>
      <c r="P6341" s="27" t="str">
        <f t="shared" si="298"/>
        <v>vermelho</v>
      </c>
    </row>
    <row r="6342" spans="1:16" ht="25.5">
      <c r="A6342" s="3" t="s">
        <v>7471</v>
      </c>
      <c r="B6342" s="3" t="s">
        <v>7472</v>
      </c>
      <c r="C6342" s="4">
        <v>328</v>
      </c>
      <c r="D6342" s="3" t="s">
        <v>215</v>
      </c>
      <c r="E6342" s="3" t="s">
        <v>41</v>
      </c>
      <c r="F6342" s="5">
        <v>375</v>
      </c>
      <c r="G6342" s="5">
        <v>0</v>
      </c>
      <c r="H6342" s="6">
        <v>19844.607</v>
      </c>
      <c r="I6342" s="22">
        <v>0</v>
      </c>
      <c r="J6342" s="24">
        <f t="shared" si="297"/>
        <v>0</v>
      </c>
      <c r="K6342" s="25">
        <f t="shared" si="299"/>
        <v>1.0000000000000009</v>
      </c>
      <c r="L6342" s="27"/>
      <c r="M6342" s="28"/>
      <c r="N6342" s="28"/>
      <c r="O6342" s="20" t="s">
        <v>7530</v>
      </c>
      <c r="P6342" s="27" t="str">
        <f t="shared" si="298"/>
        <v>vermelho</v>
      </c>
    </row>
    <row r="6343" spans="1:16" ht="51">
      <c r="A6343" s="3" t="s">
        <v>7473</v>
      </c>
      <c r="B6343" s="3" t="s">
        <v>7474</v>
      </c>
      <c r="C6343" s="4">
        <v>282</v>
      </c>
      <c r="D6343" s="3" t="s">
        <v>12</v>
      </c>
      <c r="E6343" s="3" t="s">
        <v>13</v>
      </c>
      <c r="F6343" s="5">
        <v>96</v>
      </c>
      <c r="G6343" s="5">
        <v>0</v>
      </c>
      <c r="H6343" s="6">
        <v>5972.64</v>
      </c>
      <c r="I6343" s="22">
        <v>0</v>
      </c>
      <c r="J6343" s="24">
        <f t="shared" si="297"/>
        <v>0</v>
      </c>
      <c r="K6343" s="25">
        <f t="shared" si="299"/>
        <v>1.0000000000000009</v>
      </c>
      <c r="L6343" s="27"/>
      <c r="M6343" s="28"/>
      <c r="N6343" s="28"/>
      <c r="O6343" s="20" t="s">
        <v>7530</v>
      </c>
      <c r="P6343" s="27" t="str">
        <f t="shared" si="298"/>
        <v>vermelho</v>
      </c>
    </row>
    <row r="6344" spans="1:16" ht="25.5">
      <c r="A6344" s="3" t="s">
        <v>7475</v>
      </c>
      <c r="B6344" s="3" t="s">
        <v>7476</v>
      </c>
      <c r="C6344" s="4">
        <v>328</v>
      </c>
      <c r="D6344" s="3" t="s">
        <v>215</v>
      </c>
      <c r="E6344" s="3" t="s">
        <v>41</v>
      </c>
      <c r="F6344" s="5">
        <v>465</v>
      </c>
      <c r="G6344" s="5">
        <v>0</v>
      </c>
      <c r="H6344" s="6">
        <v>28296.764999999999</v>
      </c>
      <c r="I6344" s="22">
        <v>0</v>
      </c>
      <c r="J6344" s="24">
        <f t="shared" si="297"/>
        <v>0</v>
      </c>
      <c r="K6344" s="25">
        <f t="shared" si="299"/>
        <v>1.0000000000000009</v>
      </c>
      <c r="L6344" s="27"/>
      <c r="M6344" s="28"/>
      <c r="N6344" s="28"/>
      <c r="O6344" s="20" t="s">
        <v>7530</v>
      </c>
      <c r="P6344" s="27" t="str">
        <f t="shared" si="298"/>
        <v>vermelho</v>
      </c>
    </row>
    <row r="6345" spans="1:16" ht="25.5">
      <c r="A6345" s="3" t="s">
        <v>7477</v>
      </c>
      <c r="B6345" s="3" t="s">
        <v>7478</v>
      </c>
      <c r="C6345" s="4">
        <v>261</v>
      </c>
      <c r="D6345" s="3" t="s">
        <v>9</v>
      </c>
      <c r="E6345" s="3" t="s">
        <v>10</v>
      </c>
      <c r="F6345" s="5">
        <v>78</v>
      </c>
      <c r="G6345" s="5">
        <v>0</v>
      </c>
      <c r="H6345" s="6">
        <v>4139.22</v>
      </c>
      <c r="I6345" s="22">
        <v>0</v>
      </c>
      <c r="J6345" s="24">
        <f t="shared" si="297"/>
        <v>0</v>
      </c>
      <c r="K6345" s="25">
        <f t="shared" si="299"/>
        <v>1.0000000000000009</v>
      </c>
      <c r="L6345" s="27"/>
      <c r="M6345" s="28"/>
      <c r="N6345" s="28"/>
      <c r="O6345" s="20" t="s">
        <v>7530</v>
      </c>
      <c r="P6345" s="27" t="str">
        <f t="shared" si="298"/>
        <v>vermelho</v>
      </c>
    </row>
    <row r="6346" spans="1:16" ht="25.5">
      <c r="A6346" s="3" t="s">
        <v>7479</v>
      </c>
      <c r="B6346" s="3" t="s">
        <v>7480</v>
      </c>
      <c r="C6346" s="4">
        <v>317</v>
      </c>
      <c r="D6346" s="3" t="s">
        <v>78</v>
      </c>
      <c r="E6346" s="3" t="s">
        <v>10</v>
      </c>
      <c r="F6346" s="5">
        <v>288</v>
      </c>
      <c r="G6346" s="5">
        <v>0</v>
      </c>
      <c r="H6346" s="6">
        <v>13931.76</v>
      </c>
      <c r="I6346" s="22">
        <v>0</v>
      </c>
      <c r="J6346" s="24">
        <f t="shared" si="297"/>
        <v>0</v>
      </c>
      <c r="K6346" s="25">
        <f t="shared" si="299"/>
        <v>1.0000000000000009</v>
      </c>
      <c r="L6346" s="27"/>
      <c r="M6346" s="28"/>
      <c r="N6346" s="28"/>
      <c r="O6346" s="20" t="s">
        <v>7530</v>
      </c>
      <c r="P6346" s="27" t="str">
        <f t="shared" si="298"/>
        <v>vermelho</v>
      </c>
    </row>
    <row r="6347" spans="1:16" ht="25.5">
      <c r="A6347" s="3" t="s">
        <v>7481</v>
      </c>
      <c r="B6347" s="3" t="s">
        <v>7482</v>
      </c>
      <c r="C6347" s="4">
        <v>317</v>
      </c>
      <c r="D6347" s="3" t="s">
        <v>78</v>
      </c>
      <c r="E6347" s="3" t="s">
        <v>10</v>
      </c>
      <c r="F6347" s="5">
        <v>180</v>
      </c>
      <c r="G6347" s="5">
        <v>0</v>
      </c>
      <c r="H6347" s="6">
        <v>6973.8</v>
      </c>
      <c r="I6347" s="22">
        <v>0</v>
      </c>
      <c r="J6347" s="24">
        <f t="shared" si="297"/>
        <v>0</v>
      </c>
      <c r="K6347" s="25">
        <f t="shared" si="299"/>
        <v>1.0000000000000009</v>
      </c>
      <c r="L6347" s="27"/>
      <c r="M6347" s="28"/>
      <c r="N6347" s="28"/>
      <c r="O6347" s="20">
        <v>6566.1</v>
      </c>
      <c r="P6347" s="27" t="str">
        <f t="shared" si="298"/>
        <v>vermelho</v>
      </c>
    </row>
    <row r="6348" spans="1:16" ht="25.5">
      <c r="A6348" s="3" t="s">
        <v>7483</v>
      </c>
      <c r="B6348" s="3" t="s">
        <v>7484</v>
      </c>
      <c r="C6348" s="4">
        <v>23</v>
      </c>
      <c r="D6348" s="3" t="s">
        <v>87</v>
      </c>
      <c r="E6348" s="3" t="s">
        <v>7</v>
      </c>
      <c r="F6348" s="5">
        <v>216</v>
      </c>
      <c r="G6348" s="5">
        <v>0</v>
      </c>
      <c r="H6348" s="6">
        <v>12843.84</v>
      </c>
      <c r="I6348" s="22">
        <v>0</v>
      </c>
      <c r="J6348" s="24">
        <f t="shared" si="297"/>
        <v>0</v>
      </c>
      <c r="K6348" s="25">
        <f t="shared" si="299"/>
        <v>1.0000000000000009</v>
      </c>
      <c r="L6348" s="27"/>
      <c r="M6348" s="28"/>
      <c r="N6348" s="28"/>
      <c r="O6348" s="20" t="s">
        <v>7530</v>
      </c>
      <c r="P6348" s="27" t="str">
        <f t="shared" si="298"/>
        <v>vermelho</v>
      </c>
    </row>
    <row r="6349" spans="1:16" ht="25.5">
      <c r="A6349" s="3" t="s">
        <v>7485</v>
      </c>
      <c r="B6349" s="3" t="s">
        <v>7486</v>
      </c>
      <c r="C6349" s="4">
        <v>321</v>
      </c>
      <c r="D6349" s="3" t="s">
        <v>136</v>
      </c>
      <c r="E6349" s="3" t="s">
        <v>41</v>
      </c>
      <c r="F6349" s="5">
        <v>108</v>
      </c>
      <c r="G6349" s="5">
        <v>0</v>
      </c>
      <c r="H6349" s="6">
        <v>6338.52</v>
      </c>
      <c r="I6349" s="22">
        <v>0</v>
      </c>
      <c r="J6349" s="24">
        <f t="shared" si="297"/>
        <v>0</v>
      </c>
      <c r="K6349" s="25">
        <f t="shared" si="299"/>
        <v>1.0000000000000009</v>
      </c>
      <c r="L6349" s="27"/>
      <c r="M6349" s="28"/>
      <c r="N6349" s="28"/>
      <c r="O6349" s="20">
        <v>1706.76</v>
      </c>
      <c r="P6349" s="27" t="str">
        <f t="shared" si="298"/>
        <v>vermelho</v>
      </c>
    </row>
    <row r="6350" spans="1:16" ht="25.5">
      <c r="A6350" s="3" t="s">
        <v>7487</v>
      </c>
      <c r="B6350" s="3" t="s">
        <v>7488</v>
      </c>
      <c r="C6350" s="4">
        <v>30</v>
      </c>
      <c r="D6350" s="3" t="s">
        <v>4121</v>
      </c>
      <c r="E6350" s="3" t="s">
        <v>41</v>
      </c>
      <c r="F6350" s="5">
        <v>732</v>
      </c>
      <c r="G6350" s="5">
        <v>0</v>
      </c>
      <c r="H6350" s="6">
        <v>42003.360000000001</v>
      </c>
      <c r="I6350" s="22">
        <v>0</v>
      </c>
      <c r="J6350" s="24">
        <f t="shared" si="297"/>
        <v>0</v>
      </c>
      <c r="K6350" s="25">
        <f t="shared" si="299"/>
        <v>1.0000000000000009</v>
      </c>
      <c r="L6350" s="27"/>
      <c r="M6350" s="28"/>
      <c r="N6350" s="28"/>
      <c r="O6350" s="20" t="s">
        <v>7530</v>
      </c>
      <c r="P6350" s="27" t="str">
        <f t="shared" si="298"/>
        <v>vermelho</v>
      </c>
    </row>
    <row r="6351" spans="1:16" ht="25.5">
      <c r="A6351" s="3" t="s">
        <v>7489</v>
      </c>
      <c r="B6351" s="3" t="s">
        <v>7490</v>
      </c>
      <c r="C6351" s="4">
        <v>296</v>
      </c>
      <c r="D6351" s="3" t="s">
        <v>282</v>
      </c>
      <c r="E6351" s="3" t="s">
        <v>10</v>
      </c>
      <c r="F6351" s="5">
        <v>0</v>
      </c>
      <c r="G6351" s="5">
        <v>0</v>
      </c>
      <c r="H6351" s="6">
        <v>0</v>
      </c>
      <c r="I6351" s="22">
        <v>0</v>
      </c>
      <c r="J6351" s="24">
        <f t="shared" si="297"/>
        <v>0</v>
      </c>
      <c r="K6351" s="25">
        <f t="shared" si="299"/>
        <v>1.0000000000000009</v>
      </c>
      <c r="L6351" s="27"/>
      <c r="M6351" s="28"/>
      <c r="N6351" s="28"/>
      <c r="O6351" s="20" t="s">
        <v>7530</v>
      </c>
      <c r="P6351" s="27" t="str">
        <f t="shared" si="298"/>
        <v>vermelho</v>
      </c>
    </row>
    <row r="6352" spans="1:16" ht="25.5">
      <c r="A6352" s="3" t="s">
        <v>7491</v>
      </c>
      <c r="B6352" s="3" t="s">
        <v>7492</v>
      </c>
      <c r="C6352" s="4">
        <v>39</v>
      </c>
      <c r="D6352" s="3" t="s">
        <v>26</v>
      </c>
      <c r="E6352" s="3" t="s">
        <v>13</v>
      </c>
      <c r="F6352" s="5">
        <v>144</v>
      </c>
      <c r="G6352" s="5">
        <v>0</v>
      </c>
      <c r="H6352" s="6">
        <v>6491.0159999999996</v>
      </c>
      <c r="I6352" s="22">
        <v>0</v>
      </c>
      <c r="J6352" s="24">
        <f t="shared" si="297"/>
        <v>0</v>
      </c>
      <c r="K6352" s="25">
        <f t="shared" si="299"/>
        <v>1.0000000000000009</v>
      </c>
      <c r="L6352" s="27"/>
      <c r="M6352" s="28"/>
      <c r="N6352" s="28"/>
      <c r="O6352" s="20" t="s">
        <v>7530</v>
      </c>
      <c r="P6352" s="27" t="str">
        <f t="shared" si="298"/>
        <v>vermelho</v>
      </c>
    </row>
    <row r="6353" spans="1:16" ht="38.25">
      <c r="A6353" s="3" t="s">
        <v>7493</v>
      </c>
      <c r="B6353" s="3" t="s">
        <v>7494</v>
      </c>
      <c r="C6353" s="4">
        <v>371</v>
      </c>
      <c r="D6353" s="3" t="s">
        <v>82</v>
      </c>
      <c r="E6353" s="3" t="s">
        <v>49</v>
      </c>
      <c r="F6353" s="5">
        <v>240</v>
      </c>
      <c r="G6353" s="5">
        <v>0</v>
      </c>
      <c r="H6353" s="6">
        <v>11598.6</v>
      </c>
      <c r="I6353" s="22">
        <v>0</v>
      </c>
      <c r="J6353" s="24">
        <f t="shared" si="297"/>
        <v>0</v>
      </c>
      <c r="K6353" s="25">
        <f t="shared" si="299"/>
        <v>1.0000000000000009</v>
      </c>
      <c r="L6353" s="27"/>
      <c r="M6353" s="28"/>
      <c r="N6353" s="28"/>
      <c r="O6353" s="20" t="s">
        <v>7530</v>
      </c>
      <c r="P6353" s="27" t="str">
        <f t="shared" si="298"/>
        <v>vermelho</v>
      </c>
    </row>
    <row r="6354" spans="1:16" ht="51">
      <c r="A6354" s="3" t="s">
        <v>7495</v>
      </c>
      <c r="B6354" s="3" t="s">
        <v>7496</v>
      </c>
      <c r="C6354" s="4">
        <v>282</v>
      </c>
      <c r="D6354" s="3" t="s">
        <v>12</v>
      </c>
      <c r="E6354" s="3" t="s">
        <v>13</v>
      </c>
      <c r="F6354" s="5">
        <v>72</v>
      </c>
      <c r="G6354" s="5">
        <v>0</v>
      </c>
      <c r="H6354" s="6">
        <v>2973.12</v>
      </c>
      <c r="I6354" s="22">
        <v>0</v>
      </c>
      <c r="J6354" s="24">
        <f t="shared" si="297"/>
        <v>0</v>
      </c>
      <c r="K6354" s="25">
        <f t="shared" si="299"/>
        <v>1.0000000000000009</v>
      </c>
      <c r="L6354" s="27"/>
      <c r="M6354" s="28"/>
      <c r="N6354" s="28"/>
      <c r="O6354" s="20" t="s">
        <v>7530</v>
      </c>
      <c r="P6354" s="27" t="str">
        <f t="shared" si="298"/>
        <v>vermelho</v>
      </c>
    </row>
    <row r="6355" spans="1:16">
      <c r="A6355" s="3" t="s">
        <v>7497</v>
      </c>
      <c r="B6355" s="3" t="s">
        <v>7498</v>
      </c>
      <c r="C6355" s="4">
        <v>15</v>
      </c>
      <c r="D6355" s="3" t="s">
        <v>18</v>
      </c>
      <c r="E6355" s="3" t="s">
        <v>16</v>
      </c>
      <c r="F6355" s="5">
        <v>219</v>
      </c>
      <c r="G6355" s="5">
        <v>0</v>
      </c>
      <c r="H6355" s="6">
        <v>9546.99</v>
      </c>
      <c r="I6355" s="22">
        <v>0</v>
      </c>
      <c r="J6355" s="24">
        <f t="shared" si="297"/>
        <v>0</v>
      </c>
      <c r="K6355" s="25">
        <f t="shared" si="299"/>
        <v>1.0000000000000009</v>
      </c>
      <c r="L6355" s="27"/>
      <c r="M6355" s="28"/>
      <c r="N6355" s="28"/>
      <c r="O6355" s="20" t="s">
        <v>7530</v>
      </c>
      <c r="P6355" s="27" t="str">
        <f t="shared" si="298"/>
        <v>vermelho</v>
      </c>
    </row>
    <row r="6356" spans="1:16" ht="25.5">
      <c r="A6356" s="3" t="s">
        <v>7499</v>
      </c>
      <c r="B6356" s="3" t="s">
        <v>7500</v>
      </c>
      <c r="C6356" s="4">
        <v>23</v>
      </c>
      <c r="D6356" s="3" t="s">
        <v>87</v>
      </c>
      <c r="E6356" s="3" t="s">
        <v>7</v>
      </c>
      <c r="F6356" s="5">
        <v>192</v>
      </c>
      <c r="G6356" s="5">
        <v>0</v>
      </c>
      <c r="H6356" s="6">
        <v>11213.43</v>
      </c>
      <c r="I6356" s="22">
        <v>0</v>
      </c>
      <c r="J6356" s="24">
        <f t="shared" si="297"/>
        <v>0</v>
      </c>
      <c r="K6356" s="25">
        <f t="shared" si="299"/>
        <v>1.0000000000000009</v>
      </c>
      <c r="L6356" s="27"/>
      <c r="M6356" s="28"/>
      <c r="N6356" s="28"/>
      <c r="O6356" s="20" t="s">
        <v>7530</v>
      </c>
      <c r="P6356" s="27" t="str">
        <f t="shared" si="298"/>
        <v>vermelho</v>
      </c>
    </row>
    <row r="6357" spans="1:16" ht="25.5">
      <c r="A6357" s="3" t="s">
        <v>7501</v>
      </c>
      <c r="B6357" s="3" t="s">
        <v>7502</v>
      </c>
      <c r="C6357" s="4">
        <v>317</v>
      </c>
      <c r="D6357" s="3" t="s">
        <v>78</v>
      </c>
      <c r="E6357" s="3" t="s">
        <v>10</v>
      </c>
      <c r="F6357" s="5">
        <v>90</v>
      </c>
      <c r="G6357" s="5">
        <v>0</v>
      </c>
      <c r="H6357" s="6">
        <v>5840.94</v>
      </c>
      <c r="I6357" s="22">
        <v>0</v>
      </c>
      <c r="J6357" s="24">
        <f t="shared" si="297"/>
        <v>0</v>
      </c>
      <c r="K6357" s="25">
        <f t="shared" si="299"/>
        <v>1.0000000000000009</v>
      </c>
      <c r="L6357" s="27"/>
      <c r="M6357" s="28"/>
      <c r="N6357" s="28"/>
      <c r="O6357" s="20" t="s">
        <v>7530</v>
      </c>
      <c r="P6357" s="27" t="str">
        <f t="shared" si="298"/>
        <v>vermelho</v>
      </c>
    </row>
    <row r="6358" spans="1:16" ht="51">
      <c r="A6358" s="3" t="s">
        <v>7503</v>
      </c>
      <c r="B6358" s="3" t="s">
        <v>7504</v>
      </c>
      <c r="C6358" s="4">
        <v>282</v>
      </c>
      <c r="D6358" s="3" t="s">
        <v>12</v>
      </c>
      <c r="E6358" s="3" t="s">
        <v>13</v>
      </c>
      <c r="F6358" s="5">
        <v>48</v>
      </c>
      <c r="G6358" s="5">
        <v>0</v>
      </c>
      <c r="H6358" s="6">
        <v>2086.92</v>
      </c>
      <c r="I6358" s="22">
        <v>0</v>
      </c>
      <c r="J6358" s="24">
        <f t="shared" si="297"/>
        <v>0</v>
      </c>
      <c r="K6358" s="25">
        <f t="shared" si="299"/>
        <v>1.0000000000000009</v>
      </c>
      <c r="L6358" s="27"/>
      <c r="M6358" s="28"/>
      <c r="N6358" s="28"/>
      <c r="O6358" s="20" t="s">
        <v>7530</v>
      </c>
      <c r="P6358" s="27" t="str">
        <f t="shared" si="298"/>
        <v>vermelho</v>
      </c>
    </row>
    <row r="6359" spans="1:16">
      <c r="A6359" s="3" t="s">
        <v>7505</v>
      </c>
      <c r="B6359" s="3" t="s">
        <v>7506</v>
      </c>
      <c r="C6359" s="4">
        <v>264</v>
      </c>
      <c r="D6359" s="3" t="s">
        <v>40</v>
      </c>
      <c r="E6359" s="3" t="s">
        <v>13</v>
      </c>
      <c r="F6359" s="5">
        <v>72</v>
      </c>
      <c r="G6359" s="5">
        <v>0</v>
      </c>
      <c r="H6359" s="6">
        <v>2775.84</v>
      </c>
      <c r="I6359" s="22">
        <v>0</v>
      </c>
      <c r="J6359" s="24">
        <f t="shared" si="297"/>
        <v>0</v>
      </c>
      <c r="K6359" s="25">
        <f t="shared" si="299"/>
        <v>1.0000000000000009</v>
      </c>
      <c r="L6359" s="27"/>
      <c r="M6359" s="28"/>
      <c r="N6359" s="28"/>
      <c r="O6359" s="20" t="s">
        <v>7530</v>
      </c>
      <c r="P6359" s="27" t="str">
        <f t="shared" si="298"/>
        <v>vermelho</v>
      </c>
    </row>
    <row r="6360" spans="1:16" ht="25.5">
      <c r="A6360" s="3" t="s">
        <v>7507</v>
      </c>
      <c r="B6360" s="3" t="s">
        <v>7508</v>
      </c>
      <c r="C6360" s="4">
        <v>337</v>
      </c>
      <c r="D6360" s="3" t="s">
        <v>202</v>
      </c>
      <c r="E6360" s="3" t="s">
        <v>16</v>
      </c>
      <c r="F6360" s="5">
        <v>120</v>
      </c>
      <c r="G6360" s="5">
        <v>0</v>
      </c>
      <c r="H6360" s="6">
        <v>6991.2</v>
      </c>
      <c r="I6360" s="22">
        <v>0</v>
      </c>
      <c r="J6360" s="24">
        <f t="shared" si="297"/>
        <v>0</v>
      </c>
      <c r="K6360" s="25">
        <f t="shared" si="299"/>
        <v>1.0000000000000009</v>
      </c>
      <c r="L6360" s="27"/>
      <c r="M6360" s="28"/>
      <c r="N6360" s="28"/>
      <c r="O6360" s="20" t="s">
        <v>7530</v>
      </c>
      <c r="P6360" s="27" t="str">
        <f t="shared" si="298"/>
        <v>vermelho</v>
      </c>
    </row>
    <row r="6361" spans="1:16" ht="25.5">
      <c r="A6361" s="3" t="s">
        <v>7509</v>
      </c>
      <c r="B6361" s="3" t="s">
        <v>7510</v>
      </c>
      <c r="C6361" s="4">
        <v>194</v>
      </c>
      <c r="D6361" s="3" t="s">
        <v>145</v>
      </c>
      <c r="E6361" s="3" t="s">
        <v>16</v>
      </c>
      <c r="F6361" s="5">
        <v>417</v>
      </c>
      <c r="G6361" s="5">
        <v>0</v>
      </c>
      <c r="H6361" s="6">
        <v>24822.78</v>
      </c>
      <c r="I6361" s="22">
        <v>0</v>
      </c>
      <c r="J6361" s="24">
        <f t="shared" si="297"/>
        <v>0</v>
      </c>
      <c r="K6361" s="25">
        <f t="shared" si="299"/>
        <v>1.0000000000000009</v>
      </c>
      <c r="L6361" s="27"/>
      <c r="M6361" s="28"/>
      <c r="N6361" s="28"/>
      <c r="O6361" s="20" t="s">
        <v>7530</v>
      </c>
      <c r="P6361" s="27" t="str">
        <f t="shared" si="298"/>
        <v>vermelho</v>
      </c>
    </row>
    <row r="6362" spans="1:16" ht="51">
      <c r="A6362" s="3" t="s">
        <v>7511</v>
      </c>
      <c r="B6362" s="3" t="s">
        <v>7512</v>
      </c>
      <c r="C6362" s="4">
        <v>282</v>
      </c>
      <c r="D6362" s="3" t="s">
        <v>12</v>
      </c>
      <c r="E6362" s="3" t="s">
        <v>13</v>
      </c>
      <c r="F6362" s="5">
        <v>1119</v>
      </c>
      <c r="G6362" s="5">
        <v>0</v>
      </c>
      <c r="H6362" s="6">
        <v>52982.97</v>
      </c>
      <c r="I6362" s="22">
        <v>0</v>
      </c>
      <c r="J6362" s="24">
        <f t="shared" si="297"/>
        <v>0</v>
      </c>
      <c r="K6362" s="25">
        <f t="shared" si="299"/>
        <v>1.0000000000000009</v>
      </c>
      <c r="L6362" s="27"/>
      <c r="M6362" s="28"/>
      <c r="N6362" s="28"/>
      <c r="O6362" s="20" t="s">
        <v>7530</v>
      </c>
      <c r="P6362" s="27" t="str">
        <f t="shared" si="298"/>
        <v>vermelho</v>
      </c>
    </row>
    <row r="6363" spans="1:16" ht="25.5">
      <c r="A6363" s="3" t="s">
        <v>7513</v>
      </c>
      <c r="B6363" s="3" t="s">
        <v>7514</v>
      </c>
      <c r="C6363" s="4">
        <v>39</v>
      </c>
      <c r="D6363" s="3" t="s">
        <v>26</v>
      </c>
      <c r="E6363" s="3" t="s">
        <v>13</v>
      </c>
      <c r="F6363" s="5">
        <v>258</v>
      </c>
      <c r="G6363" s="5">
        <v>0</v>
      </c>
      <c r="H6363" s="6">
        <v>11703.66</v>
      </c>
      <c r="I6363" s="22">
        <v>0</v>
      </c>
      <c r="J6363" s="24">
        <f t="shared" si="297"/>
        <v>0</v>
      </c>
      <c r="K6363" s="25">
        <f t="shared" si="299"/>
        <v>1.0000000000000009</v>
      </c>
      <c r="L6363" s="27"/>
      <c r="M6363" s="28"/>
      <c r="N6363" s="28"/>
      <c r="O6363" s="20" t="s">
        <v>7530</v>
      </c>
      <c r="P6363" s="27" t="str">
        <f t="shared" si="298"/>
        <v>vermelho</v>
      </c>
    </row>
    <row r="6364" spans="1:16" ht="25.5">
      <c r="A6364" s="7" t="s">
        <v>7515</v>
      </c>
      <c r="B6364" s="7" t="s">
        <v>7515</v>
      </c>
      <c r="C6364" s="8" t="s">
        <v>7515</v>
      </c>
      <c r="D6364" s="7" t="s">
        <v>7515</v>
      </c>
      <c r="E6364" s="7" t="s">
        <v>7515</v>
      </c>
      <c r="F6364" s="9">
        <v>2588842</v>
      </c>
      <c r="G6364" s="9">
        <v>2511995</v>
      </c>
      <c r="H6364" s="10">
        <v>136610910.20199999</v>
      </c>
      <c r="I6364" s="10">
        <v>144318430.104</v>
      </c>
      <c r="M6364" s="28"/>
      <c r="N6364" s="28"/>
      <c r="O6364" s="20" t="s">
        <v>7530</v>
      </c>
      <c r="P6364" s="27" t="str">
        <f t="shared" si="298"/>
        <v>vermelho</v>
      </c>
    </row>
  </sheetData>
  <autoFilter ref="A1:N6364" xr:uid="{00000000-0009-0000-0000-000000000000}"/>
  <sortState xmlns:xlrd2="http://schemas.microsoft.com/office/spreadsheetml/2017/richdata2" ref="A4:I6365">
    <sortCondition descending="1" ref="I4:I6365"/>
  </sortState>
  <conditionalFormatting sqref="A1:I6364">
    <cfRule type="cellIs" dxfId="19" priority="12" operator="lessThan">
      <formula>0</formula>
    </cfRule>
  </conditionalFormatting>
  <conditionalFormatting sqref="J1">
    <cfRule type="cellIs" dxfId="18" priority="11" operator="lessThan">
      <formula>0</formula>
    </cfRule>
  </conditionalFormatting>
  <conditionalFormatting sqref="K1">
    <cfRule type="cellIs" dxfId="17" priority="10" operator="lessThan">
      <formula>0</formula>
    </cfRule>
  </conditionalFormatting>
  <conditionalFormatting sqref="L1:N1">
    <cfRule type="cellIs" dxfId="16" priority="9" operator="lessThan">
      <formula>0</formula>
    </cfRule>
  </conditionalFormatting>
  <conditionalFormatting sqref="O1:O6364">
    <cfRule type="cellIs" dxfId="15" priority="8" operator="lessThan">
      <formula>0</formula>
    </cfRule>
  </conditionalFormatting>
  <conditionalFormatting sqref="P2:P1048576">
    <cfRule type="cellIs" dxfId="14" priority="5" operator="equal">
      <formula>"amarelo"</formula>
    </cfRule>
    <cfRule type="cellIs" dxfId="13" priority="4" operator="equal">
      <formula>"vermelho"</formula>
    </cfRule>
    <cfRule type="cellIs" dxfId="12" priority="3" operator="equal">
      <formula>"verde"</formula>
    </cfRule>
  </conditionalFormatting>
  <conditionalFormatting sqref="P1">
    <cfRule type="cellIs" dxfId="11" priority="2" operator="lessThan">
      <formula>0</formula>
    </cfRule>
  </conditionalFormatting>
  <conditionalFormatting sqref="P1:P1048576">
    <cfRule type="cellIs" dxfId="10" priority="1" operator="equal">
      <formula>"LARANJA"</formula>
    </cfRule>
  </conditionalFormatting>
  <pageMargins left="0.3" right="0.3" top="0.3" bottom="0.3" header="0.3" footer="0.3"/>
  <pageSetup paperSize="9" scale="61" fitToHeight="0" orientation="landscape" errors="blank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COMPARATIVO VENDAS POR CLIENTE</vt:lpstr>
      <vt:lpstr>'COMPARATIVO VENDAS POR CLIENTE'!Titulos_de_impressao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carlos.gomes</cp:lastModifiedBy>
  <cp:lastPrinted>2026-03-04T19:30:40Z</cp:lastPrinted>
  <dcterms:created xsi:type="dcterms:W3CDTF">2026-03-02T19:53:25Z</dcterms:created>
  <dcterms:modified xsi:type="dcterms:W3CDTF">2026-03-13T16:36:56Z</dcterms:modified>
</cp:coreProperties>
</file>